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860" windowHeight="12520" tabRatio="600" firstSheet="1" activeTab="2" autoFilterDateGrouping="1"/>
  </bookViews>
  <sheets>
    <sheet xmlns:r="http://schemas.openxmlformats.org/officeDocument/2006/relationships" name="周涨跌" sheetId="1" state="visible" r:id="rId1"/>
    <sheet xmlns:r="http://schemas.openxmlformats.org/officeDocument/2006/relationships" name="日度收盘价" sheetId="2" state="visible" r:id="rId2"/>
    <sheet xmlns:r="http://schemas.openxmlformats.org/officeDocument/2006/relationships" name="运动服饰 Prices" sheetId="3" state="visible" r:id="rId3"/>
    <sheet xmlns:r="http://schemas.openxmlformats.org/officeDocument/2006/relationships" name="运动服饰 Normalized" sheetId="4" state="visible" r:id="rId4"/>
    <sheet xmlns:r="http://schemas.openxmlformats.org/officeDocument/2006/relationships" name="运动服饰 Tickers" sheetId="5" state="visible" r:id="rId5"/>
    <sheet xmlns:r="http://schemas.openxmlformats.org/officeDocument/2006/relationships" name="奢侈品 Prices" sheetId="6" state="visible" r:id="rId6"/>
    <sheet xmlns:r="http://schemas.openxmlformats.org/officeDocument/2006/relationships" name="奢侈品 Normalized" sheetId="7" state="visible" r:id="rId7"/>
    <sheet xmlns:r="http://schemas.openxmlformats.org/officeDocument/2006/relationships" name="奢侈品 Tickers" sheetId="8" state="visible" r:id="rId8"/>
    <sheet xmlns:r="http://schemas.openxmlformats.org/officeDocument/2006/relationships" name="行业指数" sheetId="9" state="visible" r:id="rId9"/>
    <sheet xmlns:r="http://schemas.openxmlformats.org/officeDocument/2006/relationships" name="可选消费ETFs" sheetId="10" state="visible" r:id="rId10"/>
    <sheet xmlns:r="http://schemas.openxmlformats.org/officeDocument/2006/relationships" name="地缘政治" sheetId="11" state="visible" r:id="rId11"/>
    <sheet xmlns:r="http://schemas.openxmlformats.org/officeDocument/2006/relationships" name="油价汽油" sheetId="12" state="visible" r:id="rId12"/>
    <sheet xmlns:r="http://schemas.openxmlformats.org/officeDocument/2006/relationships" name="美债收益率" sheetId="13" state="visible" r:id="rId13"/>
    <sheet xmlns:r="http://schemas.openxmlformats.org/officeDocument/2006/relationships" name="宏观高频数据" sheetId="14" state="visible" r:id="rId14"/>
    <sheet xmlns:r="http://schemas.openxmlformats.org/officeDocument/2006/relationships" name="Charts" sheetId="15" state="visible" r:id="rId15"/>
    <sheet xmlns:r="http://schemas.openxmlformats.org/officeDocument/2006/relationships" name="运动服饰走势" sheetId="16" state="visible" r:id="rId16"/>
    <sheet xmlns:r="http://schemas.openxmlformats.org/officeDocument/2006/relationships" name="奢侈品走势" sheetId="17" state="visible" r:id="rId17"/>
    <sheet xmlns:r="http://schemas.openxmlformats.org/officeDocument/2006/relationships" name="股价分位数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0.0"/>
    <numFmt numFmtId="166" formatCode="0.000"/>
    <numFmt numFmtId="167" formatCode="0.0000"/>
    <numFmt numFmtId="168" formatCode="yyyy\-mm\-dd\ h:mm:ss"/>
    <numFmt numFmtId="169" formatCode="0.0%"/>
    <numFmt numFmtId="170" formatCode="yyyy-mm-dd h:mm:ss"/>
  </numFmts>
  <fonts count="35">
    <font>
      <name val="宋体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color rgb="FF0000FF"/>
      <sz val="10"/>
    </font>
    <font>
      <name val="Arial"/>
      <charset val="134"/>
      <b val="1"/>
      <sz val="9"/>
    </font>
    <font>
      <name val="Arial"/>
      <charset val="134"/>
      <sz val="9"/>
    </font>
    <font>
      <name val="Arial"/>
      <charset val="134"/>
      <b val="1"/>
      <sz val="11"/>
    </font>
    <font>
      <name val="Arial"/>
      <charset val="134"/>
      <b val="1"/>
      <color rgb="FF4472C4"/>
      <sz val="9"/>
    </font>
    <font>
      <name val="Arial"/>
      <charset val="134"/>
      <color rgb="FF9C0006"/>
      <sz val="9"/>
    </font>
    <font>
      <name val="Arial"/>
      <charset val="134"/>
      <color rgb="FF006100"/>
      <sz val="9"/>
    </font>
    <font>
      <name val="宋体"/>
      <charset val="134"/>
      <b val="1"/>
      <color theme="1"/>
      <sz val="11"/>
      <scheme val="minor"/>
    </font>
    <font>
      <name val="Arial"/>
      <charset val="134"/>
      <b val="1"/>
      <color rgb="FFC55A1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sz val="13"/>
    </font>
    <font>
      <color rgb="00666666"/>
      <sz val="9"/>
    </font>
    <font>
      <b val="1"/>
      <color rgb="00FFFFFF"/>
      <sz val="11"/>
    </font>
    <font>
      <sz val="10"/>
    </font>
  </fonts>
  <fills count="38">
    <fill>
      <patternFill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bottom style="thin">
        <color rgb="00D9D9D9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0" fillId="6" borderId="2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3" applyAlignment="1">
      <alignment vertical="center"/>
    </xf>
    <xf numFmtId="0" fontId="18" fillId="0" borderId="3" applyAlignment="1">
      <alignment vertical="center"/>
    </xf>
    <xf numFmtId="0" fontId="19" fillId="0" borderId="4" applyAlignment="1">
      <alignment vertical="center"/>
    </xf>
    <xf numFmtId="0" fontId="19" fillId="0" borderId="0" applyAlignment="1">
      <alignment vertical="center"/>
    </xf>
    <xf numFmtId="0" fontId="20" fillId="7" borderId="5" applyAlignment="1">
      <alignment vertical="center"/>
    </xf>
    <xf numFmtId="0" fontId="21" fillId="8" borderId="6" applyAlignment="1">
      <alignment vertical="center"/>
    </xf>
    <xf numFmtId="0" fontId="22" fillId="8" borderId="5" applyAlignment="1">
      <alignment vertical="center"/>
    </xf>
    <xf numFmtId="0" fontId="23" fillId="9" borderId="7" applyAlignment="1">
      <alignment vertical="center"/>
    </xf>
    <xf numFmtId="0" fontId="24" fillId="0" borderId="8" applyAlignment="1">
      <alignment vertical="center"/>
    </xf>
    <xf numFmtId="0" fontId="25" fillId="0" borderId="9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9" fillId="13" borderId="0" applyAlignment="1">
      <alignment vertical="center"/>
    </xf>
    <xf numFmtId="0" fontId="30" fillId="14" borderId="0" applyAlignment="1">
      <alignment vertical="center"/>
    </xf>
    <xf numFmtId="0" fontId="30" fillId="15" borderId="0" applyAlignment="1">
      <alignment vertical="center"/>
    </xf>
    <xf numFmtId="0" fontId="29" fillId="16" borderId="0" applyAlignment="1">
      <alignment vertical="center"/>
    </xf>
    <xf numFmtId="0" fontId="29" fillId="17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30" fillId="34" borderId="0" applyAlignment="1">
      <alignment vertical="center"/>
    </xf>
    <xf numFmtId="0" fontId="30" fillId="35" borderId="0" applyAlignment="1">
      <alignment vertical="center"/>
    </xf>
    <xf numFmtId="0" fontId="29" fillId="36" borderId="0" applyAlignment="1">
      <alignment vertical="center"/>
    </xf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164" fontId="1" fillId="0" borderId="0" pivotButton="0" quotePrefix="0" xfId="0"/>
    <xf numFmtId="3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2" fillId="4" borderId="0" pivotButton="0" quotePrefix="0" xfId="0"/>
    <xf numFmtId="4" fontId="3" fillId="0" borderId="0" pivotButton="0" quotePrefix="0" xfId="0"/>
    <xf numFmtId="167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7" fontId="3" fillId="0" borderId="0" pivotButton="0" quotePrefix="0" xfId="0"/>
    <xf numFmtId="0" fontId="1" fillId="0" borderId="0" applyAlignment="1" pivotButton="0" quotePrefix="0" xfId="0">
      <alignment horizontal="center"/>
    </xf>
    <xf numFmtId="168" fontId="0" fillId="0" borderId="0" pivotButton="0" quotePrefix="0" xfId="0"/>
    <xf numFmtId="166" fontId="1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0" borderId="0" pivotButton="0" quotePrefix="0" xfId="0"/>
    <xf numFmtId="164" fontId="5" fillId="0" borderId="0" pivotButton="0" quotePrefix="0" xfId="0"/>
    <xf numFmtId="4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169" fontId="5" fillId="0" borderId="0" applyAlignment="1" pivotButton="0" quotePrefix="0" xfId="0">
      <alignment horizontal="center" vertical="center"/>
    </xf>
    <xf numFmtId="169" fontId="8" fillId="0" borderId="0" applyAlignment="1" pivotButton="0" quotePrefix="0" xfId="0">
      <alignment horizontal="center" vertical="center"/>
    </xf>
    <xf numFmtId="169" fontId="9" fillId="0" borderId="0" applyAlignment="1" pivotButton="0" quotePrefix="0" xfId="0">
      <alignment horizontal="center" vertical="center"/>
    </xf>
    <xf numFmtId="9" fontId="10" fillId="0" borderId="1" applyAlignment="1" pivotButton="0" quotePrefix="0" xfId="3">
      <alignment horizontal="center" vertical="center"/>
    </xf>
    <xf numFmtId="0" fontId="11" fillId="0" borderId="0" pivotButton="0" quotePrefix="0" xfId="0"/>
    <xf numFmtId="9" fontId="0" fillId="0" borderId="0" applyAlignment="1" pivotButton="0" quotePrefix="0" xfId="3">
      <alignment horizontal="center" vertical="center"/>
    </xf>
    <xf numFmtId="0" fontId="4" fillId="5" borderId="0" pivotButton="0" quotePrefix="0" xfId="0"/>
    <xf numFmtId="165" fontId="5" fillId="0" borderId="0" applyAlignment="1" pivotButton="0" quotePrefix="0" xfId="0">
      <alignment horizontal="center" vertical="center"/>
    </xf>
    <xf numFmtId="0" fontId="3" fillId="0" borderId="0" pivotButton="0" quotePrefix="0" xfId="0"/>
    <xf numFmtId="2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69" fontId="8" fillId="0" borderId="0" applyAlignment="1" pivotButton="0" quotePrefix="0" xfId="0">
      <alignment horizontal="center" vertical="center"/>
    </xf>
    <xf numFmtId="169" fontId="9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4" fontId="5" fillId="0" borderId="0" pivotButton="0" quotePrefix="0" xfId="0"/>
    <xf numFmtId="170" fontId="0" fillId="0" borderId="0" pivotButton="0" quotePrefix="0" xfId="0"/>
    <xf numFmtId="168" fontId="0" fillId="0" borderId="0" pivotButton="0" quotePrefix="0" xfId="0"/>
    <xf numFmtId="164" fontId="1" fillId="0" borderId="0" pivotButton="0" quotePrefix="0" xfId="0"/>
    <xf numFmtId="166" fontId="1" fillId="0" borderId="0" pivotButton="0" quotePrefix="0" xfId="0"/>
    <xf numFmtId="168" fontId="0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7" fontId="3" fillId="0" borderId="0" pivotButton="0" quotePrefix="0" xfId="0"/>
    <xf numFmtId="167" fontId="1" fillId="0" borderId="0" pivotButton="0" quotePrefix="0" xfId="0"/>
    <xf numFmtId="166" fontId="3" fillId="0" borderId="0" pivotButton="0" quotePrefix="0" xfId="0"/>
    <xf numFmtId="165" fontId="3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37" borderId="0" applyAlignment="1" pivotButton="0" quotePrefix="0" xfId="0">
      <alignment horizontal="center"/>
    </xf>
    <xf numFmtId="0" fontId="34" fillId="0" borderId="10" pivotButton="0" quotePrefix="0" xfId="0"/>
    <xf numFmtId="4" fontId="0" fillId="0" borderId="10" pivotButton="0" quotePrefix="0" xfId="0"/>
    <xf numFmtId="169" fontId="0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fgColor rgb="00F4CCCC"/>
          <bgColor rgb="00F4CCCC"/>
        </patternFill>
      </fill>
    </dxf>
    <dxf>
      <fill>
        <patternFill patternType="solid">
          <fgColor rgb="00D9EAD3"/>
          <b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周涨跌!$A$57</f>
              <strCache>
                <ptCount val="1"/>
                <pt idx="0">
                  <v>Brent($/bbl)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strRef>
              <f>周涨跌!$B$56:$AR$56</f>
              <strCache>
                <ptCount val="43"/>
                <pt idx="0">
                  <v>251201-1207</v>
                </pt>
                <pt idx="1">
                  <v>251208-1214</v>
                </pt>
                <pt idx="2">
                  <v>251215-1221</v>
                </pt>
                <pt idx="3">
                  <v>251222-1228</v>
                </pt>
                <pt idx="4">
                  <v>251229-0104</v>
                </pt>
                <pt idx="5">
                  <v>260105-0111</v>
                </pt>
                <pt idx="6">
                  <v>260112-0118</v>
                </pt>
                <pt idx="7">
                  <v>260119-0125</v>
                </pt>
                <pt idx="8">
                  <v>260126-0201</v>
                </pt>
                <pt idx="9">
                  <v>260202-0208</v>
                </pt>
                <pt idx="10">
                  <v>260209-0215</v>
                </pt>
                <pt idx="11">
                  <v>260216-0222</v>
                </pt>
                <pt idx="12">
                  <v>260223-0301</v>
                </pt>
                <pt idx="13">
                  <v>260302-0308</v>
                </pt>
                <pt idx="14">
                  <v>260309-0315</v>
                </pt>
                <pt idx="15">
                  <v>260316-0322</v>
                </pt>
                <pt idx="16">
                  <v>260323-0329</v>
                </pt>
                <pt idx="17">
                  <v>260330-0405</v>
                </pt>
                <pt idx="18">
                  <v>260406-0412</v>
                </pt>
                <pt idx="19">
                  <v>260413-0419</v>
                </pt>
                <pt idx="20">
                  <v>260420-0426</v>
                </pt>
                <pt idx="21">
                  <v>260427-0503</v>
                </pt>
                <pt idx="22">
                  <v>260504-0510</v>
                </pt>
                <pt idx="23">
                  <v>260511-0517</v>
                </pt>
                <pt idx="24">
                  <v>260518-0524</v>
                </pt>
                <pt idx="25">
                  <v>260525-0531</v>
                </pt>
                <pt idx="26">
                  <v>260601-0607</v>
                </pt>
                <pt idx="27">
                  <v>260608-0614</v>
                </pt>
                <pt idx="28">
                  <v>260615-0621</v>
                </pt>
                <pt idx="29">
                  <v>260622-0628</v>
                </pt>
                <pt idx="30">
                  <v>260629-0705</v>
                </pt>
                <pt idx="31">
                  <v>260706-0712</v>
                </pt>
                <pt idx="32">
                  <v>260713-0719</v>
                </pt>
                <pt idx="33">
                  <v>260720-0726</v>
                </pt>
                <pt idx="34">
                  <v>260727-0802</v>
                </pt>
                <pt idx="35">
                  <v>260803-0809</v>
                </pt>
                <pt idx="36">
                  <v>260810-0816</v>
                </pt>
                <pt idx="37">
                  <v>260817-0823</v>
                </pt>
                <pt idx="38">
                  <v>260824-0830</v>
                </pt>
                <pt idx="39">
                  <v>260831-0906</v>
                </pt>
                <pt idx="40">
                  <v>260907-0913</v>
                </pt>
                <pt idx="41">
                  <v>260914-0920</v>
                </pt>
                <pt idx="42">
                  <v>260921-0927</v>
                </pt>
              </strCache>
            </strRef>
          </cat>
          <val>
            <numRef>
              <f>周涨跌!$B$57:$AR$57</f>
              <numCache>
                <formatCode>0.0</formatCode>
                <ptCount val="43"/>
                <pt idx="0">
                  <v>63.75</v>
                </pt>
                <pt idx="1">
                  <v>61.12</v>
                </pt>
                <pt idx="2">
                  <v>60.47</v>
                </pt>
                <pt idx="3">
                  <v>60.64</v>
                </pt>
                <pt idx="4">
                  <v>60.75</v>
                </pt>
                <pt idx="5">
                  <v>63.34</v>
                </pt>
                <pt idx="6">
                  <v>64.13</v>
                </pt>
                <pt idx="7">
                  <v>65.88</v>
                </pt>
                <pt idx="8">
                  <v>70.69</v>
                </pt>
                <pt idx="9">
                  <v>68.05</v>
                </pt>
                <pt idx="10">
                  <v>67.75</v>
                </pt>
                <pt idx="11">
                  <v>71.76000000000001</v>
                </pt>
                <pt idx="12">
                  <v>72.48</v>
                </pt>
                <pt idx="13">
                  <v>92.69</v>
                </pt>
                <pt idx="14">
                  <v>103.14</v>
                </pt>
                <pt idx="15">
                  <v>112.19</v>
                </pt>
                <pt idx="16">
                  <v>112.57</v>
                </pt>
                <pt idx="17">
                  <v>109.03</v>
                </pt>
                <pt idx="18">
                  <v>95.2</v>
                </pt>
                <pt idx="19">
                  <v>90.38</v>
                </pt>
                <pt idx="20">
                  <v>105.33</v>
                </pt>
                <pt idx="21">
                  <v>108.17</v>
                </pt>
                <pt idx="22">
                  <v>101.29</v>
                </pt>
                <pt idx="23">
                  <v>109.26</v>
                </pt>
                <pt idx="24">
                  <v>103.54</v>
                </pt>
                <pt idx="25">
                  <v>92.05</v>
                </pt>
                <pt idx="26">
                  <v>93.09</v>
                </pt>
                <pt idx="27">
                  <v>87.33</v>
                </pt>
                <pt idx="28">
                  <v>79.84999999999999</v>
                </pt>
                <pt idx="29">
                  <v>71.98999999999999</v>
                </pt>
                <pt idx="30">
                  <v>71.8</v>
                </pt>
                <pt idx="31">
                  <v>76.01000000000001</v>
                </pt>
                <pt idx="32">
                  <v>88.09999999999999</v>
                </pt>
                <pt idx="33">
                  <v>96.78</v>
                </pt>
                <pt idx="34">
                  <v>90.12</v>
                </pt>
                <pt idx="35">
                  <v>83.55</v>
                </pt>
                <pt idx="36">
                  <v>88.52</v>
                </pt>
                <pt idx="37">
                  <v>94.39</v>
                </pt>
                <pt idx="38">
                  <v>89.31</v>
                </pt>
                <pt idx="39">
                  <v>96.28</v>
                </pt>
                <pt idx="40">
                  <v>104.61</v>
                </pt>
                <pt idx="41">
                  <v>103.87</v>
                </pt>
                <pt idx="42">
                  <v>97.20999999999999</v>
                </pt>
              </numCache>
            </numRef>
          </val>
          <smooth val="0"/>
        </ser>
        <ser>
          <idx val="1"/>
          <order val="1"/>
          <tx>
            <strRef>
              <f>周涨跌!$A$58</f>
              <strCache>
                <ptCount val="1"/>
                <pt idx="0">
                  <v>WTI($/bbl)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strRef>
              <f>周涨跌!$B$56:$AR$56</f>
              <strCache>
                <ptCount val="43"/>
                <pt idx="0">
                  <v>251201-1207</v>
                </pt>
                <pt idx="1">
                  <v>251208-1214</v>
                </pt>
                <pt idx="2">
                  <v>251215-1221</v>
                </pt>
                <pt idx="3">
                  <v>251222-1228</v>
                </pt>
                <pt idx="4">
                  <v>251229-0104</v>
                </pt>
                <pt idx="5">
                  <v>260105-0111</v>
                </pt>
                <pt idx="6">
                  <v>260112-0118</v>
                </pt>
                <pt idx="7">
                  <v>260119-0125</v>
                </pt>
                <pt idx="8">
                  <v>260126-0201</v>
                </pt>
                <pt idx="9">
                  <v>260202-0208</v>
                </pt>
                <pt idx="10">
                  <v>260209-0215</v>
                </pt>
                <pt idx="11">
                  <v>260216-0222</v>
                </pt>
                <pt idx="12">
                  <v>260223-0301</v>
                </pt>
                <pt idx="13">
                  <v>260302-0308</v>
                </pt>
                <pt idx="14">
                  <v>260309-0315</v>
                </pt>
                <pt idx="15">
                  <v>260316-0322</v>
                </pt>
                <pt idx="16">
                  <v>260323-0329</v>
                </pt>
                <pt idx="17">
                  <v>260330-0405</v>
                </pt>
                <pt idx="18">
                  <v>260406-0412</v>
                </pt>
                <pt idx="19">
                  <v>260413-0419</v>
                </pt>
                <pt idx="20">
                  <v>260420-0426</v>
                </pt>
                <pt idx="21">
                  <v>260427-0503</v>
                </pt>
                <pt idx="22">
                  <v>260504-0510</v>
                </pt>
                <pt idx="23">
                  <v>260511-0517</v>
                </pt>
                <pt idx="24">
                  <v>260518-0524</v>
                </pt>
                <pt idx="25">
                  <v>260525-0531</v>
                </pt>
                <pt idx="26">
                  <v>260601-0607</v>
                </pt>
                <pt idx="27">
                  <v>260608-0614</v>
                </pt>
                <pt idx="28">
                  <v>260615-0621</v>
                </pt>
                <pt idx="29">
                  <v>260622-0628</v>
                </pt>
                <pt idx="30">
                  <v>260629-0705</v>
                </pt>
                <pt idx="31">
                  <v>260706-0712</v>
                </pt>
                <pt idx="32">
                  <v>260713-0719</v>
                </pt>
                <pt idx="33">
                  <v>260720-0726</v>
                </pt>
                <pt idx="34">
                  <v>260727-0802</v>
                </pt>
                <pt idx="35">
                  <v>260803-0809</v>
                </pt>
                <pt idx="36">
                  <v>260810-0816</v>
                </pt>
                <pt idx="37">
                  <v>260817-0823</v>
                </pt>
                <pt idx="38">
                  <v>260824-0830</v>
                </pt>
                <pt idx="39">
                  <v>260831-0906</v>
                </pt>
                <pt idx="40">
                  <v>260907-0913</v>
                </pt>
                <pt idx="41">
                  <v>260914-0920</v>
                </pt>
                <pt idx="42">
                  <v>260921-0927</v>
                </pt>
              </strCache>
            </strRef>
          </cat>
          <val>
            <numRef>
              <f>周涨跌!$B$58:$AR$58</f>
              <numCache>
                <formatCode>0.0</formatCode>
                <ptCount val="43"/>
                <pt idx="0">
                  <v>60.08</v>
                </pt>
                <pt idx="1">
                  <v>57.44</v>
                </pt>
                <pt idx="2">
                  <v>56.66</v>
                </pt>
                <pt idx="3">
                  <v>56.74</v>
                </pt>
                <pt idx="4">
                  <v>57.32</v>
                </pt>
                <pt idx="5">
                  <v>59.12</v>
                </pt>
                <pt idx="6">
                  <v>59.44</v>
                </pt>
                <pt idx="7">
                  <v>61.07</v>
                </pt>
                <pt idx="8">
                  <v>65.20999999999999</v>
                </pt>
                <pt idx="9">
                  <v>63.55</v>
                </pt>
                <pt idx="10">
                  <v>62.89</v>
                </pt>
                <pt idx="11">
                  <v>66.39</v>
                </pt>
                <pt idx="12">
                  <v>67.02</v>
                </pt>
                <pt idx="13">
                  <v>90.90000000000001</v>
                </pt>
                <pt idx="14">
                  <v>98.70999999999999</v>
                </pt>
                <pt idx="15">
                  <v>98.31999999999999</v>
                </pt>
                <pt idx="16">
                  <v>99.64</v>
                </pt>
                <pt idx="17">
                  <v>111.54</v>
                </pt>
                <pt idx="18">
                  <v>96.56999999999999</v>
                </pt>
                <pt idx="19">
                  <v>83.84999999999999</v>
                </pt>
                <pt idx="20">
                  <v>94.40000000000001</v>
                </pt>
                <pt idx="21">
                  <v>101.94</v>
                </pt>
                <pt idx="22">
                  <v>95.42</v>
                </pt>
                <pt idx="23">
                  <v>105.42</v>
                </pt>
                <pt idx="24">
                  <v>96.59999999999999</v>
                </pt>
                <pt idx="25">
                  <v>87.36</v>
                </pt>
                <pt idx="26">
                  <v>90.54000000000001</v>
                </pt>
                <pt idx="27">
                  <v>84.88</v>
                </pt>
                <pt idx="28">
                  <v>76.59999999999999</v>
                </pt>
                <pt idx="29">
                  <v>69.23</v>
                </pt>
                <pt idx="30">
                  <v>68.69</v>
                </pt>
                <pt idx="31">
                  <v>71.41</v>
                </pt>
                <pt idx="32">
                  <v>82.48999999999999</v>
                </pt>
                <pt idx="33">
                  <v>89.31</v>
                </pt>
                <pt idx="34">
                  <v>84.67</v>
                </pt>
                <pt idx="35">
                  <v>78.18000000000001</v>
                </pt>
                <pt idx="36">
                  <v>82.40000000000001</v>
                </pt>
                <pt idx="37">
                  <v>87.06</v>
                </pt>
                <pt idx="38">
                  <v>83.40000000000001</v>
                </pt>
                <pt idx="39">
                  <v>91.48</v>
                </pt>
                <pt idx="40">
                  <v>100.05</v>
                </pt>
                <pt idx="41">
                  <v>100.3</v>
                </pt>
                <pt idx="42">
                  <v>93.11</v>
                </pt>
              </numCache>
            </numRef>
          </val>
          <smooth val="0"/>
        </ser>
        <ser>
          <idx val="2"/>
          <order val="2"/>
          <tx>
            <strRef>
              <f>周涨跌!$A$59</f>
              <strCache>
                <ptCount val="1"/>
                <pt idx="0">
                  <v>汽油($/gal)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strRef>
              <f>周涨跌!$B$56:$AR$56</f>
              <strCache>
                <ptCount val="43"/>
                <pt idx="0">
                  <v>251201-1207</v>
                </pt>
                <pt idx="1">
                  <v>251208-1214</v>
                </pt>
                <pt idx="2">
                  <v>251215-1221</v>
                </pt>
                <pt idx="3">
                  <v>251222-1228</v>
                </pt>
                <pt idx="4">
                  <v>251229-0104</v>
                </pt>
                <pt idx="5">
                  <v>260105-0111</v>
                </pt>
                <pt idx="6">
                  <v>260112-0118</v>
                </pt>
                <pt idx="7">
                  <v>260119-0125</v>
                </pt>
                <pt idx="8">
                  <v>260126-0201</v>
                </pt>
                <pt idx="9">
                  <v>260202-0208</v>
                </pt>
                <pt idx="10">
                  <v>260209-0215</v>
                </pt>
                <pt idx="11">
                  <v>260216-0222</v>
                </pt>
                <pt idx="12">
                  <v>260223-0301</v>
                </pt>
                <pt idx="13">
                  <v>260302-0308</v>
                </pt>
                <pt idx="14">
                  <v>260309-0315</v>
                </pt>
                <pt idx="15">
                  <v>260316-0322</v>
                </pt>
                <pt idx="16">
                  <v>260323-0329</v>
                </pt>
                <pt idx="17">
                  <v>260330-0405</v>
                </pt>
                <pt idx="18">
                  <v>260406-0412</v>
                </pt>
                <pt idx="19">
                  <v>260413-0419</v>
                </pt>
                <pt idx="20">
                  <v>260420-0426</v>
                </pt>
                <pt idx="21">
                  <v>260427-0503</v>
                </pt>
                <pt idx="22">
                  <v>260504-0510</v>
                </pt>
                <pt idx="23">
                  <v>260511-0517</v>
                </pt>
                <pt idx="24">
                  <v>260518-0524</v>
                </pt>
                <pt idx="25">
                  <v>260525-0531</v>
                </pt>
                <pt idx="26">
                  <v>260601-0607</v>
                </pt>
                <pt idx="27">
                  <v>260608-0614</v>
                </pt>
                <pt idx="28">
                  <v>260615-0621</v>
                </pt>
                <pt idx="29">
                  <v>260622-0628</v>
                </pt>
                <pt idx="30">
                  <v>260629-0705</v>
                </pt>
                <pt idx="31">
                  <v>260706-0712</v>
                </pt>
                <pt idx="32">
                  <v>260713-0719</v>
                </pt>
                <pt idx="33">
                  <v>260720-0726</v>
                </pt>
                <pt idx="34">
                  <v>260727-0802</v>
                </pt>
                <pt idx="35">
                  <v>260803-0809</v>
                </pt>
                <pt idx="36">
                  <v>260810-0816</v>
                </pt>
                <pt idx="37">
                  <v>260817-0823</v>
                </pt>
                <pt idx="38">
                  <v>260824-0830</v>
                </pt>
                <pt idx="39">
                  <v>260831-0906</v>
                </pt>
                <pt idx="40">
                  <v>260907-0913</v>
                </pt>
                <pt idx="41">
                  <v>260914-0920</v>
                </pt>
                <pt idx="42">
                  <v>260921-0927</v>
                </pt>
              </strCache>
            </strRef>
          </cat>
          <val>
            <numRef>
              <f>周涨跌!$B$59:$AR$59</f>
              <numCache>
                <formatCode>0.00</formatCode>
                <ptCount val="43"/>
                <pt idx="0">
                  <v>2.98</v>
                </pt>
                <pt idx="1">
                  <v>2.94</v>
                </pt>
                <pt idx="2">
                  <v>2.9</v>
                </pt>
                <pt idx="3">
                  <v>2.84</v>
                </pt>
                <pt idx="4">
                  <v>2.81</v>
                </pt>
                <pt idx="5">
                  <v>2.8</v>
                </pt>
                <pt idx="6">
                  <v>2.78</v>
                </pt>
                <pt idx="7">
                  <v>2.81</v>
                </pt>
                <pt idx="8">
                  <v>2.85</v>
                </pt>
                <pt idx="9">
                  <v>2.87</v>
                </pt>
                <pt idx="10">
                  <v>2.9</v>
                </pt>
                <pt idx="11">
                  <v>2.92</v>
                </pt>
                <pt idx="12">
                  <v>2.94</v>
                </pt>
                <pt idx="13">
                  <v>3.02</v>
                </pt>
                <pt idx="14">
                  <v>3.5</v>
                </pt>
                <pt idx="15">
                  <v>3.72</v>
                </pt>
                <pt idx="16">
                  <v>3.96</v>
                </pt>
                <pt idx="17">
                  <v>3.99</v>
                </pt>
                <pt idx="18">
                  <v>4.12</v>
                </pt>
                <pt idx="19">
                  <v>4.12</v>
                </pt>
                <pt idx="20">
                  <v>4.04</v>
                </pt>
                <pt idx="21">
                  <v>4.12</v>
                </pt>
                <pt idx="22">
                  <v>4.45</v>
                </pt>
                <pt idx="23">
                  <v>4.5</v>
                </pt>
                <pt idx="24">
                  <v>4.49</v>
                </pt>
                <pt idx="25">
                  <v>4.47</v>
                </pt>
                <pt idx="26">
                  <v>4.3</v>
                </pt>
                <pt idx="27">
                  <v>4.15</v>
                </pt>
                <pt idx="28">
                  <v>4.05</v>
                </pt>
                <pt idx="29">
                  <v>3.91</v>
                </pt>
                <pt idx="30">
                  <v>3.83</v>
                </pt>
                <pt idx="31">
                  <v>3.78</v>
                </pt>
                <pt idx="32">
                  <v>3.85</v>
                </pt>
                <pt idx="33">
                  <v>4</v>
                </pt>
                <pt idx="34">
                  <v>4.1</v>
                </pt>
                <pt idx="35">
                  <v>4.08</v>
                </pt>
                <pt idx="36">
                  <v>4.01</v>
                </pt>
                <pt idx="37">
                  <v>4.05</v>
                </pt>
                <pt idx="38">
                  <v>4.08</v>
                </pt>
                <pt idx="39">
                  <v>4.07</v>
                </pt>
                <pt idx="40">
                  <v>4.16</v>
                </pt>
                <pt idx="41">
                  <v>4.16</v>
                </pt>
                <pt idx="42">
                  <v>4.16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0"/>
        <smooth val="0"/>
        <axId val="978474836"/>
        <axId val="973978866"/>
      </lineChart>
      <catAx>
        <axId val="978474836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973978866"/>
        <crosses val="autoZero"/>
        <auto val="1"/>
        <lblAlgn val="ctr"/>
        <lblOffset val="100"/>
        <noMultiLvlLbl val="0"/>
      </catAx>
      <valAx>
        <axId val="97397886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978474836"/>
        <crosses val="autoZero"/>
        <crossBetween val="between"/>
      </valAx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周涨跌!$A$65</f>
              <strCache>
                <ptCount val="1"/>
                <pt idx="0">
                  <v>2Y收益率(%)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strRef>
              <f>周涨跌!$B$64:$AS$64</f>
              <strCache>
                <ptCount val="44"/>
                <pt idx="0">
                  <v>251201-1207</v>
                </pt>
                <pt idx="1">
                  <v>251208-1214</v>
                </pt>
                <pt idx="2">
                  <v>251215-1221</v>
                </pt>
                <pt idx="3">
                  <v>251222-1228</v>
                </pt>
                <pt idx="4">
                  <v>251229-0104</v>
                </pt>
                <pt idx="5">
                  <v>260105-0111</v>
                </pt>
                <pt idx="6">
                  <v>260112-0118</v>
                </pt>
                <pt idx="7">
                  <v>260119-0125</v>
                </pt>
                <pt idx="8">
                  <v>260126-0201</v>
                </pt>
                <pt idx="9">
                  <v>260202-0208</v>
                </pt>
                <pt idx="10">
                  <v>260209-0215</v>
                </pt>
                <pt idx="11">
                  <v>260216-0222</v>
                </pt>
                <pt idx="12">
                  <v>260223-0301</v>
                </pt>
                <pt idx="13">
                  <v>260302-0308</v>
                </pt>
                <pt idx="14">
                  <v>260309-0315</v>
                </pt>
                <pt idx="15">
                  <v>260316-0322</v>
                </pt>
                <pt idx="16">
                  <v>260323-0329</v>
                </pt>
                <pt idx="17">
                  <v>260330-0405</v>
                </pt>
                <pt idx="18">
                  <v>260406-0412</v>
                </pt>
                <pt idx="19">
                  <v>260413-0419</v>
                </pt>
                <pt idx="20">
                  <v>260420-0426</v>
                </pt>
                <pt idx="21">
                  <v>260427-0503</v>
                </pt>
                <pt idx="22">
                  <v>260504-0510</v>
                </pt>
                <pt idx="23">
                  <v>260511-0517</v>
                </pt>
                <pt idx="24">
                  <v>260518-0524</v>
                </pt>
                <pt idx="25">
                  <v>260525-0531</v>
                </pt>
                <pt idx="26">
                  <v>260601-0607</v>
                </pt>
                <pt idx="27">
                  <v>260608-0614</v>
                </pt>
                <pt idx="28">
                  <v>260615-0621</v>
                </pt>
                <pt idx="29">
                  <v>260622-0628</v>
                </pt>
                <pt idx="30">
                  <v>260629-0705</v>
                </pt>
                <pt idx="31">
                  <v>260706-0712</v>
                </pt>
                <pt idx="32">
                  <v>260713-0719</v>
                </pt>
                <pt idx="33">
                  <v>260720-0726</v>
                </pt>
                <pt idx="34">
                  <v>260727-0802</v>
                </pt>
                <pt idx="35">
                  <v>260803-0809</v>
                </pt>
                <pt idx="36">
                  <v>260810-0816</v>
                </pt>
                <pt idx="37">
                  <v>260817-0823</v>
                </pt>
                <pt idx="38">
                  <v>260824-0830</v>
                </pt>
                <pt idx="39">
                  <v>260831-0906</v>
                </pt>
                <pt idx="40">
                  <v>260907-0913</v>
                </pt>
                <pt idx="41">
                  <v>260914-0920</v>
                </pt>
                <pt idx="42">
                  <v>260921-0927</v>
                </pt>
                <pt idx="43">
                  <v>260928-0930</v>
                </pt>
              </strCache>
            </strRef>
          </cat>
          <val>
            <numRef>
              <f>周涨跌!$B$65:$AS$65</f>
              <numCache>
                <formatCode>0.00</formatCode>
                <ptCount val="44"/>
                <pt idx="0">
                  <v>3.56</v>
                </pt>
                <pt idx="1">
                  <v>3.52</v>
                </pt>
                <pt idx="2">
                  <v>3.48</v>
                </pt>
                <pt idx="3">
                  <v>3.46</v>
                </pt>
                <pt idx="4">
                  <v>3.47</v>
                </pt>
                <pt idx="5">
                  <v>3.54</v>
                </pt>
                <pt idx="6">
                  <v>3.59</v>
                </pt>
                <pt idx="7">
                  <v>3.6</v>
                </pt>
                <pt idx="8">
                  <v>3.52</v>
                </pt>
                <pt idx="9">
                  <v>3.5</v>
                </pt>
                <pt idx="10">
                  <v>3.4</v>
                </pt>
                <pt idx="11">
                  <v>3.48</v>
                </pt>
                <pt idx="12">
                  <v>3.38</v>
                </pt>
                <pt idx="13">
                  <v>3.56</v>
                </pt>
                <pt idx="14">
                  <v>3.73</v>
                </pt>
                <pt idx="15">
                  <v>3.88</v>
                </pt>
                <pt idx="16">
                  <v>3.88</v>
                </pt>
                <pt idx="17">
                  <v>3.84</v>
                </pt>
                <pt idx="18">
                  <v>3.81</v>
                </pt>
                <pt idx="19">
                  <v>3.71</v>
                </pt>
                <pt idx="20">
                  <v>3.78</v>
                </pt>
                <pt idx="21">
                  <v>3.88</v>
                </pt>
                <pt idx="22">
                  <v>3.9</v>
                </pt>
                <pt idx="23">
                  <v>4.09</v>
                </pt>
                <pt idx="24">
                  <v>4.13</v>
                </pt>
                <pt idx="25">
                  <v>3.98</v>
                </pt>
                <pt idx="26">
                  <v>4.17</v>
                </pt>
                <pt idx="27">
                  <v>4.09</v>
                </pt>
                <pt idx="28">
                  <v>4.19</v>
                </pt>
                <pt idx="29">
                  <v>4.07</v>
                </pt>
                <pt idx="30">
                  <v>4.14</v>
                </pt>
                <pt idx="31">
                  <v>4.21</v>
                </pt>
                <pt idx="32">
                  <v>4.18</v>
                </pt>
                <pt idx="33">
                  <v>4.33</v>
                </pt>
                <pt idx="34">
                  <v>4.28</v>
                </pt>
                <pt idx="35">
                  <v>4.19</v>
                </pt>
                <pt idx="36">
                  <v>4.17</v>
                </pt>
                <pt idx="37">
                  <v>4.24</v>
                </pt>
                <pt idx="38">
                  <v>4.34</v>
                </pt>
                <pt idx="39">
                  <v>4.37</v>
                </pt>
                <pt idx="40">
                  <v>4.63</v>
                </pt>
                <pt idx="41">
                  <v>4.76</v>
                </pt>
                <pt idx="42">
                  <v>4.76</v>
                </pt>
              </numCache>
            </numRef>
          </val>
          <smooth val="0"/>
        </ser>
        <ser>
          <idx val="1"/>
          <order val="1"/>
          <tx>
            <strRef>
              <f>周涨跌!$A$66</f>
              <strCache>
                <ptCount val="1"/>
                <pt idx="0">
                  <v>10Y收益率(%)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strRef>
              <f>周涨跌!$B$64:$AS$64</f>
              <strCache>
                <ptCount val="44"/>
                <pt idx="0">
                  <v>251201-1207</v>
                </pt>
                <pt idx="1">
                  <v>251208-1214</v>
                </pt>
                <pt idx="2">
                  <v>251215-1221</v>
                </pt>
                <pt idx="3">
                  <v>251222-1228</v>
                </pt>
                <pt idx="4">
                  <v>251229-0104</v>
                </pt>
                <pt idx="5">
                  <v>260105-0111</v>
                </pt>
                <pt idx="6">
                  <v>260112-0118</v>
                </pt>
                <pt idx="7">
                  <v>260119-0125</v>
                </pt>
                <pt idx="8">
                  <v>260126-0201</v>
                </pt>
                <pt idx="9">
                  <v>260202-0208</v>
                </pt>
                <pt idx="10">
                  <v>260209-0215</v>
                </pt>
                <pt idx="11">
                  <v>260216-0222</v>
                </pt>
                <pt idx="12">
                  <v>260223-0301</v>
                </pt>
                <pt idx="13">
                  <v>260302-0308</v>
                </pt>
                <pt idx="14">
                  <v>260309-0315</v>
                </pt>
                <pt idx="15">
                  <v>260316-0322</v>
                </pt>
                <pt idx="16">
                  <v>260323-0329</v>
                </pt>
                <pt idx="17">
                  <v>260330-0405</v>
                </pt>
                <pt idx="18">
                  <v>260406-0412</v>
                </pt>
                <pt idx="19">
                  <v>260413-0419</v>
                </pt>
                <pt idx="20">
                  <v>260420-0426</v>
                </pt>
                <pt idx="21">
                  <v>260427-0503</v>
                </pt>
                <pt idx="22">
                  <v>260504-0510</v>
                </pt>
                <pt idx="23">
                  <v>260511-0517</v>
                </pt>
                <pt idx="24">
                  <v>260518-0524</v>
                </pt>
                <pt idx="25">
                  <v>260525-0531</v>
                </pt>
                <pt idx="26">
                  <v>260601-0607</v>
                </pt>
                <pt idx="27">
                  <v>260608-0614</v>
                </pt>
                <pt idx="28">
                  <v>260615-0621</v>
                </pt>
                <pt idx="29">
                  <v>260622-0628</v>
                </pt>
                <pt idx="30">
                  <v>260629-0705</v>
                </pt>
                <pt idx="31">
                  <v>260706-0712</v>
                </pt>
                <pt idx="32">
                  <v>260713-0719</v>
                </pt>
                <pt idx="33">
                  <v>260720-0726</v>
                </pt>
                <pt idx="34">
                  <v>260727-0802</v>
                </pt>
                <pt idx="35">
                  <v>260803-0809</v>
                </pt>
                <pt idx="36">
                  <v>260810-0816</v>
                </pt>
                <pt idx="37">
                  <v>260817-0823</v>
                </pt>
                <pt idx="38">
                  <v>260824-0830</v>
                </pt>
                <pt idx="39">
                  <v>260831-0906</v>
                </pt>
                <pt idx="40">
                  <v>260907-0913</v>
                </pt>
                <pt idx="41">
                  <v>260914-0920</v>
                </pt>
                <pt idx="42">
                  <v>260921-0927</v>
                </pt>
                <pt idx="43">
                  <v>260928-0930</v>
                </pt>
              </strCache>
            </strRef>
          </cat>
          <val>
            <numRef>
              <f>周涨跌!$B$66:$AS$66</f>
              <numCache>
                <formatCode>0.00</formatCode>
                <ptCount val="44"/>
                <pt idx="0">
                  <v>4.14</v>
                </pt>
                <pt idx="1">
                  <v>4.19</v>
                </pt>
                <pt idx="2">
                  <v>4.15</v>
                </pt>
                <pt idx="3">
                  <v>4.14</v>
                </pt>
                <pt idx="4">
                  <v>4.19</v>
                </pt>
                <pt idx="5">
                  <v>4.17</v>
                </pt>
                <pt idx="6">
                  <v>4.23</v>
                </pt>
                <pt idx="7">
                  <v>4.24</v>
                </pt>
                <pt idx="8">
                  <v>4.24</v>
                </pt>
                <pt idx="9">
                  <v>4.21</v>
                </pt>
                <pt idx="10">
                  <v>4.06</v>
                </pt>
                <pt idx="11">
                  <v>4.09</v>
                </pt>
                <pt idx="12">
                  <v>3.96</v>
                </pt>
                <pt idx="13">
                  <v>4.13</v>
                </pt>
                <pt idx="14">
                  <v>4.28</v>
                </pt>
                <pt idx="15">
                  <v>4.39</v>
                </pt>
                <pt idx="16">
                  <v>4.44</v>
                </pt>
                <pt idx="17">
                  <v>4.31</v>
                </pt>
                <pt idx="18">
                  <v>4.32</v>
                </pt>
                <pt idx="19">
                  <v>4.25</v>
                </pt>
                <pt idx="20">
                  <v>4.31</v>
                </pt>
                <pt idx="21">
                  <v>4.38</v>
                </pt>
                <pt idx="22">
                  <v>4.36</v>
                </pt>
                <pt idx="23">
                  <v>4.59</v>
                </pt>
                <pt idx="24">
                  <v>4.56</v>
                </pt>
                <pt idx="25">
                  <v>4.45</v>
                </pt>
                <pt idx="26">
                  <v>4.54</v>
                </pt>
                <pt idx="27">
                  <v>4.49</v>
                </pt>
                <pt idx="28">
                  <v>4.45</v>
                </pt>
                <pt idx="29">
                  <v>4.37</v>
                </pt>
                <pt idx="30">
                  <v>4.49</v>
                </pt>
                <pt idx="31">
                  <v>4.57</v>
                </pt>
                <pt idx="32">
                  <v>4.54</v>
                </pt>
                <pt idx="33">
                  <v>4.68</v>
                </pt>
                <pt idx="34">
                  <v>4.74</v>
                </pt>
                <pt idx="35">
                  <v>4.66</v>
                </pt>
                <pt idx="36">
                  <v>4.7</v>
                </pt>
                <pt idx="37">
                  <v>4.74</v>
                </pt>
                <pt idx="38">
                  <v>4.72</v>
                </pt>
                <pt idx="39">
                  <v>4.78</v>
                </pt>
                <pt idx="40">
                  <v>4.97</v>
                </pt>
                <pt idx="41">
                  <v>5</v>
                </pt>
                <pt idx="42">
                  <v>4.96</v>
                </pt>
                <pt idx="43">
                  <v>5.29</v>
                </pt>
              </numCache>
            </numRef>
          </val>
          <smooth val="0"/>
        </ser>
        <ser>
          <idx val="2"/>
          <order val="2"/>
          <tx>
            <strRef>
              <f>周涨跌!$A$67</f>
              <strCache>
                <ptCount val="1"/>
                <pt idx="0">
                  <v>30Y收益率(%)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strRef>
              <f>周涨跌!$B$64:$AS$64</f>
              <strCache>
                <ptCount val="44"/>
                <pt idx="0">
                  <v>251201-1207</v>
                </pt>
                <pt idx="1">
                  <v>251208-1214</v>
                </pt>
                <pt idx="2">
                  <v>251215-1221</v>
                </pt>
                <pt idx="3">
                  <v>251222-1228</v>
                </pt>
                <pt idx="4">
                  <v>251229-0104</v>
                </pt>
                <pt idx="5">
                  <v>260105-0111</v>
                </pt>
                <pt idx="6">
                  <v>260112-0118</v>
                </pt>
                <pt idx="7">
                  <v>260119-0125</v>
                </pt>
                <pt idx="8">
                  <v>260126-0201</v>
                </pt>
                <pt idx="9">
                  <v>260202-0208</v>
                </pt>
                <pt idx="10">
                  <v>260209-0215</v>
                </pt>
                <pt idx="11">
                  <v>260216-0222</v>
                </pt>
                <pt idx="12">
                  <v>260223-0301</v>
                </pt>
                <pt idx="13">
                  <v>260302-0308</v>
                </pt>
                <pt idx="14">
                  <v>260309-0315</v>
                </pt>
                <pt idx="15">
                  <v>260316-0322</v>
                </pt>
                <pt idx="16">
                  <v>260323-0329</v>
                </pt>
                <pt idx="17">
                  <v>260330-0405</v>
                </pt>
                <pt idx="18">
                  <v>260406-0412</v>
                </pt>
                <pt idx="19">
                  <v>260413-0419</v>
                </pt>
                <pt idx="20">
                  <v>260420-0426</v>
                </pt>
                <pt idx="21">
                  <v>260427-0503</v>
                </pt>
                <pt idx="22">
                  <v>260504-0510</v>
                </pt>
                <pt idx="23">
                  <v>260511-0517</v>
                </pt>
                <pt idx="24">
                  <v>260518-0524</v>
                </pt>
                <pt idx="25">
                  <v>260525-0531</v>
                </pt>
                <pt idx="26">
                  <v>260601-0607</v>
                </pt>
                <pt idx="27">
                  <v>260608-0614</v>
                </pt>
                <pt idx="28">
                  <v>260615-0621</v>
                </pt>
                <pt idx="29">
                  <v>260622-0628</v>
                </pt>
                <pt idx="30">
                  <v>260629-0705</v>
                </pt>
                <pt idx="31">
                  <v>260706-0712</v>
                </pt>
                <pt idx="32">
                  <v>260713-0719</v>
                </pt>
                <pt idx="33">
                  <v>260720-0726</v>
                </pt>
                <pt idx="34">
                  <v>260727-0802</v>
                </pt>
                <pt idx="35">
                  <v>260803-0809</v>
                </pt>
                <pt idx="36">
                  <v>260810-0816</v>
                </pt>
                <pt idx="37">
                  <v>260817-0823</v>
                </pt>
                <pt idx="38">
                  <v>260824-0830</v>
                </pt>
                <pt idx="39">
                  <v>260831-0906</v>
                </pt>
                <pt idx="40">
                  <v>260907-0913</v>
                </pt>
                <pt idx="41">
                  <v>260914-0920</v>
                </pt>
                <pt idx="42">
                  <v>260921-0927</v>
                </pt>
                <pt idx="43">
                  <v>260928-0930</v>
                </pt>
              </strCache>
            </strRef>
          </cat>
          <val>
            <numRef>
              <f>周涨跌!$B$67:$AS$67</f>
              <numCache>
                <formatCode>0.00</formatCode>
                <ptCount val="44"/>
                <pt idx="0">
                  <v>4.79</v>
                </pt>
                <pt idx="1">
                  <v>4.86</v>
                </pt>
                <pt idx="2">
                  <v>4.83</v>
                </pt>
                <pt idx="3">
                  <v>4.82</v>
                </pt>
                <pt idx="4">
                  <v>4.86</v>
                </pt>
                <pt idx="5">
                  <v>4.82</v>
                </pt>
                <pt idx="6">
                  <v>4.84</v>
                </pt>
                <pt idx="7">
                  <v>4.83</v>
                </pt>
                <pt idx="8">
                  <v>4.87</v>
                </pt>
                <pt idx="9">
                  <v>4.86</v>
                </pt>
                <pt idx="10">
                  <v>4.7</v>
                </pt>
                <pt idx="11">
                  <v>4.72</v>
                </pt>
                <pt idx="12">
                  <v>4.63</v>
                </pt>
                <pt idx="13">
                  <v>4.76</v>
                </pt>
                <pt idx="14">
                  <v>4.91</v>
                </pt>
                <pt idx="15">
                  <v>4.96</v>
                </pt>
                <pt idx="16">
                  <v>4.98</v>
                </pt>
                <pt idx="17">
                  <v>4.89</v>
                </pt>
                <pt idx="18">
                  <v>4.91</v>
                </pt>
                <pt idx="19">
                  <v>4.89</v>
                </pt>
                <pt idx="20">
                  <v>4.92</v>
                </pt>
                <pt idx="21">
                  <v>4.97</v>
                </pt>
                <pt idx="22">
                  <v>4.95</v>
                </pt>
                <pt idx="23">
                  <v>5.13</v>
                </pt>
                <pt idx="24">
                  <v>5.06</v>
                </pt>
                <pt idx="25">
                  <v>4.99</v>
                </pt>
                <pt idx="26">
                  <v>5</v>
                </pt>
                <pt idx="27">
                  <v>4.97</v>
                </pt>
                <pt idx="28">
                  <v>4.9</v>
                </pt>
                <pt idx="29">
                  <v>4.86</v>
                </pt>
                <pt idx="30">
                  <v>4.99</v>
                </pt>
                <pt idx="31">
                  <v>5.07</v>
                </pt>
                <pt idx="32">
                  <v>5.06</v>
                </pt>
                <pt idx="33">
                  <v>5.16</v>
                </pt>
                <pt idx="34">
                  <v>5.28</v>
                </pt>
                <pt idx="35">
                  <v>5.21</v>
                </pt>
                <pt idx="36">
                  <v>5.26</v>
                </pt>
                <pt idx="37">
                  <v>5.28</v>
                </pt>
                <pt idx="38">
                  <v>5.21</v>
                </pt>
                <pt idx="39">
                  <v>5.25</v>
                </pt>
                <pt idx="40">
                  <v>5.35</v>
                </pt>
                <pt idx="41">
                  <v>5.33</v>
                </pt>
                <pt idx="42">
                  <v>5.3</v>
                </pt>
                <pt idx="43">
                  <v>5.64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0"/>
        <smooth val="0"/>
        <axId val="164664850"/>
        <axId val="115800192"/>
      </lineChart>
      <catAx>
        <axId val="164664850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15800192"/>
        <crosses val="autoZero"/>
        <auto val="1"/>
        <lblAlgn val="ctr"/>
        <lblOffset val="100"/>
        <noMultiLvlLbl val="0"/>
      </catAx>
      <valAx>
        <axId val="115800192"/>
        <scaling>
          <orientation val="minMax"/>
          <min val="3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64664850"/>
        <crosses val="autoZero"/>
        <crossBetween val="between"/>
      </valAx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'奢侈品 Normalized'!$B$2</f>
              <strCache>
                <ptCount val="1"/>
                <pt idx="0">
                  <v>VFC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Normalized'!$A$55:$A$98</f>
              <numCache>
                <formatCode>yyyy\-mm\-dd</formatCode>
                <ptCount val="44"/>
                <pt idx="0">
                  <v>45992</v>
                </pt>
                <pt idx="1">
                  <v>45996</v>
                </pt>
                <pt idx="2">
                  <v>46003</v>
                </pt>
                <pt idx="3">
                  <v>46010</v>
                </pt>
                <pt idx="4">
                  <v>46017</v>
                </pt>
                <pt idx="5">
                  <v>46024</v>
                </pt>
                <pt idx="6">
                  <v>46031</v>
                </pt>
                <pt idx="7">
                  <v>46038</v>
                </pt>
                <pt idx="8">
                  <v>46045</v>
                </pt>
                <pt idx="9">
                  <v>46052</v>
                </pt>
                <pt idx="10">
                  <v>46059</v>
                </pt>
                <pt idx="11">
                  <v>46066</v>
                </pt>
                <pt idx="12">
                  <v>46073</v>
                </pt>
                <pt idx="13">
                  <v>46080</v>
                </pt>
                <pt idx="14">
                  <v>46087</v>
                </pt>
                <pt idx="15">
                  <v>46094</v>
                </pt>
                <pt idx="16">
                  <v>46101</v>
                </pt>
                <pt idx="17">
                  <v>46108</v>
                </pt>
                <pt idx="18">
                  <v>46115</v>
                </pt>
                <pt idx="19">
                  <v>46122</v>
                </pt>
                <pt idx="20">
                  <v>46129</v>
                </pt>
                <pt idx="21">
                  <v>46136</v>
                </pt>
                <pt idx="22">
                  <v>46143</v>
                </pt>
                <pt idx="23">
                  <v>46150</v>
                </pt>
                <pt idx="24">
                  <v>46157</v>
                </pt>
                <pt idx="25">
                  <v>46164</v>
                </pt>
                <pt idx="26">
                  <v>46171</v>
                </pt>
                <pt idx="27">
                  <v>46178</v>
                </pt>
                <pt idx="28">
                  <v>46185</v>
                </pt>
                <pt idx="29">
                  <v>46192</v>
                </pt>
                <pt idx="30">
                  <v>46199</v>
                </pt>
                <pt idx="31">
                  <v>46206</v>
                </pt>
                <pt idx="32">
                  <v>46213</v>
                </pt>
                <pt idx="33">
                  <v>46220</v>
                </pt>
                <pt idx="34">
                  <v>46227</v>
                </pt>
                <pt idx="35">
                  <v>46234</v>
                </pt>
                <pt idx="36">
                  <v>46241</v>
                </pt>
                <pt idx="37">
                  <v>46248</v>
                </pt>
                <pt idx="38">
                  <v>46255</v>
                </pt>
                <pt idx="39">
                  <v>46262</v>
                </pt>
                <pt idx="40">
                  <v>46269</v>
                </pt>
                <pt idx="41">
                  <v>46276</v>
                </pt>
                <pt idx="42">
                  <v>46283</v>
                </pt>
                <pt idx="43">
                  <v>46290</v>
                </pt>
              </numCache>
            </numRef>
          </cat>
          <val>
            <numRef>
              <f>'奢侈品 Normalized'!$B$55:$B$98</f>
              <numCache>
                <formatCode>0.000</formatCode>
                <ptCount val="44"/>
                <pt idx="0">
                  <v>1</v>
                </pt>
                <pt idx="1">
                  <v>1.02252036415908</v>
                </pt>
                <pt idx="2">
                  <v>1.03593675131768</v>
                </pt>
                <pt idx="3">
                  <v>1.05558217537135</v>
                </pt>
                <pt idx="4">
                  <v>1.02587446094873</v>
                </pt>
                <pt idx="5">
                  <v>1.03114518447532</v>
                </pt>
                <pt idx="6">
                  <v>1.10253953042645</v>
                </pt>
                <pt idx="7">
                  <v>1.13416387158601</v>
                </pt>
                <pt idx="8">
                  <v>1.2453282223287</v>
                </pt>
                <pt idx="9">
                  <v>1.1796837565884</v>
                </pt>
                <pt idx="10">
                  <v>1.13416387158601</v>
                </pt>
                <pt idx="11">
                  <v>1.22616195495927</v>
                </pt>
                <pt idx="12">
                  <v>1.20987062769526</v>
                </pt>
                <pt idx="13">
                  <v>1.1662673694298</v>
                </pt>
                <pt idx="14">
                  <v>0.833732630570196</v>
                </pt>
                <pt idx="15">
                  <v>0.787733588883565</v>
                </pt>
                <pt idx="16">
                  <v>0.814566363200767</v>
                </pt>
                <pt idx="17">
                  <v>0.743651173933876</v>
                </pt>
                <pt idx="18">
                  <v>0.539530426449449</v>
                </pt>
                <pt idx="19">
                  <v>0.540009583133685</v>
                </pt>
                <pt idx="20">
                  <v>0.501677048394825</v>
                </pt>
                <pt idx="21">
                  <v>0.554384283660757</v>
                </pt>
                <pt idx="22">
                  <v>0.602299952084332</v>
                </pt>
                <pt idx="23">
                  <v>0.691902252036416</v>
                </pt>
                <pt idx="24">
                  <v>0.686152371825587</v>
                </pt>
                <pt idx="25">
                  <v>0.574988021082894</v>
                </pt>
                <pt idx="26">
                  <v>0.586008624820316</v>
                </pt>
                <pt idx="27">
                  <v>0.62386200287494</v>
                </pt>
                <pt idx="28">
                  <v>0.59463344513656</v>
                </pt>
                <pt idx="29">
                  <v>0.550071873502635</v>
                </pt>
                <pt idx="30">
                  <v>0.563009103977</v>
                </pt>
                <pt idx="31">
                  <v>0.598466698610446</v>
                </pt>
                <pt idx="32">
                  <v>0.586966938188788</v>
                </pt>
                <pt idx="33">
                  <v>0.596550071873503</v>
                </pt>
                <pt idx="34">
                  <v>0.599904168663153</v>
                </pt>
                <pt idx="35">
                  <v>0.602779108768567</v>
                </pt>
                <pt idx="36">
                  <v>0.564925730713943</v>
                </pt>
                <pt idx="37">
                  <v>0.6291327264015329</v>
                </pt>
                <pt idx="38">
                  <v>0.655007187350264</v>
                </pt>
                <pt idx="39">
                  <v>0.724964063248682</v>
                </pt>
                <pt idx="40">
                  <v>0.745567800670819</v>
                </pt>
                <pt idx="41">
                  <v>0.704839482510781</v>
                </pt>
                <pt idx="42">
                  <v>0.686631528509823</v>
                </pt>
                <pt idx="43">
                  <v>0.692381408720652</v>
                </pt>
              </numCache>
            </numRef>
          </val>
          <smooth val="0"/>
        </ser>
        <ser>
          <idx val="1"/>
          <order val="1"/>
          <tx>
            <strRef>
              <f>'奢侈品 Normalized'!$C$2</f>
              <strCache>
                <ptCount val="1"/>
                <pt idx="0">
                  <v>CFR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Normalized'!$A$55:$A$98</f>
              <numCache>
                <formatCode>yyyy\-mm\-dd</formatCode>
                <ptCount val="44"/>
                <pt idx="0">
                  <v>45992</v>
                </pt>
                <pt idx="1">
                  <v>45996</v>
                </pt>
                <pt idx="2">
                  <v>46003</v>
                </pt>
                <pt idx="3">
                  <v>46010</v>
                </pt>
                <pt idx="4">
                  <v>46017</v>
                </pt>
                <pt idx="5">
                  <v>46024</v>
                </pt>
                <pt idx="6">
                  <v>46031</v>
                </pt>
                <pt idx="7">
                  <v>46038</v>
                </pt>
                <pt idx="8">
                  <v>46045</v>
                </pt>
                <pt idx="9">
                  <v>46052</v>
                </pt>
                <pt idx="10">
                  <v>46059</v>
                </pt>
                <pt idx="11">
                  <v>46066</v>
                </pt>
                <pt idx="12">
                  <v>46073</v>
                </pt>
                <pt idx="13">
                  <v>46080</v>
                </pt>
                <pt idx="14">
                  <v>46087</v>
                </pt>
                <pt idx="15">
                  <v>46094</v>
                </pt>
                <pt idx="16">
                  <v>46101</v>
                </pt>
                <pt idx="17">
                  <v>46108</v>
                </pt>
                <pt idx="18">
                  <v>46115</v>
                </pt>
                <pt idx="19">
                  <v>46122</v>
                </pt>
                <pt idx="20">
                  <v>46129</v>
                </pt>
                <pt idx="21">
                  <v>46136</v>
                </pt>
                <pt idx="22">
                  <v>46143</v>
                </pt>
                <pt idx="23">
                  <v>46150</v>
                </pt>
                <pt idx="24">
                  <v>46157</v>
                </pt>
                <pt idx="25">
                  <v>46164</v>
                </pt>
                <pt idx="26">
                  <v>46171</v>
                </pt>
                <pt idx="27">
                  <v>46178</v>
                </pt>
                <pt idx="28">
                  <v>46185</v>
                </pt>
                <pt idx="29">
                  <v>46192</v>
                </pt>
                <pt idx="30">
                  <v>46199</v>
                </pt>
                <pt idx="31">
                  <v>46206</v>
                </pt>
                <pt idx="32">
                  <v>46213</v>
                </pt>
                <pt idx="33">
                  <v>46220</v>
                </pt>
                <pt idx="34">
                  <v>46227</v>
                </pt>
                <pt idx="35">
                  <v>46234</v>
                </pt>
                <pt idx="36">
                  <v>46241</v>
                </pt>
                <pt idx="37">
                  <v>46248</v>
                </pt>
                <pt idx="38">
                  <v>46255</v>
                </pt>
                <pt idx="39">
                  <v>46262</v>
                </pt>
                <pt idx="40">
                  <v>46269</v>
                </pt>
                <pt idx="41">
                  <v>46276</v>
                </pt>
                <pt idx="42">
                  <v>46283</v>
                </pt>
                <pt idx="43">
                  <v>46290</v>
                </pt>
              </numCache>
            </numRef>
          </cat>
          <val>
            <numRef>
              <f>'奢侈品 Normalized'!$C$55:$C$98</f>
              <numCache>
                <formatCode>0.000</formatCode>
                <ptCount val="44"/>
                <pt idx="0">
                  <v>1</v>
                </pt>
                <pt idx="1">
                  <v>1.0647596344855</v>
                </pt>
                <pt idx="2">
                  <v>1.07628128724672</v>
                </pt>
                <pt idx="3">
                  <v>1.08144616607072</v>
                </pt>
                <pt idx="4">
                  <v>1.09574890742948</v>
                </pt>
                <pt idx="5">
                  <v>1.10488676996424</v>
                </pt>
                <pt idx="6">
                  <v>1.10011918951132</v>
                </pt>
                <pt idx="7">
                  <v>1.30353595550258</v>
                </pt>
                <pt idx="8">
                  <v>1.36948748510131</v>
                </pt>
                <pt idx="9">
                  <v>1.39650377433453</v>
                </pt>
                <pt idx="10">
                  <v>1.39769566944776</v>
                </pt>
                <pt idx="11">
                  <v>1.45331744139849</v>
                </pt>
                <pt idx="12">
                  <v>1.41517679777513</v>
                </pt>
                <pt idx="13">
                  <v>1.46881207787048</v>
                </pt>
                <pt idx="14">
                  <v>1.25903853794199</v>
                </pt>
                <pt idx="15">
                  <v>1.30313865713151</v>
                </pt>
                <pt idx="16">
                  <v>1.28804131903059</v>
                </pt>
                <pt idx="17">
                  <v>1.21533571712356</v>
                </pt>
                <pt idx="18">
                  <v>1.02502979737783</v>
                </pt>
                <pt idx="19">
                  <v>1.0885975367501</v>
                </pt>
                <pt idx="20">
                  <v>1.08780294000795</v>
                </pt>
                <pt idx="21">
                  <v>1.17004370282082</v>
                </pt>
                <pt idx="22">
                  <v>1.15534366309098</v>
                </pt>
                <pt idx="23">
                  <v>1.22685736988478</v>
                </pt>
                <pt idx="24">
                  <v>1.31585220500596</v>
                </pt>
                <pt idx="25">
                  <v>1.25625744934446</v>
                </pt>
                <pt idx="26">
                  <v>1.21692491060787</v>
                </pt>
                <pt idx="27">
                  <v>1.20421136273341</v>
                </pt>
                <pt idx="28">
                  <v>1.21136273341279</v>
                </pt>
                <pt idx="29">
                  <v>1.17083829956297</v>
                </pt>
                <pt idx="30">
                  <v>1.18752483114819</v>
                </pt>
                <pt idx="31">
                  <v>1.19825188716726</v>
                </pt>
                <pt idx="32">
                  <v>1.1720301946762</v>
                </pt>
                <pt idx="33">
                  <v>1.11283273738578</v>
                </pt>
                <pt idx="34">
                  <v>1.09415971394517</v>
                </pt>
                <pt idx="35">
                  <v>1.04648390941597</v>
                </pt>
                <pt idx="36">
                  <v>1.03377036154152</v>
                </pt>
                <pt idx="37">
                  <v>1.04727850615812</v>
                </pt>
                <pt idx="38">
                  <v>1.07389749702026</v>
                </pt>
                <pt idx="39">
                  <v>1.10329757647994</v>
                </pt>
                <pt idx="40">
                  <v>1.14382201032976</v>
                </pt>
                <pt idx="41">
                  <v>1.2129519268971</v>
                </pt>
                <pt idx="42">
                  <v>1.18116805721097</v>
                </pt>
                <pt idx="43">
                  <v>1.2010329757648</v>
                </pt>
              </numCache>
            </numRef>
          </val>
          <smooth val="0"/>
        </ser>
        <ser>
          <idx val="2"/>
          <order val="2"/>
          <tx>
            <strRef>
              <f>'奢侈品 Normalized'!$D$2</f>
              <strCache>
                <ptCount val="1"/>
                <pt idx="0">
                  <v>1913.HK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Normalized'!$A$55:$A$98</f>
              <numCache>
                <formatCode>yyyy\-mm\-dd</formatCode>
                <ptCount val="44"/>
                <pt idx="0">
                  <v>45992</v>
                </pt>
                <pt idx="1">
                  <v>45996</v>
                </pt>
                <pt idx="2">
                  <v>46003</v>
                </pt>
                <pt idx="3">
                  <v>46010</v>
                </pt>
                <pt idx="4">
                  <v>46017</v>
                </pt>
                <pt idx="5">
                  <v>46024</v>
                </pt>
                <pt idx="6">
                  <v>46031</v>
                </pt>
                <pt idx="7">
                  <v>46038</v>
                </pt>
                <pt idx="8">
                  <v>46045</v>
                </pt>
                <pt idx="9">
                  <v>46052</v>
                </pt>
                <pt idx="10">
                  <v>46059</v>
                </pt>
                <pt idx="11">
                  <v>46066</v>
                </pt>
                <pt idx="12">
                  <v>46073</v>
                </pt>
                <pt idx="13">
                  <v>46080</v>
                </pt>
                <pt idx="14">
                  <v>46087</v>
                </pt>
                <pt idx="15">
                  <v>46094</v>
                </pt>
                <pt idx="16">
                  <v>46101</v>
                </pt>
                <pt idx="17">
                  <v>46108</v>
                </pt>
                <pt idx="18">
                  <v>46115</v>
                </pt>
                <pt idx="19">
                  <v>46122</v>
                </pt>
                <pt idx="20">
                  <v>46129</v>
                </pt>
                <pt idx="21">
                  <v>46136</v>
                </pt>
                <pt idx="22">
                  <v>46143</v>
                </pt>
                <pt idx="23">
                  <v>46150</v>
                </pt>
                <pt idx="24">
                  <v>46157</v>
                </pt>
                <pt idx="25">
                  <v>46164</v>
                </pt>
                <pt idx="26">
                  <v>46171</v>
                </pt>
                <pt idx="27">
                  <v>46178</v>
                </pt>
                <pt idx="28">
                  <v>46185</v>
                </pt>
                <pt idx="29">
                  <v>46192</v>
                </pt>
                <pt idx="30">
                  <v>46199</v>
                </pt>
                <pt idx="31">
                  <v>46206</v>
                </pt>
                <pt idx="32">
                  <v>46213</v>
                </pt>
                <pt idx="33">
                  <v>46220</v>
                </pt>
                <pt idx="34">
                  <v>46227</v>
                </pt>
                <pt idx="35">
                  <v>46234</v>
                </pt>
                <pt idx="36">
                  <v>46241</v>
                </pt>
                <pt idx="37">
                  <v>46248</v>
                </pt>
                <pt idx="38">
                  <v>46255</v>
                </pt>
                <pt idx="39">
                  <v>46262</v>
                </pt>
                <pt idx="40">
                  <v>46269</v>
                </pt>
                <pt idx="41">
                  <v>46276</v>
                </pt>
                <pt idx="42">
                  <v>46283</v>
                </pt>
                <pt idx="43">
                  <v>46290</v>
                </pt>
              </numCache>
            </numRef>
          </cat>
          <val>
            <numRef>
              <f>'奢侈品 Normalized'!$D$55:$D$98</f>
              <numCache>
                <formatCode>0.000</formatCode>
                <ptCount val="44"/>
                <pt idx="0">
                  <v>1</v>
                </pt>
                <pt idx="1">
                  <v>1.0855614973262</v>
                </pt>
                <pt idx="2">
                  <v>1.10606060606061</v>
                </pt>
                <pt idx="3">
                  <v>1.13547237076649</v>
                </pt>
                <pt idx="4">
                  <v>1.1319073083779</v>
                </pt>
                <pt idx="5">
                  <v>1.08021390374332</v>
                </pt>
                <pt idx="6">
                  <v>1.09536541889483</v>
                </pt>
                <pt idx="7">
                  <v>1.10873440285205</v>
                </pt>
                <pt idx="8">
                  <v>1.13547237076649</v>
                </pt>
                <pt idx="9">
                  <v>1.10338680926916</v>
                </pt>
                <pt idx="10">
                  <v>1.13725490196078</v>
                </pt>
                <pt idx="11">
                  <v>1.22994652406417</v>
                </pt>
                <pt idx="12">
                  <v>1.20766488413547</v>
                </pt>
                <pt idx="13">
                  <v>1.22103386809269</v>
                </pt>
                <pt idx="14">
                  <v>1.12121212121212</v>
                </pt>
                <pt idx="15">
                  <v>1.01871657754011</v>
                </pt>
                <pt idx="16">
                  <v>0.9768270944741529</v>
                </pt>
                <pt idx="17">
                  <v>0.96524064171123</v>
                </pt>
                <pt idx="18">
                  <v>0.795900178253119</v>
                </pt>
                <pt idx="19">
                  <v>0.873440285204991</v>
                </pt>
                <pt idx="20">
                  <v>0.833333333333333</v>
                </pt>
                <pt idx="21">
                  <v>0.873440285204991</v>
                </pt>
                <pt idx="22">
                  <v>0.857397504456328</v>
                </pt>
                <pt idx="23">
                  <v>0.927807486631016</v>
                </pt>
                <pt idx="24">
                  <v>0.9349376114082</v>
                </pt>
                <pt idx="25">
                  <v>0.9090909090909089</v>
                </pt>
                <pt idx="26">
                  <v>0.9090909090909089</v>
                </pt>
                <pt idx="27">
                  <v>0.893939393939394</v>
                </pt>
                <pt idx="28">
                  <v>0.849376114081996</v>
                </pt>
                <pt idx="29">
                  <v>0.85204991087344</v>
                </pt>
                <pt idx="30">
                  <v>0.868092691622103</v>
                </pt>
                <pt idx="31">
                  <v>0.882352941176471</v>
                </pt>
                <pt idx="32">
                  <v>0.880570409982175</v>
                </pt>
                <pt idx="33">
                  <v>0.875222816399287</v>
                </pt>
                <pt idx="34">
                  <v>0.855614973262032</v>
                </pt>
                <pt idx="35">
                  <v>0.740819964349376</v>
                </pt>
                <pt idx="36">
                  <v>0.720855614973262</v>
                </pt>
                <pt idx="37">
                  <v>0.740106951871658</v>
                </pt>
                <pt idx="38">
                  <v>0.718716577540107</v>
                </pt>
                <pt idx="39">
                  <v>0.806773618538324</v>
                </pt>
                <pt idx="40">
                  <v>0.785026737967914</v>
                </pt>
                <pt idx="41">
                  <v>0.802139037433155</v>
                </pt>
                <pt idx="42">
                  <v>0.831016042780749</v>
                </pt>
                <pt idx="43">
                  <v>0.827094474153298</v>
                </pt>
              </numCache>
            </numRef>
          </val>
          <smooth val="0"/>
        </ser>
        <ser>
          <idx val="3"/>
          <order val="3"/>
          <tx>
            <strRef>
              <f>'奢侈品 Normalized'!$E$2</f>
              <strCache>
                <ptCount val="1"/>
                <pt idx="0">
                  <v>MONC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Normalized'!$A$55:$A$98</f>
              <numCache>
                <formatCode>yyyy\-mm\-dd</formatCode>
                <ptCount val="44"/>
                <pt idx="0">
                  <v>45992</v>
                </pt>
                <pt idx="1">
                  <v>45996</v>
                </pt>
                <pt idx="2">
                  <v>46003</v>
                </pt>
                <pt idx="3">
                  <v>46010</v>
                </pt>
                <pt idx="4">
                  <v>46017</v>
                </pt>
                <pt idx="5">
                  <v>46024</v>
                </pt>
                <pt idx="6">
                  <v>46031</v>
                </pt>
                <pt idx="7">
                  <v>46038</v>
                </pt>
                <pt idx="8">
                  <v>46045</v>
                </pt>
                <pt idx="9">
                  <v>46052</v>
                </pt>
                <pt idx="10">
                  <v>46059</v>
                </pt>
                <pt idx="11">
                  <v>46066</v>
                </pt>
                <pt idx="12">
                  <v>46073</v>
                </pt>
                <pt idx="13">
                  <v>46080</v>
                </pt>
                <pt idx="14">
                  <v>46087</v>
                </pt>
                <pt idx="15">
                  <v>46094</v>
                </pt>
                <pt idx="16">
                  <v>46101</v>
                </pt>
                <pt idx="17">
                  <v>46108</v>
                </pt>
                <pt idx="18">
                  <v>46115</v>
                </pt>
                <pt idx="19">
                  <v>46122</v>
                </pt>
                <pt idx="20">
                  <v>46129</v>
                </pt>
                <pt idx="21">
                  <v>46136</v>
                </pt>
                <pt idx="22">
                  <v>46143</v>
                </pt>
                <pt idx="23">
                  <v>46150</v>
                </pt>
                <pt idx="24">
                  <v>46157</v>
                </pt>
                <pt idx="25">
                  <v>46164</v>
                </pt>
                <pt idx="26">
                  <v>46171</v>
                </pt>
                <pt idx="27">
                  <v>46178</v>
                </pt>
                <pt idx="28">
                  <v>46185</v>
                </pt>
                <pt idx="29">
                  <v>46192</v>
                </pt>
                <pt idx="30">
                  <v>46199</v>
                </pt>
                <pt idx="31">
                  <v>46206</v>
                </pt>
                <pt idx="32">
                  <v>46213</v>
                </pt>
                <pt idx="33">
                  <v>46220</v>
                </pt>
                <pt idx="34">
                  <v>46227</v>
                </pt>
                <pt idx="35">
                  <v>46234</v>
                </pt>
                <pt idx="36">
                  <v>46241</v>
                </pt>
                <pt idx="37">
                  <v>46248</v>
                </pt>
                <pt idx="38">
                  <v>46255</v>
                </pt>
                <pt idx="39">
                  <v>46262</v>
                </pt>
                <pt idx="40">
                  <v>46269</v>
                </pt>
                <pt idx="41">
                  <v>46276</v>
                </pt>
                <pt idx="42">
                  <v>46283</v>
                </pt>
                <pt idx="43">
                  <v>46290</v>
                </pt>
              </numCache>
            </numRef>
          </cat>
          <val>
            <numRef>
              <f>'奢侈品 Normalized'!$E$55:$E$98</f>
              <numCache>
                <formatCode>0.000</formatCode>
                <ptCount val="44"/>
                <pt idx="0">
                  <v>1</v>
                </pt>
                <pt idx="1">
                  <v>1.11072961373391</v>
                </pt>
                <pt idx="2">
                  <v>1.10300429184549</v>
                </pt>
                <pt idx="3">
                  <v>1.07103004291845</v>
                </pt>
                <pt idx="4">
                  <v>1.09399141630901</v>
                </pt>
                <pt idx="5">
                  <v>1.10214592274678</v>
                </pt>
                <pt idx="6">
                  <v>1.14635193133047</v>
                </pt>
                <pt idx="7">
                  <v>1.23605150214592</v>
                </pt>
                <pt idx="8">
                  <v>1.31888412017167</v>
                </pt>
                <pt idx="9">
                  <v>1.30901287553648</v>
                </pt>
                <pt idx="10">
                  <v>1.3068669527897</v>
                </pt>
                <pt idx="11">
                  <v>1.40901287553648</v>
                </pt>
                <pt idx="12">
                  <v>1.42145922746781</v>
                </pt>
                <pt idx="13">
                  <v>1.41072961373391</v>
                </pt>
                <pt idx="14">
                  <v>1.34592274678112</v>
                </pt>
                <pt idx="15">
                  <v>1.30729613733906</v>
                </pt>
                <pt idx="16">
                  <v>1.28841201716738</v>
                </pt>
                <pt idx="17">
                  <v>1.21459227467811</v>
                </pt>
                <pt idx="18">
                  <v>1.05300429184549</v>
                </pt>
                <pt idx="19">
                  <v>1.17424892703863</v>
                </pt>
                <pt idx="20">
                  <v>1.15236051502146</v>
                </pt>
                <pt idx="21">
                  <v>1.17167381974249</v>
                </pt>
                <pt idx="22">
                  <v>1.18712446351931</v>
                </pt>
                <pt idx="23">
                  <v>1.22618025751073</v>
                </pt>
                <pt idx="24">
                  <v>1.20472103004292</v>
                </pt>
                <pt idx="25">
                  <v>1.17081545064378</v>
                </pt>
                <pt idx="26">
                  <v>1.17510729613734</v>
                </pt>
                <pt idx="27">
                  <v>1.15321888412017</v>
                </pt>
                <pt idx="28">
                  <v>1.09957081545064</v>
                </pt>
                <pt idx="29">
                  <v>1.031330472103</v>
                </pt>
                <pt idx="30">
                  <v>1.03841201716738</v>
                </pt>
                <pt idx="31">
                  <v>1.10472103004292</v>
                </pt>
                <pt idx="32">
                  <v>1.0793991416309</v>
                </pt>
                <pt idx="33">
                  <v>1.06995708154506</v>
                </pt>
                <pt idx="34">
                  <v>1.03283261802575</v>
                </pt>
                <pt idx="35">
                  <v>1.0068669527897</v>
                </pt>
                <pt idx="36">
                  <v>0.986480686695279</v>
                </pt>
                <pt idx="37">
                  <v>0.988197424892704</v>
                </pt>
                <pt idx="38">
                  <v>1.02725321888412</v>
                </pt>
                <pt idx="39">
                  <v>1.06008583690987</v>
                </pt>
                <pt idx="40">
                  <v>1.00579399141631</v>
                </pt>
                <pt idx="41">
                  <v>1.09442060085837</v>
                </pt>
                <pt idx="42">
                  <v>1.08369098712446</v>
                </pt>
                <pt idx="43">
                  <v>1.08240343347639</v>
                </pt>
              </numCache>
            </numRef>
          </val>
          <smooth val="0"/>
        </ser>
        <ser>
          <idx val="4"/>
          <order val="4"/>
          <tx>
            <strRef>
              <f>'奢侈品 Normalized'!$F$2</f>
              <strCache>
                <ptCount val="1"/>
                <pt idx="0">
                  <v>KER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Normalized'!$A$55:$A$98</f>
              <numCache>
                <formatCode>yyyy\-mm\-dd</formatCode>
                <ptCount val="44"/>
                <pt idx="0">
                  <v>45992</v>
                </pt>
                <pt idx="1">
                  <v>45996</v>
                </pt>
                <pt idx="2">
                  <v>46003</v>
                </pt>
                <pt idx="3">
                  <v>46010</v>
                </pt>
                <pt idx="4">
                  <v>46017</v>
                </pt>
                <pt idx="5">
                  <v>46024</v>
                </pt>
                <pt idx="6">
                  <v>46031</v>
                </pt>
                <pt idx="7">
                  <v>46038</v>
                </pt>
                <pt idx="8">
                  <v>46045</v>
                </pt>
                <pt idx="9">
                  <v>46052</v>
                </pt>
                <pt idx="10">
                  <v>46059</v>
                </pt>
                <pt idx="11">
                  <v>46066</v>
                </pt>
                <pt idx="12">
                  <v>46073</v>
                </pt>
                <pt idx="13">
                  <v>46080</v>
                </pt>
                <pt idx="14">
                  <v>46087</v>
                </pt>
                <pt idx="15">
                  <v>46094</v>
                </pt>
                <pt idx="16">
                  <v>46101</v>
                </pt>
                <pt idx="17">
                  <v>46108</v>
                </pt>
                <pt idx="18">
                  <v>46115</v>
                </pt>
                <pt idx="19">
                  <v>46122</v>
                </pt>
                <pt idx="20">
                  <v>46129</v>
                </pt>
                <pt idx="21">
                  <v>46136</v>
                </pt>
                <pt idx="22">
                  <v>46143</v>
                </pt>
                <pt idx="23">
                  <v>46150</v>
                </pt>
                <pt idx="24">
                  <v>46157</v>
                </pt>
                <pt idx="25">
                  <v>46164</v>
                </pt>
                <pt idx="26">
                  <v>46171</v>
                </pt>
                <pt idx="27">
                  <v>46178</v>
                </pt>
                <pt idx="28">
                  <v>46185</v>
                </pt>
                <pt idx="29">
                  <v>46192</v>
                </pt>
                <pt idx="30">
                  <v>46199</v>
                </pt>
                <pt idx="31">
                  <v>46206</v>
                </pt>
                <pt idx="32">
                  <v>46213</v>
                </pt>
                <pt idx="33">
                  <v>46220</v>
                </pt>
                <pt idx="34">
                  <v>46227</v>
                </pt>
                <pt idx="35">
                  <v>46234</v>
                </pt>
                <pt idx="36">
                  <v>46241</v>
                </pt>
                <pt idx="37">
                  <v>46248</v>
                </pt>
                <pt idx="38">
                  <v>46255</v>
                </pt>
                <pt idx="39">
                  <v>46262</v>
                </pt>
                <pt idx="40">
                  <v>46269</v>
                </pt>
                <pt idx="41">
                  <v>46276</v>
                </pt>
                <pt idx="42">
                  <v>46283</v>
                </pt>
                <pt idx="43">
                  <v>46290</v>
                </pt>
              </numCache>
            </numRef>
          </cat>
          <val>
            <numRef>
              <f>'奢侈品 Normalized'!$F$55:$F$98</f>
              <numCache>
                <formatCode>0.000</formatCode>
                <ptCount val="44"/>
                <pt idx="0">
                  <v>1</v>
                </pt>
                <pt idx="1">
                  <v>1.10711879631709</v>
                </pt>
                <pt idx="2">
                  <v>1.07635302043566</v>
                </pt>
                <pt idx="3">
                  <v>1.0581630361554</v>
                </pt>
                <pt idx="4">
                  <v>1.06490006737031</v>
                </pt>
                <pt idx="5">
                  <v>1.03233774983157</v>
                </pt>
                <pt idx="6">
                  <v>1.02133393218055</v>
                </pt>
                <pt idx="7">
                  <v>1.11183471816753</v>
                </pt>
                <pt idx="8">
                  <v>1.17920503031664</v>
                </pt>
                <pt idx="9">
                  <v>1.09566584325174</v>
                </pt>
                <pt idx="10">
                  <v>1.09678868178756</v>
                </pt>
                <pt idx="11">
                  <v>1.2580282955311</v>
                </pt>
                <pt idx="12">
                  <v>1.2301818998428</v>
                </pt>
                <pt idx="13">
                  <v>1.20637772288345</v>
                </pt>
                <pt idx="14">
                  <v>1.14529530653492</v>
                </pt>
                <pt idx="15">
                  <v>0.976420390747811</v>
                </pt>
                <pt idx="16">
                  <v>0.909050078598697</v>
                </pt>
                <pt idx="17">
                  <v>0.85748933303391</v>
                </pt>
                <pt idx="18">
                  <v>0.737121041994161</v>
                </pt>
                <pt idx="19">
                  <v>0.768021558499888</v>
                </pt>
                <pt idx="20">
                  <v>0.73873792948574</v>
                </pt>
                <pt idx="21">
                  <v>0.801706714574444</v>
                </pt>
                <pt idx="22">
                  <v>0.791107118796317</v>
                </pt>
                <pt idx="23">
                  <v>0.845901639344262</v>
                </pt>
                <pt idx="24">
                  <v>0.788771614641815</v>
                </pt>
                <pt idx="25">
                  <v>0.78706490006737</v>
                </pt>
                <pt idx="26">
                  <v>0.769907927240063</v>
                </pt>
                <pt idx="27">
                  <v>0.798293285425556</v>
                </pt>
                <pt idx="28">
                  <v>0.866292387154727</v>
                </pt>
                <pt idx="29">
                  <v>0.788232652144622</v>
                </pt>
                <pt idx="30">
                  <v>0.828924320682686</v>
                </pt>
                <pt idx="31">
                  <v>0.877610599595778</v>
                </pt>
                <pt idx="32">
                  <v>0.884706939142151</v>
                </pt>
                <pt idx="33">
                  <v>0.88632382663373</v>
                </pt>
                <pt idx="34">
                  <v>0.969683359532899</v>
                </pt>
                <pt idx="35">
                  <v>0.965865708511116</v>
                </pt>
                <pt idx="36">
                  <v>0.957107567931731</v>
                </pt>
                <pt idx="37">
                  <v>0.9443072086234</v>
                </pt>
                <pt idx="38">
                  <v>1.00718616662924</v>
                </pt>
                <pt idx="39">
                  <v>1.03211318212441</v>
                </pt>
                <pt idx="40">
                  <v>1.07298450482821</v>
                </pt>
                <pt idx="41">
                  <v>1.14686728048507</v>
                </pt>
                <pt idx="42">
                  <v>1.19020884796766</v>
                </pt>
                <pt idx="43">
                  <v>1.29328542555581</v>
                </pt>
              </numCache>
            </numRef>
          </val>
          <smooth val="0"/>
        </ser>
        <ser>
          <idx val="5"/>
          <order val="5"/>
          <tx>
            <strRef>
              <f>'奢侈品 Normalized'!$G$2</f>
              <strCache>
                <ptCount val="1"/>
                <pt idx="0">
                  <v>SFER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Normalized'!$A$55:$A$98</f>
              <numCache>
                <formatCode>yyyy\-mm\-dd</formatCode>
                <ptCount val="44"/>
                <pt idx="0">
                  <v>45992</v>
                </pt>
                <pt idx="1">
                  <v>45996</v>
                </pt>
                <pt idx="2">
                  <v>46003</v>
                </pt>
                <pt idx="3">
                  <v>46010</v>
                </pt>
                <pt idx="4">
                  <v>46017</v>
                </pt>
                <pt idx="5">
                  <v>46024</v>
                </pt>
                <pt idx="6">
                  <v>46031</v>
                </pt>
                <pt idx="7">
                  <v>46038</v>
                </pt>
                <pt idx="8">
                  <v>46045</v>
                </pt>
                <pt idx="9">
                  <v>46052</v>
                </pt>
                <pt idx="10">
                  <v>46059</v>
                </pt>
                <pt idx="11">
                  <v>46066</v>
                </pt>
                <pt idx="12">
                  <v>46073</v>
                </pt>
                <pt idx="13">
                  <v>46080</v>
                </pt>
                <pt idx="14">
                  <v>46087</v>
                </pt>
                <pt idx="15">
                  <v>46094</v>
                </pt>
                <pt idx="16">
                  <v>46101</v>
                </pt>
                <pt idx="17">
                  <v>46108</v>
                </pt>
                <pt idx="18">
                  <v>46115</v>
                </pt>
                <pt idx="19">
                  <v>46122</v>
                </pt>
                <pt idx="20">
                  <v>46129</v>
                </pt>
                <pt idx="21">
                  <v>46136</v>
                </pt>
                <pt idx="22">
                  <v>46143</v>
                </pt>
                <pt idx="23">
                  <v>46150</v>
                </pt>
                <pt idx="24">
                  <v>46157</v>
                </pt>
                <pt idx="25">
                  <v>46164</v>
                </pt>
                <pt idx="26">
                  <v>46171</v>
                </pt>
                <pt idx="27">
                  <v>46178</v>
                </pt>
                <pt idx="28">
                  <v>46185</v>
                </pt>
                <pt idx="29">
                  <v>46192</v>
                </pt>
                <pt idx="30">
                  <v>46199</v>
                </pt>
                <pt idx="31">
                  <v>46206</v>
                </pt>
                <pt idx="32">
                  <v>46213</v>
                </pt>
                <pt idx="33">
                  <v>46220</v>
                </pt>
                <pt idx="34">
                  <v>46227</v>
                </pt>
                <pt idx="35">
                  <v>46234</v>
                </pt>
                <pt idx="36">
                  <v>46241</v>
                </pt>
                <pt idx="37">
                  <v>46248</v>
                </pt>
                <pt idx="38">
                  <v>46255</v>
                </pt>
                <pt idx="39">
                  <v>46262</v>
                </pt>
                <pt idx="40">
                  <v>46269</v>
                </pt>
                <pt idx="41">
                  <v>46276</v>
                </pt>
                <pt idx="42">
                  <v>46283</v>
                </pt>
                <pt idx="43">
                  <v>46290</v>
                </pt>
              </numCache>
            </numRef>
          </cat>
          <val>
            <numRef>
              <f>'奢侈品 Normalized'!$G$55:$G$98</f>
              <numCache>
                <formatCode>0.000</formatCode>
                <ptCount val="44"/>
                <pt idx="0">
                  <v>1</v>
                </pt>
                <pt idx="1">
                  <v>1.18356643356643</v>
                </pt>
                <pt idx="2">
                  <v>1.19230769230769</v>
                </pt>
                <pt idx="3">
                  <v>1.16783216783217</v>
                </pt>
                <pt idx="4">
                  <v>1.18356643356643</v>
                </pt>
                <pt idx="5">
                  <v>1.18181818181818</v>
                </pt>
                <pt idx="6">
                  <v>1.18881118881119</v>
                </pt>
                <pt idx="7">
                  <v>1.16783216783217</v>
                </pt>
                <pt idx="8">
                  <v>1.26573426573427</v>
                </pt>
                <pt idx="9">
                  <v>1.33741258741259</v>
                </pt>
                <pt idx="10">
                  <v>1.23776223776224</v>
                </pt>
                <pt idx="11">
                  <v>1.39160839160839</v>
                </pt>
                <pt idx="12">
                  <v>1.34615384615385</v>
                </pt>
                <pt idx="13">
                  <v>1.36888111888112</v>
                </pt>
                <pt idx="14">
                  <v>1.19055944055944</v>
                </pt>
                <pt idx="15">
                  <v>1.1958041958042</v>
                </pt>
                <pt idx="16">
                  <v>1.15384615384615</v>
                </pt>
                <pt idx="17">
                  <v>1.08391608391608</v>
                </pt>
                <pt idx="18">
                  <v>0.902097902097902</v>
                </pt>
                <pt idx="19">
                  <v>0.907342657342657</v>
                </pt>
                <pt idx="20">
                  <v>0.8374125874125879</v>
                </pt>
                <pt idx="21">
                  <v>0.965034965034965</v>
                </pt>
                <pt idx="22">
                  <v>0.977272727272727</v>
                </pt>
                <pt idx="23">
                  <v>1.06118881118881</v>
                </pt>
                <pt idx="24">
                  <v>1.02797202797203</v>
                </pt>
                <pt idx="25">
                  <v>0.98951048951049</v>
                </pt>
                <pt idx="26">
                  <v>0.979020979020979</v>
                </pt>
                <pt idx="27">
                  <v>0.937062937062937</v>
                </pt>
                <pt idx="28">
                  <v>0.926573426573427</v>
                </pt>
                <pt idx="29">
                  <v>0.861888111888112</v>
                </pt>
                <pt idx="30">
                  <v>0.8741258741258739</v>
                </pt>
                <pt idx="31">
                  <v>0.902097902097902</v>
                </pt>
                <pt idx="32">
                  <v>0.90034965034965</v>
                </pt>
                <pt idx="33">
                  <v>0.895104895104895</v>
                </pt>
                <pt idx="34">
                  <v>0.917832167832168</v>
                </pt>
                <pt idx="35">
                  <v>0.833916083916084</v>
                </pt>
                <pt idx="36">
                  <v>0.776223776223776</v>
                </pt>
                <pt idx="37">
                  <v>0.788461538461538</v>
                </pt>
                <pt idx="38">
                  <v>0.847902097902098</v>
                </pt>
                <pt idx="39">
                  <v>0.809440559440559</v>
                </pt>
                <pt idx="40">
                  <v>0.807692307692308</v>
                </pt>
                <pt idx="41">
                  <v>0.814685314685315</v>
                </pt>
                <pt idx="42">
                  <v>0.937062937062937</v>
                </pt>
                <pt idx="43">
                  <v>0.944055944055944</v>
                </pt>
              </numCache>
            </numRef>
          </val>
          <smooth val="0"/>
        </ser>
        <ser>
          <idx val="6"/>
          <order val="6"/>
          <tx>
            <strRef>
              <f>'奢侈品 Normalized'!$H$2</f>
              <strCache>
                <ptCount val="1"/>
                <pt idx="0">
                  <v>RACE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Normalized'!$A$55:$A$98</f>
              <numCache>
                <formatCode>yyyy\-mm\-dd</formatCode>
                <ptCount val="44"/>
                <pt idx="0">
                  <v>45992</v>
                </pt>
                <pt idx="1">
                  <v>45996</v>
                </pt>
                <pt idx="2">
                  <v>46003</v>
                </pt>
                <pt idx="3">
                  <v>46010</v>
                </pt>
                <pt idx="4">
                  <v>46017</v>
                </pt>
                <pt idx="5">
                  <v>46024</v>
                </pt>
                <pt idx="6">
                  <v>46031</v>
                </pt>
                <pt idx="7">
                  <v>46038</v>
                </pt>
                <pt idx="8">
                  <v>46045</v>
                </pt>
                <pt idx="9">
                  <v>46052</v>
                </pt>
                <pt idx="10">
                  <v>46059</v>
                </pt>
                <pt idx="11">
                  <v>46066</v>
                </pt>
                <pt idx="12">
                  <v>46073</v>
                </pt>
                <pt idx="13">
                  <v>46080</v>
                </pt>
                <pt idx="14">
                  <v>46087</v>
                </pt>
                <pt idx="15">
                  <v>46094</v>
                </pt>
                <pt idx="16">
                  <v>46101</v>
                </pt>
                <pt idx="17">
                  <v>46108</v>
                </pt>
                <pt idx="18">
                  <v>46115</v>
                </pt>
                <pt idx="19">
                  <v>46122</v>
                </pt>
                <pt idx="20">
                  <v>46129</v>
                </pt>
                <pt idx="21">
                  <v>46136</v>
                </pt>
                <pt idx="22">
                  <v>46143</v>
                </pt>
                <pt idx="23">
                  <v>46150</v>
                </pt>
                <pt idx="24">
                  <v>46157</v>
                </pt>
                <pt idx="25">
                  <v>46164</v>
                </pt>
                <pt idx="26">
                  <v>46171</v>
                </pt>
                <pt idx="27">
                  <v>46178</v>
                </pt>
                <pt idx="28">
                  <v>46185</v>
                </pt>
                <pt idx="29">
                  <v>46192</v>
                </pt>
                <pt idx="30">
                  <v>46199</v>
                </pt>
                <pt idx="31">
                  <v>46206</v>
                </pt>
                <pt idx="32">
                  <v>46213</v>
                </pt>
                <pt idx="33">
                  <v>46220</v>
                </pt>
                <pt idx="34">
                  <v>46227</v>
                </pt>
                <pt idx="35">
                  <v>46234</v>
                </pt>
                <pt idx="36">
                  <v>46241</v>
                </pt>
                <pt idx="37">
                  <v>46248</v>
                </pt>
                <pt idx="38">
                  <v>46255</v>
                </pt>
                <pt idx="39">
                  <v>46262</v>
                </pt>
                <pt idx="40">
                  <v>46269</v>
                </pt>
                <pt idx="41">
                  <v>46276</v>
                </pt>
                <pt idx="42">
                  <v>46283</v>
                </pt>
                <pt idx="43">
                  <v>46290</v>
                </pt>
              </numCache>
            </numRef>
          </cat>
          <val>
            <numRef>
              <f>'奢侈品 Normalized'!$H$55:$H$98</f>
              <numCache>
                <formatCode>0.000</formatCode>
                <ptCount val="44"/>
                <pt idx="0">
                  <v>1</v>
                </pt>
                <pt idx="1">
                  <v>1.02533150434385</v>
                </pt>
                <pt idx="2">
                  <v>0.998994055784179</v>
                </pt>
                <pt idx="3">
                  <v>0.983424782807499</v>
                </pt>
                <pt idx="4">
                  <v>0.975697302240512</v>
                </pt>
                <pt idx="5">
                  <v>0.975697302240512</v>
                </pt>
                <pt idx="6">
                  <v>0.956492912665752</v>
                </pt>
                <pt idx="7">
                  <v>0.996502057613169</v>
                </pt>
                <pt idx="8">
                  <v>0.988385916780979</v>
                </pt>
                <pt idx="9">
                  <v>0.980658436213992</v>
                </pt>
                <pt idx="10">
                  <v>1.05349794238683</v>
                </pt>
                <pt idx="11">
                  <v>1.15189757658893</v>
                </pt>
                <pt idx="12">
                  <v>1.14133516232282</v>
                </pt>
                <pt idx="13">
                  <v>1.0612711476909</v>
                </pt>
                <pt idx="14">
                  <v>0.999268404206676</v>
                </pt>
                <pt idx="15">
                  <v>1.03840877914952</v>
                </pt>
                <pt idx="16">
                  <v>0.996410608139003</v>
                </pt>
                <pt idx="17">
                  <v>0.9782350251486051</v>
                </pt>
                <pt idx="18">
                  <v>0.911522633744856</v>
                </pt>
                <pt idx="19">
                  <v>0.982007315957933</v>
                </pt>
                <pt idx="20">
                  <v>0.9939643347050759</v>
                </pt>
                <pt idx="21">
                  <v>1.04755372656607</v>
                </pt>
                <pt idx="22">
                  <v>1.06643804298125</v>
                </pt>
                <pt idx="23">
                  <v>1.11284865112026</v>
                </pt>
                <pt idx="24">
                  <v>1.13770004572474</v>
                </pt>
                <pt idx="25">
                  <v>1.08875171467764</v>
                </pt>
                <pt idx="26">
                  <v>1.09757658893461</v>
                </pt>
                <pt idx="27">
                  <v>1.09538180155464</v>
                </pt>
                <pt idx="28">
                  <v>1.06266575217193</v>
                </pt>
                <pt idx="29">
                  <v>1.05413808870599</v>
                </pt>
                <pt idx="30">
                  <v>1.12194787379973</v>
                </pt>
                <pt idx="31">
                  <v>1.11184270690444</v>
                </pt>
                <pt idx="32">
                  <v>1.11634659350709</v>
                </pt>
                <pt idx="33">
                  <v>1.15989940557842</v>
                </pt>
                <pt idx="34">
                  <v>1.15983081847279</v>
                </pt>
                <pt idx="35">
                  <v>1.00210333790581</v>
                </pt>
                <pt idx="36">
                  <v>1.00903063557385</v>
                </pt>
                <pt idx="37">
                  <v>1.05891632373114</v>
                </pt>
                <pt idx="38">
                  <v>1.06890717878372</v>
                </pt>
                <pt idx="39">
                  <v>1.09101508916324</v>
                </pt>
                <pt idx="40">
                  <v>1.09503886602652</v>
                </pt>
                <pt idx="41">
                  <v>1.0949702789209</v>
                </pt>
                <pt idx="42">
                  <v>1.09222679469593</v>
                </pt>
                <pt idx="43">
                  <v>1.10205761316872</v>
                </pt>
              </numCache>
            </numRef>
          </val>
          <smooth val="0"/>
        </ser>
        <ser>
          <idx val="7"/>
          <order val="7"/>
          <tx>
            <strRef>
              <f>'奢侈品 Normalized'!$I$2</f>
              <strCache>
                <ptCount val="1"/>
                <pt idx="0">
                  <v>RMS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Normalized'!$A$55:$A$98</f>
              <numCache>
                <formatCode>yyyy\-mm\-dd</formatCode>
                <ptCount val="44"/>
                <pt idx="0">
                  <v>45992</v>
                </pt>
                <pt idx="1">
                  <v>45996</v>
                </pt>
                <pt idx="2">
                  <v>46003</v>
                </pt>
                <pt idx="3">
                  <v>46010</v>
                </pt>
                <pt idx="4">
                  <v>46017</v>
                </pt>
                <pt idx="5">
                  <v>46024</v>
                </pt>
                <pt idx="6">
                  <v>46031</v>
                </pt>
                <pt idx="7">
                  <v>46038</v>
                </pt>
                <pt idx="8">
                  <v>46045</v>
                </pt>
                <pt idx="9">
                  <v>46052</v>
                </pt>
                <pt idx="10">
                  <v>46059</v>
                </pt>
                <pt idx="11">
                  <v>46066</v>
                </pt>
                <pt idx="12">
                  <v>46073</v>
                </pt>
                <pt idx="13">
                  <v>46080</v>
                </pt>
                <pt idx="14">
                  <v>46087</v>
                </pt>
                <pt idx="15">
                  <v>46094</v>
                </pt>
                <pt idx="16">
                  <v>46101</v>
                </pt>
                <pt idx="17">
                  <v>46108</v>
                </pt>
                <pt idx="18">
                  <v>46115</v>
                </pt>
                <pt idx="19">
                  <v>46122</v>
                </pt>
                <pt idx="20">
                  <v>46129</v>
                </pt>
                <pt idx="21">
                  <v>46136</v>
                </pt>
                <pt idx="22">
                  <v>46143</v>
                </pt>
                <pt idx="23">
                  <v>46150</v>
                </pt>
                <pt idx="24">
                  <v>46157</v>
                </pt>
                <pt idx="25">
                  <v>46164</v>
                </pt>
                <pt idx="26">
                  <v>46171</v>
                </pt>
                <pt idx="27">
                  <v>46178</v>
                </pt>
                <pt idx="28">
                  <v>46185</v>
                </pt>
                <pt idx="29">
                  <v>46192</v>
                </pt>
                <pt idx="30">
                  <v>46199</v>
                </pt>
                <pt idx="31">
                  <v>46206</v>
                </pt>
                <pt idx="32">
                  <v>46213</v>
                </pt>
                <pt idx="33">
                  <v>46220</v>
                </pt>
                <pt idx="34">
                  <v>46227</v>
                </pt>
                <pt idx="35">
                  <v>46234</v>
                </pt>
                <pt idx="36">
                  <v>46241</v>
                </pt>
                <pt idx="37">
                  <v>46248</v>
                </pt>
                <pt idx="38">
                  <v>46255</v>
                </pt>
                <pt idx="39">
                  <v>46262</v>
                </pt>
                <pt idx="40">
                  <v>46269</v>
                </pt>
                <pt idx="41">
                  <v>46276</v>
                </pt>
                <pt idx="42">
                  <v>46283</v>
                </pt>
                <pt idx="43">
                  <v>46290</v>
                </pt>
              </numCache>
            </numRef>
          </cat>
          <val>
            <numRef>
              <f>'奢侈品 Normalized'!$I$55:$I$98</f>
              <numCache>
                <formatCode>0.000</formatCode>
                <ptCount val="44"/>
                <pt idx="0">
                  <v>1</v>
                </pt>
                <pt idx="1">
                  <v>1.05316689782709</v>
                </pt>
                <pt idx="2">
                  <v>1.04900601017106</v>
                </pt>
                <pt idx="3">
                  <v>1.06426259824318</v>
                </pt>
                <pt idx="4">
                  <v>1.06564956079519</v>
                </pt>
                <pt idx="5">
                  <v>1.08090614886731</v>
                </pt>
                <pt idx="6">
                  <v>1.08784096162737</v>
                </pt>
                <pt idx="7">
                  <v>1.15487748497457</v>
                </pt>
                <pt idx="8">
                  <v>1.23069810448451</v>
                </pt>
                <pt idx="9">
                  <v>1.25751271382339</v>
                </pt>
                <pt idx="10">
                  <v>1.2713823393435</v>
                </pt>
                <pt idx="11">
                  <v>1.29865926953306</v>
                </pt>
                <pt idx="12">
                  <v>1.24549237170596</v>
                </pt>
                <pt idx="13">
                  <v>1.26444752658345</v>
                </pt>
                <pt idx="14">
                  <v>1.15349052242256</v>
                </pt>
                <pt idx="15">
                  <v>1.14932963476653</v>
                </pt>
                <pt idx="16">
                  <v>1.15487748497457</v>
                </pt>
                <pt idx="17">
                  <v>1.11465557096625</v>
                </pt>
                <pt idx="18">
                  <v>0.98705501618123</v>
                </pt>
                <pt idx="19">
                  <v>1.08645399907536</v>
                </pt>
                <pt idx="20">
                  <v>1.05732778548313</v>
                </pt>
                <pt idx="21">
                  <v>1.10725843735552</v>
                </pt>
                <pt idx="22">
                  <v>1.14054553860379</v>
                </pt>
                <pt idx="23">
                  <v>1.17383263985206</v>
                </pt>
                <pt idx="24">
                  <v>1.18307905686546</v>
                </pt>
                <pt idx="25">
                  <v>1.1044845122515</v>
                </pt>
                <pt idx="26">
                  <v>1.10725843735552</v>
                </pt>
                <pt idx="27">
                  <v>1.0748959778086</v>
                </pt>
                <pt idx="28">
                  <v>1.06611188164586</v>
                </pt>
                <pt idx="29">
                  <v>1.04669440591771</v>
                </pt>
                <pt idx="30">
                  <v>1.06287563569117</v>
                </pt>
                <pt idx="31">
                  <v>1.10957004160888</v>
                </pt>
                <pt idx="32">
                  <v>1.11373092926491</v>
                </pt>
                <pt idx="33">
                  <v>1.07674526121128</v>
                </pt>
                <pt idx="34">
                  <v>1.10402219140083</v>
                </pt>
                <pt idx="35">
                  <v>0.969486823855756</v>
                </pt>
                <pt idx="36">
                  <v>0.941747572815534</v>
                </pt>
                <pt idx="37">
                  <v>0.958391123439667</v>
                </pt>
                <pt idx="38">
                  <v>0.96208969024503</v>
                </pt>
                <pt idx="39">
                  <v>0.953767914932963</v>
                </pt>
                <pt idx="40">
                  <v>0.944983818770227</v>
                </pt>
                <pt idx="41">
                  <v>0.980582524271845</v>
                </pt>
                <pt idx="42">
                  <v>0.977346278317152</v>
                </pt>
                <pt idx="43">
                  <v>0.979657882570504</v>
                </pt>
              </numCache>
            </numRef>
          </val>
          <smooth val="0"/>
        </ser>
        <ser>
          <idx val="8"/>
          <order val="8"/>
          <tx>
            <strRef>
              <f>'奢侈品 Normalized'!$J$2</f>
              <strCache>
                <ptCount val="1"/>
                <pt idx="0">
                  <v>MC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Normalized'!$A$55:$A$98</f>
              <numCache>
                <formatCode>yyyy\-mm\-dd</formatCode>
                <ptCount val="44"/>
                <pt idx="0">
                  <v>45992</v>
                </pt>
                <pt idx="1">
                  <v>45996</v>
                </pt>
                <pt idx="2">
                  <v>46003</v>
                </pt>
                <pt idx="3">
                  <v>46010</v>
                </pt>
                <pt idx="4">
                  <v>46017</v>
                </pt>
                <pt idx="5">
                  <v>46024</v>
                </pt>
                <pt idx="6">
                  <v>46031</v>
                </pt>
                <pt idx="7">
                  <v>46038</v>
                </pt>
                <pt idx="8">
                  <v>46045</v>
                </pt>
                <pt idx="9">
                  <v>46052</v>
                </pt>
                <pt idx="10">
                  <v>46059</v>
                </pt>
                <pt idx="11">
                  <v>46066</v>
                </pt>
                <pt idx="12">
                  <v>46073</v>
                </pt>
                <pt idx="13">
                  <v>46080</v>
                </pt>
                <pt idx="14">
                  <v>46087</v>
                </pt>
                <pt idx="15">
                  <v>46094</v>
                </pt>
                <pt idx="16">
                  <v>46101</v>
                </pt>
                <pt idx="17">
                  <v>46108</v>
                </pt>
                <pt idx="18">
                  <v>46115</v>
                </pt>
                <pt idx="19">
                  <v>46122</v>
                </pt>
                <pt idx="20">
                  <v>46129</v>
                </pt>
                <pt idx="21">
                  <v>46136</v>
                </pt>
                <pt idx="22">
                  <v>46143</v>
                </pt>
                <pt idx="23">
                  <v>46150</v>
                </pt>
                <pt idx="24">
                  <v>46157</v>
                </pt>
                <pt idx="25">
                  <v>46164</v>
                </pt>
                <pt idx="26">
                  <v>46171</v>
                </pt>
                <pt idx="27">
                  <v>46178</v>
                </pt>
                <pt idx="28">
                  <v>46185</v>
                </pt>
                <pt idx="29">
                  <v>46192</v>
                </pt>
                <pt idx="30">
                  <v>46199</v>
                </pt>
                <pt idx="31">
                  <v>46206</v>
                </pt>
                <pt idx="32">
                  <v>46213</v>
                </pt>
                <pt idx="33">
                  <v>46220</v>
                </pt>
                <pt idx="34">
                  <v>46227</v>
                </pt>
                <pt idx="35">
                  <v>46234</v>
                </pt>
                <pt idx="36">
                  <v>46241</v>
                </pt>
                <pt idx="37">
                  <v>46248</v>
                </pt>
                <pt idx="38">
                  <v>46255</v>
                </pt>
                <pt idx="39">
                  <v>46262</v>
                </pt>
                <pt idx="40">
                  <v>46269</v>
                </pt>
                <pt idx="41">
                  <v>46276</v>
                </pt>
                <pt idx="42">
                  <v>46283</v>
                </pt>
                <pt idx="43">
                  <v>46290</v>
                </pt>
              </numCache>
            </numRef>
          </cat>
          <val>
            <numRef>
              <f>'奢侈品 Normalized'!$J$55:$J$98</f>
              <numCache>
                <formatCode>0.000</formatCode>
                <ptCount val="44"/>
                <pt idx="0">
                  <v>1</v>
                </pt>
                <pt idx="1">
                  <v>1.07672001319914</v>
                </pt>
                <pt idx="2">
                  <v>1.04141230819997</v>
                </pt>
                <pt idx="3">
                  <v>1.03811252268603</v>
                </pt>
                <pt idx="4">
                  <v>1.03827751196172</v>
                </pt>
                <pt idx="5">
                  <v>1.04702194357367</v>
                </pt>
                <pt idx="6">
                  <v>1.06649067810592</v>
                </pt>
                <pt idx="7">
                  <v>1.12704174228675</v>
                </pt>
                <pt idx="8">
                  <v>1.24533905296156</v>
                </pt>
                <pt idx="9">
                  <v>1.13859099158555</v>
                </pt>
                <pt idx="10">
                  <v>1.13067150635209</v>
                </pt>
                <pt idx="11">
                  <v>1.15739976901501</v>
                </pt>
                <pt idx="12">
                  <v>1.14189077709949</v>
                </pt>
                <pt idx="13">
                  <v>1.13974591651543</v>
                </pt>
                <pt idx="14">
                  <v>1.03992740471869</v>
                </pt>
                <pt idx="15">
                  <v>1.00593961392509</v>
                </pt>
                <pt idx="16">
                  <v>0.983831050981686</v>
                </pt>
                <pt idx="17">
                  <v>0.943243689160205</v>
                </pt>
                <pt idx="18">
                  <v>0.837485563438377</v>
                </pt>
                <pt idx="19">
                  <v>0.874608150470219</v>
                </pt>
                <pt idx="20">
                  <v>0.801187922785019</v>
                </pt>
                <pt idx="21">
                  <v>0.82824616399934</v>
                </pt>
                <pt idx="22">
                  <v>0.812159709618875</v>
                </pt>
                <pt idx="23">
                  <v>0.875268107573008</v>
                </pt>
                <pt idx="24">
                  <v>0.822636528625639</v>
                </pt>
                <pt idx="25">
                  <v>0.797640653357532</v>
                </pt>
                <pt idx="26">
                  <v>0.7873288236264639</v>
                </pt>
                <pt idx="27">
                  <v>0.778006929549579</v>
                </pt>
                <pt idx="28">
                  <v>0.771077379970302</v>
                </pt>
                <pt idx="29">
                  <v>0.742121762085464</v>
                </pt>
                <pt idx="30">
                  <v>0.733542319749216</v>
                </pt>
                <pt idx="31">
                  <v>0.784276522026068</v>
                </pt>
                <pt idx="32">
                  <v>0.791206071605346</v>
                </pt>
                <pt idx="33">
                  <v>0.77346972446791</v>
                </pt>
                <pt idx="34">
                  <v>0.8071275367101139</v>
                </pt>
                <pt idx="35">
                  <v>0.7627454215475989</v>
                </pt>
                <pt idx="36">
                  <v>0.755650882692625</v>
                </pt>
                <pt idx="37">
                  <v>0.785101468404554</v>
                </pt>
                <pt idx="38">
                  <v>0.805230160039597</v>
                </pt>
                <pt idx="39">
                  <v>0.83105098168619</v>
                </pt>
                <pt idx="40">
                  <v>0.818594291371061</v>
                </pt>
                <pt idx="41">
                  <v>0.831875928064676</v>
                </pt>
                <pt idx="42">
                  <v>0.836495627784194</v>
                </pt>
                <pt idx="43">
                  <v>0.863058901171424</v>
                </pt>
              </numCache>
            </numRef>
          </val>
          <smooth val="0"/>
        </ser>
        <ser>
          <idx val="9"/>
          <order val="9"/>
          <tx>
            <strRef>
              <f>'奢侈品 Normalized'!$K$2</f>
              <strCache>
                <ptCount val="1"/>
                <pt idx="0">
                  <v>BRBY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Normalized'!$A$55:$A$98</f>
              <numCache>
                <formatCode>yyyy\-mm\-dd</formatCode>
                <ptCount val="44"/>
                <pt idx="0">
                  <v>45992</v>
                </pt>
                <pt idx="1">
                  <v>45996</v>
                </pt>
                <pt idx="2">
                  <v>46003</v>
                </pt>
                <pt idx="3">
                  <v>46010</v>
                </pt>
                <pt idx="4">
                  <v>46017</v>
                </pt>
                <pt idx="5">
                  <v>46024</v>
                </pt>
                <pt idx="6">
                  <v>46031</v>
                </pt>
                <pt idx="7">
                  <v>46038</v>
                </pt>
                <pt idx="8">
                  <v>46045</v>
                </pt>
                <pt idx="9">
                  <v>46052</v>
                </pt>
                <pt idx="10">
                  <v>46059</v>
                </pt>
                <pt idx="11">
                  <v>46066</v>
                </pt>
                <pt idx="12">
                  <v>46073</v>
                </pt>
                <pt idx="13">
                  <v>46080</v>
                </pt>
                <pt idx="14">
                  <v>46087</v>
                </pt>
                <pt idx="15">
                  <v>46094</v>
                </pt>
                <pt idx="16">
                  <v>46101</v>
                </pt>
                <pt idx="17">
                  <v>46108</v>
                </pt>
                <pt idx="18">
                  <v>46115</v>
                </pt>
                <pt idx="19">
                  <v>46122</v>
                </pt>
                <pt idx="20">
                  <v>46129</v>
                </pt>
                <pt idx="21">
                  <v>46136</v>
                </pt>
                <pt idx="22">
                  <v>46143</v>
                </pt>
                <pt idx="23">
                  <v>46150</v>
                </pt>
                <pt idx="24">
                  <v>46157</v>
                </pt>
                <pt idx="25">
                  <v>46164</v>
                </pt>
                <pt idx="26">
                  <v>46171</v>
                </pt>
                <pt idx="27">
                  <v>46178</v>
                </pt>
                <pt idx="28">
                  <v>46185</v>
                </pt>
                <pt idx="29">
                  <v>46192</v>
                </pt>
                <pt idx="30">
                  <v>46199</v>
                </pt>
                <pt idx="31">
                  <v>46206</v>
                </pt>
                <pt idx="32">
                  <v>46213</v>
                </pt>
                <pt idx="33">
                  <v>46220</v>
                </pt>
                <pt idx="34">
                  <v>46227</v>
                </pt>
                <pt idx="35">
                  <v>46234</v>
                </pt>
                <pt idx="36">
                  <v>46241</v>
                </pt>
                <pt idx="37">
                  <v>46248</v>
                </pt>
                <pt idx="38">
                  <v>46255</v>
                </pt>
                <pt idx="39">
                  <v>46262</v>
                </pt>
                <pt idx="40">
                  <v>46269</v>
                </pt>
                <pt idx="41">
                  <v>46276</v>
                </pt>
                <pt idx="42">
                  <v>46283</v>
                </pt>
                <pt idx="43">
                  <v>46290</v>
                </pt>
              </numCache>
            </numRef>
          </cat>
          <val>
            <numRef>
              <f>'奢侈品 Normalized'!$K$55:$K$98</f>
              <numCache>
                <formatCode>0.000</formatCode>
                <ptCount val="44"/>
                <pt idx="0">
                  <v>1</v>
                </pt>
                <pt idx="1">
                  <v>1.0626643295355</v>
                </pt>
                <pt idx="2">
                  <v>1.04382120946538</v>
                </pt>
                <pt idx="3">
                  <v>1.06288343558282</v>
                </pt>
                <pt idx="4">
                  <v>1.05433829973707</v>
                </pt>
                <pt idx="5">
                  <v>1.04469763365469</v>
                </pt>
                <pt idx="6">
                  <v>1.06047326906223</v>
                </pt>
                <pt idx="7">
                  <v>1.06573181419807</v>
                </pt>
                <pt idx="8">
                  <v>1.24123575810692</v>
                </pt>
                <pt idx="9">
                  <v>1.30477651183173</v>
                </pt>
                <pt idx="10">
                  <v>1.2976555652936</v>
                </pt>
                <pt idx="11">
                  <v>1.26533742331288</v>
                </pt>
                <pt idx="12">
                  <v>1.11963190184049</v>
                </pt>
                <pt idx="13">
                  <v>1.21384750219106</v>
                </pt>
                <pt idx="14">
                  <v>1.10046012269939</v>
                </pt>
                <pt idx="15">
                  <v>0.994522348816827</v>
                </pt>
                <pt idx="16">
                  <v>0.915863277826468</v>
                </pt>
                <pt idx="17">
                  <v>0.845530236634531</v>
                </pt>
                <pt idx="18">
                  <v>0.700043821209465</v>
                </pt>
                <pt idx="19">
                  <v>0.751971954425942</v>
                </pt>
                <pt idx="20">
                  <v>0.71669588080631</v>
                </pt>
                <pt idx="21">
                  <v>0.797326906222612</v>
                </pt>
                <pt idx="22">
                  <v>0.796231375985977</v>
                </pt>
                <pt idx="23">
                  <v>0.873137598597721</v>
                </pt>
                <pt idx="24">
                  <v>1.10758106923751</v>
                </pt>
                <pt idx="25">
                  <v>1.05368098159509</v>
                </pt>
                <pt idx="26">
                  <v>1.14482909728309</v>
                </pt>
                <pt idx="27">
                  <v>1.17879053461876</v>
                </pt>
                <pt idx="28">
                  <v>1.21713409290096</v>
                </pt>
                <pt idx="29">
                  <v>1.09553023663453</v>
                </pt>
                <pt idx="30">
                  <v>1.29491673970202</v>
                </pt>
                <pt idx="31">
                  <v>1.37598597721297</v>
                </pt>
                <pt idx="32">
                  <v>1.35352760736196</v>
                </pt>
                <pt idx="33">
                  <v>1.4307624890447</v>
                </pt>
                <pt idx="34">
                  <v>1.50251971954426</v>
                </pt>
                <pt idx="35">
                  <v>1.41049517966696</v>
                </pt>
                <pt idx="36">
                  <v>1.2532865907099</v>
                </pt>
                <pt idx="37">
                  <v>1.21987291849255</v>
                </pt>
                <pt idx="38">
                  <v>1.33983347940403</v>
                </pt>
                <pt idx="39">
                  <v>1.36722173531989</v>
                </pt>
                <pt idx="40">
                  <v>1.39351446099912</v>
                </pt>
                <pt idx="41">
                  <v>1.17440841367222</v>
                </pt>
                <pt idx="42">
                  <v>1.22863716038563</v>
                </pt>
                <pt idx="43">
                  <v>1.28450920245399</v>
                </pt>
              </numCache>
            </numRef>
          </val>
          <smooth val="0"/>
        </ser>
        <ser>
          <idx val="10"/>
          <order val="10"/>
          <tx>
            <strRef>
              <f>'奢侈品 Normalized'!$L$2</f>
              <strCache>
                <ptCount val="1"/>
                <pt idx="0">
                  <v>CPRI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Normalized'!$A$55:$A$98</f>
              <numCache>
                <formatCode>yyyy\-mm\-dd</formatCode>
                <ptCount val="44"/>
                <pt idx="0">
                  <v>45992</v>
                </pt>
                <pt idx="1">
                  <v>45996</v>
                </pt>
                <pt idx="2">
                  <v>46003</v>
                </pt>
                <pt idx="3">
                  <v>46010</v>
                </pt>
                <pt idx="4">
                  <v>46017</v>
                </pt>
                <pt idx="5">
                  <v>46024</v>
                </pt>
                <pt idx="6">
                  <v>46031</v>
                </pt>
                <pt idx="7">
                  <v>46038</v>
                </pt>
                <pt idx="8">
                  <v>46045</v>
                </pt>
                <pt idx="9">
                  <v>46052</v>
                </pt>
                <pt idx="10">
                  <v>46059</v>
                </pt>
                <pt idx="11">
                  <v>46066</v>
                </pt>
                <pt idx="12">
                  <v>46073</v>
                </pt>
                <pt idx="13">
                  <v>46080</v>
                </pt>
                <pt idx="14">
                  <v>46087</v>
                </pt>
                <pt idx="15">
                  <v>46094</v>
                </pt>
                <pt idx="16">
                  <v>46101</v>
                </pt>
                <pt idx="17">
                  <v>46108</v>
                </pt>
                <pt idx="18">
                  <v>46115</v>
                </pt>
                <pt idx="19">
                  <v>46122</v>
                </pt>
                <pt idx="20">
                  <v>46129</v>
                </pt>
                <pt idx="21">
                  <v>46136</v>
                </pt>
                <pt idx="22">
                  <v>46143</v>
                </pt>
                <pt idx="23">
                  <v>46150</v>
                </pt>
                <pt idx="24">
                  <v>46157</v>
                </pt>
                <pt idx="25">
                  <v>46164</v>
                </pt>
                <pt idx="26">
                  <v>46171</v>
                </pt>
                <pt idx="27">
                  <v>46178</v>
                </pt>
                <pt idx="28">
                  <v>46185</v>
                </pt>
                <pt idx="29">
                  <v>46192</v>
                </pt>
                <pt idx="30">
                  <v>46199</v>
                </pt>
                <pt idx="31">
                  <v>46206</v>
                </pt>
                <pt idx="32">
                  <v>46213</v>
                </pt>
                <pt idx="33">
                  <v>46220</v>
                </pt>
                <pt idx="34">
                  <v>46227</v>
                </pt>
                <pt idx="35">
                  <v>46234</v>
                </pt>
                <pt idx="36">
                  <v>46241</v>
                </pt>
                <pt idx="37">
                  <v>46248</v>
                </pt>
                <pt idx="38">
                  <v>46255</v>
                </pt>
                <pt idx="39">
                  <v>46262</v>
                </pt>
                <pt idx="40">
                  <v>46269</v>
                </pt>
                <pt idx="41">
                  <v>46276</v>
                </pt>
                <pt idx="42">
                  <v>46283</v>
                </pt>
                <pt idx="43">
                  <v>46290</v>
                </pt>
              </numCache>
            </numRef>
          </cat>
          <val>
            <numRef>
              <f>'奢侈品 Normalized'!$L$55:$L$98</f>
              <numCache>
                <formatCode>0.000</formatCode>
                <ptCount val="44"/>
                <pt idx="0">
                  <v>1</v>
                </pt>
                <pt idx="1">
                  <v>0.953806672369547</v>
                </pt>
                <pt idx="2">
                  <v>0.947390932420872</v>
                </pt>
                <pt idx="3">
                  <v>0.913173652694611</v>
                </pt>
                <pt idx="4">
                  <v>0.877673224978614</v>
                </pt>
                <pt idx="5">
                  <v>0.9362703165098371</v>
                </pt>
                <pt idx="6">
                  <v>1.01710863986313</v>
                </pt>
                <pt idx="7">
                  <v>1.01881950384944</v>
                </pt>
                <pt idx="8">
                  <v>1.08383233532934</v>
                </pt>
                <pt idx="9">
                  <v>1.02437981180496</v>
                </pt>
                <pt idx="10">
                  <v>0.940119760479042</v>
                </pt>
                <pt idx="11">
                  <v>0.960650128314799</v>
                </pt>
                <pt idx="12">
                  <v>0.9076133447390931</v>
                </pt>
                <pt idx="13">
                  <v>0.976475620188195</v>
                </pt>
                <pt idx="14">
                  <v>0.813515825491873</v>
                </pt>
                <pt idx="15">
                  <v>0.912318220701454</v>
                </pt>
                <pt idx="16">
                  <v>0.909751924721985</v>
                </pt>
                <pt idx="17">
                  <v>0.843883661248931</v>
                </pt>
                <pt idx="18">
                  <v>0.5949529512403759</v>
                </pt>
                <pt idx="19">
                  <v>0.6159110350727121</v>
                </pt>
                <pt idx="20">
                  <v>0.58426005132592</v>
                </pt>
                <pt idx="21">
                  <v>0.649272882805817</v>
                </pt>
                <pt idx="22">
                  <v>0.659110350727117</v>
                </pt>
                <pt idx="23">
                  <v>0.789136013686912</v>
                </pt>
                <pt idx="24">
                  <v>0.779298545765612</v>
                </pt>
                <pt idx="25">
                  <v>0.718562874251497</v>
                </pt>
                <pt idx="26">
                  <v>0.744225834046193</v>
                </pt>
                <pt idx="27">
                  <v>0.744653550042772</v>
                </pt>
                <pt idx="28">
                  <v>0.744225834046193</v>
                </pt>
                <pt idx="29">
                  <v>0.71770744225834</v>
                </pt>
                <pt idx="30">
                  <v>0.757057313943541</v>
                </pt>
                <pt idx="31">
                  <v>0.791274593669803</v>
                </pt>
                <pt idx="32">
                  <v>0.820359281437126</v>
                </pt>
                <pt idx="33">
                  <v>0.830196749358426</v>
                </pt>
                <pt idx="34">
                  <v>0.844311377245509</v>
                </pt>
                <pt idx="35">
                  <v>0.783147989734816</v>
                </pt>
                <pt idx="36">
                  <v>0.830624465355004</v>
                </pt>
                <pt idx="37">
                  <v>0.876817792985458</v>
                </pt>
                <pt idx="38">
                  <v>0.912318220701454</v>
                </pt>
                <pt idx="39">
                  <v>0.880667236954662</v>
                </pt>
                <pt idx="40">
                  <v>0.875534644995723</v>
                </pt>
                <pt idx="41">
                  <v>0.926860564585116</v>
                </pt>
                <pt idx="42">
                  <v>0.857570573139436</v>
                </pt>
                <pt idx="43">
                  <v>0.842172797262618</v>
                </pt>
              </numCache>
            </numRef>
          </val>
          <smooth val="0"/>
        </ser>
        <ser>
          <idx val="11"/>
          <order val="11"/>
          <tx>
            <strRef>
              <f>'奢侈品 Normalized'!$M$2</f>
              <strCache>
                <ptCount val="1"/>
                <pt idx="0">
                  <v>PVH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Normalized'!$A$55:$A$98</f>
              <numCache>
                <formatCode>yyyy\-mm\-dd</formatCode>
                <ptCount val="44"/>
                <pt idx="0">
                  <v>45992</v>
                </pt>
                <pt idx="1">
                  <v>45996</v>
                </pt>
                <pt idx="2">
                  <v>46003</v>
                </pt>
                <pt idx="3">
                  <v>46010</v>
                </pt>
                <pt idx="4">
                  <v>46017</v>
                </pt>
                <pt idx="5">
                  <v>46024</v>
                </pt>
                <pt idx="6">
                  <v>46031</v>
                </pt>
                <pt idx="7">
                  <v>46038</v>
                </pt>
                <pt idx="8">
                  <v>46045</v>
                </pt>
                <pt idx="9">
                  <v>46052</v>
                </pt>
                <pt idx="10">
                  <v>46059</v>
                </pt>
                <pt idx="11">
                  <v>46066</v>
                </pt>
                <pt idx="12">
                  <v>46073</v>
                </pt>
                <pt idx="13">
                  <v>46080</v>
                </pt>
                <pt idx="14">
                  <v>46087</v>
                </pt>
                <pt idx="15">
                  <v>46094</v>
                </pt>
                <pt idx="16">
                  <v>46101</v>
                </pt>
                <pt idx="17">
                  <v>46108</v>
                </pt>
                <pt idx="18">
                  <v>46115</v>
                </pt>
                <pt idx="19">
                  <v>46122</v>
                </pt>
                <pt idx="20">
                  <v>46129</v>
                </pt>
                <pt idx="21">
                  <v>46136</v>
                </pt>
                <pt idx="22">
                  <v>46143</v>
                </pt>
                <pt idx="23">
                  <v>46150</v>
                </pt>
                <pt idx="24">
                  <v>46157</v>
                </pt>
                <pt idx="25">
                  <v>46164</v>
                </pt>
                <pt idx="26">
                  <v>46171</v>
                </pt>
                <pt idx="27">
                  <v>46178</v>
                </pt>
                <pt idx="28">
                  <v>46185</v>
                </pt>
                <pt idx="29">
                  <v>46192</v>
                </pt>
                <pt idx="30">
                  <v>46199</v>
                </pt>
                <pt idx="31">
                  <v>46206</v>
                </pt>
                <pt idx="32">
                  <v>46213</v>
                </pt>
                <pt idx="33">
                  <v>46220</v>
                </pt>
                <pt idx="34">
                  <v>46227</v>
                </pt>
                <pt idx="35">
                  <v>46234</v>
                </pt>
                <pt idx="36">
                  <v>46241</v>
                </pt>
                <pt idx="37">
                  <v>46248</v>
                </pt>
                <pt idx="38">
                  <v>46255</v>
                </pt>
                <pt idx="39">
                  <v>46262</v>
                </pt>
                <pt idx="40">
                  <v>46269</v>
                </pt>
                <pt idx="41">
                  <v>46276</v>
                </pt>
                <pt idx="42">
                  <v>46283</v>
                </pt>
                <pt idx="43">
                  <v>46290</v>
                </pt>
              </numCache>
            </numRef>
          </cat>
          <val>
            <numRef>
              <f>'奢侈品 Normalized'!$M$55:$M$98</f>
              <numCache>
                <formatCode>0.000</formatCode>
                <ptCount val="44"/>
                <pt idx="0">
                  <v>1</v>
                </pt>
                <pt idx="1">
                  <v>0.972114779167041</v>
                </pt>
                <pt idx="2">
                  <v>0.991634433750112</v>
                </pt>
                <pt idx="3">
                  <v>0.9664477826751821</v>
                </pt>
                <pt idx="4">
                  <v>0.950886030403886</v>
                </pt>
                <pt idx="5">
                  <v>0.9695061617342809</v>
                </pt>
                <pt idx="6">
                  <v>0.878024646937123</v>
                </pt>
                <pt idx="7">
                  <v>0.834577673832869</v>
                </pt>
                <pt idx="8">
                  <v>0.81307906809391</v>
                </pt>
                <pt idx="9">
                  <v>0.749482774129711</v>
                </pt>
                <pt idx="10">
                  <v>0.696230997571287</v>
                </pt>
                <pt idx="11">
                  <v>0.699019519654583</v>
                </pt>
                <pt idx="12">
                  <v>0.706485562651795</v>
                </pt>
                <pt idx="13">
                  <v>0.640910317531708</v>
                </pt>
                <pt idx="14">
                  <v>0.6302059908248629</v>
                </pt>
                <pt idx="15">
                  <v>0.588018350274355</v>
                </pt>
                <pt idx="16">
                  <v>0.623369614104525</v>
                </pt>
                <pt idx="17">
                  <v>0.581451830529819</v>
                </pt>
                <pt idx="18">
                  <v>0.593505442115679</v>
                </pt>
                <pt idx="19">
                  <v>0.632274894306018</v>
                </pt>
                <pt idx="20">
                  <v>0.624269137357201</v>
                </pt>
                <pt idx="21">
                  <v>0.639650984977962</v>
                </pt>
                <pt idx="22">
                  <v>0.643968696590807</v>
                </pt>
                <pt idx="23">
                  <v>0.710083655662499</v>
                </pt>
                <pt idx="24">
                  <v>0.7619861473419089</v>
                </pt>
                <pt idx="25">
                  <v>0.737519114869119</v>
                </pt>
                <pt idx="26">
                  <v>0.738778447422866</v>
                </pt>
                <pt idx="27">
                  <v>0.587568588648017</v>
                </pt>
                <pt idx="28">
                  <v>0.586039399118467</v>
                </pt>
                <pt idx="29">
                  <v>0.569308266618692</v>
                </pt>
                <pt idx="30">
                  <v>0.617072951335792</v>
                </pt>
                <pt idx="31">
                  <v>0.656831879104075</v>
                </pt>
                <pt idx="32">
                  <v>0.650805073311145</v>
                </pt>
                <pt idx="33">
                  <v>0.659080687235765</v>
                </pt>
                <pt idx="34">
                  <v>0.69200323828371</v>
                </pt>
                <pt idx="35">
                  <v>0.669874966267878</v>
                </pt>
                <pt idx="36">
                  <v>0.6462175047224969</v>
                </pt>
                <pt idx="37">
                  <v>0.685796527840245</v>
                </pt>
                <pt idx="38">
                  <v>0.734010974183683</v>
                </pt>
                <pt idx="39">
                  <v>0.758478006656472</v>
                </pt>
                <pt idx="40">
                  <v>0.7611765764145</v>
                </pt>
                <pt idx="41">
                  <v>0.755779436898444</v>
                </pt>
                <pt idx="42">
                  <v>0.76531438337681</v>
                </pt>
                <pt idx="43">
                  <v>0.763515336871458</v>
                </pt>
              </numCache>
            </numRef>
          </val>
          <smooth val="0"/>
        </ser>
        <ser>
          <idx val="12"/>
          <order val="12"/>
          <tx>
            <strRef>
              <f>'奢侈品 Normalized'!$N$2</f>
              <strCache>
                <ptCount val="1"/>
                <pt idx="0">
                  <v>TPR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Normalized'!$A$55:$A$98</f>
              <numCache>
                <formatCode>yyyy\-mm\-dd</formatCode>
                <ptCount val="44"/>
                <pt idx="0">
                  <v>45992</v>
                </pt>
                <pt idx="1">
                  <v>45996</v>
                </pt>
                <pt idx="2">
                  <v>46003</v>
                </pt>
                <pt idx="3">
                  <v>46010</v>
                </pt>
                <pt idx="4">
                  <v>46017</v>
                </pt>
                <pt idx="5">
                  <v>46024</v>
                </pt>
                <pt idx="6">
                  <v>46031</v>
                </pt>
                <pt idx="7">
                  <v>46038</v>
                </pt>
                <pt idx="8">
                  <v>46045</v>
                </pt>
                <pt idx="9">
                  <v>46052</v>
                </pt>
                <pt idx="10">
                  <v>46059</v>
                </pt>
                <pt idx="11">
                  <v>46066</v>
                </pt>
                <pt idx="12">
                  <v>46073</v>
                </pt>
                <pt idx="13">
                  <v>46080</v>
                </pt>
                <pt idx="14">
                  <v>46087</v>
                </pt>
                <pt idx="15">
                  <v>46094</v>
                </pt>
                <pt idx="16">
                  <v>46101</v>
                </pt>
                <pt idx="17">
                  <v>46108</v>
                </pt>
                <pt idx="18">
                  <v>46115</v>
                </pt>
                <pt idx="19">
                  <v>46122</v>
                </pt>
                <pt idx="20">
                  <v>46129</v>
                </pt>
                <pt idx="21">
                  <v>46136</v>
                </pt>
                <pt idx="22">
                  <v>46143</v>
                </pt>
                <pt idx="23">
                  <v>46150</v>
                </pt>
                <pt idx="24">
                  <v>46157</v>
                </pt>
                <pt idx="25">
                  <v>46164</v>
                </pt>
                <pt idx="26">
                  <v>46171</v>
                </pt>
                <pt idx="27">
                  <v>46178</v>
                </pt>
                <pt idx="28">
                  <v>46185</v>
                </pt>
                <pt idx="29">
                  <v>46192</v>
                </pt>
                <pt idx="30">
                  <v>46199</v>
                </pt>
                <pt idx="31">
                  <v>46206</v>
                </pt>
                <pt idx="32">
                  <v>46213</v>
                </pt>
                <pt idx="33">
                  <v>46220</v>
                </pt>
                <pt idx="34">
                  <v>46227</v>
                </pt>
                <pt idx="35">
                  <v>46234</v>
                </pt>
                <pt idx="36">
                  <v>46241</v>
                </pt>
                <pt idx="37">
                  <v>46248</v>
                </pt>
                <pt idx="38">
                  <v>46255</v>
                </pt>
                <pt idx="39">
                  <v>46262</v>
                </pt>
                <pt idx="40">
                  <v>46269</v>
                </pt>
                <pt idx="41">
                  <v>46276</v>
                </pt>
                <pt idx="42">
                  <v>46283</v>
                </pt>
                <pt idx="43">
                  <v>46290</v>
                </pt>
              </numCache>
            </numRef>
          </cat>
          <val>
            <numRef>
              <f>'奢侈品 Normalized'!$N$55:$N$98</f>
              <numCache>
                <formatCode>0.000</formatCode>
                <ptCount val="44"/>
                <pt idx="0">
                  <v>1</v>
                </pt>
                <pt idx="1">
                  <v>0.964230411892227</v>
                </pt>
                <pt idx="2">
                  <v>0.994115825332921</v>
                </pt>
                <pt idx="3">
                  <v>1.00232270052648</v>
                </pt>
                <pt idx="4">
                  <v>1.01920099101889</v>
                </pt>
                <pt idx="5">
                  <v>1.0476927841437</v>
                </pt>
                <pt idx="6">
                  <v>1.03360173428306</v>
                </pt>
                <pt idx="7">
                  <v>1.10545060390214</v>
                </pt>
                <pt idx="8">
                  <v>1.12279343449985</v>
                </pt>
                <pt idx="9">
                  <v>1.1385877980799</v>
                </pt>
                <pt idx="10">
                  <v>1.22406317745432</v>
                </pt>
                <pt idx="11">
                  <v>1.35800557448126</v>
                </pt>
                <pt idx="12">
                  <v>1.30675131619697</v>
                </pt>
                <pt idx="13">
                  <v>1.30210591514401</v>
                </pt>
                <pt idx="14">
                  <v>1.09476618148033</v>
                </pt>
                <pt idx="15">
                  <v>1.10281820997213</v>
                </pt>
                <pt idx="16">
                  <v>1.17249922576649</v>
                </pt>
                <pt idx="17">
                  <v>1.09027562712914</v>
                </pt>
                <pt idx="18">
                  <v>0.975379374419325</v>
                </pt>
                <pt idx="19">
                  <v>0.98761226385878</v>
                </pt>
                <pt idx="20">
                  <v>0.9783214617528651</v>
                </pt>
                <pt idx="21">
                  <v>1.07246825642614</v>
                </pt>
                <pt idx="22">
                  <v>1.13487147723754</v>
                </pt>
                <pt idx="23">
                  <v>1.27996283679158</v>
                </pt>
                <pt idx="24">
                  <v>1.27547228244038</v>
                </pt>
                <pt idx="25">
                  <v>1.1903065964695</v>
                </pt>
                <pt idx="26">
                  <v>1.21647568906782</v>
                </pt>
                <pt idx="27">
                  <v>1.22731495819139</v>
                </pt>
                <pt idx="28">
                  <v>1.30473830907402</v>
                </pt>
                <pt idx="29">
                  <v>1.32781046763704</v>
                </pt>
                <pt idx="30">
                  <v>1.35970888820068</v>
                </pt>
                <pt idx="31">
                  <v>1.43186745122329</v>
                </pt>
                <pt idx="32">
                  <v>1.57246825642614</v>
                </pt>
                <pt idx="33">
                  <v>1.64772375348405</v>
                </pt>
                <pt idx="34">
                  <v>1.70981728089192</v>
                </pt>
                <pt idx="35">
                  <v>1.73257974605141</v>
                </pt>
                <pt idx="36">
                  <v>1.67172499225766</v>
                </pt>
                <pt idx="37">
                  <v>1.54707339733664</v>
                </pt>
                <pt idx="38">
                  <v>1.52477547228244</v>
                </pt>
                <pt idx="39">
                  <v>1.5766491173738</v>
                </pt>
                <pt idx="40">
                  <v>1.62310312790338</v>
                </pt>
                <pt idx="41">
                  <v>1.70594611334779</v>
                </pt>
                <pt idx="42">
                  <v>1.76339423970269</v>
                </pt>
                <pt idx="43">
                  <v>1.7259213378755</v>
                </pt>
              </numCache>
            </numRef>
          </val>
          <smooth val="0"/>
        </ser>
        <ser>
          <idx val="13"/>
          <order val="13"/>
          <tx>
            <strRef>
              <f>'奢侈品 Normalized'!$O$2</f>
              <strCache>
                <ptCount val="1"/>
                <pt idx="0">
                  <v>GOOS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Normalized'!$A$55:$A$98</f>
              <numCache>
                <formatCode>yyyy\-mm\-dd</formatCode>
                <ptCount val="44"/>
                <pt idx="0">
                  <v>45992</v>
                </pt>
                <pt idx="1">
                  <v>45996</v>
                </pt>
                <pt idx="2">
                  <v>46003</v>
                </pt>
                <pt idx="3">
                  <v>46010</v>
                </pt>
                <pt idx="4">
                  <v>46017</v>
                </pt>
                <pt idx="5">
                  <v>46024</v>
                </pt>
                <pt idx="6">
                  <v>46031</v>
                </pt>
                <pt idx="7">
                  <v>46038</v>
                </pt>
                <pt idx="8">
                  <v>46045</v>
                </pt>
                <pt idx="9">
                  <v>46052</v>
                </pt>
                <pt idx="10">
                  <v>46059</v>
                </pt>
                <pt idx="11">
                  <v>46066</v>
                </pt>
                <pt idx="12">
                  <v>46073</v>
                </pt>
                <pt idx="13">
                  <v>46080</v>
                </pt>
                <pt idx="14">
                  <v>46087</v>
                </pt>
                <pt idx="15">
                  <v>46094</v>
                </pt>
                <pt idx="16">
                  <v>46101</v>
                </pt>
                <pt idx="17">
                  <v>46108</v>
                </pt>
                <pt idx="18">
                  <v>46115</v>
                </pt>
                <pt idx="19">
                  <v>46122</v>
                </pt>
                <pt idx="20">
                  <v>46129</v>
                </pt>
                <pt idx="21">
                  <v>46136</v>
                </pt>
                <pt idx="22">
                  <v>46143</v>
                </pt>
                <pt idx="23">
                  <v>46150</v>
                </pt>
                <pt idx="24">
                  <v>46157</v>
                </pt>
                <pt idx="25">
                  <v>46164</v>
                </pt>
                <pt idx="26">
                  <v>46171</v>
                </pt>
                <pt idx="27">
                  <v>46178</v>
                </pt>
                <pt idx="28">
                  <v>46185</v>
                </pt>
                <pt idx="29">
                  <v>46192</v>
                </pt>
                <pt idx="30">
                  <v>46199</v>
                </pt>
                <pt idx="31">
                  <v>46206</v>
                </pt>
                <pt idx="32">
                  <v>46213</v>
                </pt>
                <pt idx="33">
                  <v>46220</v>
                </pt>
                <pt idx="34">
                  <v>46227</v>
                </pt>
                <pt idx="35">
                  <v>46234</v>
                </pt>
                <pt idx="36">
                  <v>46241</v>
                </pt>
                <pt idx="37">
                  <v>46248</v>
                </pt>
                <pt idx="38">
                  <v>46255</v>
                </pt>
                <pt idx="39">
                  <v>46262</v>
                </pt>
                <pt idx="40">
                  <v>46269</v>
                </pt>
                <pt idx="41">
                  <v>46276</v>
                </pt>
                <pt idx="42">
                  <v>46283</v>
                </pt>
                <pt idx="43">
                  <v>46290</v>
                </pt>
              </numCache>
            </numRef>
          </cat>
          <val>
            <numRef>
              <f>'奢侈品 Normalized'!$O$55:$O$98</f>
              <numCache>
                <formatCode>0.000</formatCode>
                <ptCount val="44"/>
                <pt idx="0">
                  <v>1</v>
                </pt>
                <pt idx="1">
                  <v>1.04068047337278</v>
                </pt>
                <pt idx="2">
                  <v>1.05621301775148</v>
                </pt>
                <pt idx="3">
                  <v>1.07248520710059</v>
                </pt>
                <pt idx="4">
                  <v>1.04733727810651</v>
                </pt>
                <pt idx="5">
                  <v>1.10576923076923</v>
                </pt>
                <pt idx="6">
                  <v>1.05103550295858</v>
                </pt>
                <pt idx="7">
                  <v>1.10133136094675</v>
                </pt>
                <pt idx="8">
                  <v>1.14644970414201</v>
                </pt>
                <pt idx="9">
                  <v>1.12721893491124</v>
                </pt>
                <pt idx="10">
                  <v>1.04215976331361</v>
                </pt>
                <pt idx="11">
                  <v>1.05769230769231</v>
                </pt>
                <pt idx="12">
                  <v>1.22485207100592</v>
                </pt>
                <pt idx="13">
                  <v>1.04585798816568</v>
                </pt>
                <pt idx="14">
                  <v>0.995562130177515</v>
                </pt>
                <pt idx="15">
                  <v>0.901627218934911</v>
                </pt>
                <pt idx="16">
                  <v>0.91198224852071</v>
                </pt>
                <pt idx="17">
                  <v>0.843934911242604</v>
                </pt>
                <pt idx="18">
                  <v>0.769970414201184</v>
                </pt>
                <pt idx="19">
                  <v>0.803254437869822</v>
                </pt>
                <pt idx="20">
                  <v>0.835798816568047</v>
                </pt>
                <pt idx="21">
                  <v>0.850591715976331</v>
                </pt>
                <pt idx="22">
                  <v>0.857248520710059</v>
                </pt>
                <pt idx="23">
                  <v>0.935650887573965</v>
                </pt>
                <pt idx="24">
                  <v>0.942307692307692</v>
                </pt>
                <pt idx="25">
                  <v>1.22041420118343</v>
                </pt>
                <pt idx="26">
                  <v>1.16346153846154</v>
                </pt>
                <pt idx="27">
                  <v>1.18713017751479</v>
                </pt>
                <pt idx="28">
                  <v>1.16494082840237</v>
                </pt>
                <pt idx="29">
                  <v>1.14866863905325</v>
                </pt>
                <pt idx="30">
                  <v>1.12647928994083</v>
                </pt>
                <pt idx="31">
                  <v>1.26923076923077</v>
                </pt>
                <pt idx="32">
                  <v>1.39644970414201</v>
                </pt>
                <pt idx="33">
                  <v>1.43565088757396</v>
                </pt>
                <pt idx="34">
                  <v>1.39201183431953</v>
                </pt>
                <pt idx="35">
                  <v>1.15014792899408</v>
                </pt>
                <pt idx="36">
                  <v>1.12795857988166</v>
                </pt>
                <pt idx="37">
                  <v>1.15310650887574</v>
                </pt>
                <pt idx="38">
                  <v>1.20784023668639</v>
                </pt>
                <pt idx="39">
                  <v>1.31656804733728</v>
                </pt>
                <pt idx="40">
                  <v>1.54215976331361</v>
                </pt>
                <pt idx="41">
                  <v>1.45192307692308</v>
                </pt>
                <pt idx="42">
                  <v>1.40014792899408</v>
                </pt>
                <pt idx="43">
                  <v>1.41346153846154</v>
                </pt>
              </numCache>
            </numRef>
          </val>
          <smooth val="0"/>
        </ser>
        <ser>
          <idx val="14"/>
          <order val="14"/>
          <tx>
            <strRef>
              <f>'奢侈品 Normalized'!$P$2</f>
              <strCache>
                <ptCount val="1"/>
                <pt idx="0">
                  <v>ZGN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Normalized'!$A$55:$A$98</f>
              <numCache>
                <formatCode>yyyy\-mm\-dd</formatCode>
                <ptCount val="44"/>
                <pt idx="0">
                  <v>45992</v>
                </pt>
                <pt idx="1">
                  <v>45996</v>
                </pt>
                <pt idx="2">
                  <v>46003</v>
                </pt>
                <pt idx="3">
                  <v>46010</v>
                </pt>
                <pt idx="4">
                  <v>46017</v>
                </pt>
                <pt idx="5">
                  <v>46024</v>
                </pt>
                <pt idx="6">
                  <v>46031</v>
                </pt>
                <pt idx="7">
                  <v>46038</v>
                </pt>
                <pt idx="8">
                  <v>46045</v>
                </pt>
                <pt idx="9">
                  <v>46052</v>
                </pt>
                <pt idx="10">
                  <v>46059</v>
                </pt>
                <pt idx="11">
                  <v>46066</v>
                </pt>
                <pt idx="12">
                  <v>46073</v>
                </pt>
                <pt idx="13">
                  <v>46080</v>
                </pt>
                <pt idx="14">
                  <v>46087</v>
                </pt>
                <pt idx="15">
                  <v>46094</v>
                </pt>
                <pt idx="16">
                  <v>46101</v>
                </pt>
                <pt idx="17">
                  <v>46108</v>
                </pt>
                <pt idx="18">
                  <v>46115</v>
                </pt>
                <pt idx="19">
                  <v>46122</v>
                </pt>
                <pt idx="20">
                  <v>46129</v>
                </pt>
                <pt idx="21">
                  <v>46136</v>
                </pt>
                <pt idx="22">
                  <v>46143</v>
                </pt>
                <pt idx="23">
                  <v>46150</v>
                </pt>
                <pt idx="24">
                  <v>46157</v>
                </pt>
                <pt idx="25">
                  <v>46164</v>
                </pt>
                <pt idx="26">
                  <v>46171</v>
                </pt>
                <pt idx="27">
                  <v>46178</v>
                </pt>
                <pt idx="28">
                  <v>46185</v>
                </pt>
                <pt idx="29">
                  <v>46192</v>
                </pt>
                <pt idx="30">
                  <v>46199</v>
                </pt>
                <pt idx="31">
                  <v>46206</v>
                </pt>
                <pt idx="32">
                  <v>46213</v>
                </pt>
                <pt idx="33">
                  <v>46220</v>
                </pt>
                <pt idx="34">
                  <v>46227</v>
                </pt>
                <pt idx="35">
                  <v>46234</v>
                </pt>
                <pt idx="36">
                  <v>46241</v>
                </pt>
                <pt idx="37">
                  <v>46248</v>
                </pt>
                <pt idx="38">
                  <v>46255</v>
                </pt>
                <pt idx="39">
                  <v>46262</v>
                </pt>
                <pt idx="40">
                  <v>46269</v>
                </pt>
                <pt idx="41">
                  <v>46276</v>
                </pt>
                <pt idx="42">
                  <v>46283</v>
                </pt>
                <pt idx="43">
                  <v>46290</v>
                </pt>
              </numCache>
            </numRef>
          </cat>
          <val>
            <numRef>
              <f>'奢侈品 Normalized'!$P$55:$P$98</f>
              <numCache>
                <formatCode>0.000</formatCode>
                <ptCount val="44"/>
                <pt idx="0">
                  <v>1</v>
                </pt>
                <pt idx="1">
                  <v>1.03536585365854</v>
                </pt>
                <pt idx="2">
                  <v>1.08170731707317</v>
                </pt>
                <pt idx="3">
                  <v>1.03780487804878</v>
                </pt>
                <pt idx="4">
                  <v>1.00609756097561</v>
                </pt>
                <pt idx="5">
                  <v>0.975609756097561</v>
                </pt>
                <pt idx="6">
                  <v>0.9304878048780491</v>
                </pt>
                <pt idx="7">
                  <v>1.01341463414634</v>
                </pt>
                <pt idx="8">
                  <v>1.1609756097561</v>
                </pt>
                <pt idx="9">
                  <v>1.0780487804878</v>
                </pt>
                <pt idx="10">
                  <v>1.07073170731707</v>
                </pt>
                <pt idx="11">
                  <v>1.08780487804878</v>
                </pt>
                <pt idx="12">
                  <v>1.04634146341463</v>
                </pt>
                <pt idx="13">
                  <v>1.01707317073171</v>
                </pt>
                <pt idx="14">
                  <v>0.920731707317073</v>
                </pt>
                <pt idx="15">
                  <v>0.902439024390244</v>
                </pt>
                <pt idx="16">
                  <v>0.891463414634146</v>
                </pt>
                <pt idx="17">
                  <v>0.902439024390244</v>
                </pt>
                <pt idx="18">
                  <v>0.790243902439025</v>
                </pt>
                <pt idx="19">
                  <v>0.835365853658537</v>
                </pt>
                <pt idx="20">
                  <v>0.854878048780488</v>
                </pt>
                <pt idx="21">
                  <v>0.960975609756098</v>
                </pt>
                <pt idx="22">
                  <v>0.989024390243902</v>
                </pt>
                <pt idx="23">
                  <v>1.04146341463415</v>
                </pt>
                <pt idx="24">
                  <v>1.04634146341463</v>
                </pt>
                <pt idx="25">
                  <v>1.02560975609756</v>
                </pt>
                <pt idx="26">
                  <v>1.03780487804878</v>
                </pt>
                <pt idx="27">
                  <v>1.05365853658537</v>
                </pt>
                <pt idx="28">
                  <v>1.10243902439024</v>
                </pt>
                <pt idx="29">
                  <v>1.06585365853659</v>
                </pt>
                <pt idx="30">
                  <v>1.04268292682927</v>
                </pt>
                <pt idx="31">
                  <v>1.09634146341463</v>
                </pt>
                <pt idx="32">
                  <v>1.07317073170732</v>
                </pt>
                <pt idx="33">
                  <v>1.09146341463415</v>
                </pt>
                <pt idx="34">
                  <v>1.10365853658537</v>
                </pt>
                <pt idx="35">
                  <v>0.958536585365854</v>
                </pt>
                <pt idx="36">
                  <v>0.940243902439024</v>
                </pt>
                <pt idx="37">
                  <v>0.975609756097561</v>
                </pt>
                <pt idx="38">
                  <v>1</v>
                </pt>
                <pt idx="39">
                  <v>1.02926829268293</v>
                </pt>
                <pt idx="40">
                  <v>1.1</v>
                </pt>
                <pt idx="41">
                  <v>1.14634146341463</v>
                </pt>
                <pt idx="42">
                  <v>1.15121951219512</v>
                </pt>
                <pt idx="43">
                  <v>1.11585365853659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0"/>
        <smooth val="0"/>
        <axId val="857323737"/>
        <axId val="356452664"/>
      </lineChart>
      <dateAx>
        <axId val="857323737"/>
        <scaling>
          <orientation val="minMax"/>
        </scaling>
        <delete val="0"/>
        <axPos val="b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356452664"/>
        <crosses val="autoZero"/>
        <lblOffset val="100"/>
        <baseTimeUnit val="days"/>
      </dateAx>
      <valAx>
        <axId val="3564526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857323737"/>
        <crosses val="autoZero"/>
        <crossBetween val="between"/>
      </valAx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运动服饰 vs 奢侈品 等权指数（2025-12-01 = 1）</a:t>
            </a:r>
          </a:p>
        </rich>
      </tx>
      <layout/>
      <overlay val="0"/>
    </title>
    <plotArea>
      <layout/>
      <lineChart>
        <grouping val="standard"/>
        <varyColors val="0"/>
        <ser>
          <idx val="0"/>
          <order val="0"/>
          <tx>
            <strRef>
              <f>行业指数!$B$2</f>
              <strCache>
                <ptCount val="1"/>
                <pt idx="0">
                  <v>运动服饰等权指数</v>
                </pt>
              </strCache>
            </strRef>
          </tx>
          <spPr>
            <a:ln xmlns:a="http://schemas.openxmlformats.org/drawingml/2006/main" w="25000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行业指数!$A$3:$A$46</f>
              <numCache>
                <formatCode>yyyy\-mm\-dd\ h:mm:ss</formatCode>
                <ptCount val="44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</numCache>
            </numRef>
          </cat>
          <val>
            <numRef>
              <f>行业指数!$B$3:$B$46</f>
              <numCache>
                <formatCode>General</formatCode>
                <ptCount val="44"/>
                <pt idx="0">
                  <v>1.2199</v>
                </pt>
                <pt idx="1">
                  <v>1.2472</v>
                </pt>
                <pt idx="2">
                  <v>1.248</v>
                </pt>
                <pt idx="3">
                  <v>1.2257</v>
                </pt>
                <pt idx="4">
                  <v>1.2108</v>
                </pt>
                <pt idx="5">
                  <v>1.2128</v>
                </pt>
                <pt idx="6">
                  <v>1.1826</v>
                </pt>
                <pt idx="7">
                  <v>1.1945</v>
                </pt>
                <pt idx="8">
                  <v>1.217</v>
                </pt>
                <pt idx="9">
                  <v>1.1736</v>
                </pt>
                <pt idx="10">
                  <v>1.1267</v>
                </pt>
                <pt idx="11">
                  <v>1.132</v>
                </pt>
                <pt idx="12">
                  <v>1.1053</v>
                </pt>
                <pt idx="13">
                  <v>1.0575</v>
                </pt>
                <pt idx="14">
                  <v>1.0387</v>
                </pt>
                <pt idx="15">
                  <v>1.0344</v>
                </pt>
                <pt idx="16">
                  <v>1.0251</v>
                </pt>
                <pt idx="17">
                  <v>0.9724</v>
                </pt>
                <pt idx="18">
                  <v>0.854</v>
                </pt>
                <pt idx="19">
                  <v>0.8853</v>
                </pt>
                <pt idx="20">
                  <v>0.875</v>
                </pt>
                <pt idx="21">
                  <v>0.9265</v>
                </pt>
                <pt idx="22">
                  <v>0.9500999999999999</v>
                </pt>
                <pt idx="23">
                  <v>1.0365</v>
                </pt>
                <pt idx="24">
                  <v>1.0418</v>
                </pt>
                <pt idx="25">
                  <v>1.0143</v>
                </pt>
                <pt idx="26">
                  <v>1.003</v>
                </pt>
                <pt idx="27">
                  <v>1.0116</v>
                </pt>
                <pt idx="28">
                  <v>0.9886</v>
                </pt>
                <pt idx="29">
                  <v>0.9671999999999999</v>
                </pt>
                <pt idx="30">
                  <v>1.0012</v>
                </pt>
                <pt idx="31">
                  <v>1.0247</v>
                </pt>
                <pt idx="32">
                  <v>1.0047</v>
                </pt>
                <pt idx="33">
                  <v>1.0216</v>
                </pt>
                <pt idx="34">
                  <v>1.0393</v>
                </pt>
                <pt idx="35">
                  <v>0.9844000000000001</v>
                </pt>
                <pt idx="36">
                  <v>0.9613</v>
                </pt>
                <pt idx="37">
                  <v>1.0139</v>
                </pt>
                <pt idx="38">
                  <v>1.0517</v>
                </pt>
                <pt idx="39">
                  <v>1.0493</v>
                </pt>
                <pt idx="40">
                  <v>1.0615</v>
                </pt>
                <pt idx="41">
                  <v>1.0442</v>
                </pt>
                <pt idx="42">
                  <v>1.0315</v>
                </pt>
                <pt idx="43">
                  <v>1.0128</v>
                </pt>
              </numCache>
            </numRef>
          </val>
          <smooth val="0"/>
        </ser>
        <ser>
          <idx val="1"/>
          <order val="1"/>
          <tx>
            <strRef>
              <f>行业指数!$C$2</f>
              <strCache>
                <ptCount val="1"/>
                <pt idx="0">
                  <v>奢侈品等权指数</v>
                </pt>
              </strCache>
            </strRef>
          </tx>
          <spPr>
            <a:ln xmlns:a="http://schemas.openxmlformats.org/drawingml/2006/main" w="25000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行业指数!$A$3:$A$46</f>
              <numCache>
                <formatCode>yyyy\-mm\-dd\ h:mm:ss</formatCode>
                <ptCount val="44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</numCache>
            </numRef>
          </cat>
          <val>
            <numRef>
              <f>行业指数!$C$3:$C$46</f>
              <numCache>
                <formatCode>General</formatCode>
                <ptCount val="44"/>
                <pt idx="0">
                  <v>0.8972</v>
                </pt>
                <pt idx="1">
                  <v>0.9394</v>
                </pt>
                <pt idx="2">
                  <v>0.9412</v>
                </pt>
                <pt idx="3">
                  <v>0.9367</v>
                </pt>
                <pt idx="4">
                  <v>0.9305</v>
                </pt>
                <pt idx="5">
                  <v>0.9344</v>
                </pt>
                <pt idx="6">
                  <v>0.9358</v>
                </pt>
                <pt idx="7">
                  <v>0.9746</v>
                </pt>
                <pt idx="8">
                  <v>1.0345</v>
                </pt>
                <pt idx="9">
                  <v>1.0109</v>
                </pt>
                <pt idx="10">
                  <v>1.0003</v>
                </pt>
                <pt idx="11">
                  <v>1.0557</v>
                </pt>
                <pt idx="12">
                  <v>1.0357</v>
                </pt>
                <pt idx="13">
                  <v>1.0242</v>
                </pt>
                <pt idx="14">
                  <v>0.9151</v>
                </pt>
                <pt idx="15">
                  <v>0.8879</v>
                </pt>
                <pt idx="16">
                  <v>0.8767</v>
                </pt>
                <pt idx="17">
                  <v>0.8333</v>
                </pt>
                <pt idx="18">
                  <v>0.7159</v>
                </pt>
                <pt idx="19">
                  <v>0.7595</v>
                </pt>
                <pt idx="20">
                  <v>0.7393999999999999</v>
                </pt>
                <pt idx="21">
                  <v>0.7892</v>
                </pt>
                <pt idx="22">
                  <v>0.7995</v>
                </pt>
                <pt idx="23">
                  <v>0.8636</v>
                </pt>
                <pt idx="24">
                  <v>0.8782</v>
                </pt>
                <pt idx="25">
                  <v>0.8498</v>
                </pt>
                <pt idx="26">
                  <v>0.8534</v>
                </pt>
                <pt idx="27">
                  <v>0.8408</v>
                </pt>
                <pt idx="28">
                  <v>0.8381</v>
                </pt>
                <pt idx="29">
                  <v>0.8075</v>
                </pt>
                <pt idx="30">
                  <v>0.8352000000000001</v>
                </pt>
                <pt idx="31">
                  <v>0.8742</v>
                </pt>
                <pt idx="32">
                  <v>0.8819</v>
                </pt>
                <pt idx="33">
                  <v>0.8893</v>
                </pt>
                <pt idx="34">
                  <v>0.9028</v>
                </pt>
                <pt idx="35">
                  <v>0.8342000000000001</v>
                </pt>
                <pt idx="36">
                  <v>0.8114</v>
                </pt>
                <pt idx="37">
                  <v>0.828</v>
                </pt>
                <pt idx="38">
                  <v>0.8554</v>
                </pt>
                <pt idx="39">
                  <v>0.8831</v>
                </pt>
                <pt idx="40">
                  <v>0.8997000000000001</v>
                </pt>
                <pt idx="41">
                  <v>0.9061</v>
                </pt>
                <pt idx="42">
                  <v>0.9122</v>
                </pt>
                <pt idx="43">
                  <v>0.9204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0"/>
        <smooth val="0"/>
        <axId val="10"/>
        <axId val="100"/>
      </lineChart>
      <date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0"/>
        <crosses val="autoZero"/>
        <lblOffset val="100"/>
        <baseTimeUnit val="days"/>
      </date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归一化</a:t>
                </a:r>
              </a:p>
            </rich>
          </tx>
          <layout/>
          <overlay val="0"/>
        </title>
        <numFmt formatCode="0.00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between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可选消费 ETF（2025-01-01 = 1）</a:t>
            </a:r>
          </a:p>
        </rich>
      </tx>
      <layout/>
      <overlay val="0"/>
    </title>
    <plotArea>
      <layout/>
      <lineChart>
        <grouping val="standard"/>
        <varyColors val="0"/>
        <ser>
          <idx val="0"/>
          <order val="0"/>
          <tx>
            <strRef>
              <f>可选消费ETFs!$E$2</f>
              <strCache>
                <ptCount val="1"/>
                <pt idx="0">
                  <v>XLY Norm</v>
                </pt>
              </strCache>
            </strRef>
          </tx>
          <spPr>
            <a:ln xmlns:a="http://schemas.openxmlformats.org/drawingml/2006/main" w="22000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可选消费ETFs!$A$3:$A$96</f>
              <numCache>
                <formatCode>yyyy\-mm\-dd</formatCode>
                <ptCount val="94"/>
                <pt idx="0">
                  <v>45658</v>
                </pt>
                <pt idx="1">
                  <v>45660</v>
                </pt>
                <pt idx="2">
                  <v>45667</v>
                </pt>
                <pt idx="3">
                  <v>45674</v>
                </pt>
                <pt idx="4">
                  <v>45681</v>
                </pt>
                <pt idx="5">
                  <v>45688</v>
                </pt>
                <pt idx="6">
                  <v>45695</v>
                </pt>
                <pt idx="7">
                  <v>45702</v>
                </pt>
                <pt idx="8">
                  <v>45709</v>
                </pt>
                <pt idx="9">
                  <v>45716</v>
                </pt>
                <pt idx="10">
                  <v>45723</v>
                </pt>
                <pt idx="11">
                  <v>45730</v>
                </pt>
                <pt idx="12">
                  <v>45737</v>
                </pt>
                <pt idx="13">
                  <v>45744</v>
                </pt>
                <pt idx="14">
                  <v>45751</v>
                </pt>
                <pt idx="15">
                  <v>45758</v>
                </pt>
                <pt idx="16">
                  <v>45765</v>
                </pt>
                <pt idx="17">
                  <v>45772</v>
                </pt>
                <pt idx="18">
                  <v>45779</v>
                </pt>
                <pt idx="19">
                  <v>45786</v>
                </pt>
                <pt idx="20">
                  <v>45793</v>
                </pt>
                <pt idx="21">
                  <v>45800</v>
                </pt>
                <pt idx="22">
                  <v>45807</v>
                </pt>
                <pt idx="23">
                  <v>45814</v>
                </pt>
                <pt idx="24">
                  <v>45821</v>
                </pt>
                <pt idx="25">
                  <v>45828</v>
                </pt>
                <pt idx="26">
                  <v>45835</v>
                </pt>
                <pt idx="27">
                  <v>45842</v>
                </pt>
                <pt idx="28">
                  <v>45849</v>
                </pt>
                <pt idx="29">
                  <v>45856</v>
                </pt>
                <pt idx="30">
                  <v>45863</v>
                </pt>
                <pt idx="31">
                  <v>45870</v>
                </pt>
                <pt idx="32">
                  <v>45877</v>
                </pt>
                <pt idx="33">
                  <v>45884</v>
                </pt>
                <pt idx="34">
                  <v>45891</v>
                </pt>
                <pt idx="35">
                  <v>45898</v>
                </pt>
                <pt idx="36">
                  <v>45905</v>
                </pt>
                <pt idx="37">
                  <v>45912</v>
                </pt>
                <pt idx="38">
                  <v>45919</v>
                </pt>
                <pt idx="39">
                  <v>45926</v>
                </pt>
                <pt idx="40">
                  <v>45933</v>
                </pt>
                <pt idx="41">
                  <v>45940</v>
                </pt>
                <pt idx="42">
                  <v>45947</v>
                </pt>
                <pt idx="43">
                  <v>45954</v>
                </pt>
                <pt idx="44">
                  <v>45961</v>
                </pt>
                <pt idx="45">
                  <v>45968</v>
                </pt>
                <pt idx="46">
                  <v>45975</v>
                </pt>
                <pt idx="47">
                  <v>45982</v>
                </pt>
                <pt idx="48">
                  <v>45989</v>
                </pt>
                <pt idx="49">
                  <v>45996</v>
                </pt>
                <pt idx="50">
                  <v>46003</v>
                </pt>
                <pt idx="51">
                  <v>46010</v>
                </pt>
                <pt idx="52">
                  <v>46017</v>
                </pt>
                <pt idx="53">
                  <v>46024</v>
                </pt>
                <pt idx="54">
                  <v>46031</v>
                </pt>
                <pt idx="55">
                  <v>46038</v>
                </pt>
                <pt idx="56">
                  <v>46045</v>
                </pt>
                <pt idx="57">
                  <v>46052</v>
                </pt>
                <pt idx="58">
                  <v>46059</v>
                </pt>
                <pt idx="59">
                  <v>46066</v>
                </pt>
                <pt idx="60">
                  <v>46073</v>
                </pt>
                <pt idx="61">
                  <v>46080</v>
                </pt>
                <pt idx="62">
                  <v>46087</v>
                </pt>
                <pt idx="63">
                  <v>46094</v>
                </pt>
                <pt idx="64">
                  <v>46101</v>
                </pt>
                <pt idx="65">
                  <v>46108</v>
                </pt>
                <pt idx="66">
                  <v>46115</v>
                </pt>
                <pt idx="67">
                  <v>46122</v>
                </pt>
                <pt idx="68">
                  <v>46129</v>
                </pt>
                <pt idx="69">
                  <v>46136</v>
                </pt>
                <pt idx="70">
                  <v>46143</v>
                </pt>
                <pt idx="71">
                  <v>46150</v>
                </pt>
                <pt idx="72">
                  <v>46157</v>
                </pt>
                <pt idx="73">
                  <v>46164</v>
                </pt>
                <pt idx="74">
                  <v>46171</v>
                </pt>
                <pt idx="75">
                  <v>46178</v>
                </pt>
                <pt idx="76">
                  <v>46185</v>
                </pt>
                <pt idx="77">
                  <v>46192</v>
                </pt>
                <pt idx="78">
                  <v>46199</v>
                </pt>
                <pt idx="79">
                  <v>46206</v>
                </pt>
                <pt idx="80">
                  <v>46213</v>
                </pt>
                <pt idx="81">
                  <v>46220</v>
                </pt>
                <pt idx="82">
                  <v>46227</v>
                </pt>
                <pt idx="83">
                  <v>46234</v>
                </pt>
                <pt idx="84">
                  <v>46241</v>
                </pt>
                <pt idx="85">
                  <v>46248</v>
                </pt>
                <pt idx="86">
                  <v>46255</v>
                </pt>
                <pt idx="87">
                  <v>46262</v>
                </pt>
                <pt idx="88">
                  <v>46269</v>
                </pt>
                <pt idx="89">
                  <v>46276</v>
                </pt>
                <pt idx="90">
                  <v>46283</v>
                </pt>
                <pt idx="91">
                  <v>46290</v>
                </pt>
                <pt idx="92">
                  <v>46297</v>
                </pt>
                <pt idx="93">
                  <v>46304</v>
                </pt>
              </numCache>
            </numRef>
          </cat>
          <val>
            <numRef>
              <f>可选消费ETFs!$E$3:$E$96</f>
              <numCache>
                <formatCode>0.0000</formatCode>
                <ptCount val="94"/>
                <pt idx="0">
                  <v>1</v>
                </pt>
                <pt idx="1">
                  <v>1.0202</v>
                </pt>
                <pt idx="2">
                  <v>0.9974</v>
                </pt>
                <pt idx="3">
                  <v>1.0353</v>
                </pt>
                <pt idx="4">
                  <v>1.0389</v>
                </pt>
                <pt idx="5">
                  <v>1.0486</v>
                </pt>
                <pt idx="6">
                  <v>1.0189</v>
                </pt>
                <pt idx="7">
                  <v>1.0253</v>
                </pt>
                <pt idx="8">
                  <v>0.9864000000000001</v>
                </pt>
                <pt idx="9">
                  <v>0.9754</v>
                </pt>
                <pt idx="10">
                  <v>0.929</v>
                </pt>
                <pt idx="11">
                  <v>0.8884</v>
                </pt>
                <pt idx="12">
                  <v>0.8918</v>
                </pt>
                <pt idx="13">
                  <v>0.89</v>
                </pt>
                <pt idx="14">
                  <v>0.8256</v>
                </pt>
                <pt idx="15">
                  <v>0.8569</v>
                </pt>
                <pt idx="16">
                  <v>0.8374</v>
                </pt>
                <pt idx="17">
                  <v>0.8925</v>
                </pt>
                <pt idx="18">
                  <v>0.9098000000000001</v>
                </pt>
                <pt idx="19">
                  <v>0.9142</v>
                </pt>
                <pt idx="20">
                  <v>0.9832</v>
                </pt>
                <pt idx="21">
                  <v>0.9514</v>
                </pt>
                <pt idx="22">
                  <v>0.9657</v>
                </pt>
                <pt idx="23">
                  <v>0.9583</v>
                </pt>
                <pt idx="24">
                  <v>0.9564</v>
                </pt>
                <pt idx="25">
                  <v>0.9516</v>
                </pt>
                <pt idx="26">
                  <v>0.9873</v>
                </pt>
                <pt idx="27">
                  <v>0.9991</v>
                </pt>
                <pt idx="28">
                  <v>1.0001</v>
                </pt>
                <pt idx="29">
                  <v>1.0035</v>
                </pt>
                <pt idx="30">
                  <v>1.0157</v>
                </pt>
                <pt idx="31">
                  <v>0.976</v>
                </pt>
                <pt idx="32">
                  <v>1.0107</v>
                </pt>
                <pt idx="33">
                  <v>1.0345</v>
                </pt>
                <pt idx="34">
                  <v>1.0528</v>
                </pt>
                <pt idx="35">
                  <v>1.0467</v>
                </pt>
                <pt idx="36">
                  <v>1.0619</v>
                </pt>
                <pt idx="37">
                  <v>1.0778</v>
                </pt>
                <pt idx="38">
                  <v>1.0903</v>
                </pt>
                <pt idx="39">
                  <v>1.0827</v>
                </pt>
                <pt idx="40">
                  <v>1.0743</v>
                </pt>
                <pt idx="41">
                  <v>1.0332</v>
                </pt>
                <pt idx="42">
                  <v>1.0588</v>
                </pt>
                <pt idx="43">
                  <v>1.0734</v>
                </pt>
                <pt idx="44">
                  <v>1.0837</v>
                </pt>
                <pt idx="45">
                  <v>1.0653</v>
                </pt>
                <pt idx="46">
                  <v>1.0429</v>
                </pt>
                <pt idx="47">
                  <v>1.0185</v>
                </pt>
                <pt idx="48">
                  <v>1.068</v>
                </pt>
                <pt idx="49">
                  <v>1.0816</v>
                </pt>
                <pt idx="50">
                  <v>1.0903</v>
                </pt>
                <pt idx="51">
                  <v>1.1007</v>
                </pt>
                <pt idx="52">
                  <v>1.1025</v>
                </pt>
                <pt idx="53">
                  <v>1.0691</v>
                </pt>
                <pt idx="54">
                  <v>1.1238</v>
                </pt>
                <pt idx="55">
                  <v>1.1048</v>
                </pt>
                <pt idx="56">
                  <v>1.1123</v>
                </pt>
                <pt idx="57">
                  <v>1.0946</v>
                </pt>
                <pt idx="58">
                  <v>1.0659</v>
                </pt>
                <pt idx="59">
                  <v>1.0495</v>
                </pt>
                <pt idx="60">
                  <v>1.061</v>
                </pt>
                <pt idx="61">
                  <v>1.0556</v>
                </pt>
                <pt idx="62">
                  <v>1.0338</v>
                </pt>
                <pt idx="63">
                  <v>1.0014</v>
                </pt>
                <pt idx="64">
                  <v>0.9733000000000001</v>
                </pt>
                <pt idx="65">
                  <v>0.9547</v>
                </pt>
                <pt idx="66">
                  <v>0.977</v>
                </pt>
                <pt idx="67">
                  <v>1.0198</v>
                </pt>
                <pt idx="68">
                  <v>1.0877</v>
                </pt>
                <pt idx="69">
                  <v>1.0722</v>
                </pt>
                <pt idx="70">
                  <v>1.0716</v>
                </pt>
                <pt idx="71">
                  <v>1.0858</v>
                </pt>
                <pt idx="72">
                  <v>1.0527</v>
                </pt>
                <pt idx="73">
                  <v>1.0766</v>
                </pt>
                <pt idx="74">
                  <v>1.0919</v>
                </pt>
                <pt idx="75">
                  <v>1.0376</v>
                </pt>
                <pt idx="76">
                  <v>1.0533</v>
                </pt>
                <pt idx="77">
                  <v>1.0584</v>
                </pt>
                <pt idx="78">
                  <v>1.0332</v>
                </pt>
                <pt idx="79">
                  <v>1.058</v>
                </pt>
                <pt idx="80">
                  <v>1.0591</v>
                </pt>
                <pt idx="81">
                  <v>1.0428</v>
                </pt>
                <pt idx="82">
                  <v>0.9883</v>
                </pt>
                <pt idx="83">
                  <v>1.0487</v>
                </pt>
                <pt idx="84">
                  <v>1.0827</v>
                </pt>
                <pt idx="85">
                  <v>1.0678</v>
                </pt>
                <pt idx="86">
                  <v>1.0661</v>
                </pt>
                <pt idx="87">
                  <v>1.0588</v>
                </pt>
                <pt idx="88">
                  <v>1.038</v>
                </pt>
                <pt idx="89">
                  <v>1.0204</v>
                </pt>
                <pt idx="90">
                  <v>1.003</v>
                </pt>
                <pt idx="91">
                  <v>1.0138</v>
                </pt>
                <pt idx="92">
                  <v>0.994</v>
                </pt>
                <pt idx="93">
                  <v>1.0194</v>
                </pt>
              </numCache>
            </numRef>
          </val>
          <smooth val="0"/>
        </ser>
        <ser>
          <idx val="1"/>
          <order val="1"/>
          <tx>
            <strRef>
              <f>可选消费ETFs!$F$2</f>
              <strCache>
                <ptCount val="1"/>
                <pt idx="0">
                  <v>RSPD Norm</v>
                </pt>
              </strCache>
            </strRef>
          </tx>
          <spPr>
            <a:ln xmlns:a="http://schemas.openxmlformats.org/drawingml/2006/main" w="22000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可选消费ETFs!$A$3:$A$96</f>
              <numCache>
                <formatCode>yyyy\-mm\-dd</formatCode>
                <ptCount val="94"/>
                <pt idx="0">
                  <v>45658</v>
                </pt>
                <pt idx="1">
                  <v>45660</v>
                </pt>
                <pt idx="2">
                  <v>45667</v>
                </pt>
                <pt idx="3">
                  <v>45674</v>
                </pt>
                <pt idx="4">
                  <v>45681</v>
                </pt>
                <pt idx="5">
                  <v>45688</v>
                </pt>
                <pt idx="6">
                  <v>45695</v>
                </pt>
                <pt idx="7">
                  <v>45702</v>
                </pt>
                <pt idx="8">
                  <v>45709</v>
                </pt>
                <pt idx="9">
                  <v>45716</v>
                </pt>
                <pt idx="10">
                  <v>45723</v>
                </pt>
                <pt idx="11">
                  <v>45730</v>
                </pt>
                <pt idx="12">
                  <v>45737</v>
                </pt>
                <pt idx="13">
                  <v>45744</v>
                </pt>
                <pt idx="14">
                  <v>45751</v>
                </pt>
                <pt idx="15">
                  <v>45758</v>
                </pt>
                <pt idx="16">
                  <v>45765</v>
                </pt>
                <pt idx="17">
                  <v>45772</v>
                </pt>
                <pt idx="18">
                  <v>45779</v>
                </pt>
                <pt idx="19">
                  <v>45786</v>
                </pt>
                <pt idx="20">
                  <v>45793</v>
                </pt>
                <pt idx="21">
                  <v>45800</v>
                </pt>
                <pt idx="22">
                  <v>45807</v>
                </pt>
                <pt idx="23">
                  <v>45814</v>
                </pt>
                <pt idx="24">
                  <v>45821</v>
                </pt>
                <pt idx="25">
                  <v>45828</v>
                </pt>
                <pt idx="26">
                  <v>45835</v>
                </pt>
                <pt idx="27">
                  <v>45842</v>
                </pt>
                <pt idx="28">
                  <v>45849</v>
                </pt>
                <pt idx="29">
                  <v>45856</v>
                </pt>
                <pt idx="30">
                  <v>45863</v>
                </pt>
                <pt idx="31">
                  <v>45870</v>
                </pt>
                <pt idx="32">
                  <v>45877</v>
                </pt>
                <pt idx="33">
                  <v>45884</v>
                </pt>
                <pt idx="34">
                  <v>45891</v>
                </pt>
                <pt idx="35">
                  <v>45898</v>
                </pt>
                <pt idx="36">
                  <v>45905</v>
                </pt>
                <pt idx="37">
                  <v>45912</v>
                </pt>
                <pt idx="38">
                  <v>45919</v>
                </pt>
                <pt idx="39">
                  <v>45926</v>
                </pt>
                <pt idx="40">
                  <v>45933</v>
                </pt>
                <pt idx="41">
                  <v>45940</v>
                </pt>
                <pt idx="42">
                  <v>45947</v>
                </pt>
                <pt idx="43">
                  <v>45954</v>
                </pt>
                <pt idx="44">
                  <v>45961</v>
                </pt>
                <pt idx="45">
                  <v>45968</v>
                </pt>
                <pt idx="46">
                  <v>45975</v>
                </pt>
                <pt idx="47">
                  <v>45982</v>
                </pt>
                <pt idx="48">
                  <v>45989</v>
                </pt>
                <pt idx="49">
                  <v>45996</v>
                </pt>
                <pt idx="50">
                  <v>46003</v>
                </pt>
                <pt idx="51">
                  <v>46010</v>
                </pt>
                <pt idx="52">
                  <v>46017</v>
                </pt>
                <pt idx="53">
                  <v>46024</v>
                </pt>
                <pt idx="54">
                  <v>46031</v>
                </pt>
                <pt idx="55">
                  <v>46038</v>
                </pt>
                <pt idx="56">
                  <v>46045</v>
                </pt>
                <pt idx="57">
                  <v>46052</v>
                </pt>
                <pt idx="58">
                  <v>46059</v>
                </pt>
                <pt idx="59">
                  <v>46066</v>
                </pt>
                <pt idx="60">
                  <v>46073</v>
                </pt>
                <pt idx="61">
                  <v>46080</v>
                </pt>
                <pt idx="62">
                  <v>46087</v>
                </pt>
                <pt idx="63">
                  <v>46094</v>
                </pt>
                <pt idx="64">
                  <v>46101</v>
                </pt>
                <pt idx="65">
                  <v>46108</v>
                </pt>
                <pt idx="66">
                  <v>46115</v>
                </pt>
                <pt idx="67">
                  <v>46122</v>
                </pt>
                <pt idx="68">
                  <v>46129</v>
                </pt>
                <pt idx="69">
                  <v>46136</v>
                </pt>
                <pt idx="70">
                  <v>46143</v>
                </pt>
                <pt idx="71">
                  <v>46150</v>
                </pt>
                <pt idx="72">
                  <v>46157</v>
                </pt>
                <pt idx="73">
                  <v>46164</v>
                </pt>
                <pt idx="74">
                  <v>46171</v>
                </pt>
                <pt idx="75">
                  <v>46178</v>
                </pt>
                <pt idx="76">
                  <v>46185</v>
                </pt>
                <pt idx="77">
                  <v>46192</v>
                </pt>
                <pt idx="78">
                  <v>46199</v>
                </pt>
                <pt idx="79">
                  <v>46206</v>
                </pt>
                <pt idx="80">
                  <v>46213</v>
                </pt>
                <pt idx="81">
                  <v>46220</v>
                </pt>
                <pt idx="82">
                  <v>46227</v>
                </pt>
                <pt idx="83">
                  <v>46234</v>
                </pt>
                <pt idx="84">
                  <v>46241</v>
                </pt>
                <pt idx="85">
                  <v>46248</v>
                </pt>
                <pt idx="86">
                  <v>46255</v>
                </pt>
                <pt idx="87">
                  <v>46262</v>
                </pt>
                <pt idx="88">
                  <v>46269</v>
                </pt>
                <pt idx="89">
                  <v>46276</v>
                </pt>
                <pt idx="90">
                  <v>46283</v>
                </pt>
                <pt idx="91">
                  <v>46290</v>
                </pt>
                <pt idx="92">
                  <v>46297</v>
                </pt>
                <pt idx="93">
                  <v>46304</v>
                </pt>
              </numCache>
            </numRef>
          </cat>
          <val>
            <numRef>
              <f>可选消费ETFs!$F$3:$F$96</f>
              <numCache>
                <formatCode>0.0000</formatCode>
                <ptCount val="94"/>
                <pt idx="0">
                  <v>1</v>
                </pt>
                <pt idx="1">
                  <v>1.0072</v>
                </pt>
                <pt idx="2">
                  <v>0.9896</v>
                </pt>
                <pt idx="3">
                  <v>1.0194</v>
                </pt>
                <pt idx="4">
                  <v>1.0264</v>
                </pt>
                <pt idx="5">
                  <v>1.0349</v>
                </pt>
                <pt idx="6">
                  <v>1.027</v>
                </pt>
                <pt idx="7">
                  <v>1.0489</v>
                </pt>
                <pt idx="8">
                  <v>1.0198</v>
                </pt>
                <pt idx="9">
                  <v>1.0268</v>
                </pt>
                <pt idx="10">
                  <v>0.993</v>
                </pt>
                <pt idx="11">
                  <v>0.9435</v>
                </pt>
                <pt idx="12">
                  <v>0.9507</v>
                </pt>
                <pt idx="13">
                  <v>0.9352</v>
                </pt>
                <pt idx="14">
                  <v>0.8718</v>
                </pt>
                <pt idx="15">
                  <v>0.8846000000000001</v>
                </pt>
                <pt idx="16">
                  <v>0.8818</v>
                </pt>
                <pt idx="17">
                  <v>0.9207</v>
                </pt>
                <pt idx="18">
                  <v>0.9445</v>
                </pt>
                <pt idx="19">
                  <v>0.9483</v>
                </pt>
                <pt idx="20">
                  <v>1.0089</v>
                </pt>
                <pt idx="21">
                  <v>0.9624</v>
                </pt>
                <pt idx="22">
                  <v>0.9762</v>
                </pt>
                <pt idx="23">
                  <v>0.9853</v>
                </pt>
                <pt idx="24">
                  <v>0.9647</v>
                </pt>
                <pt idx="25">
                  <v>0.9736</v>
                </pt>
                <pt idx="26">
                  <v>1.0034</v>
                </pt>
                <pt idx="27">
                  <v>1.0427</v>
                </pt>
                <pt idx="28">
                  <v>1.0455</v>
                </pt>
                <pt idx="29">
                  <v>1.0391</v>
                </pt>
                <pt idx="30">
                  <v>1.065</v>
                </pt>
                <pt idx="31">
                  <v>1.0315</v>
                </pt>
                <pt idx="32">
                  <v>1.0476</v>
                </pt>
                <pt idx="33">
                  <v>1.0799</v>
                </pt>
                <pt idx="34">
                  <v>1.1061</v>
                </pt>
                <pt idx="35">
                  <v>1.1057</v>
                </pt>
                <pt idx="36">
                  <v>1.1125</v>
                </pt>
                <pt idx="37">
                  <v>1.1095</v>
                </pt>
                <pt idx="38">
                  <v>1.0976</v>
                </pt>
                <pt idx="39">
                  <v>1.0923</v>
                </pt>
                <pt idx="40">
                  <v>1.094</v>
                </pt>
                <pt idx="41">
                  <v>1.0346</v>
                </pt>
                <pt idx="42">
                  <v>1.0633</v>
                </pt>
                <pt idx="43">
                  <v>1.0806</v>
                </pt>
                <pt idx="44">
                  <v>1.0442</v>
                </pt>
                <pt idx="45">
                  <v>1.0398</v>
                </pt>
                <pt idx="46">
                  <v>1.0338</v>
                </pt>
                <pt idx="47">
                  <v>1.0304</v>
                </pt>
                <pt idx="48">
                  <v>1.068</v>
                </pt>
                <pt idx="49">
                  <v>1.0735</v>
                </pt>
                <pt idx="50">
                  <v>1.0942</v>
                </pt>
                <pt idx="51">
                  <v>1.0963</v>
                </pt>
                <pt idx="52">
                  <v>1.0948</v>
                </pt>
                <pt idx="53">
                  <v>1.0829</v>
                </pt>
                <pt idx="54">
                  <v>1.1292</v>
                </pt>
                <pt idx="55">
                  <v>1.1139</v>
                </pt>
                <pt idx="56">
                  <v>1.1112</v>
                </pt>
                <pt idx="57">
                  <v>1.0978</v>
                </pt>
                <pt idx="58">
                  <v>1.129</v>
                </pt>
                <pt idx="59">
                  <v>1.1156</v>
                </pt>
                <pt idx="60">
                  <v>1.1199</v>
                </pt>
                <pt idx="61">
                  <v>1.1139</v>
                </pt>
                <pt idx="62">
                  <v>1.0631</v>
                </pt>
                <pt idx="63">
                  <v>1.0211</v>
                </pt>
                <pt idx="64">
                  <v>1.0009</v>
                </pt>
                <pt idx="65">
                  <v>0.983</v>
                </pt>
                <pt idx="66">
                  <v>1.0093</v>
                </pt>
                <pt idx="67">
                  <v>1.0389</v>
                </pt>
                <pt idx="68">
                  <v>1.0965</v>
                </pt>
                <pt idx="69">
                  <v>1.0625</v>
                </pt>
                <pt idx="70">
                  <v>1.0363</v>
                </pt>
                <pt idx="71">
                  <v>1.0221</v>
                </pt>
                <pt idx="72">
                  <v>0.9772999999999999</v>
                </pt>
                <pt idx="73">
                  <v>1.0185</v>
                </pt>
                <pt idx="74">
                  <v>1.0446</v>
                </pt>
                <pt idx="75">
                  <v>1.0276</v>
                </pt>
                <pt idx="76">
                  <v>1.0582</v>
                </pt>
                <pt idx="77">
                  <v>1.0589</v>
                </pt>
                <pt idx="78">
                  <v>1.0638</v>
                </pt>
                <pt idx="79">
                  <v>1.0653</v>
                </pt>
                <pt idx="80">
                  <v>1.0561</v>
                </pt>
                <pt idx="81">
                  <v>1.0476</v>
                </pt>
                <pt idx="82">
                  <v>1.0332</v>
                </pt>
                <pt idx="83">
                  <v>1.0731</v>
                </pt>
                <pt idx="84">
                  <v>1.1074</v>
                </pt>
                <pt idx="85">
                  <v>1.0946</v>
                </pt>
                <pt idx="86">
                  <v>1.0831</v>
                </pt>
                <pt idx="87">
                  <v>1.0723</v>
                </pt>
                <pt idx="88">
                  <v>1.0491</v>
                </pt>
                <pt idx="89">
                  <v>1.0153</v>
                </pt>
                <pt idx="90">
                  <v>0.99</v>
                </pt>
                <pt idx="91">
                  <v>0.9957</v>
                </pt>
                <pt idx="92">
                  <v>0.9787</v>
                </pt>
                <pt idx="93">
                  <v>0.9941</v>
                </pt>
              </numCache>
            </numRef>
          </val>
          <smooth val="0"/>
        </ser>
        <ser>
          <idx val="2"/>
          <order val="2"/>
          <tx>
            <strRef>
              <f>可选消费ETFs!$G$2</f>
              <strCache>
                <ptCount val="1"/>
                <pt idx="0">
                  <v>XRT Norm</v>
                </pt>
              </strCache>
            </strRef>
          </tx>
          <spPr>
            <a:ln xmlns:a="http://schemas.openxmlformats.org/drawingml/2006/main" w="22000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可选消费ETFs!$A$3:$A$96</f>
              <numCache>
                <formatCode>yyyy\-mm\-dd</formatCode>
                <ptCount val="94"/>
                <pt idx="0">
                  <v>45658</v>
                </pt>
                <pt idx="1">
                  <v>45660</v>
                </pt>
                <pt idx="2">
                  <v>45667</v>
                </pt>
                <pt idx="3">
                  <v>45674</v>
                </pt>
                <pt idx="4">
                  <v>45681</v>
                </pt>
                <pt idx="5">
                  <v>45688</v>
                </pt>
                <pt idx="6">
                  <v>45695</v>
                </pt>
                <pt idx="7">
                  <v>45702</v>
                </pt>
                <pt idx="8">
                  <v>45709</v>
                </pt>
                <pt idx="9">
                  <v>45716</v>
                </pt>
                <pt idx="10">
                  <v>45723</v>
                </pt>
                <pt idx="11">
                  <v>45730</v>
                </pt>
                <pt idx="12">
                  <v>45737</v>
                </pt>
                <pt idx="13">
                  <v>45744</v>
                </pt>
                <pt idx="14">
                  <v>45751</v>
                </pt>
                <pt idx="15">
                  <v>45758</v>
                </pt>
                <pt idx="16">
                  <v>45765</v>
                </pt>
                <pt idx="17">
                  <v>45772</v>
                </pt>
                <pt idx="18">
                  <v>45779</v>
                </pt>
                <pt idx="19">
                  <v>45786</v>
                </pt>
                <pt idx="20">
                  <v>45793</v>
                </pt>
                <pt idx="21">
                  <v>45800</v>
                </pt>
                <pt idx="22">
                  <v>45807</v>
                </pt>
                <pt idx="23">
                  <v>45814</v>
                </pt>
                <pt idx="24">
                  <v>45821</v>
                </pt>
                <pt idx="25">
                  <v>45828</v>
                </pt>
                <pt idx="26">
                  <v>45835</v>
                </pt>
                <pt idx="27">
                  <v>45842</v>
                </pt>
                <pt idx="28">
                  <v>45849</v>
                </pt>
                <pt idx="29">
                  <v>45856</v>
                </pt>
                <pt idx="30">
                  <v>45863</v>
                </pt>
                <pt idx="31">
                  <v>45870</v>
                </pt>
                <pt idx="32">
                  <v>45877</v>
                </pt>
                <pt idx="33">
                  <v>45884</v>
                </pt>
                <pt idx="34">
                  <v>45891</v>
                </pt>
                <pt idx="35">
                  <v>45898</v>
                </pt>
                <pt idx="36">
                  <v>45905</v>
                </pt>
                <pt idx="37">
                  <v>45912</v>
                </pt>
                <pt idx="38">
                  <v>45919</v>
                </pt>
                <pt idx="39">
                  <v>45926</v>
                </pt>
                <pt idx="40">
                  <v>45933</v>
                </pt>
                <pt idx="41">
                  <v>45940</v>
                </pt>
                <pt idx="42">
                  <v>45947</v>
                </pt>
                <pt idx="43">
                  <v>45954</v>
                </pt>
                <pt idx="44">
                  <v>45961</v>
                </pt>
                <pt idx="45">
                  <v>45968</v>
                </pt>
                <pt idx="46">
                  <v>45975</v>
                </pt>
                <pt idx="47">
                  <v>45982</v>
                </pt>
                <pt idx="48">
                  <v>45989</v>
                </pt>
                <pt idx="49">
                  <v>45996</v>
                </pt>
                <pt idx="50">
                  <v>46003</v>
                </pt>
                <pt idx="51">
                  <v>46010</v>
                </pt>
                <pt idx="52">
                  <v>46017</v>
                </pt>
                <pt idx="53">
                  <v>46024</v>
                </pt>
                <pt idx="54">
                  <v>46031</v>
                </pt>
                <pt idx="55">
                  <v>46038</v>
                </pt>
                <pt idx="56">
                  <v>46045</v>
                </pt>
                <pt idx="57">
                  <v>46052</v>
                </pt>
                <pt idx="58">
                  <v>46059</v>
                </pt>
                <pt idx="59">
                  <v>46066</v>
                </pt>
                <pt idx="60">
                  <v>46073</v>
                </pt>
                <pt idx="61">
                  <v>46080</v>
                </pt>
                <pt idx="62">
                  <v>46087</v>
                </pt>
                <pt idx="63">
                  <v>46094</v>
                </pt>
                <pt idx="64">
                  <v>46101</v>
                </pt>
                <pt idx="65">
                  <v>46108</v>
                </pt>
                <pt idx="66">
                  <v>46115</v>
                </pt>
                <pt idx="67">
                  <v>46122</v>
                </pt>
                <pt idx="68">
                  <v>46129</v>
                </pt>
                <pt idx="69">
                  <v>46136</v>
                </pt>
                <pt idx="70">
                  <v>46143</v>
                </pt>
                <pt idx="71">
                  <v>46150</v>
                </pt>
                <pt idx="72">
                  <v>46157</v>
                </pt>
                <pt idx="73">
                  <v>46164</v>
                </pt>
                <pt idx="74">
                  <v>46171</v>
                </pt>
                <pt idx="75">
                  <v>46178</v>
                </pt>
                <pt idx="76">
                  <v>46185</v>
                </pt>
                <pt idx="77">
                  <v>46192</v>
                </pt>
                <pt idx="78">
                  <v>46199</v>
                </pt>
                <pt idx="79">
                  <v>46206</v>
                </pt>
                <pt idx="80">
                  <v>46213</v>
                </pt>
                <pt idx="81">
                  <v>46220</v>
                </pt>
                <pt idx="82">
                  <v>46227</v>
                </pt>
                <pt idx="83">
                  <v>46234</v>
                </pt>
                <pt idx="84">
                  <v>46241</v>
                </pt>
                <pt idx="85">
                  <v>46248</v>
                </pt>
                <pt idx="86">
                  <v>46255</v>
                </pt>
                <pt idx="87">
                  <v>46262</v>
                </pt>
                <pt idx="88">
                  <v>46269</v>
                </pt>
                <pt idx="89">
                  <v>46276</v>
                </pt>
                <pt idx="90">
                  <v>46283</v>
                </pt>
                <pt idx="91">
                  <v>46290</v>
                </pt>
                <pt idx="92">
                  <v>46297</v>
                </pt>
                <pt idx="93">
                  <v>46304</v>
                </pt>
              </numCache>
            </numRef>
          </cat>
          <val>
            <numRef>
              <f>可选消费ETFs!$G$3:$G$96</f>
              <numCache>
                <formatCode>0.0000</formatCode>
                <ptCount val="94"/>
                <pt idx="0">
                  <v>1</v>
                </pt>
                <pt idx="1">
                  <v>1.004</v>
                </pt>
                <pt idx="2">
                  <v>0.9961</v>
                </pt>
                <pt idx="3">
                  <v>0.9883</v>
                </pt>
                <pt idx="4">
                  <v>1.0122</v>
                </pt>
                <pt idx="5">
                  <v>1.0112</v>
                </pt>
                <pt idx="6">
                  <v>0.9863</v>
                </pt>
                <pt idx="7">
                  <v>1</v>
                </pt>
                <pt idx="8">
                  <v>0.9487</v>
                </pt>
                <pt idx="9">
                  <v>0.9342</v>
                </pt>
                <pt idx="10">
                  <v>0.904</v>
                </pt>
                <pt idx="11">
                  <v>0.8509</v>
                </pt>
                <pt idx="12">
                  <v>0.87</v>
                </pt>
                <pt idx="13">
                  <v>0.8637</v>
                </pt>
                <pt idx="14">
                  <v>0.8177</v>
                </pt>
                <pt idx="15">
                  <v>0.8356</v>
                </pt>
                <pt idx="16">
                  <v>0.838</v>
                </pt>
                <pt idx="17">
                  <v>0.8629</v>
                </pt>
                <pt idx="18">
                  <v>0.8894</v>
                </pt>
                <pt idx="19">
                  <v>0.8868</v>
                </pt>
                <pt idx="20">
                  <v>0.9636</v>
                </pt>
                <pt idx="21">
                  <v>0.9409999999999999</v>
                </pt>
                <pt idx="22">
                  <v>0.9568</v>
                </pt>
                <pt idx="23">
                  <v>0.987</v>
                </pt>
                <pt idx="24">
                  <v>0.9495</v>
                </pt>
                <pt idx="25">
                  <v>0.9704</v>
                </pt>
                <pt idx="26">
                  <v>0.9747</v>
                </pt>
                <pt idx="27">
                  <v>1.016</v>
                </pt>
                <pt idx="28">
                  <v>1.0113</v>
                </pt>
                <pt idx="29">
                  <v>1.0039</v>
                </pt>
                <pt idx="30">
                  <v>1.0304</v>
                </pt>
                <pt idx="31">
                  <v>0.981</v>
                </pt>
                <pt idx="32">
                  <v>1.0178</v>
                </pt>
                <pt idx="33">
                  <v>1.053</v>
                </pt>
                <pt idx="34">
                  <v>1.0746</v>
                </pt>
                <pt idx="35">
                  <v>1.0609</v>
                </pt>
                <pt idx="36">
                  <v>1.1007</v>
                </pt>
                <pt idx="37">
                  <v>1.088</v>
                </pt>
                <pt idx="38">
                  <v>1.0999</v>
                </pt>
                <pt idx="39">
                  <v>1.0907</v>
                </pt>
                <pt idx="40">
                  <v>1.0961</v>
                </pt>
                <pt idx="41">
                  <v>1.0198</v>
                </pt>
                <pt idx="42">
                  <v>1.0587</v>
                </pt>
                <pt idx="43">
                  <v>1.0684</v>
                </pt>
                <pt idx="44">
                  <v>1.021</v>
                </pt>
                <pt idx="45">
                  <v>1.0068</v>
                </pt>
                <pt idx="46">
                  <v>1.0084</v>
                </pt>
                <pt idx="47">
                  <v>1.0073</v>
                </pt>
                <pt idx="48">
                  <v>1.0629</v>
                </pt>
                <pt idx="49">
                  <v>1.0866</v>
                </pt>
                <pt idx="50">
                  <v>1.1075</v>
                </pt>
                <pt idx="51">
                  <v>1.1027</v>
                </pt>
                <pt idx="52">
                  <v>1.0992</v>
                </pt>
                <pt idx="53">
                  <v>1.0824</v>
                </pt>
                <pt idx="54">
                  <v>1.1352</v>
                </pt>
                <pt idx="55">
                  <v>1.1394</v>
                </pt>
                <pt idx="56">
                  <v>1.1197</v>
                </pt>
                <pt idx="57">
                  <v>1.0878</v>
                </pt>
                <pt idx="58">
                  <v>1.1307</v>
                </pt>
                <pt idx="59">
                  <v>1.1069</v>
                </pt>
                <pt idx="60">
                  <v>1.1172</v>
                </pt>
                <pt idx="61">
                  <v>1.096</v>
                </pt>
                <pt idx="62">
                  <v>1.0467</v>
                </pt>
                <pt idx="63">
                  <v>1.0083</v>
                </pt>
                <pt idx="64">
                  <v>0.9911</v>
                </pt>
                <pt idx="65">
                  <v>0.9902</v>
                </pt>
                <pt idx="66">
                  <v>1.0137</v>
                </pt>
                <pt idx="67">
                  <v>1.0425</v>
                </pt>
                <pt idx="68">
                  <v>1.0956</v>
                </pt>
                <pt idx="69">
                  <v>1.081</v>
                </pt>
                <pt idx="70">
                  <v>1.0784</v>
                </pt>
                <pt idx="71">
                  <v>1.0675</v>
                </pt>
                <pt idx="72">
                  <v>0.9966</v>
                </pt>
                <pt idx="73">
                  <v>1.0401</v>
                </pt>
                <pt idx="74">
                  <v>1.0583</v>
                </pt>
                <pt idx="75">
                  <v>1.0412</v>
                </pt>
                <pt idx="76">
                  <v>1.1055</v>
                </pt>
                <pt idx="77">
                  <v>1.0886</v>
                </pt>
                <pt idx="78">
                  <v>1.1179</v>
                </pt>
                <pt idx="79">
                  <v>1.1096</v>
                </pt>
                <pt idx="80">
                  <v>1.1099</v>
                </pt>
                <pt idx="81">
                  <v>1.1268</v>
                </pt>
                <pt idx="82">
                  <v>1.0964</v>
                </pt>
                <pt idx="83">
                  <v>1.1313</v>
                </pt>
                <pt idx="84">
                  <v>1.1444</v>
                </pt>
                <pt idx="85">
                  <v>1.1208</v>
                </pt>
                <pt idx="86">
                  <v>1.1052</v>
                </pt>
                <pt idx="87">
                  <v>1.0949</v>
                </pt>
                <pt idx="88">
                  <v>1.1037</v>
                </pt>
                <pt idx="89">
                  <v>1.0684</v>
                </pt>
                <pt idx="90">
                  <v>1.0336</v>
                </pt>
                <pt idx="91">
                  <v>1.0403</v>
                </pt>
                <pt idx="92">
                  <v>1.0412</v>
                </pt>
                <pt idx="93">
                  <v>1.0596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0"/>
        <smooth val="0"/>
        <axId val="10"/>
        <axId val="100"/>
      </lineChart>
      <date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0"/>
        <crosses val="autoZero"/>
        <lblOffset val="100"/>
        <baseTimeUnit val="days"/>
      </date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归一化</a:t>
                </a:r>
              </a:p>
            </rich>
          </tx>
          <layout/>
          <overlay val="0"/>
        </title>
        <numFmt formatCode="0.00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between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油价 &amp; 汽油</a:t>
            </a:r>
          </a:p>
        </rich>
      </tx>
      <layout/>
      <overlay val="0"/>
    </title>
    <plotArea>
      <layout/>
      <lineChart>
        <grouping val="standard"/>
        <varyColors val="0"/>
        <ser>
          <idx val="0"/>
          <order val="0"/>
          <tx>
            <strRef>
              <f>油价汽油!$B$2</f>
              <strCache>
                <ptCount val="1"/>
                <pt idx="0">
                  <v>Brent($/bbl)</v>
                </pt>
              </strCache>
            </strRef>
          </tx>
          <spPr>
            <a:ln xmlns:a="http://schemas.openxmlformats.org/drawingml/2006/main" w="20000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油价汽油!$A$3:$A$97</f>
              <numCache>
                <formatCode>yyyy\-mm\-dd</formatCode>
                <ptCount val="95"/>
                <pt idx="0">
                  <v>45658</v>
                </pt>
                <pt idx="1">
                  <v>45660</v>
                </pt>
                <pt idx="2">
                  <v>45667</v>
                </pt>
                <pt idx="3">
                  <v>45674</v>
                </pt>
                <pt idx="4">
                  <v>45681</v>
                </pt>
                <pt idx="5">
                  <v>45688</v>
                </pt>
                <pt idx="6">
                  <v>45695</v>
                </pt>
                <pt idx="7">
                  <v>45702</v>
                </pt>
                <pt idx="8">
                  <v>45709</v>
                </pt>
                <pt idx="9">
                  <v>45716</v>
                </pt>
                <pt idx="10">
                  <v>45723</v>
                </pt>
                <pt idx="11">
                  <v>45730</v>
                </pt>
                <pt idx="12">
                  <v>45737</v>
                </pt>
                <pt idx="13">
                  <v>45744</v>
                </pt>
                <pt idx="14">
                  <v>45751</v>
                </pt>
                <pt idx="15">
                  <v>45758</v>
                </pt>
                <pt idx="16">
                  <v>45765</v>
                </pt>
                <pt idx="17">
                  <v>45772</v>
                </pt>
                <pt idx="18">
                  <v>45779</v>
                </pt>
                <pt idx="19">
                  <v>45786</v>
                </pt>
                <pt idx="20">
                  <v>45793</v>
                </pt>
                <pt idx="21">
                  <v>45800</v>
                </pt>
                <pt idx="22">
                  <v>45807</v>
                </pt>
                <pt idx="23">
                  <v>45814</v>
                </pt>
                <pt idx="24">
                  <v>45821</v>
                </pt>
                <pt idx="25">
                  <v>45828</v>
                </pt>
                <pt idx="26">
                  <v>45835</v>
                </pt>
                <pt idx="27">
                  <v>45842</v>
                </pt>
                <pt idx="28">
                  <v>45849</v>
                </pt>
                <pt idx="29">
                  <v>45856</v>
                </pt>
                <pt idx="30">
                  <v>45863</v>
                </pt>
                <pt idx="31">
                  <v>45870</v>
                </pt>
                <pt idx="32">
                  <v>45877</v>
                </pt>
                <pt idx="33">
                  <v>45884</v>
                </pt>
                <pt idx="34">
                  <v>45891</v>
                </pt>
                <pt idx="35">
                  <v>45898</v>
                </pt>
                <pt idx="36">
                  <v>45905</v>
                </pt>
                <pt idx="37">
                  <v>45912</v>
                </pt>
                <pt idx="38">
                  <v>45919</v>
                </pt>
                <pt idx="39">
                  <v>45926</v>
                </pt>
                <pt idx="40">
                  <v>45933</v>
                </pt>
                <pt idx="41">
                  <v>45940</v>
                </pt>
                <pt idx="42">
                  <v>45947</v>
                </pt>
                <pt idx="43">
                  <v>45954</v>
                </pt>
                <pt idx="44">
                  <v>45961</v>
                </pt>
                <pt idx="45">
                  <v>45968</v>
                </pt>
                <pt idx="46">
                  <v>45975</v>
                </pt>
                <pt idx="47">
                  <v>45982</v>
                </pt>
                <pt idx="48">
                  <v>45989</v>
                </pt>
                <pt idx="49">
                  <v>45996</v>
                </pt>
                <pt idx="50">
                  <v>46003</v>
                </pt>
                <pt idx="51">
                  <v>46010</v>
                </pt>
                <pt idx="52">
                  <v>46017</v>
                </pt>
                <pt idx="53">
                  <v>46024</v>
                </pt>
                <pt idx="54">
                  <v>46031</v>
                </pt>
                <pt idx="55">
                  <v>46038</v>
                </pt>
                <pt idx="56">
                  <v>46045</v>
                </pt>
                <pt idx="57">
                  <v>46052</v>
                </pt>
                <pt idx="58">
                  <v>46059</v>
                </pt>
                <pt idx="59">
                  <v>46066</v>
                </pt>
                <pt idx="60">
                  <v>46073</v>
                </pt>
                <pt idx="61">
                  <v>46080</v>
                </pt>
                <pt idx="62">
                  <v>46087</v>
                </pt>
                <pt idx="63">
                  <v>46094</v>
                </pt>
                <pt idx="64">
                  <v>46101</v>
                </pt>
                <pt idx="65">
                  <v>46108</v>
                </pt>
                <pt idx="66">
                  <v>46115</v>
                </pt>
                <pt idx="67">
                  <v>46122</v>
                </pt>
                <pt idx="68">
                  <v>46129</v>
                </pt>
                <pt idx="69">
                  <v>46136</v>
                </pt>
                <pt idx="70">
                  <v>46143</v>
                </pt>
                <pt idx="71">
                  <v>46150</v>
                </pt>
                <pt idx="72">
                  <v>46157</v>
                </pt>
                <pt idx="73">
                  <v>46164</v>
                </pt>
                <pt idx="74">
                  <v>46171</v>
                </pt>
                <pt idx="75">
                  <v>46178</v>
                </pt>
                <pt idx="76">
                  <v>46185</v>
                </pt>
                <pt idx="77">
                  <v>46192</v>
                </pt>
                <pt idx="78">
                  <v>46199</v>
                </pt>
                <pt idx="79">
                  <v>46206</v>
                </pt>
                <pt idx="80">
                  <v>46213</v>
                </pt>
                <pt idx="81">
                  <v>46220</v>
                </pt>
                <pt idx="82">
                  <v>46227</v>
                </pt>
                <pt idx="83">
                  <v>46234</v>
                </pt>
                <pt idx="84">
                  <v>46241</v>
                </pt>
                <pt idx="85">
                  <v>46248</v>
                </pt>
                <pt idx="86">
                  <v>46255</v>
                </pt>
                <pt idx="87">
                  <v>46262</v>
                </pt>
                <pt idx="88">
                  <v>46269</v>
                </pt>
                <pt idx="89">
                  <v>46276</v>
                </pt>
                <pt idx="90">
                  <v>46283</v>
                </pt>
                <pt idx="91">
                  <v>46290</v>
                </pt>
                <pt idx="92">
                  <v>46297</v>
                </pt>
                <pt idx="93">
                  <v>46304</v>
                </pt>
                <pt idx="94">
                  <v>46311</v>
                </pt>
              </numCache>
            </numRef>
          </cat>
          <val>
            <numRef>
              <f>油价汽油!$B$3:$B$97</f>
              <numCache>
                <formatCode>#,##0.00</formatCode>
                <ptCount val="95"/>
                <pt idx="0">
                  <v>75.93000000000001</v>
                </pt>
                <pt idx="1">
                  <v>76.51000000000001</v>
                </pt>
                <pt idx="2">
                  <v>79.76000000000001</v>
                </pt>
                <pt idx="3">
                  <v>80.79000000000001</v>
                </pt>
                <pt idx="4">
                  <v>78.5</v>
                </pt>
                <pt idx="5">
                  <v>76.76000000000001</v>
                </pt>
                <pt idx="6">
                  <v>74.66</v>
                </pt>
                <pt idx="7">
                  <v>74.73999999999999</v>
                </pt>
                <pt idx="8">
                  <v>74.43000000000001</v>
                </pt>
                <pt idx="9">
                  <v>73.18000000000001</v>
                </pt>
                <pt idx="10">
                  <v>70.36</v>
                </pt>
                <pt idx="11">
                  <v>70.58</v>
                </pt>
                <pt idx="12">
                  <v>72.16</v>
                </pt>
                <pt idx="13">
                  <v>73.63</v>
                </pt>
                <pt idx="14">
                  <v>65.58</v>
                </pt>
                <pt idx="15">
                  <v>64.76000000000001</v>
                </pt>
                <pt idx="16">
                  <v>67.95999999999999</v>
                </pt>
                <pt idx="17">
                  <v>66.87</v>
                </pt>
                <pt idx="18">
                  <v>61.29</v>
                </pt>
                <pt idx="19">
                  <v>63.91</v>
                </pt>
                <pt idx="20">
                  <v>65.41</v>
                </pt>
                <pt idx="21">
                  <v>64.78</v>
                </pt>
                <pt idx="22">
                  <v>63.9</v>
                </pt>
                <pt idx="23">
                  <v>66.47</v>
                </pt>
                <pt idx="24">
                  <v>74.23</v>
                </pt>
                <pt idx="25">
                  <v>77.01000000000001</v>
                </pt>
                <pt idx="26">
                  <v>67.77</v>
                </pt>
                <pt idx="27">
                  <v>68.29000000000001</v>
                </pt>
                <pt idx="28">
                  <v>70.36</v>
                </pt>
                <pt idx="29">
                  <v>69.28</v>
                </pt>
                <pt idx="30">
                  <v>68.44</v>
                </pt>
                <pt idx="31">
                  <v>69.67</v>
                </pt>
                <pt idx="32">
                  <v>66.59</v>
                </pt>
                <pt idx="33">
                  <v>65.84999999999999</v>
                </pt>
                <pt idx="34">
                  <v>67.73</v>
                </pt>
                <pt idx="35">
                  <v>68.12</v>
                </pt>
                <pt idx="36">
                  <v>65.5</v>
                </pt>
                <pt idx="37">
                  <v>66.98999999999999</v>
                </pt>
                <pt idx="38">
                  <v>66.68000000000001</v>
                </pt>
                <pt idx="39">
                  <v>70.13</v>
                </pt>
                <pt idx="40">
                  <v>64.53</v>
                </pt>
                <pt idx="41">
                  <v>62.73</v>
                </pt>
                <pt idx="42">
                  <v>61.29</v>
                </pt>
                <pt idx="43">
                  <v>65.94</v>
                </pt>
                <pt idx="44">
                  <v>65.06999999999999</v>
                </pt>
                <pt idx="45">
                  <v>63.63</v>
                </pt>
                <pt idx="46">
                  <v>64.39</v>
                </pt>
                <pt idx="47">
                  <v>62.56</v>
                </pt>
                <pt idx="48">
                  <v>63.2</v>
                </pt>
                <pt idx="49">
                  <v>63.75</v>
                </pt>
                <pt idx="50">
                  <v>61.12</v>
                </pt>
                <pt idx="51">
                  <v>60.47</v>
                </pt>
                <pt idx="52">
                  <v>60.64</v>
                </pt>
                <pt idx="53">
                  <v>60.75</v>
                </pt>
                <pt idx="54">
                  <v>63.34</v>
                </pt>
                <pt idx="55">
                  <v>64.13</v>
                </pt>
                <pt idx="56">
                  <v>65.88</v>
                </pt>
                <pt idx="57">
                  <v>70.69</v>
                </pt>
                <pt idx="58">
                  <v>68.05</v>
                </pt>
                <pt idx="59">
                  <v>67.75</v>
                </pt>
                <pt idx="60">
                  <v>71.76000000000001</v>
                </pt>
                <pt idx="61">
                  <v>72.48</v>
                </pt>
                <pt idx="62">
                  <v>92.69</v>
                </pt>
                <pt idx="63">
                  <v>103.14</v>
                </pt>
                <pt idx="64">
                  <v>112.19</v>
                </pt>
                <pt idx="65">
                  <v>112.57</v>
                </pt>
                <pt idx="66">
                  <v>109.03</v>
                </pt>
                <pt idx="67">
                  <v>95.2</v>
                </pt>
                <pt idx="68">
                  <v>90.38</v>
                </pt>
                <pt idx="69">
                  <v>105.33</v>
                </pt>
                <pt idx="70">
                  <v>108.17</v>
                </pt>
                <pt idx="71">
                  <v>101.29</v>
                </pt>
                <pt idx="72">
                  <v>109.26</v>
                </pt>
                <pt idx="73">
                  <v>103.54</v>
                </pt>
                <pt idx="74">
                  <v>92.05</v>
                </pt>
                <pt idx="75">
                  <v>93.09</v>
                </pt>
                <pt idx="76">
                  <v>87.33</v>
                </pt>
                <pt idx="77">
                  <v>79.84999999999999</v>
                </pt>
                <pt idx="78">
                  <v>71.98999999999999</v>
                </pt>
                <pt idx="79">
                  <v>71.8</v>
                </pt>
                <pt idx="80">
                  <v>76.01000000000001</v>
                </pt>
                <pt idx="81">
                  <v>88.09999999999999</v>
                </pt>
                <pt idx="82">
                  <v>96.78</v>
                </pt>
                <pt idx="83">
                  <v>90.12</v>
                </pt>
                <pt idx="84">
                  <v>83.55</v>
                </pt>
                <pt idx="85">
                  <v>88.52</v>
                </pt>
                <pt idx="86">
                  <v>94.39</v>
                </pt>
                <pt idx="87">
                  <v>89.31</v>
                </pt>
                <pt idx="88">
                  <v>96.28</v>
                </pt>
                <pt idx="89">
                  <v>104.61</v>
                </pt>
                <pt idx="90">
                  <v>103.87</v>
                </pt>
                <pt idx="91">
                  <v>104.32</v>
                </pt>
                <pt idx="92">
                  <v>102.25</v>
                </pt>
                <pt idx="93">
                  <v>104.72</v>
                </pt>
                <pt idx="94">
                  <v>103.85</v>
                </pt>
              </numCache>
            </numRef>
          </val>
          <smooth val="0"/>
        </ser>
        <ser>
          <idx val="1"/>
          <order val="1"/>
          <tx>
            <strRef>
              <f>油价汽油!$C$2</f>
              <strCache>
                <ptCount val="1"/>
                <pt idx="0">
                  <v>WTI($/bbl)</v>
                </pt>
              </strCache>
            </strRef>
          </tx>
          <spPr>
            <a:ln xmlns:a="http://schemas.openxmlformats.org/drawingml/2006/main" w="20000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油价汽油!$A$3:$A$97</f>
              <numCache>
                <formatCode>yyyy\-mm\-dd</formatCode>
                <ptCount val="95"/>
                <pt idx="0">
                  <v>45658</v>
                </pt>
                <pt idx="1">
                  <v>45660</v>
                </pt>
                <pt idx="2">
                  <v>45667</v>
                </pt>
                <pt idx="3">
                  <v>45674</v>
                </pt>
                <pt idx="4">
                  <v>45681</v>
                </pt>
                <pt idx="5">
                  <v>45688</v>
                </pt>
                <pt idx="6">
                  <v>45695</v>
                </pt>
                <pt idx="7">
                  <v>45702</v>
                </pt>
                <pt idx="8">
                  <v>45709</v>
                </pt>
                <pt idx="9">
                  <v>45716</v>
                </pt>
                <pt idx="10">
                  <v>45723</v>
                </pt>
                <pt idx="11">
                  <v>45730</v>
                </pt>
                <pt idx="12">
                  <v>45737</v>
                </pt>
                <pt idx="13">
                  <v>45744</v>
                </pt>
                <pt idx="14">
                  <v>45751</v>
                </pt>
                <pt idx="15">
                  <v>45758</v>
                </pt>
                <pt idx="16">
                  <v>45765</v>
                </pt>
                <pt idx="17">
                  <v>45772</v>
                </pt>
                <pt idx="18">
                  <v>45779</v>
                </pt>
                <pt idx="19">
                  <v>45786</v>
                </pt>
                <pt idx="20">
                  <v>45793</v>
                </pt>
                <pt idx="21">
                  <v>45800</v>
                </pt>
                <pt idx="22">
                  <v>45807</v>
                </pt>
                <pt idx="23">
                  <v>45814</v>
                </pt>
                <pt idx="24">
                  <v>45821</v>
                </pt>
                <pt idx="25">
                  <v>45828</v>
                </pt>
                <pt idx="26">
                  <v>45835</v>
                </pt>
                <pt idx="27">
                  <v>45842</v>
                </pt>
                <pt idx="28">
                  <v>45849</v>
                </pt>
                <pt idx="29">
                  <v>45856</v>
                </pt>
                <pt idx="30">
                  <v>45863</v>
                </pt>
                <pt idx="31">
                  <v>45870</v>
                </pt>
                <pt idx="32">
                  <v>45877</v>
                </pt>
                <pt idx="33">
                  <v>45884</v>
                </pt>
                <pt idx="34">
                  <v>45891</v>
                </pt>
                <pt idx="35">
                  <v>45898</v>
                </pt>
                <pt idx="36">
                  <v>45905</v>
                </pt>
                <pt idx="37">
                  <v>45912</v>
                </pt>
                <pt idx="38">
                  <v>45919</v>
                </pt>
                <pt idx="39">
                  <v>45926</v>
                </pt>
                <pt idx="40">
                  <v>45933</v>
                </pt>
                <pt idx="41">
                  <v>45940</v>
                </pt>
                <pt idx="42">
                  <v>45947</v>
                </pt>
                <pt idx="43">
                  <v>45954</v>
                </pt>
                <pt idx="44">
                  <v>45961</v>
                </pt>
                <pt idx="45">
                  <v>45968</v>
                </pt>
                <pt idx="46">
                  <v>45975</v>
                </pt>
                <pt idx="47">
                  <v>45982</v>
                </pt>
                <pt idx="48">
                  <v>45989</v>
                </pt>
                <pt idx="49">
                  <v>45996</v>
                </pt>
                <pt idx="50">
                  <v>46003</v>
                </pt>
                <pt idx="51">
                  <v>46010</v>
                </pt>
                <pt idx="52">
                  <v>46017</v>
                </pt>
                <pt idx="53">
                  <v>46024</v>
                </pt>
                <pt idx="54">
                  <v>46031</v>
                </pt>
                <pt idx="55">
                  <v>46038</v>
                </pt>
                <pt idx="56">
                  <v>46045</v>
                </pt>
                <pt idx="57">
                  <v>46052</v>
                </pt>
                <pt idx="58">
                  <v>46059</v>
                </pt>
                <pt idx="59">
                  <v>46066</v>
                </pt>
                <pt idx="60">
                  <v>46073</v>
                </pt>
                <pt idx="61">
                  <v>46080</v>
                </pt>
                <pt idx="62">
                  <v>46087</v>
                </pt>
                <pt idx="63">
                  <v>46094</v>
                </pt>
                <pt idx="64">
                  <v>46101</v>
                </pt>
                <pt idx="65">
                  <v>46108</v>
                </pt>
                <pt idx="66">
                  <v>46115</v>
                </pt>
                <pt idx="67">
                  <v>46122</v>
                </pt>
                <pt idx="68">
                  <v>46129</v>
                </pt>
                <pt idx="69">
                  <v>46136</v>
                </pt>
                <pt idx="70">
                  <v>46143</v>
                </pt>
                <pt idx="71">
                  <v>46150</v>
                </pt>
                <pt idx="72">
                  <v>46157</v>
                </pt>
                <pt idx="73">
                  <v>46164</v>
                </pt>
                <pt idx="74">
                  <v>46171</v>
                </pt>
                <pt idx="75">
                  <v>46178</v>
                </pt>
                <pt idx="76">
                  <v>46185</v>
                </pt>
                <pt idx="77">
                  <v>46192</v>
                </pt>
                <pt idx="78">
                  <v>46199</v>
                </pt>
                <pt idx="79">
                  <v>46206</v>
                </pt>
                <pt idx="80">
                  <v>46213</v>
                </pt>
                <pt idx="81">
                  <v>46220</v>
                </pt>
                <pt idx="82">
                  <v>46227</v>
                </pt>
                <pt idx="83">
                  <v>46234</v>
                </pt>
                <pt idx="84">
                  <v>46241</v>
                </pt>
                <pt idx="85">
                  <v>46248</v>
                </pt>
                <pt idx="86">
                  <v>46255</v>
                </pt>
                <pt idx="87">
                  <v>46262</v>
                </pt>
                <pt idx="88">
                  <v>46269</v>
                </pt>
                <pt idx="89">
                  <v>46276</v>
                </pt>
                <pt idx="90">
                  <v>46283</v>
                </pt>
                <pt idx="91">
                  <v>46290</v>
                </pt>
                <pt idx="92">
                  <v>46297</v>
                </pt>
                <pt idx="93">
                  <v>46304</v>
                </pt>
                <pt idx="94">
                  <v>46311</v>
                </pt>
              </numCache>
            </numRef>
          </cat>
          <val>
            <numRef>
              <f>油价汽油!$C$3:$C$97</f>
              <numCache>
                <formatCode>#,##0.00</formatCode>
                <ptCount val="95"/>
                <pt idx="0">
                  <v>73.13</v>
                </pt>
                <pt idx="1">
                  <v>73.95999999999999</v>
                </pt>
                <pt idx="2">
                  <v>76.56999999999999</v>
                </pt>
                <pt idx="3">
                  <v>77.88</v>
                </pt>
                <pt idx="4">
                  <v>74.66</v>
                </pt>
                <pt idx="5">
                  <v>72.53</v>
                </pt>
                <pt idx="6">
                  <v>71</v>
                </pt>
                <pt idx="7">
                  <v>70.73999999999999</v>
                </pt>
                <pt idx="8">
                  <v>70.40000000000001</v>
                </pt>
                <pt idx="9">
                  <v>69.76000000000001</v>
                </pt>
                <pt idx="10">
                  <v>67.04000000000001</v>
                </pt>
                <pt idx="11">
                  <v>67.18000000000001</v>
                </pt>
                <pt idx="12">
                  <v>68.28</v>
                </pt>
                <pt idx="13">
                  <v>69.36</v>
                </pt>
                <pt idx="14">
                  <v>61.99</v>
                </pt>
                <pt idx="15">
                  <v>61.5</v>
                </pt>
                <pt idx="16">
                  <v>64.68000000000001</v>
                </pt>
                <pt idx="17">
                  <v>63.02</v>
                </pt>
                <pt idx="18">
                  <v>58.29</v>
                </pt>
                <pt idx="19">
                  <v>61.02</v>
                </pt>
                <pt idx="20">
                  <v>62.49</v>
                </pt>
                <pt idx="21">
                  <v>61.53</v>
                </pt>
                <pt idx="22">
                  <v>60.79</v>
                </pt>
                <pt idx="23">
                  <v>64.58</v>
                </pt>
                <pt idx="24">
                  <v>72.98</v>
                </pt>
                <pt idx="25">
                  <v>74.93000000000001</v>
                </pt>
                <pt idx="26">
                  <v>65.52</v>
                </pt>
                <pt idx="27">
                  <v>66.5</v>
                </pt>
                <pt idx="28">
                  <v>68.45</v>
                </pt>
                <pt idx="29">
                  <v>67.34</v>
                </pt>
                <pt idx="30">
                  <v>65.16</v>
                </pt>
                <pt idx="31">
                  <v>67.33</v>
                </pt>
                <pt idx="32">
                  <v>63.88</v>
                </pt>
                <pt idx="33">
                  <v>62.8</v>
                </pt>
                <pt idx="34">
                  <v>63.66</v>
                </pt>
                <pt idx="35">
                  <v>64.01000000000001</v>
                </pt>
                <pt idx="36">
                  <v>61.87</v>
                </pt>
                <pt idx="37">
                  <v>62.69</v>
                </pt>
                <pt idx="38">
                  <v>62.68</v>
                </pt>
                <pt idx="39">
                  <v>65.72</v>
                </pt>
                <pt idx="40">
                  <v>60.88</v>
                </pt>
                <pt idx="41">
                  <v>58.9</v>
                </pt>
                <pt idx="42">
                  <v>57.54</v>
                </pt>
                <pt idx="43">
                  <v>61.5</v>
                </pt>
                <pt idx="44">
                  <v>60.98</v>
                </pt>
                <pt idx="45">
                  <v>59.75</v>
                </pt>
                <pt idx="46">
                  <v>60.09</v>
                </pt>
                <pt idx="47">
                  <v>58.06</v>
                </pt>
                <pt idx="48">
                  <v>58.55</v>
                </pt>
                <pt idx="49">
                  <v>60.08</v>
                </pt>
                <pt idx="50">
                  <v>57.44</v>
                </pt>
                <pt idx="51">
                  <v>56.66</v>
                </pt>
                <pt idx="52">
                  <v>56.74</v>
                </pt>
                <pt idx="53">
                  <v>57.32</v>
                </pt>
                <pt idx="54">
                  <v>59.12</v>
                </pt>
                <pt idx="55">
                  <v>59.44</v>
                </pt>
                <pt idx="56">
                  <v>61.07</v>
                </pt>
                <pt idx="57">
                  <v>65.20999999999999</v>
                </pt>
                <pt idx="58">
                  <v>63.55</v>
                </pt>
                <pt idx="59">
                  <v>62.89</v>
                </pt>
                <pt idx="60">
                  <v>66.39</v>
                </pt>
                <pt idx="61">
                  <v>67.02</v>
                </pt>
                <pt idx="62">
                  <v>90.90000000000001</v>
                </pt>
                <pt idx="63">
                  <v>98.70999999999999</v>
                </pt>
                <pt idx="64">
                  <v>98.31999999999999</v>
                </pt>
                <pt idx="65">
                  <v>99.64</v>
                </pt>
                <pt idx="66">
                  <v>111.54</v>
                </pt>
                <pt idx="67">
                  <v>96.56999999999999</v>
                </pt>
                <pt idx="68">
                  <v>83.84999999999999</v>
                </pt>
                <pt idx="69">
                  <v>94.40000000000001</v>
                </pt>
                <pt idx="70">
                  <v>101.94</v>
                </pt>
                <pt idx="71">
                  <v>95.42</v>
                </pt>
                <pt idx="72">
                  <v>105.42</v>
                </pt>
                <pt idx="73">
                  <v>96.59999999999999</v>
                </pt>
                <pt idx="74">
                  <v>87.36</v>
                </pt>
                <pt idx="75">
                  <v>90.54000000000001</v>
                </pt>
                <pt idx="76">
                  <v>84.88</v>
                </pt>
                <pt idx="77">
                  <v>76.59999999999999</v>
                </pt>
                <pt idx="78">
                  <v>69.23</v>
                </pt>
                <pt idx="79">
                  <v>68.69</v>
                </pt>
                <pt idx="80">
                  <v>71.41</v>
                </pt>
                <pt idx="81">
                  <v>82.48999999999999</v>
                </pt>
                <pt idx="82">
                  <v>89.31</v>
                </pt>
                <pt idx="83">
                  <v>84.67</v>
                </pt>
                <pt idx="84">
                  <v>78.18000000000001</v>
                </pt>
                <pt idx="85">
                  <v>82.40000000000001</v>
                </pt>
                <pt idx="86">
                  <v>87.06</v>
                </pt>
                <pt idx="87">
                  <v>83.40000000000001</v>
                </pt>
                <pt idx="88">
                  <v>91.48</v>
                </pt>
                <pt idx="89">
                  <v>100.05</v>
                </pt>
                <pt idx="90">
                  <v>100.3</v>
                </pt>
                <pt idx="91">
                  <v>92.41</v>
                </pt>
                <pt idx="92">
                  <v>91.11</v>
                </pt>
                <pt idx="93">
                  <v>91.84999999999999</v>
                </pt>
                <pt idx="94">
                  <v>90.95</v>
                </pt>
              </numCache>
            </numRef>
          </val>
          <smooth val="0"/>
        </ser>
        <ser>
          <idx val="2"/>
          <order val="2"/>
          <tx>
            <strRef>
              <f>油价汽油!$D$2</f>
              <strCache>
                <ptCount val="1"/>
                <pt idx="0">
                  <v>全美汽油均价($/gal)</v>
                </pt>
              </strCache>
            </strRef>
          </tx>
          <spPr>
            <a:ln xmlns:a="http://schemas.openxmlformats.org/drawingml/2006/main" w="20000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油价汽油!$A$3:$A$97</f>
              <numCache>
                <formatCode>yyyy\-mm\-dd</formatCode>
                <ptCount val="95"/>
                <pt idx="0">
                  <v>45658</v>
                </pt>
                <pt idx="1">
                  <v>45660</v>
                </pt>
                <pt idx="2">
                  <v>45667</v>
                </pt>
                <pt idx="3">
                  <v>45674</v>
                </pt>
                <pt idx="4">
                  <v>45681</v>
                </pt>
                <pt idx="5">
                  <v>45688</v>
                </pt>
                <pt idx="6">
                  <v>45695</v>
                </pt>
                <pt idx="7">
                  <v>45702</v>
                </pt>
                <pt idx="8">
                  <v>45709</v>
                </pt>
                <pt idx="9">
                  <v>45716</v>
                </pt>
                <pt idx="10">
                  <v>45723</v>
                </pt>
                <pt idx="11">
                  <v>45730</v>
                </pt>
                <pt idx="12">
                  <v>45737</v>
                </pt>
                <pt idx="13">
                  <v>45744</v>
                </pt>
                <pt idx="14">
                  <v>45751</v>
                </pt>
                <pt idx="15">
                  <v>45758</v>
                </pt>
                <pt idx="16">
                  <v>45765</v>
                </pt>
                <pt idx="17">
                  <v>45772</v>
                </pt>
                <pt idx="18">
                  <v>45779</v>
                </pt>
                <pt idx="19">
                  <v>45786</v>
                </pt>
                <pt idx="20">
                  <v>45793</v>
                </pt>
                <pt idx="21">
                  <v>45800</v>
                </pt>
                <pt idx="22">
                  <v>45807</v>
                </pt>
                <pt idx="23">
                  <v>45814</v>
                </pt>
                <pt idx="24">
                  <v>45821</v>
                </pt>
                <pt idx="25">
                  <v>45828</v>
                </pt>
                <pt idx="26">
                  <v>45835</v>
                </pt>
                <pt idx="27">
                  <v>45842</v>
                </pt>
                <pt idx="28">
                  <v>45849</v>
                </pt>
                <pt idx="29">
                  <v>45856</v>
                </pt>
                <pt idx="30">
                  <v>45863</v>
                </pt>
                <pt idx="31">
                  <v>45870</v>
                </pt>
                <pt idx="32">
                  <v>45877</v>
                </pt>
                <pt idx="33">
                  <v>45884</v>
                </pt>
                <pt idx="34">
                  <v>45891</v>
                </pt>
                <pt idx="35">
                  <v>45898</v>
                </pt>
                <pt idx="36">
                  <v>45905</v>
                </pt>
                <pt idx="37">
                  <v>45912</v>
                </pt>
                <pt idx="38">
                  <v>45919</v>
                </pt>
                <pt idx="39">
                  <v>45926</v>
                </pt>
                <pt idx="40">
                  <v>45933</v>
                </pt>
                <pt idx="41">
                  <v>45940</v>
                </pt>
                <pt idx="42">
                  <v>45947</v>
                </pt>
                <pt idx="43">
                  <v>45954</v>
                </pt>
                <pt idx="44">
                  <v>45961</v>
                </pt>
                <pt idx="45">
                  <v>45968</v>
                </pt>
                <pt idx="46">
                  <v>45975</v>
                </pt>
                <pt idx="47">
                  <v>45982</v>
                </pt>
                <pt idx="48">
                  <v>45989</v>
                </pt>
                <pt idx="49">
                  <v>45996</v>
                </pt>
                <pt idx="50">
                  <v>46003</v>
                </pt>
                <pt idx="51">
                  <v>46010</v>
                </pt>
                <pt idx="52">
                  <v>46017</v>
                </pt>
                <pt idx="53">
                  <v>46024</v>
                </pt>
                <pt idx="54">
                  <v>46031</v>
                </pt>
                <pt idx="55">
                  <v>46038</v>
                </pt>
                <pt idx="56">
                  <v>46045</v>
                </pt>
                <pt idx="57">
                  <v>46052</v>
                </pt>
                <pt idx="58">
                  <v>46059</v>
                </pt>
                <pt idx="59">
                  <v>46066</v>
                </pt>
                <pt idx="60">
                  <v>46073</v>
                </pt>
                <pt idx="61">
                  <v>46080</v>
                </pt>
                <pt idx="62">
                  <v>46087</v>
                </pt>
                <pt idx="63">
                  <v>46094</v>
                </pt>
                <pt idx="64">
                  <v>46101</v>
                </pt>
                <pt idx="65">
                  <v>46108</v>
                </pt>
                <pt idx="66">
                  <v>46115</v>
                </pt>
                <pt idx="67">
                  <v>46122</v>
                </pt>
                <pt idx="68">
                  <v>46129</v>
                </pt>
                <pt idx="69">
                  <v>46136</v>
                </pt>
                <pt idx="70">
                  <v>46143</v>
                </pt>
                <pt idx="71">
                  <v>46150</v>
                </pt>
                <pt idx="72">
                  <v>46157</v>
                </pt>
                <pt idx="73">
                  <v>46164</v>
                </pt>
                <pt idx="74">
                  <v>46171</v>
                </pt>
                <pt idx="75">
                  <v>46178</v>
                </pt>
                <pt idx="76">
                  <v>46185</v>
                </pt>
                <pt idx="77">
                  <v>46192</v>
                </pt>
                <pt idx="78">
                  <v>46199</v>
                </pt>
                <pt idx="79">
                  <v>46206</v>
                </pt>
                <pt idx="80">
                  <v>46213</v>
                </pt>
                <pt idx="81">
                  <v>46220</v>
                </pt>
                <pt idx="82">
                  <v>46227</v>
                </pt>
                <pt idx="83">
                  <v>46234</v>
                </pt>
                <pt idx="84">
                  <v>46241</v>
                </pt>
                <pt idx="85">
                  <v>46248</v>
                </pt>
                <pt idx="86">
                  <v>46255</v>
                </pt>
                <pt idx="87">
                  <v>46262</v>
                </pt>
                <pt idx="88">
                  <v>46269</v>
                </pt>
                <pt idx="89">
                  <v>46276</v>
                </pt>
                <pt idx="90">
                  <v>46283</v>
                </pt>
                <pt idx="91">
                  <v>46290</v>
                </pt>
                <pt idx="92">
                  <v>46297</v>
                </pt>
                <pt idx="93">
                  <v>46304</v>
                </pt>
                <pt idx="94">
                  <v>46311</v>
                </pt>
              </numCache>
            </numRef>
          </cat>
          <val>
            <numRef>
              <f>油价汽油!$D$3:$D$97</f>
              <numCache>
                <formatCode>#,##0.00</formatCode>
                <ptCount val="95"/>
                <pt idx="2">
                  <v>3.05</v>
                </pt>
                <pt idx="3">
                  <v>3.04</v>
                </pt>
                <pt idx="4">
                  <v>3.11</v>
                </pt>
                <pt idx="5">
                  <v>3.1</v>
                </pt>
                <pt idx="6">
                  <v>3.08</v>
                </pt>
                <pt idx="7">
                  <v>3.13</v>
                </pt>
                <pt idx="8">
                  <v>3.15</v>
                </pt>
                <pt idx="9">
                  <v>3.12</v>
                </pt>
                <pt idx="10">
                  <v>3.08</v>
                </pt>
                <pt idx="11">
                  <v>3.07</v>
                </pt>
                <pt idx="12">
                  <v>3.06</v>
                </pt>
                <pt idx="13">
                  <v>3.12</v>
                </pt>
                <pt idx="14">
                  <v>3.16</v>
                </pt>
                <pt idx="15">
                  <v>3.24</v>
                </pt>
                <pt idx="16">
                  <v>3.17</v>
                </pt>
                <pt idx="17">
                  <v>3.14</v>
                </pt>
                <pt idx="18">
                  <v>3.13</v>
                </pt>
                <pt idx="19">
                  <v>3.15</v>
                </pt>
                <pt idx="20">
                  <v>3.12</v>
                </pt>
                <pt idx="21">
                  <v>3.17</v>
                </pt>
                <pt idx="22">
                  <v>3.16</v>
                </pt>
                <pt idx="23">
                  <v>3.13</v>
                </pt>
                <pt idx="24">
                  <v>3.11</v>
                </pt>
                <pt idx="25">
                  <v>3.14</v>
                </pt>
                <pt idx="26">
                  <v>3.21</v>
                </pt>
                <pt idx="27">
                  <v>3.16</v>
                </pt>
                <pt idx="28">
                  <v>3.12</v>
                </pt>
                <pt idx="29">
                  <v>3.13</v>
                </pt>
                <pt idx="30">
                  <v>3.12</v>
                </pt>
                <pt idx="31">
                  <v>3.12</v>
                </pt>
                <pt idx="32">
                  <v>3.14</v>
                </pt>
                <pt idx="33">
                  <v>3.12</v>
                </pt>
                <pt idx="34">
                  <v>3.12</v>
                </pt>
                <pt idx="35">
                  <v>3.15</v>
                </pt>
                <pt idx="36">
                  <v>3.18</v>
                </pt>
                <pt idx="37">
                  <v>3.19</v>
                </pt>
                <pt idx="38">
                  <v>3.17</v>
                </pt>
                <pt idx="39">
                  <v>3.17</v>
                </pt>
                <pt idx="40">
                  <v>3.12</v>
                </pt>
                <pt idx="41">
                  <v>3.12</v>
                </pt>
                <pt idx="42">
                  <v>3.06</v>
                </pt>
                <pt idx="43">
                  <v>3.02</v>
                </pt>
                <pt idx="44">
                  <v>3.04</v>
                </pt>
                <pt idx="45">
                  <v>3.02</v>
                </pt>
                <pt idx="46">
                  <v>3.06</v>
                </pt>
                <pt idx="47">
                  <v>3.06</v>
                </pt>
                <pt idx="48">
                  <v>3.06</v>
                </pt>
                <pt idx="49">
                  <v>2.98</v>
                </pt>
                <pt idx="50">
                  <v>2.94</v>
                </pt>
                <pt idx="51">
                  <v>2.9</v>
                </pt>
                <pt idx="52">
                  <v>2.84</v>
                </pt>
                <pt idx="53">
                  <v>2.81</v>
                </pt>
                <pt idx="54">
                  <v>2.8</v>
                </pt>
                <pt idx="55">
                  <v>2.78</v>
                </pt>
                <pt idx="56">
                  <v>2.81</v>
                </pt>
                <pt idx="57">
                  <v>2.85</v>
                </pt>
                <pt idx="58">
                  <v>2.87</v>
                </pt>
                <pt idx="59">
                  <v>2.9</v>
                </pt>
                <pt idx="60">
                  <v>2.92</v>
                </pt>
                <pt idx="61">
                  <v>2.94</v>
                </pt>
                <pt idx="62">
                  <v>3.02</v>
                </pt>
                <pt idx="63">
                  <v>3.5</v>
                </pt>
                <pt idx="64">
                  <v>3.72</v>
                </pt>
                <pt idx="65">
                  <v>3.96</v>
                </pt>
                <pt idx="66">
                  <v>3.99</v>
                </pt>
                <pt idx="67">
                  <v>4.12</v>
                </pt>
                <pt idx="68">
                  <v>4.12</v>
                </pt>
                <pt idx="69">
                  <v>4.04</v>
                </pt>
                <pt idx="70">
                  <v>4.12</v>
                </pt>
                <pt idx="71">
                  <v>4.45</v>
                </pt>
                <pt idx="72">
                  <v>4.5</v>
                </pt>
                <pt idx="73">
                  <v>4.49</v>
                </pt>
                <pt idx="74">
                  <v>4.47</v>
                </pt>
                <pt idx="75">
                  <v>4.3</v>
                </pt>
                <pt idx="76">
                  <v>4.15</v>
                </pt>
                <pt idx="77">
                  <v>4.05</v>
                </pt>
                <pt idx="78">
                  <v>3.91</v>
                </pt>
                <pt idx="79">
                  <v>3.83</v>
                </pt>
                <pt idx="80">
                  <v>3.78</v>
                </pt>
                <pt idx="81">
                  <v>3.85</v>
                </pt>
                <pt idx="82">
                  <v>4</v>
                </pt>
                <pt idx="83">
                  <v>4.1</v>
                </pt>
                <pt idx="84">
                  <v>4.08</v>
                </pt>
                <pt idx="85">
                  <v>4.01</v>
                </pt>
                <pt idx="86">
                  <v>4.05</v>
                </pt>
                <pt idx="87">
                  <v>4.08</v>
                </pt>
                <pt idx="88">
                  <v>4.07</v>
                </pt>
                <pt idx="89">
                  <v>4.16</v>
                </pt>
                <pt idx="90">
                  <v>4.32</v>
                </pt>
                <pt idx="91">
                  <v>4.48</v>
                </pt>
                <pt idx="92">
                  <v>4.46</v>
                </pt>
                <pt idx="93">
                  <v>4.35</v>
                </pt>
                <pt idx="94">
                  <v>4.35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0"/>
        <smooth val="0"/>
        <axId val="10"/>
        <axId val="100"/>
      </lineChart>
      <date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0"/>
        <crosses val="autoZero"/>
        <lblOffset val="100"/>
        <baseTimeUnit val="days"/>
      </dateAx>
      <valAx>
        <axId val="100"/>
        <scaling>
          <orientation val="minMax"/>
        </scaling>
        <delete val="0"/>
        <axPos val="l"/>
        <majorGridlines/>
        <numFmt formatCode="0.0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between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US Treasury Yields</a:t>
            </a:r>
          </a:p>
        </rich>
      </tx>
      <layout/>
      <overlay val="0"/>
    </title>
    <plotArea>
      <layout/>
      <lineChart>
        <grouping val="standard"/>
        <varyColors val="0"/>
        <ser>
          <idx val="0"/>
          <order val="0"/>
          <tx>
            <strRef>
              <f>美债收益率!$B$2</f>
              <strCache>
                <ptCount val="1"/>
                <pt idx="0">
                  <v>2Y(%)</v>
                </pt>
              </strCache>
            </strRef>
          </tx>
          <spPr>
            <a:ln xmlns:a="http://schemas.openxmlformats.org/drawingml/2006/main" w="20000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美债收益率!$A$3:$A$96</f>
              <numCache>
                <formatCode>yyyy\-mm\-dd</formatCode>
                <ptCount val="94"/>
                <pt idx="0">
                  <v>45658</v>
                </pt>
                <pt idx="1">
                  <v>45660</v>
                </pt>
                <pt idx="2">
                  <v>45667</v>
                </pt>
                <pt idx="3">
                  <v>45674</v>
                </pt>
                <pt idx="4">
                  <v>45681</v>
                </pt>
                <pt idx="5">
                  <v>45688</v>
                </pt>
                <pt idx="6">
                  <v>45695</v>
                </pt>
                <pt idx="7">
                  <v>45702</v>
                </pt>
                <pt idx="8">
                  <v>45709</v>
                </pt>
                <pt idx="9">
                  <v>45716</v>
                </pt>
                <pt idx="10">
                  <v>45723</v>
                </pt>
                <pt idx="11">
                  <v>45730</v>
                </pt>
                <pt idx="12">
                  <v>45737</v>
                </pt>
                <pt idx="13">
                  <v>45744</v>
                </pt>
                <pt idx="14">
                  <v>45751</v>
                </pt>
                <pt idx="15">
                  <v>45758</v>
                </pt>
                <pt idx="16">
                  <v>45765</v>
                </pt>
                <pt idx="17">
                  <v>45772</v>
                </pt>
                <pt idx="18">
                  <v>45779</v>
                </pt>
                <pt idx="19">
                  <v>45786</v>
                </pt>
                <pt idx="20">
                  <v>45793</v>
                </pt>
                <pt idx="21">
                  <v>45800</v>
                </pt>
                <pt idx="22">
                  <v>45807</v>
                </pt>
                <pt idx="23">
                  <v>45814</v>
                </pt>
                <pt idx="24">
                  <v>45821</v>
                </pt>
                <pt idx="25">
                  <v>45828</v>
                </pt>
                <pt idx="26">
                  <v>45835</v>
                </pt>
                <pt idx="27">
                  <v>45842</v>
                </pt>
                <pt idx="28">
                  <v>45849</v>
                </pt>
                <pt idx="29">
                  <v>45856</v>
                </pt>
                <pt idx="30">
                  <v>45863</v>
                </pt>
                <pt idx="31">
                  <v>45870</v>
                </pt>
                <pt idx="32">
                  <v>45877</v>
                </pt>
                <pt idx="33">
                  <v>45884</v>
                </pt>
                <pt idx="34">
                  <v>45891</v>
                </pt>
                <pt idx="35">
                  <v>45898</v>
                </pt>
                <pt idx="36">
                  <v>45905</v>
                </pt>
                <pt idx="37">
                  <v>45912</v>
                </pt>
                <pt idx="38">
                  <v>45919</v>
                </pt>
                <pt idx="39">
                  <v>45926</v>
                </pt>
                <pt idx="40">
                  <v>45933</v>
                </pt>
                <pt idx="41">
                  <v>45940</v>
                </pt>
                <pt idx="42">
                  <v>45947</v>
                </pt>
                <pt idx="43">
                  <v>45954</v>
                </pt>
                <pt idx="44">
                  <v>45961</v>
                </pt>
                <pt idx="45">
                  <v>45968</v>
                </pt>
                <pt idx="46">
                  <v>45975</v>
                </pt>
                <pt idx="47">
                  <v>45982</v>
                </pt>
                <pt idx="48">
                  <v>45989</v>
                </pt>
                <pt idx="49">
                  <v>45996</v>
                </pt>
                <pt idx="50">
                  <v>46003</v>
                </pt>
                <pt idx="51">
                  <v>46010</v>
                </pt>
                <pt idx="52">
                  <v>46017</v>
                </pt>
                <pt idx="53">
                  <v>46024</v>
                </pt>
                <pt idx="54">
                  <v>46031</v>
                </pt>
                <pt idx="55">
                  <v>46038</v>
                </pt>
                <pt idx="56">
                  <v>46045</v>
                </pt>
                <pt idx="57">
                  <v>46052</v>
                </pt>
                <pt idx="58">
                  <v>46059</v>
                </pt>
                <pt idx="59">
                  <v>46066</v>
                </pt>
                <pt idx="60">
                  <v>46073</v>
                </pt>
                <pt idx="61">
                  <v>46080</v>
                </pt>
                <pt idx="62">
                  <v>46087</v>
                </pt>
                <pt idx="63">
                  <v>46094</v>
                </pt>
                <pt idx="64">
                  <v>46101</v>
                </pt>
                <pt idx="65">
                  <v>46108</v>
                </pt>
                <pt idx="66">
                  <v>46115</v>
                </pt>
                <pt idx="67">
                  <v>46122</v>
                </pt>
                <pt idx="68">
                  <v>46129</v>
                </pt>
                <pt idx="69">
                  <v>46136</v>
                </pt>
                <pt idx="70">
                  <v>46143</v>
                </pt>
                <pt idx="71">
                  <v>46150</v>
                </pt>
                <pt idx="72">
                  <v>46157</v>
                </pt>
                <pt idx="73">
                  <v>46164</v>
                </pt>
                <pt idx="74">
                  <v>46171</v>
                </pt>
                <pt idx="75">
                  <v>46178</v>
                </pt>
                <pt idx="76">
                  <v>46185</v>
                </pt>
                <pt idx="77">
                  <v>46192</v>
                </pt>
                <pt idx="78">
                  <v>46199</v>
                </pt>
                <pt idx="79">
                  <v>46206</v>
                </pt>
                <pt idx="80">
                  <v>46213</v>
                </pt>
                <pt idx="81">
                  <v>46220</v>
                </pt>
                <pt idx="82">
                  <v>46227</v>
                </pt>
                <pt idx="83">
                  <v>46234</v>
                </pt>
                <pt idx="84">
                  <v>46241</v>
                </pt>
                <pt idx="85">
                  <v>46248</v>
                </pt>
                <pt idx="86">
                  <v>46255</v>
                </pt>
                <pt idx="87">
                  <v>46262</v>
                </pt>
                <pt idx="88">
                  <v>46269</v>
                </pt>
                <pt idx="89">
                  <v>46276</v>
                </pt>
                <pt idx="90">
                  <v>46283</v>
                </pt>
                <pt idx="91">
                  <v>46290</v>
                </pt>
                <pt idx="92">
                  <v>46297</v>
                </pt>
                <pt idx="93">
                  <v>46304</v>
                </pt>
              </numCache>
            </numRef>
          </cat>
          <val>
            <numRef>
              <f>美债收益率!$B$3:$B$96</f>
              <numCache>
                <formatCode>0.000</formatCode>
                <ptCount val="94"/>
                <pt idx="0">
                  <v>4.25</v>
                </pt>
                <pt idx="1">
                  <v>4.28</v>
                </pt>
                <pt idx="2">
                  <v>4.4</v>
                </pt>
                <pt idx="3">
                  <v>4.27</v>
                </pt>
                <pt idx="4">
                  <v>4.27</v>
                </pt>
                <pt idx="5">
                  <v>4.22</v>
                </pt>
                <pt idx="6">
                  <v>4.29</v>
                </pt>
                <pt idx="7">
                  <v>4.26</v>
                </pt>
                <pt idx="8">
                  <v>4.19</v>
                </pt>
                <pt idx="9">
                  <v>3.99</v>
                </pt>
                <pt idx="10">
                  <v>3.99</v>
                </pt>
                <pt idx="11">
                  <v>4.02</v>
                </pt>
                <pt idx="12">
                  <v>3.94</v>
                </pt>
                <pt idx="13">
                  <v>3.89</v>
                </pt>
                <pt idx="14">
                  <v>3.68</v>
                </pt>
                <pt idx="15">
                  <v>3.96</v>
                </pt>
                <pt idx="16">
                  <v>3.81</v>
                </pt>
                <pt idx="17">
                  <v>3.74</v>
                </pt>
                <pt idx="18">
                  <v>3.83</v>
                </pt>
                <pt idx="19">
                  <v>3.88</v>
                </pt>
                <pt idx="20">
                  <v>3.98</v>
                </pt>
                <pt idx="21">
                  <v>4</v>
                </pt>
                <pt idx="22">
                  <v>3.89</v>
                </pt>
                <pt idx="23">
                  <v>4.04</v>
                </pt>
                <pt idx="24">
                  <v>3.96</v>
                </pt>
                <pt idx="25">
                  <v>3.9</v>
                </pt>
                <pt idx="26">
                  <v>3.73</v>
                </pt>
                <pt idx="27">
                  <v>3.88</v>
                </pt>
                <pt idx="28">
                  <v>3.9</v>
                </pt>
                <pt idx="29">
                  <v>3.88</v>
                </pt>
                <pt idx="30">
                  <v>3.91</v>
                </pt>
                <pt idx="31">
                  <v>3.69</v>
                </pt>
                <pt idx="32">
                  <v>3.76</v>
                </pt>
                <pt idx="33">
                  <v>3.75</v>
                </pt>
                <pt idx="34">
                  <v>3.68</v>
                </pt>
                <pt idx="35">
                  <v>3.59</v>
                </pt>
                <pt idx="36">
                  <v>3.51</v>
                </pt>
                <pt idx="37">
                  <v>3.56</v>
                </pt>
                <pt idx="38">
                  <v>3.57</v>
                </pt>
                <pt idx="39">
                  <v>3.63</v>
                </pt>
                <pt idx="40">
                  <v>3.58</v>
                </pt>
                <pt idx="41">
                  <v>3.52</v>
                </pt>
                <pt idx="42">
                  <v>3.46</v>
                </pt>
                <pt idx="43">
                  <v>3.48</v>
                </pt>
                <pt idx="44">
                  <v>3.6</v>
                </pt>
                <pt idx="45">
                  <v>3.55</v>
                </pt>
                <pt idx="46">
                  <v>3.62</v>
                </pt>
                <pt idx="47">
                  <v>3.51</v>
                </pt>
                <pt idx="48">
                  <v>3.47</v>
                </pt>
                <pt idx="49">
                  <v>3.56</v>
                </pt>
                <pt idx="50">
                  <v>3.52</v>
                </pt>
                <pt idx="51">
                  <v>3.48</v>
                </pt>
                <pt idx="52">
                  <v>3.46</v>
                </pt>
                <pt idx="53">
                  <v>3.47</v>
                </pt>
                <pt idx="54">
                  <v>3.54</v>
                </pt>
                <pt idx="55">
                  <v>3.59</v>
                </pt>
                <pt idx="56">
                  <v>3.6</v>
                </pt>
                <pt idx="57">
                  <v>3.52</v>
                </pt>
                <pt idx="58">
                  <v>3.5</v>
                </pt>
                <pt idx="59">
                  <v>3.4</v>
                </pt>
                <pt idx="60">
                  <v>3.48</v>
                </pt>
                <pt idx="61">
                  <v>3.38</v>
                </pt>
                <pt idx="62">
                  <v>3.56</v>
                </pt>
                <pt idx="63">
                  <v>3.73</v>
                </pt>
                <pt idx="64">
                  <v>3.88</v>
                </pt>
                <pt idx="65">
                  <v>3.88</v>
                </pt>
                <pt idx="66">
                  <v>3.84</v>
                </pt>
                <pt idx="67">
                  <v>3.81</v>
                </pt>
                <pt idx="68">
                  <v>3.71</v>
                </pt>
                <pt idx="69">
                  <v>3.78</v>
                </pt>
                <pt idx="70">
                  <v>3.88</v>
                </pt>
                <pt idx="71">
                  <v>3.9</v>
                </pt>
                <pt idx="72">
                  <v>4.09</v>
                </pt>
                <pt idx="73">
                  <v>4.13</v>
                </pt>
                <pt idx="74">
                  <v>3.98</v>
                </pt>
                <pt idx="75">
                  <v>4.17</v>
                </pt>
                <pt idx="76">
                  <v>4.09</v>
                </pt>
                <pt idx="77">
                  <v>4.19</v>
                </pt>
                <pt idx="78">
                  <v>4.07</v>
                </pt>
                <pt idx="79">
                  <v>4.14</v>
                </pt>
                <pt idx="80">
                  <v>4.21</v>
                </pt>
                <pt idx="81">
                  <v>4.18</v>
                </pt>
                <pt idx="82">
                  <v>4.33</v>
                </pt>
                <pt idx="83">
                  <v>4.28</v>
                </pt>
                <pt idx="84">
                  <v>4.19</v>
                </pt>
                <pt idx="85">
                  <v>4.17</v>
                </pt>
                <pt idx="86">
                  <v>4.24</v>
                </pt>
                <pt idx="87">
                  <v>4.34</v>
                </pt>
                <pt idx="88">
                  <v>4.37</v>
                </pt>
                <pt idx="89">
                  <v>4.63</v>
                </pt>
                <pt idx="90">
                  <v>4.76</v>
                </pt>
                <pt idx="91">
                  <v>4.81</v>
                </pt>
                <pt idx="92">
                  <v>4.83</v>
                </pt>
                <pt idx="93">
                  <v>4.75</v>
                </pt>
              </numCache>
            </numRef>
          </val>
          <smooth val="0"/>
        </ser>
        <ser>
          <idx val="1"/>
          <order val="1"/>
          <tx>
            <strRef>
              <f>美债收益率!$C$2</f>
              <strCache>
                <ptCount val="1"/>
                <pt idx="0">
                  <v>10Y(%)</v>
                </pt>
              </strCache>
            </strRef>
          </tx>
          <spPr>
            <a:ln xmlns:a="http://schemas.openxmlformats.org/drawingml/2006/main" w="20000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美债收益率!$A$3:$A$96</f>
              <numCache>
                <formatCode>yyyy\-mm\-dd</formatCode>
                <ptCount val="94"/>
                <pt idx="0">
                  <v>45658</v>
                </pt>
                <pt idx="1">
                  <v>45660</v>
                </pt>
                <pt idx="2">
                  <v>45667</v>
                </pt>
                <pt idx="3">
                  <v>45674</v>
                </pt>
                <pt idx="4">
                  <v>45681</v>
                </pt>
                <pt idx="5">
                  <v>45688</v>
                </pt>
                <pt idx="6">
                  <v>45695</v>
                </pt>
                <pt idx="7">
                  <v>45702</v>
                </pt>
                <pt idx="8">
                  <v>45709</v>
                </pt>
                <pt idx="9">
                  <v>45716</v>
                </pt>
                <pt idx="10">
                  <v>45723</v>
                </pt>
                <pt idx="11">
                  <v>45730</v>
                </pt>
                <pt idx="12">
                  <v>45737</v>
                </pt>
                <pt idx="13">
                  <v>45744</v>
                </pt>
                <pt idx="14">
                  <v>45751</v>
                </pt>
                <pt idx="15">
                  <v>45758</v>
                </pt>
                <pt idx="16">
                  <v>45765</v>
                </pt>
                <pt idx="17">
                  <v>45772</v>
                </pt>
                <pt idx="18">
                  <v>45779</v>
                </pt>
                <pt idx="19">
                  <v>45786</v>
                </pt>
                <pt idx="20">
                  <v>45793</v>
                </pt>
                <pt idx="21">
                  <v>45800</v>
                </pt>
                <pt idx="22">
                  <v>45807</v>
                </pt>
                <pt idx="23">
                  <v>45814</v>
                </pt>
                <pt idx="24">
                  <v>45821</v>
                </pt>
                <pt idx="25">
                  <v>45828</v>
                </pt>
                <pt idx="26">
                  <v>45835</v>
                </pt>
                <pt idx="27">
                  <v>45842</v>
                </pt>
                <pt idx="28">
                  <v>45849</v>
                </pt>
                <pt idx="29">
                  <v>45856</v>
                </pt>
                <pt idx="30">
                  <v>45863</v>
                </pt>
                <pt idx="31">
                  <v>45870</v>
                </pt>
                <pt idx="32">
                  <v>45877</v>
                </pt>
                <pt idx="33">
                  <v>45884</v>
                </pt>
                <pt idx="34">
                  <v>45891</v>
                </pt>
                <pt idx="35">
                  <v>45898</v>
                </pt>
                <pt idx="36">
                  <v>45905</v>
                </pt>
                <pt idx="37">
                  <v>45912</v>
                </pt>
                <pt idx="38">
                  <v>45919</v>
                </pt>
                <pt idx="39">
                  <v>45926</v>
                </pt>
                <pt idx="40">
                  <v>45933</v>
                </pt>
                <pt idx="41">
                  <v>45940</v>
                </pt>
                <pt idx="42">
                  <v>45947</v>
                </pt>
                <pt idx="43">
                  <v>45954</v>
                </pt>
                <pt idx="44">
                  <v>45961</v>
                </pt>
                <pt idx="45">
                  <v>45968</v>
                </pt>
                <pt idx="46">
                  <v>45975</v>
                </pt>
                <pt idx="47">
                  <v>45982</v>
                </pt>
                <pt idx="48">
                  <v>45989</v>
                </pt>
                <pt idx="49">
                  <v>45996</v>
                </pt>
                <pt idx="50">
                  <v>46003</v>
                </pt>
                <pt idx="51">
                  <v>46010</v>
                </pt>
                <pt idx="52">
                  <v>46017</v>
                </pt>
                <pt idx="53">
                  <v>46024</v>
                </pt>
                <pt idx="54">
                  <v>46031</v>
                </pt>
                <pt idx="55">
                  <v>46038</v>
                </pt>
                <pt idx="56">
                  <v>46045</v>
                </pt>
                <pt idx="57">
                  <v>46052</v>
                </pt>
                <pt idx="58">
                  <v>46059</v>
                </pt>
                <pt idx="59">
                  <v>46066</v>
                </pt>
                <pt idx="60">
                  <v>46073</v>
                </pt>
                <pt idx="61">
                  <v>46080</v>
                </pt>
                <pt idx="62">
                  <v>46087</v>
                </pt>
                <pt idx="63">
                  <v>46094</v>
                </pt>
                <pt idx="64">
                  <v>46101</v>
                </pt>
                <pt idx="65">
                  <v>46108</v>
                </pt>
                <pt idx="66">
                  <v>46115</v>
                </pt>
                <pt idx="67">
                  <v>46122</v>
                </pt>
                <pt idx="68">
                  <v>46129</v>
                </pt>
                <pt idx="69">
                  <v>46136</v>
                </pt>
                <pt idx="70">
                  <v>46143</v>
                </pt>
                <pt idx="71">
                  <v>46150</v>
                </pt>
                <pt idx="72">
                  <v>46157</v>
                </pt>
                <pt idx="73">
                  <v>46164</v>
                </pt>
                <pt idx="74">
                  <v>46171</v>
                </pt>
                <pt idx="75">
                  <v>46178</v>
                </pt>
                <pt idx="76">
                  <v>46185</v>
                </pt>
                <pt idx="77">
                  <v>46192</v>
                </pt>
                <pt idx="78">
                  <v>46199</v>
                </pt>
                <pt idx="79">
                  <v>46206</v>
                </pt>
                <pt idx="80">
                  <v>46213</v>
                </pt>
                <pt idx="81">
                  <v>46220</v>
                </pt>
                <pt idx="82">
                  <v>46227</v>
                </pt>
                <pt idx="83">
                  <v>46234</v>
                </pt>
                <pt idx="84">
                  <v>46241</v>
                </pt>
                <pt idx="85">
                  <v>46248</v>
                </pt>
                <pt idx="86">
                  <v>46255</v>
                </pt>
                <pt idx="87">
                  <v>46262</v>
                </pt>
                <pt idx="88">
                  <v>46269</v>
                </pt>
                <pt idx="89">
                  <v>46276</v>
                </pt>
                <pt idx="90">
                  <v>46283</v>
                </pt>
                <pt idx="91">
                  <v>46290</v>
                </pt>
                <pt idx="92">
                  <v>46297</v>
                </pt>
                <pt idx="93">
                  <v>46304</v>
                </pt>
              </numCache>
            </numRef>
          </cat>
          <val>
            <numRef>
              <f>美债收益率!$C$3:$C$96</f>
              <numCache>
                <formatCode>0.000</formatCode>
                <ptCount val="94"/>
                <pt idx="0">
                  <v>4.57</v>
                </pt>
                <pt idx="1">
                  <v>4.6</v>
                </pt>
                <pt idx="2">
                  <v>4.78</v>
                </pt>
                <pt idx="3">
                  <v>4.61</v>
                </pt>
                <pt idx="4">
                  <v>4.63</v>
                </pt>
                <pt idx="5">
                  <v>4.57</v>
                </pt>
                <pt idx="6">
                  <v>4.49</v>
                </pt>
                <pt idx="7">
                  <v>4.47</v>
                </pt>
                <pt idx="8">
                  <v>4.42</v>
                </pt>
                <pt idx="9">
                  <v>4.23</v>
                </pt>
                <pt idx="10">
                  <v>4.32</v>
                </pt>
                <pt idx="11">
                  <v>4.31</v>
                </pt>
                <pt idx="12">
                  <v>4.25</v>
                </pt>
                <pt idx="13">
                  <v>4.26</v>
                </pt>
                <pt idx="14">
                  <v>3.98</v>
                </pt>
                <pt idx="15">
                  <v>4.49</v>
                </pt>
                <pt idx="16">
                  <v>4.33</v>
                </pt>
                <pt idx="17">
                  <v>4.27</v>
                </pt>
                <pt idx="18">
                  <v>4.32</v>
                </pt>
                <pt idx="19">
                  <v>4.38</v>
                </pt>
                <pt idx="20">
                  <v>4.44</v>
                </pt>
                <pt idx="21">
                  <v>4.51</v>
                </pt>
                <pt idx="22">
                  <v>4.42</v>
                </pt>
                <pt idx="23">
                  <v>4.51</v>
                </pt>
                <pt idx="24">
                  <v>4.42</v>
                </pt>
                <pt idx="25">
                  <v>4.38</v>
                </pt>
                <pt idx="26">
                  <v>4.28</v>
                </pt>
                <pt idx="27">
                  <v>4.35</v>
                </pt>
                <pt idx="28">
                  <v>4.42</v>
                </pt>
                <pt idx="29">
                  <v>4.43</v>
                </pt>
                <pt idx="30">
                  <v>4.39</v>
                </pt>
                <pt idx="31">
                  <v>4.22</v>
                </pt>
                <pt idx="32">
                  <v>4.28</v>
                </pt>
                <pt idx="33">
                  <v>4.33</v>
                </pt>
                <pt idx="34">
                  <v>4.26</v>
                </pt>
                <pt idx="35">
                  <v>4.23</v>
                </pt>
                <pt idx="36">
                  <v>4.09</v>
                </pt>
                <pt idx="37">
                  <v>4.06</v>
                </pt>
                <pt idx="38">
                  <v>4.14</v>
                </pt>
                <pt idx="39">
                  <v>4.19</v>
                </pt>
                <pt idx="40">
                  <v>4.12</v>
                </pt>
                <pt idx="41">
                  <v>4.05</v>
                </pt>
                <pt idx="42">
                  <v>4.01</v>
                </pt>
                <pt idx="43">
                  <v>4</v>
                </pt>
                <pt idx="44">
                  <v>4.1</v>
                </pt>
                <pt idx="45">
                  <v>4.09</v>
                </pt>
                <pt idx="46">
                  <v>4.15</v>
                </pt>
                <pt idx="47">
                  <v>4.06</v>
                </pt>
                <pt idx="48">
                  <v>4.02</v>
                </pt>
                <pt idx="49">
                  <v>4.14</v>
                </pt>
                <pt idx="50">
                  <v>4.19</v>
                </pt>
                <pt idx="51">
                  <v>4.15</v>
                </pt>
                <pt idx="52">
                  <v>4.14</v>
                </pt>
                <pt idx="53">
                  <v>4.19</v>
                </pt>
                <pt idx="54">
                  <v>4.17</v>
                </pt>
                <pt idx="55">
                  <v>4.23</v>
                </pt>
                <pt idx="56">
                  <v>4.24</v>
                </pt>
                <pt idx="57">
                  <v>4.24</v>
                </pt>
                <pt idx="58">
                  <v>4.21</v>
                </pt>
                <pt idx="59">
                  <v>4.06</v>
                </pt>
                <pt idx="60">
                  <v>4.09</v>
                </pt>
                <pt idx="61">
                  <v>3.96</v>
                </pt>
                <pt idx="62">
                  <v>4.13</v>
                </pt>
                <pt idx="63">
                  <v>4.28</v>
                </pt>
                <pt idx="64">
                  <v>4.39</v>
                </pt>
                <pt idx="65">
                  <v>4.44</v>
                </pt>
                <pt idx="66">
                  <v>4.31</v>
                </pt>
                <pt idx="67">
                  <v>4.32</v>
                </pt>
                <pt idx="68">
                  <v>4.25</v>
                </pt>
                <pt idx="69">
                  <v>4.31</v>
                </pt>
                <pt idx="70">
                  <v>4.38</v>
                </pt>
                <pt idx="71">
                  <v>4.36</v>
                </pt>
                <pt idx="72">
                  <v>4.59</v>
                </pt>
                <pt idx="73">
                  <v>4.56</v>
                </pt>
                <pt idx="74">
                  <v>4.45</v>
                </pt>
                <pt idx="75">
                  <v>4.54</v>
                </pt>
                <pt idx="76">
                  <v>4.49</v>
                </pt>
                <pt idx="77">
                  <v>4.45</v>
                </pt>
                <pt idx="78">
                  <v>4.37</v>
                </pt>
                <pt idx="79">
                  <v>4.49</v>
                </pt>
                <pt idx="80">
                  <v>4.57</v>
                </pt>
                <pt idx="81">
                  <v>4.54</v>
                </pt>
                <pt idx="82">
                  <v>4.68</v>
                </pt>
                <pt idx="83">
                  <v>4.74</v>
                </pt>
                <pt idx="84">
                  <v>4.66</v>
                </pt>
                <pt idx="85">
                  <v>4.7</v>
                </pt>
                <pt idx="86">
                  <v>4.74</v>
                </pt>
                <pt idx="87">
                  <v>4.72</v>
                </pt>
                <pt idx="88">
                  <v>4.78</v>
                </pt>
                <pt idx="89">
                  <v>4.97</v>
                </pt>
                <pt idx="90">
                  <v>5</v>
                </pt>
                <pt idx="91">
                  <v>5.18</v>
                </pt>
                <pt idx="92">
                  <v>5.28</v>
                </pt>
                <pt idx="93">
                  <v>5.24</v>
                </pt>
              </numCache>
            </numRef>
          </val>
          <smooth val="0"/>
        </ser>
        <ser>
          <idx val="2"/>
          <order val="2"/>
          <tx>
            <strRef>
              <f>美债收益率!$D$2</f>
              <strCache>
                <ptCount val="1"/>
                <pt idx="0">
                  <v>30Y(%)</v>
                </pt>
              </strCache>
            </strRef>
          </tx>
          <spPr>
            <a:ln xmlns:a="http://schemas.openxmlformats.org/drawingml/2006/main" w="20000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美债收益率!$A$3:$A$96</f>
              <numCache>
                <formatCode>yyyy\-mm\-dd</formatCode>
                <ptCount val="94"/>
                <pt idx="0">
                  <v>45658</v>
                </pt>
                <pt idx="1">
                  <v>45660</v>
                </pt>
                <pt idx="2">
                  <v>45667</v>
                </pt>
                <pt idx="3">
                  <v>45674</v>
                </pt>
                <pt idx="4">
                  <v>45681</v>
                </pt>
                <pt idx="5">
                  <v>45688</v>
                </pt>
                <pt idx="6">
                  <v>45695</v>
                </pt>
                <pt idx="7">
                  <v>45702</v>
                </pt>
                <pt idx="8">
                  <v>45709</v>
                </pt>
                <pt idx="9">
                  <v>45716</v>
                </pt>
                <pt idx="10">
                  <v>45723</v>
                </pt>
                <pt idx="11">
                  <v>45730</v>
                </pt>
                <pt idx="12">
                  <v>45737</v>
                </pt>
                <pt idx="13">
                  <v>45744</v>
                </pt>
                <pt idx="14">
                  <v>45751</v>
                </pt>
                <pt idx="15">
                  <v>45758</v>
                </pt>
                <pt idx="16">
                  <v>45765</v>
                </pt>
                <pt idx="17">
                  <v>45772</v>
                </pt>
                <pt idx="18">
                  <v>45779</v>
                </pt>
                <pt idx="19">
                  <v>45786</v>
                </pt>
                <pt idx="20">
                  <v>45793</v>
                </pt>
                <pt idx="21">
                  <v>45800</v>
                </pt>
                <pt idx="22">
                  <v>45807</v>
                </pt>
                <pt idx="23">
                  <v>45814</v>
                </pt>
                <pt idx="24">
                  <v>45821</v>
                </pt>
                <pt idx="25">
                  <v>45828</v>
                </pt>
                <pt idx="26">
                  <v>45835</v>
                </pt>
                <pt idx="27">
                  <v>45842</v>
                </pt>
                <pt idx="28">
                  <v>45849</v>
                </pt>
                <pt idx="29">
                  <v>45856</v>
                </pt>
                <pt idx="30">
                  <v>45863</v>
                </pt>
                <pt idx="31">
                  <v>45870</v>
                </pt>
                <pt idx="32">
                  <v>45877</v>
                </pt>
                <pt idx="33">
                  <v>45884</v>
                </pt>
                <pt idx="34">
                  <v>45891</v>
                </pt>
                <pt idx="35">
                  <v>45898</v>
                </pt>
                <pt idx="36">
                  <v>45905</v>
                </pt>
                <pt idx="37">
                  <v>45912</v>
                </pt>
                <pt idx="38">
                  <v>45919</v>
                </pt>
                <pt idx="39">
                  <v>45926</v>
                </pt>
                <pt idx="40">
                  <v>45933</v>
                </pt>
                <pt idx="41">
                  <v>45940</v>
                </pt>
                <pt idx="42">
                  <v>45947</v>
                </pt>
                <pt idx="43">
                  <v>45954</v>
                </pt>
                <pt idx="44">
                  <v>45961</v>
                </pt>
                <pt idx="45">
                  <v>45968</v>
                </pt>
                <pt idx="46">
                  <v>45975</v>
                </pt>
                <pt idx="47">
                  <v>45982</v>
                </pt>
                <pt idx="48">
                  <v>45989</v>
                </pt>
                <pt idx="49">
                  <v>45996</v>
                </pt>
                <pt idx="50">
                  <v>46003</v>
                </pt>
                <pt idx="51">
                  <v>46010</v>
                </pt>
                <pt idx="52">
                  <v>46017</v>
                </pt>
                <pt idx="53">
                  <v>46024</v>
                </pt>
                <pt idx="54">
                  <v>46031</v>
                </pt>
                <pt idx="55">
                  <v>46038</v>
                </pt>
                <pt idx="56">
                  <v>46045</v>
                </pt>
                <pt idx="57">
                  <v>46052</v>
                </pt>
                <pt idx="58">
                  <v>46059</v>
                </pt>
                <pt idx="59">
                  <v>46066</v>
                </pt>
                <pt idx="60">
                  <v>46073</v>
                </pt>
                <pt idx="61">
                  <v>46080</v>
                </pt>
                <pt idx="62">
                  <v>46087</v>
                </pt>
                <pt idx="63">
                  <v>46094</v>
                </pt>
                <pt idx="64">
                  <v>46101</v>
                </pt>
                <pt idx="65">
                  <v>46108</v>
                </pt>
                <pt idx="66">
                  <v>46115</v>
                </pt>
                <pt idx="67">
                  <v>46122</v>
                </pt>
                <pt idx="68">
                  <v>46129</v>
                </pt>
                <pt idx="69">
                  <v>46136</v>
                </pt>
                <pt idx="70">
                  <v>46143</v>
                </pt>
                <pt idx="71">
                  <v>46150</v>
                </pt>
                <pt idx="72">
                  <v>46157</v>
                </pt>
                <pt idx="73">
                  <v>46164</v>
                </pt>
                <pt idx="74">
                  <v>46171</v>
                </pt>
                <pt idx="75">
                  <v>46178</v>
                </pt>
                <pt idx="76">
                  <v>46185</v>
                </pt>
                <pt idx="77">
                  <v>46192</v>
                </pt>
                <pt idx="78">
                  <v>46199</v>
                </pt>
                <pt idx="79">
                  <v>46206</v>
                </pt>
                <pt idx="80">
                  <v>46213</v>
                </pt>
                <pt idx="81">
                  <v>46220</v>
                </pt>
                <pt idx="82">
                  <v>46227</v>
                </pt>
                <pt idx="83">
                  <v>46234</v>
                </pt>
                <pt idx="84">
                  <v>46241</v>
                </pt>
                <pt idx="85">
                  <v>46248</v>
                </pt>
                <pt idx="86">
                  <v>46255</v>
                </pt>
                <pt idx="87">
                  <v>46262</v>
                </pt>
                <pt idx="88">
                  <v>46269</v>
                </pt>
                <pt idx="89">
                  <v>46276</v>
                </pt>
                <pt idx="90">
                  <v>46283</v>
                </pt>
                <pt idx="91">
                  <v>46290</v>
                </pt>
                <pt idx="92">
                  <v>46297</v>
                </pt>
                <pt idx="93">
                  <v>46304</v>
                </pt>
              </numCache>
            </numRef>
          </cat>
          <val>
            <numRef>
              <f>美债收益率!$D$3:$D$96</f>
              <numCache>
                <formatCode>0.000</formatCode>
                <ptCount val="94"/>
                <pt idx="0">
                  <v>4.8</v>
                </pt>
                <pt idx="1">
                  <v>4.81</v>
                </pt>
                <pt idx="2">
                  <v>4.97</v>
                </pt>
                <pt idx="3">
                  <v>4.84</v>
                </pt>
                <pt idx="4">
                  <v>4.85</v>
                </pt>
                <pt idx="5">
                  <v>4.81</v>
                </pt>
                <pt idx="6">
                  <v>4.69</v>
                </pt>
                <pt idx="7">
                  <v>4.69</v>
                </pt>
                <pt idx="8">
                  <v>4.67</v>
                </pt>
                <pt idx="9">
                  <v>4.52</v>
                </pt>
                <pt idx="10">
                  <v>4.62</v>
                </pt>
                <pt idx="11">
                  <v>4.61</v>
                </pt>
                <pt idx="12">
                  <v>4.6</v>
                </pt>
                <pt idx="13">
                  <v>4.63</v>
                </pt>
                <pt idx="14">
                  <v>4.39</v>
                </pt>
                <pt idx="15">
                  <v>4.88</v>
                </pt>
                <pt idx="16">
                  <v>4.81</v>
                </pt>
                <pt idx="17">
                  <v>4.74</v>
                </pt>
                <pt idx="18">
                  <v>4.8</v>
                </pt>
                <pt idx="19">
                  <v>4.83</v>
                </pt>
                <pt idx="20">
                  <v>4.9</v>
                </pt>
                <pt idx="21">
                  <v>5.03</v>
                </pt>
                <pt idx="22">
                  <v>4.93</v>
                </pt>
                <pt idx="23">
                  <v>4.96</v>
                </pt>
                <pt idx="24">
                  <v>4.91</v>
                </pt>
                <pt idx="25">
                  <v>4.89</v>
                </pt>
                <pt idx="26">
                  <v>4.84</v>
                </pt>
                <pt idx="27">
                  <v>4.86</v>
                </pt>
                <pt idx="28">
                  <v>4.96</v>
                </pt>
                <pt idx="29">
                  <v>5</v>
                </pt>
                <pt idx="30">
                  <v>4.93</v>
                </pt>
                <pt idx="31">
                  <v>4.81</v>
                </pt>
                <pt idx="32">
                  <v>4.86</v>
                </pt>
                <pt idx="33">
                  <v>4.93</v>
                </pt>
                <pt idx="34">
                  <v>4.88</v>
                </pt>
                <pt idx="35">
                  <v>4.92</v>
                </pt>
                <pt idx="36">
                  <v>4.78</v>
                </pt>
                <pt idx="37">
                  <v>4.68</v>
                </pt>
                <pt idx="38">
                  <v>4.76</v>
                </pt>
                <pt idx="39">
                  <v>4.77</v>
                </pt>
                <pt idx="40">
                  <v>4.71</v>
                </pt>
                <pt idx="41">
                  <v>4.63</v>
                </pt>
                <pt idx="42">
                  <v>4.6</v>
                </pt>
                <pt idx="43">
                  <v>4.59</v>
                </pt>
                <pt idx="44">
                  <v>4.67</v>
                </pt>
                <pt idx="45">
                  <v>4.7</v>
                </pt>
                <pt idx="46">
                  <v>4.75</v>
                </pt>
                <pt idx="47">
                  <v>4.72</v>
                </pt>
                <pt idx="48">
                  <v>4.66</v>
                </pt>
                <pt idx="49">
                  <v>4.79</v>
                </pt>
                <pt idx="50">
                  <v>4.86</v>
                </pt>
                <pt idx="51">
                  <v>4.83</v>
                </pt>
                <pt idx="52">
                  <v>4.82</v>
                </pt>
                <pt idx="53">
                  <v>4.86</v>
                </pt>
                <pt idx="54">
                  <v>4.82</v>
                </pt>
                <pt idx="55">
                  <v>4.84</v>
                </pt>
                <pt idx="56">
                  <v>4.83</v>
                </pt>
                <pt idx="57">
                  <v>4.87</v>
                </pt>
                <pt idx="58">
                  <v>4.86</v>
                </pt>
                <pt idx="59">
                  <v>4.7</v>
                </pt>
                <pt idx="60">
                  <v>4.72</v>
                </pt>
                <pt idx="61">
                  <v>4.63</v>
                </pt>
                <pt idx="62">
                  <v>4.76</v>
                </pt>
                <pt idx="63">
                  <v>4.91</v>
                </pt>
                <pt idx="64">
                  <v>4.96</v>
                </pt>
                <pt idx="65">
                  <v>4.98</v>
                </pt>
                <pt idx="66">
                  <v>4.89</v>
                </pt>
                <pt idx="67">
                  <v>4.91</v>
                </pt>
                <pt idx="68">
                  <v>4.89</v>
                </pt>
                <pt idx="69">
                  <v>4.92</v>
                </pt>
                <pt idx="70">
                  <v>4.97</v>
                </pt>
                <pt idx="71">
                  <v>4.95</v>
                </pt>
                <pt idx="72">
                  <v>5.13</v>
                </pt>
                <pt idx="73">
                  <v>5.06</v>
                </pt>
                <pt idx="74">
                  <v>4.99</v>
                </pt>
                <pt idx="75">
                  <v>5</v>
                </pt>
                <pt idx="76">
                  <v>4.97</v>
                </pt>
                <pt idx="77">
                  <v>4.9</v>
                </pt>
                <pt idx="78">
                  <v>4.86</v>
                </pt>
                <pt idx="79">
                  <v>4.99</v>
                </pt>
                <pt idx="80">
                  <v>5.07</v>
                </pt>
                <pt idx="81">
                  <v>5.06</v>
                </pt>
                <pt idx="82">
                  <v>5.16</v>
                </pt>
                <pt idx="83">
                  <v>5.28</v>
                </pt>
                <pt idx="84">
                  <v>5.21</v>
                </pt>
                <pt idx="85">
                  <v>5.26</v>
                </pt>
                <pt idx="86">
                  <v>5.28</v>
                </pt>
                <pt idx="87">
                  <v>5.21</v>
                </pt>
                <pt idx="88">
                  <v>5.25</v>
                </pt>
                <pt idx="89">
                  <v>5.35</v>
                </pt>
                <pt idx="90">
                  <v>5.33</v>
                </pt>
                <pt idx="91">
                  <v>5.5</v>
                </pt>
                <pt idx="92">
                  <v>5.63</v>
                </pt>
                <pt idx="93">
                  <v>5.6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0"/>
        <smooth val="0"/>
        <axId val="10"/>
        <axId val="100"/>
      </lineChart>
      <date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0"/>
        <crosses val="autoZero"/>
        <lblOffset val="100"/>
        <baseTimeUnit val="days"/>
      </dateAx>
      <valAx>
        <axId val="100"/>
        <scaling>
          <orientation val="minMax"/>
        </scaling>
        <delete val="0"/>
        <axPos val="l"/>
        <majorGridlines/>
        <numFmt formatCode="0.0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between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运动服饰 US/EU（2025-12-01 = 1）</a:t>
            </a:r>
          </a:p>
        </rich>
      </tx>
      <layout/>
      <overlay val="0"/>
    </title>
    <plotArea>
      <layout/>
      <lineChart>
        <grouping val="standard"/>
        <varyColors val="0"/>
        <ser>
          <idx val="0"/>
          <order val="0"/>
          <tx>
            <strRef>
              <f>'运动服饰 Normalized'!$B$2</f>
              <strCache>
                <ptCount val="1"/>
                <pt idx="0">
                  <v>NKE.N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Normalized'!$B$3:$B$101</f>
              <numCache>
                <formatCode>General</formatCode>
                <ptCount val="99"/>
                <pt idx="0">
                  <v>1.209512</v>
                </pt>
                <pt idx="1">
                  <v>1.187338</v>
                </pt>
                <pt idx="2">
                  <v>1.180609</v>
                </pt>
                <pt idx="3">
                  <v>1.17388</v>
                </pt>
                <pt idx="4">
                  <v>1.141612</v>
                </pt>
                <pt idx="5">
                  <v>1.101086</v>
                </pt>
                <pt idx="6">
                  <v>1.102309</v>
                </pt>
                <pt idx="7">
                  <v>1.083346</v>
                </pt>
                <pt idx="8">
                  <v>1.155834</v>
                </pt>
                <pt idx="9">
                  <v>1.17128</v>
                </pt>
                <pt idx="10">
                  <v>1.084875</v>
                </pt>
                <pt idx="11">
                  <v>1.11699</v>
                </pt>
                <pt idx="12">
                  <v>1.227711</v>
                </pt>
                <pt idx="13">
                  <v>1.199113</v>
                </pt>
                <pt idx="14">
                  <v>1.168374</v>
                </pt>
                <pt idx="15">
                  <v>1.127084</v>
                </pt>
                <pt idx="16">
                  <v>1.030586</v>
                </pt>
                <pt idx="17">
                  <v>0.970791</v>
                </pt>
                <pt idx="18">
                  <v>0.850436</v>
                </pt>
                <pt idx="19">
                  <v>0.847377</v>
                </pt>
                <pt idx="20">
                  <v>0.858235</v>
                </pt>
                <pt idx="21">
                  <v>0.876434</v>
                </pt>
                <pt idx="22">
                  <v>0.877045</v>
                </pt>
                <pt idx="23">
                  <v>0.957027</v>
                </pt>
                <pt idx="24">
                  <v>0.949381</v>
                </pt>
                <pt idx="25">
                  <v>0.9178770000000001</v>
                </pt>
                <pt idx="26">
                  <v>0.941581</v>
                </pt>
                <pt idx="27">
                  <v>0.946781</v>
                </pt>
                <pt idx="28">
                  <v>0.946628</v>
                </pt>
                <pt idx="29">
                  <v>0.9295</v>
                </pt>
                <pt idx="30">
                  <v>1.086405</v>
                </pt>
                <pt idx="31">
                  <v>1.170362</v>
                </pt>
                <pt idx="32">
                  <v>1.104909</v>
                </pt>
                <pt idx="33">
                  <v>1.131977</v>
                </pt>
                <pt idx="34">
                  <v>1.211806</v>
                </pt>
                <pt idx="35">
                  <v>1.144212</v>
                </pt>
                <pt idx="36">
                  <v>1.131977</v>
                </pt>
                <pt idx="37">
                  <v>1.184126</v>
                </pt>
                <pt idx="38">
                  <v>1.210736</v>
                </pt>
                <pt idx="39">
                  <v>1.183208</v>
                </pt>
                <pt idx="40">
                  <v>1.133965</v>
                </pt>
                <pt idx="41">
                  <v>1.116837</v>
                </pt>
                <pt idx="42">
                  <v>1.090075</v>
                </pt>
                <pt idx="43">
                  <v>1.063618</v>
                </pt>
                <pt idx="44">
                  <v>1.088393</v>
                </pt>
                <pt idx="45">
                  <v>1.030433</v>
                </pt>
                <pt idx="46">
                  <v>1.034103</v>
                </pt>
                <pt idx="47">
                  <v>1.048937</v>
                </pt>
                <pt idx="48">
                  <v>0.958098</v>
                </pt>
                <pt idx="49">
                  <v>0.929806</v>
                </pt>
                <pt idx="50">
                  <v>0.961921</v>
                </pt>
                <pt idx="51">
                  <v>0.947087</v>
                </pt>
                <pt idx="52">
                  <v>1</v>
                </pt>
                <pt idx="53">
                  <v>0.981666455936275</v>
                </pt>
                <pt idx="54">
                  <v>0.976103173599697</v>
                </pt>
                <pt idx="55">
                  <v>0.970539891263118</v>
                </pt>
                <pt idx="56">
                  <v>0.943861423694525</v>
                </pt>
                <pt idx="57">
                  <v>0.9103552914401311</v>
                </pt>
                <pt idx="58">
                  <v>0.911366797319509</v>
                </pt>
                <pt idx="59">
                  <v>0.895688456189152</v>
                </pt>
                <pt idx="60">
                  <v>0.9556201795422939</v>
                </pt>
                <pt idx="61">
                  <v>0.96839044126944</v>
                </pt>
                <pt idx="62">
                  <v>0.896952838538374</v>
                </pt>
                <pt idx="63">
                  <v>0.923504867872045</v>
                </pt>
                <pt idx="64">
                  <v>1.01504614995575</v>
                </pt>
                <pt idx="65">
                  <v>0.991402200025288</v>
                </pt>
                <pt idx="66">
                  <v>0.965988114805917</v>
                </pt>
                <pt idx="67">
                  <v>0.931849791376912</v>
                </pt>
                <pt idx="68">
                  <v>0.852067265140979</v>
                </pt>
                <pt idx="69">
                  <v>0.8026299152863831</v>
                </pt>
                <pt idx="70">
                  <v>0.703123024402579</v>
                </pt>
                <pt idx="71">
                  <v>0.700594259704134</v>
                </pt>
                <pt idx="72">
                  <v>0.709571374383614</v>
                </pt>
                <pt idx="73">
                  <v>0.72461752433936</v>
                </pt>
                <pt idx="74">
                  <v>0.725123277279049</v>
                </pt>
                <pt idx="75">
                  <v>0.791250474143381</v>
                </pt>
                <pt idx="76">
                  <v>0.784928562397269</v>
                </pt>
                <pt idx="77">
                  <v>0.758882286003287</v>
                </pt>
                <pt idx="78">
                  <v>0.778480212416235</v>
                </pt>
                <pt idx="79">
                  <v>0.782779112403591</v>
                </pt>
                <pt idx="80">
                  <v>0.782652674168669</v>
                </pt>
                <pt idx="81">
                  <v>0.768491591857378</v>
                </pt>
                <pt idx="82">
                  <v>0.898217220887596</v>
                </pt>
                <pt idx="83">
                  <v>0.967631811859906</v>
                </pt>
                <pt idx="84">
                  <v>0.913516247313187</v>
                </pt>
                <pt idx="85">
                  <v>0.935895814894424</v>
                </pt>
                <pt idx="86">
                  <v>1.00189657352383</v>
                </pt>
                <pt idx="87">
                  <v>0.946010873688203</v>
                </pt>
                <pt idx="88">
                  <v>0.935895814894424</v>
                </pt>
                <pt idx="89">
                  <v>0.979011253002908</v>
                </pt>
                <pt idx="90">
                  <v>1.00101150587938</v>
                </pt>
                <pt idx="91">
                  <v>0.9782526235933749</v>
                </pt>
                <pt idx="92">
                  <v>0.937539511948413</v>
                </pt>
                <pt idx="93">
                  <v>0.923378429637122</v>
                </pt>
                <pt idx="94">
                  <v>0.90125173852573</v>
                </pt>
                <pt idx="95">
                  <v>0.879377923884182</v>
                </pt>
                <pt idx="96">
                  <v>0.428246288176568</v>
                </pt>
                <pt idx="97">
                  <v>0.438867101839331</v>
                </pt>
                <pt idx="98">
                  <v>0.438867101839331</v>
                </pt>
              </numCache>
            </numRef>
          </val>
          <smooth val="0"/>
        </ser>
        <ser>
          <idx val="1"/>
          <order val="1"/>
          <tx>
            <strRef>
              <f>'运动服饰 Normalized'!$C$2</f>
              <strCache>
                <ptCount val="1"/>
                <pt idx="0">
                  <v>ADDY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Normalized'!$C$3:$C$101</f>
              <numCache>
                <formatCode>General</formatCode>
                <ptCount val="99"/>
                <pt idx="0">
                  <v>1.428483</v>
                </pt>
                <pt idx="1">
                  <v>1.480608</v>
                </pt>
                <pt idx="2">
                  <v>1.507912</v>
                </pt>
                <pt idx="3">
                  <v>1.457648</v>
                </pt>
                <pt idx="4">
                  <v>1.469438</v>
                </pt>
                <pt idx="5">
                  <v>1.486193</v>
                </pt>
                <pt idx="6">
                  <v>1.481849</v>
                </pt>
                <pt idx="7">
                  <v>1.509774</v>
                </pt>
                <pt idx="8">
                  <v>1.582997</v>
                </pt>
                <pt idx="9">
                  <v>1.573069</v>
                </pt>
                <pt idx="10">
                  <v>1.596649</v>
                </pt>
                <pt idx="11">
                  <v>1.612163</v>
                </pt>
                <pt idx="12">
                  <v>1.521564</v>
                </pt>
                <pt idx="13">
                  <v>1.54018</v>
                </pt>
                <pt idx="14">
                  <v>1.407384</v>
                </pt>
                <pt idx="15">
                  <v>1.383804</v>
                </pt>
                <pt idx="16">
                  <v>1.378219</v>
                </pt>
                <pt idx="17">
                  <v>1.34471</v>
                </pt>
                <pt idx="18">
                  <v>1.156376</v>
                </pt>
                <pt idx="19">
                  <v>1.255352</v>
                </pt>
                <pt idx="20">
                  <v>1.232702</v>
                </pt>
                <pt idx="21">
                  <v>1.349054</v>
                </pt>
                <pt idx="22">
                  <v>1.287</v>
                </pt>
                <pt idx="23">
                  <v>1.345951</v>
                </pt>
                <pt idx="24">
                  <v>1.354639</v>
                </pt>
                <pt idx="25">
                  <v>1.357121</v>
                </pt>
                <pt idx="26">
                  <v>1.353398</v>
                </pt>
                <pt idx="27">
                  <v>1.324853</v>
                </pt>
                <pt idx="28">
                  <v>1.249147</v>
                </pt>
                <pt idx="29">
                  <v>1.222153</v>
                </pt>
                <pt idx="30">
                  <v>1.228359</v>
                </pt>
                <pt idx="31">
                  <v>1.29879</v>
                </pt>
                <pt idx="32">
                  <v>1.282035</v>
                </pt>
                <pt idx="33">
                  <v>1.272107</v>
                </pt>
                <pt idx="34">
                  <v>1.219981</v>
                </pt>
                <pt idx="35">
                  <v>1.035061</v>
                </pt>
                <pt idx="36">
                  <v>1.018927</v>
                </pt>
                <pt idx="37">
                  <v>1.035681</v>
                </pt>
                <pt idx="38">
                  <v>1.048402</v>
                </pt>
                <pt idx="39">
                  <v>1.030096</v>
                </pt>
                <pt idx="40">
                  <v>1.129693</v>
                </pt>
                <pt idx="41">
                  <v>1.106423</v>
                </pt>
                <pt idx="42">
                  <v>1.110456</v>
                </pt>
                <pt idx="43">
                  <v>1.123798</v>
                </pt>
                <pt idx="44">
                  <v>1.163202</v>
                </pt>
                <pt idx="45">
                  <v>1.171269</v>
                </pt>
                <pt idx="46">
                  <v>1.209432</v>
                </pt>
                <pt idx="47">
                  <v>1.162581</v>
                </pt>
                <pt idx="48">
                  <v>1.006205</v>
                </pt>
                <pt idx="49">
                  <v>0.978591</v>
                </pt>
                <pt idx="50">
                  <v>0.992864</v>
                </pt>
                <pt idx="51">
                  <v>0.945393</v>
                </pt>
                <pt idx="52">
                  <v>1</v>
                </pt>
                <pt idx="53">
                  <v>1.0364900086881</v>
                </pt>
                <pt idx="54">
                  <v>1.05560382276282</v>
                </pt>
                <pt idx="55">
                  <v>1.02041702867072</v>
                </pt>
                <pt idx="56">
                  <v>1.02867072111208</v>
                </pt>
                <pt idx="57">
                  <v>1.04039965247611</v>
                </pt>
                <pt idx="58">
                  <v>1.03735881841877</v>
                </pt>
                <pt idx="59">
                  <v>1.05690703735882</v>
                </pt>
                <pt idx="60">
                  <v>1.10816681146829</v>
                </pt>
                <pt idx="61">
                  <v>1.10121633362294</v>
                </pt>
                <pt idx="62">
                  <v>1.11772371850565</v>
                </pt>
                <pt idx="63">
                  <v>1.12858384013901</v>
                </pt>
                <pt idx="64">
                  <v>1.06516072980017</v>
                </pt>
                <pt idx="65">
                  <v>1.07819287576021</v>
                </pt>
                <pt idx="66">
                  <v>0.985230234578627</v>
                </pt>
                <pt idx="67">
                  <v>0.968722849695917</v>
                </pt>
                <pt idx="68">
                  <v>0.964813205907906</v>
                </pt>
                <pt idx="69">
                  <v>0.941355343179844</v>
                </pt>
                <pt idx="70">
                  <v>0.809513466550825</v>
                </pt>
                <pt idx="71">
                  <v>0.878801042571677</v>
                </pt>
                <pt idx="72">
                  <v>0.862945264986968</v>
                </pt>
                <pt idx="73">
                  <v>0.9443961772371851</v>
                </pt>
                <pt idx="74">
                  <v>0.900955690703736</v>
                </pt>
                <pt idx="75">
                  <v>0.942224152910513</v>
                </pt>
                <pt idx="76">
                  <v>0.948305821025196</v>
                </pt>
                <pt idx="77">
                  <v>0.950043440486533</v>
                </pt>
                <pt idx="78">
                  <v>0.947437011294527</v>
                </pt>
                <pt idx="79">
                  <v>0.92745438748914</v>
                </pt>
                <pt idx="80">
                  <v>0.874456993918332</v>
                </pt>
                <pt idx="81">
                  <v>0.8555603822762819</v>
                </pt>
                <pt idx="82">
                  <v>0.859904430929626</v>
                </pt>
                <pt idx="83">
                  <v>0.909209383145091</v>
                </pt>
                <pt idx="84">
                  <v>0.89748045178106</v>
                </pt>
                <pt idx="85">
                  <v>0.890529973935708</v>
                </pt>
                <pt idx="86">
                  <v>0.8540399652476111</v>
                </pt>
                <pt idx="87">
                  <v>0.724587315377932</v>
                </pt>
                <pt idx="88">
                  <v>0.713292788879235</v>
                </pt>
                <pt idx="89">
                  <v>0.7250217202432671</v>
                </pt>
                <pt idx="90">
                  <v>0.733927019982624</v>
                </pt>
                <pt idx="91">
                  <v>0.721112076455256</v>
                </pt>
                <pt idx="92">
                  <v>0.790834057341442</v>
                </pt>
                <pt idx="93">
                  <v>0.774543874891399</v>
                </pt>
                <pt idx="94">
                  <v>0.777367506516073</v>
                </pt>
                <pt idx="95">
                  <v>0.786707211120765</v>
                </pt>
                <pt idx="96">
                  <v>0.62576022177132</v>
                </pt>
                <pt idx="97">
                  <v>0.650955717217705</v>
                </pt>
                <pt idx="98">
                  <v>0.655734130965431</v>
                </pt>
              </numCache>
            </numRef>
          </val>
          <smooth val="0"/>
        </ser>
        <ser>
          <idx val="2"/>
          <order val="2"/>
          <tx>
            <strRef>
              <f>'运动服饰 Normalized'!$D$2</f>
              <strCache>
                <ptCount val="1"/>
                <pt idx="0">
                  <v>ZGN.N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Normalized'!$D$3:$D$101</f>
              <numCache>
                <formatCode>General</formatCode>
                <ptCount val="99"/>
                <pt idx="0">
                  <v>0.777251</v>
                </pt>
                <pt idx="1">
                  <v>0.804739</v>
                </pt>
                <pt idx="2">
                  <v>0.840758</v>
                </pt>
                <pt idx="3">
                  <v>0.806635</v>
                </pt>
                <pt idx="4">
                  <v>0.781991</v>
                </pt>
                <pt idx="5">
                  <v>0.758294</v>
                </pt>
                <pt idx="6">
                  <v>0.7232229999999999</v>
                </pt>
                <pt idx="7">
                  <v>0.787678</v>
                </pt>
                <pt idx="8">
                  <v>0.90237</v>
                </pt>
                <pt idx="9">
                  <v>0.837915</v>
                </pt>
                <pt idx="10">
                  <v>0.8322270000000001</v>
                </pt>
                <pt idx="11">
                  <v>0.845498</v>
                </pt>
                <pt idx="12">
                  <v>0.81327</v>
                </pt>
                <pt idx="13">
                  <v>0.790521</v>
                </pt>
                <pt idx="14">
                  <v>0.7156400000000001</v>
                </pt>
                <pt idx="15">
                  <v>0.701422</v>
                </pt>
                <pt idx="16">
                  <v>0.692891</v>
                </pt>
                <pt idx="17">
                  <v>0.701422</v>
                </pt>
                <pt idx="18">
                  <v>0.614218</v>
                </pt>
                <pt idx="19">
                  <v>0.649289</v>
                </pt>
                <pt idx="20">
                  <v>0.664455</v>
                </pt>
                <pt idx="21">
                  <v>0.746919</v>
                </pt>
                <pt idx="22">
                  <v>0.76872</v>
                </pt>
                <pt idx="23">
                  <v>0.8094789999999999</v>
                </pt>
                <pt idx="24">
                  <v>0.81327</v>
                </pt>
                <pt idx="25">
                  <v>0.797156</v>
                </pt>
                <pt idx="26">
                  <v>0.806635</v>
                </pt>
                <pt idx="27">
                  <v>0.818957</v>
                </pt>
                <pt idx="28">
                  <v>0.856872</v>
                </pt>
                <pt idx="29">
                  <v>0.828436</v>
                </pt>
                <pt idx="30">
                  <v>0.810427</v>
                </pt>
                <pt idx="31">
                  <v>0.852133</v>
                </pt>
                <pt idx="32">
                  <v>0.8341229999999999</v>
                </pt>
                <pt idx="33">
                  <v>0.848341</v>
                </pt>
                <pt idx="34">
                  <v>0.85782</v>
                </pt>
                <pt idx="35">
                  <v>0.745024</v>
                </pt>
                <pt idx="36">
                  <v>0.730806</v>
                </pt>
                <pt idx="37">
                  <v>0.758294</v>
                </pt>
                <pt idx="38">
                  <v>0.777251</v>
                </pt>
                <pt idx="39">
                  <v>0.8</v>
                </pt>
                <pt idx="40">
                  <v>0.854976</v>
                </pt>
                <pt idx="41">
                  <v>0.890995</v>
                </pt>
                <pt idx="42">
                  <v>0.894787</v>
                </pt>
                <pt idx="43">
                  <v>0.867299</v>
                </pt>
                <pt idx="44">
                  <v>0.967772</v>
                </pt>
                <pt idx="45">
                  <v>0.830332</v>
                </pt>
                <pt idx="46">
                  <v>0.997156</v>
                </pt>
                <pt idx="47">
                  <v>0.9933650000000001</v>
                </pt>
                <pt idx="48">
                  <v>0.944076</v>
                </pt>
                <pt idx="49">
                  <v>0.945972</v>
                </pt>
                <pt idx="50">
                  <v>0.919431</v>
                </pt>
                <pt idx="51">
                  <v>0.978199</v>
                </pt>
                <pt idx="52">
                  <v>1</v>
                </pt>
                <pt idx="53">
                  <v>1.03536585365854</v>
                </pt>
                <pt idx="54">
                  <v>1.08170731707317</v>
                </pt>
                <pt idx="55">
                  <v>1.03780487804878</v>
                </pt>
                <pt idx="56">
                  <v>1.00609756097561</v>
                </pt>
                <pt idx="57">
                  <v>0.975609756097561</v>
                </pt>
                <pt idx="58">
                  <v>0.9304878048780491</v>
                </pt>
                <pt idx="59">
                  <v>1.01341463414634</v>
                </pt>
                <pt idx="60">
                  <v>1.1609756097561</v>
                </pt>
                <pt idx="61">
                  <v>1.0780487804878</v>
                </pt>
                <pt idx="62">
                  <v>1.07073170731707</v>
                </pt>
                <pt idx="63">
                  <v>1.08780487804878</v>
                </pt>
                <pt idx="64">
                  <v>1.04634146341463</v>
                </pt>
                <pt idx="65">
                  <v>1.01707317073171</v>
                </pt>
                <pt idx="66">
                  <v>0.920731707317073</v>
                </pt>
                <pt idx="67">
                  <v>0.902439024390244</v>
                </pt>
                <pt idx="68">
                  <v>0.891463414634146</v>
                </pt>
                <pt idx="69">
                  <v>0.902439024390244</v>
                </pt>
                <pt idx="70">
                  <v>0.790243902439025</v>
                </pt>
                <pt idx="71">
                  <v>0.835365853658537</v>
                </pt>
                <pt idx="72">
                  <v>0.854878048780488</v>
                </pt>
                <pt idx="73">
                  <v>0.960975609756098</v>
                </pt>
                <pt idx="74">
                  <v>0.989024390243902</v>
                </pt>
                <pt idx="75">
                  <v>1.04146341463415</v>
                </pt>
                <pt idx="76">
                  <v>1.04634146341463</v>
                </pt>
                <pt idx="77">
                  <v>1.02560975609756</v>
                </pt>
                <pt idx="78">
                  <v>1.03780487804878</v>
                </pt>
                <pt idx="79">
                  <v>1.05365853658537</v>
                </pt>
                <pt idx="80">
                  <v>1.10243902439024</v>
                </pt>
                <pt idx="81">
                  <v>1.06585365853659</v>
                </pt>
                <pt idx="82">
                  <v>1.04268292682927</v>
                </pt>
                <pt idx="83">
                  <v>1.09634146341463</v>
                </pt>
                <pt idx="84">
                  <v>1.07317073170732</v>
                </pt>
                <pt idx="85">
                  <v>1.09146341463415</v>
                </pt>
                <pt idx="86">
                  <v>1.10365853658537</v>
                </pt>
                <pt idx="87">
                  <v>0.958536585365854</v>
                </pt>
                <pt idx="88">
                  <v>0.940243902439024</v>
                </pt>
                <pt idx="89">
                  <v>0.975609756097561</v>
                </pt>
                <pt idx="90">
                  <v>1</v>
                </pt>
                <pt idx="91">
                  <v>1.02926829268293</v>
                </pt>
                <pt idx="92">
                  <v>1.1</v>
                </pt>
                <pt idx="93">
                  <v>1.14634146341463</v>
                </pt>
                <pt idx="94">
                  <v>1.15121951219512</v>
                </pt>
                <pt idx="95">
                  <v>1.11585365853659</v>
                </pt>
                <pt idx="96">
                  <v>1.52682932411752</v>
                </pt>
                <pt idx="97">
                  <v>1.54634150063119</v>
                </pt>
                <pt idx="98">
                  <v>1.54634150063119</v>
                </pt>
              </numCache>
            </numRef>
          </val>
          <smooth val="0"/>
        </ser>
        <ser>
          <idx val="3"/>
          <order val="3"/>
          <tx>
            <strRef>
              <f>'运动服饰 Normalized'!$E$2</f>
              <strCache>
                <ptCount val="1"/>
                <pt idx="0">
                  <v>WWW.N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Normalized'!$E$3:$E$101</f>
              <numCache>
                <formatCode>General</formatCode>
                <ptCount val="99"/>
                <pt idx="0">
                  <v>1.382491</v>
                </pt>
                <pt idx="1">
                  <v>1.327262</v>
                </pt>
                <pt idx="2">
                  <v>1.372503</v>
                </pt>
                <pt idx="3">
                  <v>1.3349</v>
                </pt>
                <pt idx="4">
                  <v>1.295535</v>
                </pt>
                <pt idx="5">
                  <v>1.313161</v>
                </pt>
                <pt idx="6">
                  <v>1.331962</v>
                </pt>
                <pt idx="7">
                  <v>1.339013</v>
                </pt>
                <pt idx="8">
                  <v>1.364277</v>
                </pt>
                <pt idx="9">
                  <v>1.286134</v>
                </pt>
                <pt idx="10">
                  <v>1.222092</v>
                </pt>
                <pt idx="11">
                  <v>1.088719</v>
                </pt>
                <pt idx="12">
                  <v>0.89718</v>
                </pt>
                <pt idx="13">
                  <v>0.842538</v>
                </pt>
                <pt idx="14">
                  <v>0.8237370000000001</v>
                </pt>
                <pt idx="15">
                  <v>0.80141</v>
                </pt>
                <pt idx="16">
                  <v>0.847826</v>
                </pt>
                <pt idx="17">
                  <v>0.8172739999999999</v>
                </pt>
                <pt idx="18">
                  <v>0.653937</v>
                </pt>
                <pt idx="19">
                  <v>0.649824</v>
                </pt>
                <pt idx="20">
                  <v>0.673325</v>
                </pt>
                <pt idx="21">
                  <v>0.762632</v>
                </pt>
                <pt idx="22">
                  <v>0.835488</v>
                </pt>
                <pt idx="23">
                  <v>0.979436</v>
                </pt>
                <pt idx="24">
                  <v>1.002938</v>
                </pt>
                <pt idx="25">
                  <v>0.961222</v>
                </pt>
                <pt idx="26">
                  <v>0.975911</v>
                </pt>
                <pt idx="27">
                  <v>1.094595</v>
                </pt>
                <pt idx="28">
                  <v>1.050529</v>
                </pt>
                <pt idx="29">
                  <v>1.018801</v>
                </pt>
                <pt idx="30">
                  <v>1.06228</v>
                </pt>
                <pt idx="31">
                  <v>1.148061</v>
                </pt>
                <pt idx="32">
                  <v>1.135723</v>
                </pt>
                <pt idx="33">
                  <v>1.226792</v>
                </pt>
                <pt idx="34">
                  <v>1.398942</v>
                </pt>
                <pt idx="35">
                  <v>1.344301</v>
                </pt>
                <pt idx="36">
                  <v>1.57168</v>
                </pt>
                <pt idx="37">
                  <v>1.653937</v>
                </pt>
                <pt idx="38">
                  <v>1.793184</v>
                </pt>
                <pt idx="39">
                  <v>1.876616</v>
                </pt>
                <pt idx="40">
                  <v>1.864865</v>
                </pt>
                <pt idx="41">
                  <v>1.773208</v>
                </pt>
                <pt idx="42">
                  <v>1.709753</v>
                </pt>
                <pt idx="43">
                  <v>1.602233</v>
                </pt>
                <pt idx="44">
                  <v>1.47356</v>
                </pt>
                <pt idx="45">
                  <v>1.490012</v>
                </pt>
                <pt idx="46">
                  <v>1.571093</v>
                </pt>
                <pt idx="47">
                  <v>1.460047</v>
                </pt>
                <pt idx="48">
                  <v>1.312573</v>
                </pt>
                <pt idx="49">
                  <v>0.960047</v>
                </pt>
                <pt idx="50">
                  <v>0.865452</v>
                </pt>
                <pt idx="51">
                  <v>0.905993</v>
                </pt>
                <pt idx="52">
                  <v>1</v>
                </pt>
                <pt idx="53">
                  <v>0.960050998725032</v>
                </pt>
                <pt idx="54">
                  <v>0.992775180620484</v>
                </pt>
                <pt idx="55">
                  <v>0.965575860603485</v>
                </pt>
                <pt idx="56">
                  <v>0.937101572460688</v>
                </pt>
                <pt idx="57">
                  <v>0.949851253718657</v>
                </pt>
                <pt idx="58">
                  <v>0.963450913727157</v>
                </pt>
                <pt idx="59">
                  <v>0.968550786230344</v>
                </pt>
                <pt idx="60">
                  <v>0.986825329366766</v>
                </pt>
                <pt idx="61">
                  <v>0.930301742456439</v>
                </pt>
                <pt idx="62">
                  <v>0.883977900552486</v>
                </pt>
                <pt idx="63">
                  <v>0.787505312367191</v>
                </pt>
                <pt idx="64">
                  <v>0.648958776030599</v>
                </pt>
                <pt idx="65">
                  <v>0.609434764130897</v>
                </pt>
                <pt idx="66">
                  <v>0.595835104122397</v>
                </pt>
                <pt idx="67">
                  <v>0.579685507862303</v>
                </pt>
                <pt idx="68">
                  <v>0.6132596685082869</v>
                </pt>
                <pt idx="69">
                  <v>0.591160220994475</v>
                </pt>
                <pt idx="70">
                  <v>0.473013174670633</v>
                </pt>
                <pt idx="71">
                  <v>0.470038249043774</v>
                </pt>
                <pt idx="72">
                  <v>0.487037824054399</v>
                </pt>
                <pt idx="73">
                  <v>0.551636209094773</v>
                </pt>
                <pt idx="74">
                  <v>0.604334891627709</v>
                </pt>
                <pt idx="75">
                  <v>0.708457288567786</v>
                </pt>
                <pt idx="76">
                  <v>0.725456863578411</v>
                </pt>
                <pt idx="77">
                  <v>0.695282617934552</v>
                </pt>
                <pt idx="78">
                  <v>0.7059073523161919</v>
                </pt>
                <pt idx="79">
                  <v>0.791755206119847</v>
                </pt>
                <pt idx="80">
                  <v>0.759881002974926</v>
                </pt>
                <pt idx="81">
                  <v>0.736931576710582</v>
                </pt>
                <pt idx="82">
                  <v>0.768380790480238</v>
                </pt>
                <pt idx="83">
                  <v>0.830429239269018</v>
                </pt>
                <pt idx="84">
                  <v>0.82150446238844</v>
                </pt>
                <pt idx="85">
                  <v>0.887377815554611</v>
                </pt>
                <pt idx="86">
                  <v>1.01189970250744</v>
                </pt>
                <pt idx="87">
                  <v>0.972375690607735</v>
                </pt>
                <pt idx="88">
                  <v>1.13684657883553</v>
                </pt>
                <pt idx="89">
                  <v>1.19634509137272</v>
                </pt>
                <pt idx="90">
                  <v>1.29706757331067</v>
                </pt>
                <pt idx="91">
                  <v>1.35741606459839</v>
                </pt>
                <pt idx="92">
                  <v>1.34891627709307</v>
                </pt>
                <pt idx="93">
                  <v>1.28261793455164</v>
                </pt>
                <pt idx="94">
                  <v>1.23671908202295</v>
                </pt>
                <pt idx="95">
                  <v>1.15894602634934</v>
                </pt>
                <pt idx="96">
                  <v>0.815979632934103</v>
                </pt>
                <pt idx="97">
                  <v>0.825754369110743</v>
                </pt>
                <pt idx="98">
                  <v>0.825754369110743</v>
                </pt>
              </numCache>
            </numRef>
          </val>
          <smooth val="0"/>
        </ser>
        <ser>
          <idx val="4"/>
          <order val="4"/>
          <tx>
            <strRef>
              <f>'运动服饰 Normalized'!$F$2</f>
              <strCache>
                <ptCount val="1"/>
                <pt idx="0">
                  <v>VSCO.N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Normalized'!$F$3:$F$101</f>
              <numCache>
                <formatCode>General</formatCode>
                <ptCount val="99"/>
                <pt idx="52">
                  <v>1</v>
                </pt>
                <pt idx="53">
                  <v>1.12595419847328</v>
                </pt>
                <pt idx="54">
                  <v>1.09470419847328</v>
                </pt>
                <pt idx="55">
                  <v>1.00620229007634</v>
                </pt>
                <pt idx="56">
                  <v>0.999284351145038</v>
                </pt>
                <pt idx="57">
                  <v>0.947519083969466</v>
                </pt>
                <pt idx="58">
                  <v>0.8544847328244271</v>
                </pt>
                <pt idx="59">
                  <v>0.885019083969466</v>
                </pt>
                <pt idx="60">
                  <v>0.89074427480916</v>
                </pt>
                <pt idx="61">
                  <v>0.832776717557252</v>
                </pt>
                <pt idx="62">
                  <v>0.782442748091603</v>
                </pt>
                <pt idx="63">
                  <v>0.783158396946565</v>
                </pt>
                <pt idx="64">
                  <v>0.682490458015267</v>
                </pt>
                <pt idx="65">
                  <v>0.572757633587786</v>
                </pt>
                <pt idx="66">
                  <v>0.400286259541985</v>
                </pt>
                <pt idx="67">
                  <v>0.478530534351145</v>
                </pt>
                <pt idx="68">
                  <v>0.510019083969466</v>
                </pt>
                <pt idx="69">
                  <v>0.443225190839695</v>
                </pt>
                <pt idx="70">
                  <v>0.410543893129771</v>
                </pt>
                <pt idx="71">
                  <v>0.388358778625954</v>
                </pt>
                <pt idx="72">
                  <v>0.39050572519084</v>
                </pt>
                <pt idx="73">
                  <v>0.452290076335878</v>
                </pt>
                <pt idx="74">
                  <v>0.459446564885496</v>
                </pt>
                <pt idx="75">
                  <v>0.522900763358779</v>
                </pt>
                <pt idx="76">
                  <v>0.543654580152672</v>
                </pt>
                <pt idx="77">
                  <v>0.53125</v>
                </pt>
                <pt idx="78">
                  <v>0.496898854961832</v>
                </pt>
                <pt idx="79">
                  <v>0.5419847328244271</v>
                </pt>
                <pt idx="80">
                  <v>0.444179389312977</v>
                </pt>
                <pt idx="81">
                  <v>0.443225190839695</v>
                </pt>
                <pt idx="82">
                  <v>0.441793893129771</v>
                </pt>
                <pt idx="83">
                  <v>0.488072519083969</v>
                </pt>
                <pt idx="84">
                  <v>0.452051526717557</v>
                </pt>
                <pt idx="85">
                  <v>0.475190839694657</v>
                </pt>
                <pt idx="86">
                  <v>0.49618320610687</v>
                </pt>
                <pt idx="87">
                  <v>0.490458015267176</v>
                </pt>
                <pt idx="88">
                  <v>0.508587786259542</v>
                </pt>
                <pt idx="89">
                  <v>0.5419847328244271</v>
                </pt>
                <pt idx="90">
                  <v>0.5190839694656491</v>
                </pt>
                <pt idx="91">
                  <v>0.549141221374046</v>
                </pt>
                <pt idx="92">
                  <v>0.611879770992366</v>
                </pt>
                <pt idx="93">
                  <v>0.6607824427480919</v>
                </pt>
                <pt idx="94">
                  <v>0.609732824427481</v>
                </pt>
                <pt idx="95">
                  <v>0.631917938931298</v>
                </pt>
                <pt idx="96">
                  <v>0</v>
                </pt>
                <pt idx="97">
                  <v>0</v>
                </pt>
                <pt idx="98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'运动服饰 Normalized'!$G$2</f>
              <strCache>
                <ptCount val="1"/>
                <pt idx="0">
                  <v>UAA.N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Normalized'!$G$3:$G$101</f>
              <numCache>
                <formatCode>General</formatCode>
                <ptCount val="99"/>
                <pt idx="0">
                  <v>2.218341</v>
                </pt>
                <pt idx="1">
                  <v>2.222707</v>
                </pt>
                <pt idx="2">
                  <v>1.816594</v>
                </pt>
                <pt idx="3">
                  <v>1.840611</v>
                </pt>
                <pt idx="4">
                  <v>1.792576</v>
                </pt>
                <pt idx="5">
                  <v>1.849345</v>
                </pt>
                <pt idx="6">
                  <v>1.812227</v>
                </pt>
                <pt idx="7">
                  <v>1.790393</v>
                </pt>
                <pt idx="8">
                  <v>1.803493</v>
                </pt>
                <pt idx="9">
                  <v>1.80131</v>
                </pt>
                <pt idx="10">
                  <v>1.58952</v>
                </pt>
                <pt idx="11">
                  <v>1.550218</v>
                </pt>
                <pt idx="12">
                  <v>1.574236</v>
                </pt>
                <pt idx="13">
                  <v>1.467249</v>
                </pt>
                <pt idx="14">
                  <v>1.585153</v>
                </pt>
                <pt idx="15">
                  <v>1.515284</v>
                </pt>
                <pt idx="16">
                  <v>1.443231</v>
                </pt>
                <pt idx="17">
                  <v>1.364629</v>
                </pt>
                <pt idx="18">
                  <v>1.144105</v>
                </pt>
                <pt idx="19">
                  <v>1.187773</v>
                </pt>
                <pt idx="20">
                  <v>1.253275</v>
                </pt>
                <pt idx="21">
                  <v>1.264192</v>
                </pt>
                <pt idx="22">
                  <v>1.28821</v>
                </pt>
                <pt idx="23">
                  <v>1.355895</v>
                </pt>
                <pt idx="24">
                  <v>1.430131</v>
                </pt>
                <pt idx="25">
                  <v>1.460699</v>
                </pt>
                <pt idx="26">
                  <v>1.421397</v>
                </pt>
                <pt idx="27">
                  <v>1.473799</v>
                </pt>
                <pt idx="28">
                  <v>1.449782</v>
                </pt>
                <pt idx="29">
                  <v>1.5</v>
                </pt>
                <pt idx="30">
                  <v>1.491266</v>
                </pt>
                <pt idx="31">
                  <v>1.524017</v>
                </pt>
                <pt idx="32">
                  <v>1.526201</v>
                </pt>
                <pt idx="33">
                  <v>1.524017</v>
                </pt>
                <pt idx="34">
                  <v>1.563319</v>
                </pt>
                <pt idx="35">
                  <v>1.471616</v>
                </pt>
                <pt idx="36">
                  <v>1.117904</v>
                </pt>
                <pt idx="37">
                  <v>1.128821</v>
                </pt>
                <pt idx="38">
                  <v>1.106987</v>
                </pt>
                <pt idx="39">
                  <v>1.091703</v>
                </pt>
                <pt idx="40">
                  <v>1.113537</v>
                </pt>
                <pt idx="41">
                  <v>1.065502</v>
                </pt>
                <pt idx="42">
                  <v>1.043668</v>
                </pt>
                <pt idx="43">
                  <v>1.091703</v>
                </pt>
                <pt idx="44">
                  <v>1.091703</v>
                </pt>
                <pt idx="45">
                  <v>1.056769</v>
                </pt>
                <pt idx="46">
                  <v>1.032751</v>
                </pt>
                <pt idx="47">
                  <v>1.058952</v>
                </pt>
                <pt idx="48">
                  <v>0.997817</v>
                </pt>
                <pt idx="49">
                  <v>0.978166</v>
                </pt>
                <pt idx="50">
                  <v>0.930131</v>
                </pt>
                <pt idx="51">
                  <v>0.960699</v>
                </pt>
                <pt idx="52">
                  <v>1</v>
                </pt>
                <pt idx="53">
                  <v>1.00196850393701</v>
                </pt>
                <pt idx="54">
                  <v>0.818897637795276</v>
                </pt>
                <pt idx="55">
                  <v>0.829724409448819</v>
                </pt>
                <pt idx="56">
                  <v>0.808070866141732</v>
                </pt>
                <pt idx="57">
                  <v>0.8336614173228351</v>
                </pt>
                <pt idx="58">
                  <v>0.816929133858268</v>
                </pt>
                <pt idx="59">
                  <v>0.807086614173228</v>
                </pt>
                <pt idx="60">
                  <v>0.812992125984252</v>
                </pt>
                <pt idx="61">
                  <v>0.812007874015748</v>
                </pt>
                <pt idx="62">
                  <v>0.716535433070866</v>
                </pt>
                <pt idx="63">
                  <v>0.698818897637795</v>
                </pt>
                <pt idx="64">
                  <v>0.709645669291339</v>
                </pt>
                <pt idx="65">
                  <v>0.661417322834646</v>
                </pt>
                <pt idx="66">
                  <v>0.714566929133858</v>
                </pt>
                <pt idx="67">
                  <v>0.683070866141732</v>
                </pt>
                <pt idx="68">
                  <v>0.650590551181102</v>
                </pt>
                <pt idx="69">
                  <v>0.615157480314961</v>
                </pt>
                <pt idx="70">
                  <v>0.515748031496063</v>
                </pt>
                <pt idx="71">
                  <v>0.535433070866142</v>
                </pt>
                <pt idx="72">
                  <v>0.5649606299212599</v>
                </pt>
                <pt idx="73">
                  <v>0.56988188976378</v>
                </pt>
                <pt idx="74">
                  <v>0.580708661417323</v>
                </pt>
                <pt idx="75">
                  <v>0.611220472440945</v>
                </pt>
                <pt idx="76">
                  <v>0.644685039370079</v>
                </pt>
                <pt idx="77">
                  <v>0.658464566929134</v>
                </pt>
                <pt idx="78">
                  <v>0.640748031496063</v>
                </pt>
                <pt idx="79">
                  <v>0.664370078740158</v>
                </pt>
                <pt idx="80">
                  <v>0.653543307086614</v>
                </pt>
                <pt idx="81">
                  <v>0.676181102362205</v>
                </pt>
                <pt idx="82">
                  <v>0.672244094488189</v>
                </pt>
                <pt idx="83">
                  <v>0.687007874015748</v>
                </pt>
                <pt idx="84">
                  <v>0.687992125984252</v>
                </pt>
                <pt idx="85">
                  <v>0.687007874015748</v>
                </pt>
                <pt idx="86">
                  <v>0.704724409448819</v>
                </pt>
                <pt idx="87">
                  <v>0.663385826771654</v>
                </pt>
                <pt idx="88">
                  <v>0.503937007874016</v>
                </pt>
                <pt idx="89">
                  <v>0.508858267716535</v>
                </pt>
                <pt idx="90">
                  <v>0.499015748031496</v>
                </pt>
                <pt idx="91">
                  <v>0.492125984251969</v>
                </pt>
                <pt idx="92">
                  <v>0.501968503937008</v>
                </pt>
                <pt idx="93">
                  <v>0.480314960629921</v>
                </pt>
                <pt idx="94">
                  <v>0.470472440944882</v>
                </pt>
                <pt idx="95">
                  <v>0.492125984251969</v>
                </pt>
                <pt idx="96">
                  <v>0.463582680919978</v>
                </pt>
                <pt idx="97">
                  <v>0.485236203576636</v>
                </pt>
                <pt idx="98">
                  <v>0.485236203576636</v>
                </pt>
              </numCache>
            </numRef>
          </val>
          <smooth val="0"/>
        </ser>
        <ser>
          <idx val="6"/>
          <order val="6"/>
          <tx>
            <strRef>
              <f>'运动服饰 Normalized'!$H$2</f>
              <strCache>
                <ptCount val="1"/>
                <pt idx="0">
                  <v>SKX.N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Normalized'!$H$3:$H$101</f>
              <numCache>
                <formatCode>General</formatCode>
                <ptCount val="99"/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'运动服饰 Normalized'!$I$2</f>
              <strCache>
                <ptCount val="1"/>
                <pt idx="0">
                  <v>SHOO.O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Normalized'!$I$3:$I$101</f>
              <numCache>
                <formatCode>General</formatCode>
                <ptCount val="99"/>
                <pt idx="0">
                  <v>1.075705</v>
                </pt>
                <pt idx="1">
                  <v>1.021197</v>
                </pt>
                <pt idx="2">
                  <v>1.020731</v>
                </pt>
                <pt idx="3">
                  <v>0.989285</v>
                </pt>
                <pt idx="4">
                  <v>0.983694</v>
                </pt>
                <pt idx="5">
                  <v>0.981831</v>
                </pt>
                <pt idx="6">
                  <v>0.937806</v>
                </pt>
                <pt idx="7">
                  <v>0.957838</v>
                </pt>
                <pt idx="8">
                  <v>0.9604009999999999</v>
                </pt>
                <pt idx="9">
                  <v>0.892616</v>
                </pt>
                <pt idx="10">
                  <v>0.878873</v>
                </pt>
                <pt idx="11">
                  <v>0.923131</v>
                </pt>
                <pt idx="12">
                  <v>0.897508</v>
                </pt>
                <pt idx="13">
                  <v>0.709294</v>
                </pt>
                <pt idx="14">
                  <v>0.6522250000000001</v>
                </pt>
                <pt idx="15">
                  <v>0.600047</v>
                </pt>
                <pt idx="16">
                  <v>0.638947</v>
                </pt>
                <pt idx="17">
                  <v>0.620545</v>
                </pt>
                <pt idx="18">
                  <v>0.518519</v>
                </pt>
                <pt idx="19">
                  <v>0.489401</v>
                </pt>
                <pt idx="20">
                  <v>0.465642</v>
                </pt>
                <pt idx="21">
                  <v>0.487305</v>
                </pt>
                <pt idx="22">
                  <v>0.481714</v>
                </pt>
                <pt idx="23">
                  <v>0.615188</v>
                </pt>
                <pt idx="24">
                  <v>0.60028</v>
                </pt>
                <pt idx="25">
                  <v>0.571861</v>
                </pt>
                <pt idx="26">
                  <v>0.564873</v>
                </pt>
                <pt idx="27">
                  <v>0.607966</v>
                </pt>
                <pt idx="28">
                  <v>0.564407</v>
                </pt>
                <pt idx="29">
                  <v>0.557419</v>
                </pt>
                <pt idx="30">
                  <v>0.558584</v>
                </pt>
                <pt idx="31">
                  <v>0.5823430000000001</v>
                </pt>
                <pt idx="32">
                  <v>0.578616</v>
                </pt>
                <pt idx="33">
                  <v>0.607268</v>
                </pt>
                <pt idx="34">
                  <v>0.628931</v>
                </pt>
                <pt idx="35">
                  <v>0.584673</v>
                </pt>
                <pt idx="36">
                  <v>0.573259</v>
                </pt>
                <pt idx="37">
                  <v>0.627067</v>
                </pt>
                <pt idx="38">
                  <v>0.652923</v>
                </pt>
                <pt idx="39">
                  <v>0.67645</v>
                </pt>
                <pt idx="40">
                  <v>0.710459</v>
                </pt>
                <pt idx="41">
                  <v>0.730724</v>
                </pt>
                <pt idx="42">
                  <v>0.77242</v>
                </pt>
                <pt idx="43">
                  <v>0.789425</v>
                </pt>
                <pt idx="44">
                  <v>0.784999</v>
                </pt>
                <pt idx="45">
                  <v>0.799441</v>
                </pt>
                <pt idx="46">
                  <v>0.814349</v>
                </pt>
                <pt idx="47">
                  <v>0.82553</v>
                </pt>
                <pt idx="48">
                  <v>0.764034</v>
                </pt>
                <pt idx="49">
                  <v>0.878407</v>
                </pt>
                <pt idx="50">
                  <v>0.861402</v>
                </pt>
                <pt idx="51">
                  <v>0.94689</v>
                </pt>
                <pt idx="52">
                  <v>1</v>
                </pt>
                <pt idx="53">
                  <v>0.9493287137288871</v>
                </pt>
                <pt idx="54">
                  <v>0.94889562581204</v>
                </pt>
                <pt idx="55">
                  <v>0.9196621914248591</v>
                </pt>
                <pt idx="56">
                  <v>0.914465136422694</v>
                </pt>
                <pt idx="57">
                  <v>0.9127327847553049</v>
                </pt>
                <pt idx="58">
                  <v>0.871805976613252</v>
                </pt>
                <pt idx="59">
                  <v>0.890428757037679</v>
                </pt>
                <pt idx="60">
                  <v>0.892810740580338</v>
                </pt>
                <pt idx="61">
                  <v>0.829796448679082</v>
                </pt>
                <pt idx="62">
                  <v>0.817020355132092</v>
                </pt>
                <pt idx="63">
                  <v>0.858163707232568</v>
                </pt>
                <pt idx="64">
                  <v>0.834343871805977</v>
                </pt>
                <pt idx="65">
                  <v>0.65937635339974</v>
                </pt>
                <pt idx="66">
                  <v>0.606323083585968</v>
                </pt>
                <pt idx="67">
                  <v>0.557817236899091</v>
                </pt>
                <pt idx="68">
                  <v>0.593980077955825</v>
                </pt>
                <pt idx="69">
                  <v>0.5768731052403639</v>
                </pt>
                <pt idx="70">
                  <v>0.482026851450845</v>
                </pt>
                <pt idx="71">
                  <v>0.4549588566479</v>
                </pt>
                <pt idx="72">
                  <v>0.432871372888696</v>
                </pt>
                <pt idx="73">
                  <v>0.453009961022088</v>
                </pt>
                <pt idx="74">
                  <v>0.447812906019922</v>
                </pt>
                <pt idx="75">
                  <v>0.571892594196622</v>
                </pt>
                <pt idx="76">
                  <v>0.558033780857514</v>
                </pt>
                <pt idx="77">
                  <v>0.53161541792984</v>
                </pt>
                <pt idx="78">
                  <v>0.525119099177133</v>
                </pt>
                <pt idx="79">
                  <v>0.5651797314854921</v>
                </pt>
                <pt idx="80">
                  <v>0.524686011260286</v>
                </pt>
                <pt idx="81">
                  <v>0.518189692507579</v>
                </pt>
                <pt idx="82">
                  <v>0.519272412299697</v>
                </pt>
                <pt idx="83">
                  <v>0.5413598960589</v>
                </pt>
                <pt idx="84">
                  <v>0.537895192724123</v>
                </pt>
                <pt idx="85">
                  <v>0.564530099610221</v>
                </pt>
                <pt idx="86">
                  <v>0.584668687743612</v>
                </pt>
                <pt idx="87">
                  <v>0.543525335643136</v>
                </pt>
                <pt idx="88">
                  <v>0.532914681680381</v>
                </pt>
                <pt idx="89">
                  <v>0.582936336076224</v>
                </pt>
                <pt idx="90">
                  <v>0.606972715461239</v>
                </pt>
                <pt idx="91">
                  <v>0.628843655262018</v>
                </pt>
                <pt idx="92">
                  <v>0.660459073191858</v>
                </pt>
                <pt idx="93">
                  <v>0.679298397574708</v>
                </pt>
                <pt idx="94">
                  <v>0.718059766132525</v>
                </pt>
                <pt idx="95">
                  <v>0.733867475097445</v>
                </pt>
                <pt idx="96">
                  <v>0.9954526033066941</v>
                </pt>
                <pt idx="97">
                  <v>0.959289719295378</v>
                </pt>
                <pt idx="98">
                  <v>0.959289719295378</v>
                </pt>
              </numCache>
            </numRef>
          </val>
          <smooth val="0"/>
        </ser>
        <ser>
          <idx val="8"/>
          <order val="8"/>
          <tx>
            <strRef>
              <f>'运动服饰 Normalized'!$J$2</f>
              <strCache>
                <ptCount val="1"/>
                <pt idx="0">
                  <v>RL.N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Normalized'!$J$3:$J$101</f>
              <numCache>
                <formatCode>General</formatCode>
                <ptCount val="99"/>
                <pt idx="0">
                  <v>0.637941</v>
                </pt>
                <pt idx="1">
                  <v>0.62351</v>
                </pt>
                <pt idx="2">
                  <v>0.633158</v>
                </pt>
                <pt idx="3">
                  <v>0.629742</v>
                </pt>
                <pt idx="4">
                  <v>0.6346889999999999</v>
                </pt>
                <pt idx="5">
                  <v>0.664043</v>
                </pt>
                <pt idx="6">
                  <v>0.646387</v>
                </pt>
                <pt idx="7">
                  <v>0.65721</v>
                </pt>
                <pt idx="8">
                  <v>0.677025</v>
                </pt>
                <pt idx="9">
                  <v>0.6723519999999999</v>
                </pt>
                <pt idx="10">
                  <v>0.733984</v>
                </pt>
                <pt idx="11">
                  <v>0.772466</v>
                </pt>
                <pt idx="12">
                  <v>0.753389</v>
                </pt>
                <pt idx="13">
                  <v>0.717066</v>
                </pt>
                <pt idx="14">
                  <v>0.596917</v>
                </pt>
                <pt idx="15">
                  <v>0.601345</v>
                </pt>
                <pt idx="16">
                  <v>0.64513</v>
                </pt>
                <pt idx="17">
                  <v>0.603313</v>
                </pt>
                <pt idx="18">
                  <v>0.52796</v>
                </pt>
                <pt idx="19">
                  <v>0.55141</v>
                </pt>
                <pt idx="20">
                  <v>0.557669</v>
                </pt>
                <pt idx="21">
                  <v>0.60662</v>
                </pt>
                <pt idx="22">
                  <v>0.649967</v>
                </pt>
                <pt idx="23">
                  <v>0.722942</v>
                </pt>
                <pt idx="24">
                  <v>0.75891</v>
                </pt>
                <pt idx="25">
                  <v>0.749098</v>
                </pt>
                <pt idx="26">
                  <v>0.754154</v>
                </pt>
                <pt idx="27">
                  <v>0.7388209999999999</v>
                </pt>
                <pt idx="28">
                  <v>0.7388209999999999</v>
                </pt>
                <pt idx="29">
                  <v>0.7394500000000001</v>
                </pt>
                <pt idx="30">
                  <v>0.749645</v>
                </pt>
                <pt idx="31">
                  <v>0.781158</v>
                </pt>
                <pt idx="32">
                  <v>0.789849</v>
                </pt>
                <pt idx="33">
                  <v>0.78922</v>
                </pt>
                <pt idx="34">
                  <v>0.824642</v>
                </pt>
                <pt idx="35">
                  <v>0.832103</v>
                </pt>
                <pt idx="36">
                  <v>0.788674</v>
                </pt>
                <pt idx="37">
                  <v>0.7916800000000001</v>
                </pt>
                <pt idx="38">
                  <v>0.785476</v>
                </pt>
                <pt idx="39">
                  <v>0.81155</v>
                </pt>
                <pt idx="40">
                  <v>0.844512</v>
                </pt>
                <pt idx="41">
                  <v>0.863043</v>
                </pt>
                <pt idx="42">
                  <v>0.840849</v>
                </pt>
                <pt idx="43">
                  <v>0.8435550000000001</v>
                </pt>
                <pt idx="44">
                  <v>0.87761</v>
                </pt>
                <pt idx="45">
                  <v>0.8670330000000001</v>
                </pt>
                <pt idx="46">
                  <v>0.910134</v>
                </pt>
                <pt idx="47">
                  <v>0.922625</v>
                </pt>
                <pt idx="48">
                  <v>0.860801</v>
                </pt>
                <pt idx="49">
                  <v>0.914808</v>
                </pt>
                <pt idx="50">
                  <v>0.88581</v>
                </pt>
                <pt idx="51">
                  <v>0.956543</v>
                </pt>
                <pt idx="52">
                  <v>1</v>
                </pt>
                <pt idx="53">
                  <v>0.97737886123131</v>
                </pt>
                <pt idx="54">
                  <v>0.992502463476286</v>
                </pt>
                <pt idx="55">
                  <v>0.987147080245062</v>
                </pt>
                <pt idx="56">
                  <v>0.994901675163875</v>
                </pt>
                <pt idx="57">
                  <v>1.04091512788655</v>
                </pt>
                <pt idx="58">
                  <v>1.01323850734759</v>
                </pt>
                <pt idx="59">
                  <v>1.0302043614241</v>
                </pt>
                <pt idx="60">
                  <v>1.0612655841652</v>
                </pt>
                <pt idx="61">
                  <v>1.05393941990489</v>
                </pt>
                <pt idx="62">
                  <v>1.15055053339617</v>
                </pt>
                <pt idx="63">
                  <v>1.21087357011268</v>
                </pt>
                <pt idx="64">
                  <v>1.18096911014952</v>
                </pt>
                <pt idx="65">
                  <v>1.12403067563515</v>
                </pt>
                <pt idx="66">
                  <v>0.935692558159462</v>
                </pt>
                <pt idx="67">
                  <v>0.942633134827128</v>
                </pt>
                <pt idx="68">
                  <v>1.0112677263185</v>
                </pt>
                <pt idx="69">
                  <v>0.945717835568313</v>
                </pt>
                <pt idx="70">
                  <v>0.8275995030204359</v>
                </pt>
                <pt idx="71">
                  <v>0.864358853519558</v>
                </pt>
                <pt idx="72">
                  <v>0.87416991559916</v>
                </pt>
                <pt idx="73">
                  <v>0.950901846536138</v>
                </pt>
                <pt idx="74">
                  <v>1.01885094897391</v>
                </pt>
                <pt idx="75">
                  <v>1.13324193479285</v>
                </pt>
                <pt idx="76">
                  <v>1.18962340945118</v>
                </pt>
                <pt idx="77">
                  <v>1.1742427488111</v>
                </pt>
                <pt idx="78">
                  <v>1.18216871599332</v>
                </pt>
                <pt idx="79">
                  <v>1.15813375605158</v>
                </pt>
                <pt idx="80">
                  <v>1.15813375605158</v>
                </pt>
                <pt idx="81">
                  <v>1.15911914656613</v>
                </pt>
                <pt idx="82">
                  <v>1.1750996101281</v>
                </pt>
                <pt idx="83">
                  <v>1.22449766505291</v>
                </pt>
                <pt idx="84">
                  <v>1.23812175999315</v>
                </pt>
                <pt idx="85">
                  <v>1.2371363694786</v>
                </pt>
                <pt idx="86">
                  <v>1.29266098281993</v>
                </pt>
                <pt idx="87">
                  <v>1.30435713979692</v>
                </pt>
                <pt idx="88">
                  <v>1.2362795081616</v>
                </pt>
                <pt idx="89">
                  <v>1.24099224540508</v>
                </pt>
                <pt idx="90">
                  <v>1.23126686945718</v>
                </pt>
                <pt idx="91">
                  <v>1.27213915427788</v>
                </pt>
                <pt idx="92">
                  <v>1.32380789169273</v>
                </pt>
                <pt idx="93">
                  <v>1.35285549033889</v>
                </pt>
                <pt idx="94">
                  <v>1.31806692086886</v>
                </pt>
                <pt idx="95">
                  <v>1.32230838438799</v>
                </pt>
                <pt idx="96">
                  <v>1.55678846286443</v>
                </pt>
                <pt idx="97">
                  <v>1.59067734364122</v>
                </pt>
                <pt idx="98">
                  <v>1.59067734364122</v>
                </pt>
              </numCache>
            </numRef>
          </val>
          <smooth val="0"/>
        </ser>
        <ser>
          <idx val="9"/>
          <order val="9"/>
          <tx>
            <strRef>
              <f>'运动服饰 Normalized'!$K$2</f>
              <strCache>
                <ptCount val="1"/>
                <pt idx="0">
                  <v>PUM.DF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Normalized'!$K$3:$K$101</f>
              <numCache>
                <formatCode>General</formatCode>
                <ptCount val="99"/>
                <pt idx="0">
                  <v>2.084017</v>
                </pt>
                <pt idx="1">
                  <v>2.235152</v>
                </pt>
                <pt idx="2">
                  <v>2.179623</v>
                </pt>
                <pt idx="3">
                  <v>2.179141</v>
                </pt>
                <pt idx="4">
                  <v>2.141961</v>
                </pt>
                <pt idx="5">
                  <v>2.158861</v>
                </pt>
                <pt idx="6">
                  <v>2.004829</v>
                </pt>
                <pt idx="7">
                  <v>1.95268</v>
                </pt>
                <pt idx="8">
                  <v>1.533076</v>
                </pt>
                <pt idx="9">
                  <v>1.425398</v>
                </pt>
                <pt idx="10">
                  <v>1.407533</v>
                </pt>
                <pt idx="11">
                  <v>1.435056</v>
                </pt>
                <pt idx="12">
                  <v>1.436504</v>
                </pt>
                <pt idx="13">
                  <v>1.395944</v>
                </pt>
                <pt idx="14">
                  <v>1.449541</v>
                </pt>
                <pt idx="15">
                  <v>1.1183</v>
                </pt>
                <pt idx="16">
                  <v>1.151135</v>
                </pt>
                <pt idx="17">
                  <v>1.08112</v>
                </pt>
                <pt idx="18">
                  <v>0.902945</v>
                </pt>
                <pt idx="19">
                  <v>0.945437</v>
                </pt>
                <pt idx="20">
                  <v>0.995654</v>
                </pt>
                <pt idx="21">
                  <v>1.106229</v>
                </pt>
                <pt idx="22">
                  <v>1.149686</v>
                </pt>
                <pt idx="23">
                  <v>1.160309</v>
                </pt>
                <pt idx="24">
                  <v>1.124578</v>
                </pt>
                <pt idx="25">
                  <v>1.07774</v>
                </pt>
                <pt idx="26">
                  <v>1.090295</v>
                </pt>
                <pt idx="27">
                  <v>1.092709</v>
                </pt>
                <pt idx="28">
                  <v>1.046837</v>
                </pt>
                <pt idx="29">
                  <v>1.0169</v>
                </pt>
                <pt idx="30">
                  <v>1.119266</v>
                </pt>
                <pt idx="31">
                  <v>1.104297</v>
                </pt>
                <pt idx="32">
                  <v>1.069049</v>
                </pt>
                <pt idx="33">
                  <v>1.080155</v>
                </pt>
                <pt idx="34">
                  <v>0.982617</v>
                </pt>
                <pt idx="35">
                  <v>0.859488</v>
                </pt>
                <pt idx="36">
                  <v>0.832931</v>
                </pt>
                <pt idx="37">
                  <v>0.834862</v>
                </pt>
                <pt idx="38">
                  <v>1.049252</v>
                </pt>
                <pt idx="39">
                  <v>1.012072</v>
                </pt>
                <pt idx="40">
                  <v>0.969097</v>
                </pt>
                <pt idx="41">
                  <v>0.9357799999999999</v>
                </pt>
                <pt idx="42">
                  <v>1.038146</v>
                </pt>
                <pt idx="43">
                  <v>0.976823</v>
                </pt>
                <pt idx="44">
                  <v>1.0338</v>
                </pt>
                <pt idx="45">
                  <v>1.025592</v>
                </pt>
                <pt idx="46">
                  <v>1.036697</v>
                </pt>
                <pt idx="47">
                  <v>1.055046</v>
                </pt>
                <pt idx="48">
                  <v>0.845002</v>
                </pt>
                <pt idx="49">
                  <v>0.783197</v>
                </pt>
                <pt idx="50">
                  <v>0.770159</v>
                </pt>
                <pt idx="51">
                  <v>0.751811</v>
                </pt>
                <pt idx="52">
                  <v>1</v>
                </pt>
                <pt idx="53">
                  <v>1.07252085264133</v>
                </pt>
                <pt idx="54">
                  <v>1.04587581093605</v>
                </pt>
                <pt idx="55">
                  <v>1.04564411492122</v>
                </pt>
                <pt idx="56">
                  <v>1.02780352177943</v>
                </pt>
                <pt idx="57">
                  <v>1.03591288229842</v>
                </pt>
                <pt idx="58">
                  <v>0.962001853568119</v>
                </pt>
                <pt idx="59">
                  <v>0.936978683966636</v>
                </pt>
                <pt idx="60">
                  <v>0.73563484708063</v>
                </pt>
                <pt idx="61">
                  <v>0.683966635773865</v>
                </pt>
                <pt idx="62">
                  <v>0.675393883225209</v>
                </pt>
                <pt idx="63">
                  <v>0.688600556070436</v>
                </pt>
                <pt idx="64">
                  <v>0.6892956441149209</v>
                </pt>
                <pt idx="65">
                  <v>0.669833178869323</v>
                </pt>
                <pt idx="66">
                  <v>0.6955514365152921</v>
                </pt>
                <pt idx="67">
                  <v>0.53660797034291</v>
                </pt>
                <pt idx="68">
                  <v>0.5523632993512509</v>
                </pt>
                <pt idx="69">
                  <v>0.518767377201112</v>
                </pt>
                <pt idx="70">
                  <v>0.433271547729379</v>
                </pt>
                <pt idx="71">
                  <v>0.453660797034291</v>
                </pt>
                <pt idx="72">
                  <v>0.47775718257646</v>
                </pt>
                <pt idx="73">
                  <v>0.530815569972196</v>
                </pt>
                <pt idx="74">
                  <v>0.551668211306766</v>
                </pt>
                <pt idx="75">
                  <v>0.556765523632994</v>
                </pt>
                <pt idx="76">
                  <v>0.539620018535681</v>
                </pt>
                <pt idx="77">
                  <v>0.5171455050973121</v>
                </pt>
                <pt idx="78">
                  <v>0.523169601482855</v>
                </pt>
                <pt idx="79">
                  <v>0.5243280815569969</v>
                </pt>
                <pt idx="80">
                  <v>0.502316960148286</v>
                </pt>
                <pt idx="81">
                  <v>0.487951807228916</v>
                </pt>
                <pt idx="82">
                  <v>0.537071362372567</v>
                </pt>
                <pt idx="83">
                  <v>0.529888785912882</v>
                </pt>
                <pt idx="84">
                  <v>0.5129749768303991</v>
                </pt>
                <pt idx="85">
                  <v>0.518303985171455</v>
                </pt>
                <pt idx="86">
                  <v>0.471501390176089</v>
                </pt>
                <pt idx="87">
                  <v>0.41241890639481</v>
                </pt>
                <pt idx="88">
                  <v>0.39967562557924</v>
                </pt>
                <pt idx="89">
                  <v>0.400602409638554</v>
                </pt>
                <pt idx="90">
                  <v>0.503475440222428</v>
                </pt>
                <pt idx="91">
                  <v>0.48563484708063</v>
                </pt>
                <pt idx="92">
                  <v>0.46501390176089</v>
                </pt>
                <pt idx="93">
                  <v>0.44902687673772</v>
                </pt>
                <pt idx="94">
                  <v>0.498146431881372</v>
                </pt>
                <pt idx="95">
                  <v>0.468721037998146</v>
                </pt>
                <pt idx="96">
                  <v>0.513438365324655</v>
                </pt>
                <pt idx="97">
                  <v>0.5324374314697951</v>
                </pt>
                <pt idx="98">
                  <v>0.533827639377371</v>
                </pt>
              </numCache>
            </numRef>
          </val>
          <smooth val="0"/>
        </ser>
        <ser>
          <idx val="10"/>
          <order val="10"/>
          <tx>
            <strRef>
              <f>'运动服饰 Normalized'!$L$2</f>
              <strCache>
                <ptCount val="1"/>
                <pt idx="0">
                  <v>ONON.N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Normalized'!$L$3:$L$101</f>
              <numCache>
                <formatCode>General</formatCode>
                <ptCount val="99"/>
                <pt idx="0">
                  <v>1.309982</v>
                </pt>
                <pt idx="1">
                  <v>1.231423</v>
                </pt>
                <pt idx="2">
                  <v>1.295434</v>
                </pt>
                <pt idx="3">
                  <v>1.267905</v>
                </pt>
                <pt idx="4">
                  <v>1.235228</v>
                </pt>
                <pt idx="5">
                  <v>1.222471</v>
                </pt>
                <pt idx="6">
                  <v>1.239481</v>
                </pt>
                <pt idx="7">
                  <v>1.297672</v>
                </pt>
                <pt idx="8">
                  <v>1.340868</v>
                </pt>
                <pt idx="9">
                  <v>1.309758</v>
                </pt>
                <pt idx="10">
                  <v>1.246867</v>
                </pt>
                <pt idx="11">
                  <v>1.164503</v>
                </pt>
                <pt idx="12">
                  <v>1.091092</v>
                </pt>
                <pt idx="13">
                  <v>1.070949</v>
                </pt>
                <pt idx="14">
                  <v>0.989928</v>
                </pt>
                <pt idx="15">
                  <v>1.075649</v>
                </pt>
                <pt idx="16">
                  <v>1.081468</v>
                </pt>
                <pt idx="17">
                  <v>0.98299</v>
                </pt>
                <pt idx="18">
                  <v>0.916965</v>
                </pt>
                <pt idx="19">
                  <v>0.966204</v>
                </pt>
                <pt idx="20">
                  <v>0.924575</v>
                </pt>
                <pt idx="21">
                  <v>1.042748</v>
                </pt>
                <pt idx="22">
                  <v>1.094226</v>
                </pt>
                <pt idx="23">
                  <v>1.148389</v>
                </pt>
                <pt idx="24">
                  <v>1.342659</v>
                </pt>
                <pt idx="25">
                  <v>1.307968</v>
                </pt>
                <pt idx="26">
                  <v>1.323635</v>
                </pt>
                <pt idx="27">
                  <v>1.263653</v>
                </pt>
                <pt idx="28">
                  <v>1.186437</v>
                </pt>
                <pt idx="29">
                  <v>1.18778</v>
                </pt>
                <pt idx="30">
                  <v>1.164951</v>
                </pt>
                <pt idx="31">
                  <v>1.216652</v>
                </pt>
                <pt idx="32">
                  <v>1.192032</v>
                </pt>
                <pt idx="33">
                  <v>1.190913</v>
                </pt>
                <pt idx="34">
                  <v>1.140331</v>
                </pt>
                <pt idx="35">
                  <v>1.065354</v>
                </pt>
                <pt idx="36">
                  <v>1.023277</v>
                </pt>
                <pt idx="37">
                  <v>1.012086</v>
                </pt>
                <pt idx="38">
                  <v>1.020367</v>
                </pt>
                <pt idx="39">
                  <v>1.008953</v>
                </pt>
                <pt idx="40">
                  <v>1.011638</v>
                </pt>
                <pt idx="41">
                  <v>0.955013</v>
                </pt>
                <pt idx="42">
                  <v>1.020367</v>
                </pt>
                <pt idx="43">
                  <v>0.975604</v>
                </pt>
                <pt idx="44">
                  <v>0.952775</v>
                </pt>
                <pt idx="45">
                  <v>0.961728</v>
                </pt>
                <pt idx="46">
                  <v>0.928156</v>
                </pt>
                <pt idx="47">
                  <v>0.9447179999999999</v>
                </pt>
                <pt idx="48">
                  <v>0.816025</v>
                </pt>
                <pt idx="49">
                  <v>0.782453</v>
                </pt>
                <pt idx="50">
                  <v>0.926589</v>
                </pt>
                <pt idx="51">
                  <v>0.912936</v>
                </pt>
                <pt idx="52">
                  <v>1</v>
                </pt>
                <pt idx="53">
                  <v>0.9400307534597639</v>
                </pt>
                <pt idx="54">
                  <v>0.98889458397403</v>
                </pt>
                <pt idx="55">
                  <v>0.967879719801811</v>
                </pt>
                <pt idx="56">
                  <v>0.942935246881941</v>
                </pt>
                <pt idx="57">
                  <v>0.933196651289937</v>
                </pt>
                <pt idx="58">
                  <v>0.946181445412609</v>
                </pt>
                <pt idx="59">
                  <v>0.990603109516487</v>
                </pt>
                <pt idx="60">
                  <v>1.0235776524859</v>
                </pt>
                <pt idx="61">
                  <v>0.999829147445754</v>
                </pt>
                <pt idx="62">
                  <v>0.951819579702717</v>
                </pt>
                <pt idx="63">
                  <v>0.8889458397403039</v>
                </pt>
                <pt idx="64">
                  <v>0.832906201947719</v>
                </pt>
                <pt idx="65">
                  <v>0.817529472065607</v>
                </pt>
                <pt idx="66">
                  <v>0.755680847428669</v>
                </pt>
                <pt idx="67">
                  <v>0.8211173757047669</v>
                </pt>
                <pt idx="68">
                  <v>0.825559542115155</v>
                </pt>
                <pt idx="69">
                  <v>0.750384418247053</v>
                </pt>
                <pt idx="70">
                  <v>0.699982914744575</v>
                </pt>
                <pt idx="71">
                  <v>0.737570476678626</v>
                </pt>
                <pt idx="72">
                  <v>0.705791901588929</v>
                </pt>
                <pt idx="73">
                  <v>0.796002050230651</v>
                </pt>
                <pt idx="74">
                  <v>0.835298137707159</v>
                </pt>
                <pt idx="75">
                  <v>0.876644455834615</v>
                </pt>
                <pt idx="76">
                  <v>1.02494447291987</v>
                </pt>
                <pt idx="77">
                  <v>0.9984623270117891</v>
                </pt>
                <pt idx="78">
                  <v>1.01042200580899</v>
                </pt>
                <pt idx="79">
                  <v>0.964633521271143</v>
                </pt>
                <pt idx="80">
                  <v>0.905689390056381</v>
                </pt>
                <pt idx="81">
                  <v>0.9067145053818551</v>
                </pt>
                <pt idx="82">
                  <v>0.889287544848795</v>
                </pt>
                <pt idx="83">
                  <v>0.928754484879549</v>
                </pt>
                <pt idx="84">
                  <v>0.909960703912523</v>
                </pt>
                <pt idx="85">
                  <v>0.909106441141295</v>
                </pt>
                <pt idx="86">
                  <v>0.87049376388177</v>
                </pt>
                <pt idx="87">
                  <v>0.813258158209465</v>
                </pt>
                <pt idx="88">
                  <v>0.781137878011276</v>
                </pt>
                <pt idx="89">
                  <v>0.772595250298992</v>
                </pt>
                <pt idx="90">
                  <v>0.778916794806082</v>
                </pt>
                <pt idx="91">
                  <v>0.770203314539552</v>
                </pt>
                <pt idx="92">
                  <v>0.772253545190501</v>
                </pt>
                <pt idx="93">
                  <v>0.729027848966342</v>
                </pt>
                <pt idx="94">
                  <v>0.778916794806082</v>
                </pt>
                <pt idx="95">
                  <v>0.744746283956945</v>
                </pt>
                <pt idx="96">
                  <v>0.527080136365449</v>
                </pt>
                <pt idx="97">
                  <v>0.599521615455115</v>
                </pt>
                <pt idx="98">
                  <v>0.599521615455115</v>
                </pt>
              </numCache>
            </numRef>
          </val>
          <smooth val="0"/>
        </ser>
        <ser>
          <idx val="11"/>
          <order val="11"/>
          <tx>
            <strRef>
              <f>'运动服饰 Normalized'!$M$2</f>
              <strCache>
                <ptCount val="1"/>
                <pt idx="0">
                  <v>NWL.O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Normalized'!$M$3:$M$101</f>
              <numCache>
                <formatCode>General</formatCode>
                <ptCount val="99"/>
                <pt idx="0">
                  <v>2.56168</v>
                </pt>
                <pt idx="1">
                  <v>3.020997</v>
                </pt>
                <pt idx="2">
                  <v>2.845144</v>
                </pt>
                <pt idx="3">
                  <v>2.637795</v>
                </pt>
                <pt idx="4">
                  <v>2.624672</v>
                </pt>
                <pt idx="5">
                  <v>2.669291</v>
                </pt>
                <pt idx="6">
                  <v>2.548556</v>
                </pt>
                <pt idx="7">
                  <v>2.656168</v>
                </pt>
                <pt idx="8">
                  <v>2.779528</v>
                </pt>
                <pt idx="9">
                  <v>2.51706</v>
                </pt>
                <pt idx="10">
                  <v>1.839895</v>
                </pt>
                <pt idx="11">
                  <v>1.853018</v>
                </pt>
                <pt idx="12">
                  <v>1.692913</v>
                </pt>
                <pt idx="13">
                  <v>1.645669</v>
                </pt>
                <pt idx="14">
                  <v>1.766404</v>
                </pt>
                <pt idx="15">
                  <v>1.742782</v>
                </pt>
                <pt idx="16">
                  <v>1.766404</v>
                </pt>
                <pt idx="17">
                  <v>1.627297</v>
                </pt>
                <pt idx="18">
                  <v>1.283465</v>
                </pt>
                <pt idx="19">
                  <v>1.309711</v>
                </pt>
                <pt idx="20">
                  <v>1.194226</v>
                </pt>
                <pt idx="21">
                  <v>1.341207</v>
                </pt>
                <pt idx="22">
                  <v>1.338583</v>
                </pt>
                <pt idx="23">
                  <v>1.577428</v>
                </pt>
                <pt idx="24">
                  <v>1.493438</v>
                </pt>
                <pt idx="25">
                  <v>1.43832</v>
                </pt>
                <pt idx="26">
                  <v>1.325459</v>
                </pt>
                <pt idx="27">
                  <v>1.472441</v>
                </pt>
                <pt idx="28">
                  <v>1.51706</v>
                </pt>
                <pt idx="29">
                  <v>1.385827</v>
                </pt>
                <pt idx="30">
                  <v>1.417323</v>
                </pt>
                <pt idx="31">
                  <v>1.501312</v>
                </pt>
                <pt idx="32">
                  <v>1.480315</v>
                </pt>
                <pt idx="33">
                  <v>1.47769</v>
                </pt>
                <pt idx="34">
                  <v>1.619423</v>
                </pt>
                <pt idx="35">
                  <v>1.304462</v>
                </pt>
                <pt idx="36">
                  <v>1.267717</v>
                </pt>
                <pt idx="37">
                  <v>1.540682</v>
                </pt>
                <pt idx="38">
                  <v>1.527559</v>
                </pt>
                <pt idx="39">
                  <v>1.553806</v>
                </pt>
                <pt idx="40">
                  <v>1.661417</v>
                </pt>
                <pt idx="41">
                  <v>1.532808</v>
                </pt>
                <pt idx="42">
                  <v>1.440945</v>
                </pt>
                <pt idx="43">
                  <v>1.335958</v>
                </pt>
                <pt idx="44">
                  <v>1.377953</v>
                </pt>
                <pt idx="45">
                  <v>1.267717</v>
                </pt>
                <pt idx="46">
                  <v>1.272966</v>
                </pt>
                <pt idx="47">
                  <v>1.335958</v>
                </pt>
                <pt idx="48">
                  <v>0.847769</v>
                </pt>
                <pt idx="49">
                  <v>0.847769</v>
                </pt>
                <pt idx="50">
                  <v>0.87664</v>
                </pt>
                <pt idx="51">
                  <v>0.9081360000000001</v>
                </pt>
                <pt idx="52">
                  <v>1</v>
                </pt>
                <pt idx="53">
                  <v>1.17930327868852</v>
                </pt>
                <pt idx="54">
                  <v>1.11065573770492</v>
                </pt>
                <pt idx="55">
                  <v>1.0297131147541</v>
                </pt>
                <pt idx="56">
                  <v>1.02459016393443</v>
                </pt>
                <pt idx="57">
                  <v>1.04200819672131</v>
                </pt>
                <pt idx="58">
                  <v>0.994877049180328</v>
                </pt>
                <pt idx="59">
                  <v>1.03688524590164</v>
                </pt>
                <pt idx="60">
                  <v>1.08504098360656</v>
                </pt>
                <pt idx="61">
                  <v>0.982581967213115</v>
                </pt>
                <pt idx="62">
                  <v>0.718237704918033</v>
                </pt>
                <pt idx="63">
                  <v>0.723360655737705</v>
                </pt>
                <pt idx="64">
                  <v>0.660860655737705</v>
                </pt>
                <pt idx="65">
                  <v>0.642418032786885</v>
                </pt>
                <pt idx="66">
                  <v>0.689549180327869</v>
                </pt>
                <pt idx="67">
                  <v>0.680327868852459</v>
                </pt>
                <pt idx="68">
                  <v>0.689549180327869</v>
                </pt>
                <pt idx="69">
                  <v>0.635245901639344</v>
                </pt>
                <pt idx="70">
                  <v>0.501024590163934</v>
                </pt>
                <pt idx="71">
                  <v>0.511270491803279</v>
                </pt>
                <pt idx="72">
                  <v>0.466188524590164</v>
                </pt>
                <pt idx="73">
                  <v>0.523565573770492</v>
                </pt>
                <pt idx="74">
                  <v>0.522540983606557</v>
                </pt>
                <pt idx="75">
                  <v>0.6157786885245899</v>
                </pt>
                <pt idx="76">
                  <v>0.582991803278689</v>
                </pt>
                <pt idx="77">
                  <v>0.561475409836066</v>
                </pt>
                <pt idx="78">
                  <v>0.517418032786885</v>
                </pt>
                <pt idx="79">
                  <v>0.574795081967213</v>
                </pt>
                <pt idx="80">
                  <v>0.592213114754098</v>
                </pt>
                <pt idx="81">
                  <v>0.540983606557377</v>
                </pt>
                <pt idx="82">
                  <v>0.5532786885245899</v>
                </pt>
                <pt idx="83">
                  <v>0.586065573770492</v>
                </pt>
                <pt idx="84">
                  <v>0.577868852459016</v>
                </pt>
                <pt idx="85">
                  <v>0.576844262295082</v>
                </pt>
                <pt idx="86">
                  <v>0.632172131147541</v>
                </pt>
                <pt idx="87">
                  <v>0.5092213114754101</v>
                </pt>
                <pt idx="88">
                  <v>0.494877049180328</v>
                </pt>
                <pt idx="89">
                  <v>0.601434426229508</v>
                </pt>
                <pt idx="90">
                  <v>0.596311475409836</v>
                </pt>
                <pt idx="91">
                  <v>0.60655737704918</v>
                </pt>
                <pt idx="92">
                  <v>0.648565573770492</v>
                </pt>
                <pt idx="93">
                  <v>0.598360655737705</v>
                </pt>
                <pt idx="94">
                  <v>0.5625</v>
                </pt>
                <pt idx="95">
                  <v>0.521516393442623</v>
                </pt>
                <pt idx="96">
                  <v>0.553278698295843</v>
                </pt>
                <pt idx="97">
                  <v>0.577868838779262</v>
                </pt>
                <pt idx="98">
                  <v>0.577868838779262</v>
                </pt>
              </numCache>
            </numRef>
          </val>
          <smooth val="0"/>
        </ser>
        <ser>
          <idx val="12"/>
          <order val="12"/>
          <tx>
            <strRef>
              <f>'运动服饰 Normalized'!$N$2</f>
              <strCache>
                <ptCount val="1"/>
                <pt idx="0">
                  <v>LULU.O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Normalized'!$N$3:$N$101</f>
              <numCache>
                <formatCode>General</formatCode>
                <ptCount val="99"/>
                <pt idx="0">
                  <v>1.833233</v>
                </pt>
                <pt idx="1">
                  <v>2.219122</v>
                </pt>
                <pt idx="2">
                  <v>2.136615</v>
                </pt>
                <pt idx="3">
                  <v>2.102352</v>
                </pt>
                <pt idx="4">
                  <v>2.105422</v>
                </pt>
                <pt idx="5">
                  <v>2.167151</v>
                </pt>
                <pt idx="6">
                  <v>2.186613</v>
                </pt>
                <pt idx="7">
                  <v>2.048682</v>
                </pt>
                <pt idx="8">
                  <v>2.20876</v>
                </pt>
                <pt idx="9">
                  <v>2.249274</v>
                </pt>
                <pt idx="10">
                  <v>2.191272</v>
                </pt>
                <pt idx="11">
                  <v>2.010197</v>
                </pt>
                <pt idx="12">
                  <v>2.018639</v>
                </pt>
                <pt idx="13">
                  <v>1.906748</v>
                </pt>
                <pt idx="14">
                  <v>1.829779</v>
                </pt>
                <pt idx="15">
                  <v>1.793158</v>
                </pt>
                <pt idx="16">
                  <v>1.836303</v>
                </pt>
                <pt idx="17">
                  <v>1.551779</v>
                </pt>
                <pt idx="18">
                  <v>1.452771</v>
                </pt>
                <pt idx="19">
                  <v>1.424045</v>
                </pt>
                <pt idx="20">
                  <v>1.391974</v>
                </pt>
                <pt idx="21">
                  <v>1.472068</v>
                </pt>
                <pt idx="22">
                  <v>1.527054</v>
                </pt>
                <pt idx="23">
                  <v>1.667672</v>
                </pt>
                <pt idx="24">
                  <v>1.774574</v>
                </pt>
                <pt idx="25">
                  <v>1.703635</v>
                </pt>
                <pt idx="26">
                  <v>1.770462</v>
                </pt>
                <pt idx="27">
                  <v>1.420098</v>
                </pt>
                <pt idx="28">
                  <v>1.322789</v>
                </pt>
                <pt idx="29">
                  <v>1.236555</v>
                </pt>
                <pt idx="30">
                  <v>1.30245</v>
                </pt>
                <pt idx="31">
                  <v>1.302396</v>
                </pt>
                <pt idx="32">
                  <v>1.254811</v>
                </pt>
                <pt idx="33">
                  <v>1.223672</v>
                </pt>
                <pt idx="34">
                  <v>1.18738</v>
                </pt>
                <pt idx="35">
                  <v>1.076969</v>
                </pt>
                <pt idx="36">
                  <v>1.022093</v>
                </pt>
                <pt idx="37">
                  <v>1.116276</v>
                </pt>
                <pt idx="38">
                  <v>1.109808</v>
                </pt>
                <pt idx="39">
                  <v>1.108492</v>
                </pt>
                <pt idx="40">
                  <v>0.92155</v>
                </pt>
                <pt idx="41">
                  <v>0.877035</v>
                </pt>
                <pt idx="42">
                  <v>0.950661</v>
                </pt>
                <pt idx="43">
                  <v>0.981909</v>
                </pt>
                <pt idx="44">
                  <v>0.954553</v>
                </pt>
                <pt idx="45">
                  <v>0.931144</v>
                </pt>
                <pt idx="46">
                  <v>0.945288</v>
                </pt>
                <pt idx="47">
                  <v>0.994408</v>
                </pt>
                <pt idx="48">
                  <v>0.907132</v>
                </pt>
                <pt idx="49">
                  <v>0.933885</v>
                </pt>
                <pt idx="50">
                  <v>0.8999509999999999</v>
                </pt>
                <pt idx="51">
                  <v>0.930157</v>
                </pt>
                <pt idx="52">
                  <v>1</v>
                </pt>
                <pt idx="53">
                  <v>1.21049641148325</v>
                </pt>
                <pt idx="54">
                  <v>1.16549043062201</v>
                </pt>
                <pt idx="55">
                  <v>1.14680023923445</v>
                </pt>
                <pt idx="56">
                  <v>1.14847488038278</v>
                </pt>
                <pt idx="57">
                  <v>1.1821471291866</v>
                </pt>
                <pt idx="58">
                  <v>1.19276315789474</v>
                </pt>
                <pt idx="59">
                  <v>1.11752392344498</v>
                </pt>
                <pt idx="60">
                  <v>1.20484449760766</v>
                </pt>
                <pt idx="61">
                  <v>1.22694377990431</v>
                </pt>
                <pt idx="62">
                  <v>1.19530502392345</v>
                </pt>
                <pt idx="63">
                  <v>1.09653110047847</v>
                </pt>
                <pt idx="64">
                  <v>1.10113636363636</v>
                </pt>
                <pt idx="65">
                  <v>1.04010167464115</v>
                </pt>
                <pt idx="66">
                  <v>0.998116028708134</v>
                </pt>
                <pt idx="67">
                  <v>0.97813995215311</v>
                </pt>
                <pt idx="68">
                  <v>1.00167464114833</v>
                </pt>
                <pt idx="69">
                  <v>0.846471291866029</v>
                </pt>
                <pt idx="70">
                  <v>0.792464114832536</v>
                </pt>
                <pt idx="71">
                  <v>0.776794258373206</v>
                </pt>
                <pt idx="72">
                  <v>0.75930023923445</v>
                </pt>
                <pt idx="73">
                  <v>0.80299043062201</v>
                </pt>
                <pt idx="74">
                  <v>0.832984449760766</v>
                </pt>
                <pt idx="75">
                  <v>0.909688995215311</v>
                </pt>
                <pt idx="76">
                  <v>0.968002392344498</v>
                </pt>
                <pt idx="77">
                  <v>0.929306220095694</v>
                </pt>
                <pt idx="78">
                  <v>0.96575956937799</v>
                </pt>
                <pt idx="79">
                  <v>0.774641148325359</v>
                </pt>
                <pt idx="80">
                  <v>0.721561004784689</v>
                </pt>
                <pt idx="81">
                  <v>0.674521531100479</v>
                </pt>
                <pt idx="82">
                  <v>0.710466507177034</v>
                </pt>
                <pt idx="83">
                  <v>0.710436602870813</v>
                </pt>
                <pt idx="84">
                  <v>0.68447966507177</v>
                </pt>
                <pt idx="85">
                  <v>0.6674940191387559</v>
                </pt>
                <pt idx="86">
                  <v>0.647697368421053</v>
                </pt>
                <pt idx="87">
                  <v>0.5874700956937799</v>
                </pt>
                <pt idx="88">
                  <v>0.557535885167464</v>
                </pt>
                <pt idx="89">
                  <v>0.608911483253589</v>
                </pt>
                <pt idx="90">
                  <v>0.605382775119617</v>
                </pt>
                <pt idx="91">
                  <v>0.604665071770335</v>
                </pt>
                <pt idx="92">
                  <v>0.502691387559809</v>
                </pt>
                <pt idx="93">
                  <v>0.478409090909091</v>
                </pt>
                <pt idx="94">
                  <v>0.518570574162679</v>
                </pt>
                <pt idx="95">
                  <v>0.535616028708134</v>
                </pt>
                <pt idx="96">
                  <v>0.282476073817203</v>
                </pt>
                <pt idx="97">
                  <v>0.282595693779904</v>
                </pt>
                <pt idx="98">
                  <v>0.282595693779904</v>
                </pt>
              </numCache>
            </numRef>
          </val>
          <smooth val="0"/>
        </ser>
        <ser>
          <idx val="13"/>
          <order val="13"/>
          <tx>
            <strRef>
              <f>'运动服饰 Normalized'!$O$2</f>
              <strCache>
                <ptCount val="1"/>
                <pt idx="0">
                  <v>LEVI.N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Normalized'!$O$3:$O$101</f>
              <numCache>
                <formatCode>General</formatCode>
                <ptCount val="99"/>
                <pt idx="0">
                  <v>0.815612</v>
                </pt>
                <pt idx="1">
                  <v>0.787349</v>
                </pt>
                <pt idx="2">
                  <v>0.767609</v>
                </pt>
                <pt idx="3">
                  <v>0.77703</v>
                </pt>
                <pt idx="4">
                  <v>0.777927</v>
                </pt>
                <pt idx="5">
                  <v>0.800359</v>
                </pt>
                <pt idx="6">
                  <v>0.781516</v>
                </pt>
                <pt idx="7">
                  <v>0.779273</v>
                </pt>
                <pt idx="8">
                  <v>0.818304</v>
                </pt>
                <pt idx="9">
                  <v>0.837147</v>
                </pt>
                <pt idx="10">
                  <v>0.816958</v>
                </pt>
                <pt idx="11">
                  <v>0.81965</v>
                </pt>
                <pt idx="12">
                  <v>0.8483619999999999</v>
                </pt>
                <pt idx="13">
                  <v>0.772992</v>
                </pt>
                <pt idx="14">
                  <v>0.726335</v>
                </pt>
                <pt idx="15">
                  <v>0.73755</v>
                </pt>
                <pt idx="16">
                  <v>0.7196050000000001</v>
                </pt>
                <pt idx="17">
                  <v>0.699417</v>
                </pt>
                <pt idx="18">
                  <v>0.605653</v>
                </pt>
                <pt idx="19">
                  <v>0.671153</v>
                </pt>
                <pt idx="20">
                  <v>0.673845</v>
                </pt>
                <pt idx="21">
                  <v>0.712427</v>
                </pt>
                <pt idx="22">
                  <v>0.7308210000000001</v>
                </pt>
                <pt idx="23">
                  <v>0.7958730000000001</v>
                </pt>
                <pt idx="24">
                  <v>0.788694</v>
                </pt>
                <pt idx="25">
                  <v>0.7958730000000001</v>
                </pt>
                <pt idx="26">
                  <v>0.766711</v>
                </pt>
                <pt idx="27">
                  <v>0.786003</v>
                </pt>
                <pt idx="28">
                  <v>0.787349</v>
                </pt>
                <pt idx="29">
                  <v>0.807986</v>
                </pt>
                <pt idx="30">
                  <v>0.82952</v>
                </pt>
                <pt idx="31">
                  <v>0.877075</v>
                </pt>
                <pt idx="32">
                  <v>0.958726</v>
                </pt>
                <pt idx="33">
                  <v>0.930462</v>
                </pt>
                <pt idx="34">
                  <v>0.926424</v>
                </pt>
                <pt idx="35">
                  <v>0.894572</v>
                </pt>
                <pt idx="36">
                  <v>0.907133</v>
                </pt>
                <pt idx="37">
                  <v>0.943921</v>
                </pt>
                <pt idx="38">
                  <v>0.961418</v>
                </pt>
                <pt idx="39">
                  <v>1.003589</v>
                </pt>
                <pt idx="40">
                  <v>0.992822</v>
                </pt>
                <pt idx="41">
                  <v>1.013459</v>
                </pt>
                <pt idx="42">
                  <v>1.027366</v>
                </pt>
                <pt idx="43">
                  <v>1.044863</v>
                </pt>
                <pt idx="44">
                  <v>1.090175</v>
                </pt>
                <pt idx="45">
                  <v>0.949305</v>
                </pt>
                <pt idx="46">
                  <v>0.922835</v>
                </pt>
                <pt idx="47">
                  <v>0.960969</v>
                </pt>
                <pt idx="48">
                  <v>0.896815</v>
                </pt>
                <pt idx="49">
                  <v>0.946164</v>
                </pt>
                <pt idx="50">
                  <v>0.918349</v>
                </pt>
                <pt idx="51">
                  <v>0.930911</v>
                </pt>
                <pt idx="52">
                  <v>1</v>
                </pt>
                <pt idx="53">
                  <v>0.965346534653465</v>
                </pt>
                <pt idx="54">
                  <v>0.941144114411441</v>
                </pt>
                <pt idx="55">
                  <v>0.952695269526953</v>
                </pt>
                <pt idx="56">
                  <v>0.953795379537954</v>
                </pt>
                <pt idx="57">
                  <v>0.981298129812981</v>
                </pt>
                <pt idx="58">
                  <v>0.958195819581958</v>
                </pt>
                <pt idx="59">
                  <v>0.955445544554456</v>
                </pt>
                <pt idx="60">
                  <v>1.003300330033</v>
                </pt>
                <pt idx="61">
                  <v>1.02640264026403</v>
                </pt>
                <pt idx="62">
                  <v>1.0016501650165</v>
                </pt>
                <pt idx="63">
                  <v>1.0049504950495</v>
                </pt>
                <pt idx="64">
                  <v>1.04015401540154</v>
                </pt>
                <pt idx="65">
                  <v>0.947744774477448</v>
                </pt>
                <pt idx="66">
                  <v>0.890539053905391</v>
                </pt>
                <pt idx="67">
                  <v>0.904290429042904</v>
                </pt>
                <pt idx="68">
                  <v>0.882288228822882</v>
                </pt>
                <pt idx="69">
                  <v>0.8575357535753571</v>
                </pt>
                <pt idx="70">
                  <v>0.742574257425743</v>
                </pt>
                <pt idx="71">
                  <v>0.822882288228823</v>
                </pt>
                <pt idx="72">
                  <v>0.826182618261826</v>
                </pt>
                <pt idx="73">
                  <v>0.873487348734874</v>
                </pt>
                <pt idx="74">
                  <v>0.8960396039603959</v>
                </pt>
                <pt idx="75">
                  <v>0.975797579757976</v>
                </pt>
                <pt idx="76">
                  <v>0.966996699669967</v>
                </pt>
                <pt idx="77">
                  <v>0.975797579757976</v>
                </pt>
                <pt idx="78">
                  <v>0.94004400440044</v>
                </pt>
                <pt idx="79">
                  <v>0.963696369636964</v>
                </pt>
                <pt idx="80">
                  <v>0.965346534653465</v>
                </pt>
                <pt idx="81">
                  <v>0.990649064906491</v>
                </pt>
                <pt idx="82">
                  <v>1.01705170517052</v>
                </pt>
                <pt idx="83">
                  <v>1.07535753575358</v>
                </pt>
                <pt idx="84">
                  <v>1.17546754675468</v>
                </pt>
                <pt idx="85">
                  <v>1.14081408140814</v>
                </pt>
                <pt idx="86">
                  <v>1.13586358635864</v>
                </pt>
                <pt idx="87">
                  <v>1.0968096809681</v>
                </pt>
                <pt idx="88">
                  <v>1.11221122112211</v>
                </pt>
                <pt idx="89">
                  <v>1.15731573157316</v>
                </pt>
                <pt idx="90">
                  <v>1.17876787678768</v>
                </pt>
                <pt idx="91">
                  <v>1.23047304730473</v>
                </pt>
                <pt idx="92">
                  <v>1.21727172717272</v>
                </pt>
                <pt idx="93">
                  <v>1.24257425742574</v>
                </pt>
                <pt idx="94">
                  <v>1.25962596259626</v>
                </pt>
                <pt idx="95">
                  <v>1.28107810781078</v>
                </pt>
                <pt idx="96">
                  <v>1.09295934209205</v>
                </pt>
                <pt idx="97">
                  <v>1.02860290225189</v>
                </pt>
                <pt idx="98">
                  <v>1.02860290225189</v>
                </pt>
              </numCache>
            </numRef>
          </val>
          <smooth val="0"/>
        </ser>
        <ser>
          <idx val="14"/>
          <order val="14"/>
          <tx>
            <strRef>
              <f>'运动服饰 Normalized'!$P$2</f>
              <strCache>
                <ptCount val="1"/>
                <pt idx="0">
                  <v>KTB.N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Normalized'!$P$3:$P$101</f>
              <numCache>
                <formatCode>General</formatCode>
                <ptCount val="99"/>
                <pt idx="0">
                  <v>1.253193</v>
                </pt>
                <pt idx="1">
                  <v>1.169106</v>
                </pt>
                <pt idx="2">
                  <v>1.19678</v>
                </pt>
                <pt idx="3">
                  <v>1.151809</v>
                </pt>
                <pt idx="4">
                  <v>1.133715</v>
                </pt>
                <pt idx="5">
                  <v>1.15487</v>
                </pt>
                <pt idx="6">
                  <v>1.121607</v>
                </pt>
                <pt idx="7">
                  <v>1.143959</v>
                </pt>
                <pt idx="8">
                  <v>1.2186</v>
                </pt>
                <pt idx="9">
                  <v>1.151011</v>
                </pt>
                <pt idx="10">
                  <v>1.122006</v>
                </pt>
                <pt idx="11">
                  <v>1.114023</v>
                </pt>
                <pt idx="12">
                  <v>1.146487</v>
                </pt>
                <pt idx="13">
                  <v>0.840074</v>
                </pt>
                <pt idx="14">
                  <v>0.789915</v>
                </pt>
                <pt idx="15">
                  <v>0.842336</v>
                </pt>
                <pt idx="16">
                  <v>0.863757</v>
                </pt>
                <pt idx="17">
                  <v>0.8532459999999999</v>
                </pt>
                <pt idx="18">
                  <v>0.746142</v>
                </pt>
                <pt idx="19">
                  <v>0.745609</v>
                </pt>
                <pt idx="20">
                  <v>0.762773</v>
                </pt>
                <pt idx="21">
                  <v>0.810937</v>
                </pt>
                <pt idx="22">
                  <v>0.844199</v>
                </pt>
                <pt idx="23">
                  <v>0.966738</v>
                </pt>
                <pt idx="24">
                  <v>0.97645</v>
                </pt>
                <pt idx="25">
                  <v>0.926291</v>
                </pt>
                <pt idx="26">
                  <v>0.925625</v>
                </pt>
                <pt idx="27">
                  <v>0.9083290000000001</v>
                </pt>
                <pt idx="28">
                  <v>0.856706</v>
                </pt>
                <pt idx="29">
                  <v>0.8595</v>
                </pt>
                <pt idx="30">
                  <v>0.877727</v>
                </pt>
                <pt idx="31">
                  <v>0.943188</v>
                </pt>
                <pt idx="32">
                  <v>0.885045</v>
                </pt>
                <pt idx="33">
                  <v>0.838611</v>
                </pt>
                <pt idx="34">
                  <v>0.8249069999999999</v>
                </pt>
                <pt idx="35">
                  <v>0.755322</v>
                </pt>
                <pt idx="36">
                  <v>0.894891</v>
                </pt>
                <pt idx="37">
                  <v>0.952368</v>
                </pt>
                <pt idx="38">
                  <v>1.015567</v>
                </pt>
                <pt idx="39">
                  <v>1.027807</v>
                </pt>
                <pt idx="40">
                  <v>1.062001</v>
                </pt>
                <pt idx="41">
                  <v>1.091139</v>
                </pt>
                <pt idx="42">
                  <v>1.053885</v>
                </pt>
                <pt idx="43">
                  <v>1.046966</v>
                </pt>
                <pt idx="44">
                  <v>1.090474</v>
                </pt>
                <pt idx="45">
                  <v>1.045104</v>
                </pt>
                <pt idx="46">
                  <v>1.1248</v>
                </pt>
                <pt idx="47">
                  <v>1.144492</v>
                </pt>
                <pt idx="48">
                  <v>0.977248</v>
                </pt>
                <pt idx="49">
                  <v>0.957025</v>
                </pt>
                <pt idx="50">
                  <v>0.93108</v>
                </pt>
                <pt idx="51">
                  <v>0.939329</v>
                </pt>
                <pt idx="52">
                  <v>1</v>
                </pt>
                <pt idx="53">
                  <v>0.932901581908908</v>
                </pt>
                <pt idx="54">
                  <v>0.954984605584457</v>
                </pt>
                <pt idx="55">
                  <v>0.919099692111689</v>
                </pt>
                <pt idx="56">
                  <v>0.904660792016138</v>
                </pt>
                <pt idx="57">
                  <v>0.921541564921966</v>
                </pt>
                <pt idx="58">
                  <v>0.894999469158085</v>
                </pt>
                <pt idx="59">
                  <v>0.912835757511413</v>
                </pt>
                <pt idx="60">
                  <v>0.9723962204055629</v>
                </pt>
                <pt idx="61">
                  <v>0.918462681813356</v>
                </pt>
                <pt idx="62">
                  <v>0.895317974307251</v>
                </pt>
                <pt idx="63">
                  <v>0.8889478713239199</v>
                </pt>
                <pt idx="64">
                  <v>0.914852956789468</v>
                </pt>
                <pt idx="65">
                  <v>0.670347170612592</v>
                </pt>
                <pt idx="66">
                  <v>0.630321690200658</v>
                </pt>
                <pt idx="67">
                  <v>0.672152033124536</v>
                </pt>
                <pt idx="68">
                  <v>0.689245142796475</v>
                </pt>
                <pt idx="69">
                  <v>0.680857840535089</v>
                </pt>
                <pt idx="70">
                  <v>0.59539229217539</v>
                </pt>
                <pt idx="71">
                  <v>0.5949676186431681</v>
                </pt>
                <pt idx="72">
                  <v>0.608663340057331</v>
                </pt>
                <pt idx="73">
                  <v>0.647096294723431</v>
                </pt>
                <pt idx="74">
                  <v>0.673638390487313</v>
                </pt>
                <pt idx="75">
                  <v>0.7714194712814521</v>
                </pt>
                <pt idx="76">
                  <v>0.779169763244506</v>
                </pt>
                <pt idx="77">
                  <v>0.7391442828325721</v>
                </pt>
                <pt idx="78">
                  <v>0.738613440917295</v>
                </pt>
                <pt idx="79">
                  <v>0.724811551120076</v>
                </pt>
                <pt idx="80">
                  <v>0.683618218494532</v>
                </pt>
                <pt idx="81">
                  <v>0.685847754538698</v>
                </pt>
                <pt idx="82">
                  <v>0.700392823017305</v>
                </pt>
                <pt idx="83">
                  <v>0.752627667480624</v>
                </pt>
                <pt idx="84">
                  <v>0.706232084085359</v>
                </pt>
                <pt idx="85">
                  <v>0.669179318398981</v>
                </pt>
                <pt idx="86">
                  <v>0.658243974944262</v>
                </pt>
                <pt idx="87">
                  <v>0.602717910606221</v>
                </pt>
                <pt idx="88">
                  <v>0.714088544431468</v>
                </pt>
                <pt idx="89">
                  <v>0.7599532859114559</v>
                </pt>
                <pt idx="90">
                  <v>0.81038326786283</v>
                </pt>
                <pt idx="91">
                  <v>0.820150759103939</v>
                </pt>
                <pt idx="92">
                  <v>0.847436033549209</v>
                </pt>
                <pt idx="93">
                  <v>0.870686909438369</v>
                </pt>
                <pt idx="94">
                  <v>0.840959762182822</v>
                </pt>
                <pt idx="95">
                  <v>0.835439006263935</v>
                </pt>
                <pt idx="96">
                  <v>0.687015597032303</v>
                </pt>
                <pt idx="97">
                  <v>0.6966769587703791</v>
                </pt>
                <pt idx="98">
                  <v>0.6966769587703791</v>
                </pt>
              </numCache>
            </numRef>
          </val>
          <smooth val="0"/>
        </ser>
        <ser>
          <idx val="15"/>
          <order val="15"/>
          <tx>
            <strRef>
              <f>'运动服饰 Normalized'!$Q$2</f>
              <strCache>
                <ptCount val="1"/>
                <pt idx="0">
                  <v>HBI.N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Normalized'!$Q$3:$Q$101</f>
              <numCache>
                <formatCode>General</formatCode>
                <ptCount val="99"/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</numCache>
            </numRef>
          </val>
          <smooth val="0"/>
        </ser>
        <ser>
          <idx val="16"/>
          <order val="16"/>
          <tx>
            <strRef>
              <f>'运动服饰 Normalized'!$R$2</f>
              <strCache>
                <ptCount val="1"/>
                <pt idx="0">
                  <v>GIL.N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Normalized'!$R$3:$R$101</f>
              <numCache>
                <formatCode>General</formatCode>
                <ptCount val="99"/>
                <pt idx="0">
                  <v>0.869965</v>
                </pt>
                <pt idx="1">
                  <v>0.830556</v>
                </pt>
                <pt idx="2">
                  <v>0.844444</v>
                </pt>
                <pt idx="3">
                  <v>0.811632</v>
                </pt>
                <pt idx="4">
                  <v>0.803472</v>
                </pt>
                <pt idx="5">
                  <v>0.817708</v>
                </pt>
                <pt idx="6">
                  <v>0.832813</v>
                </pt>
                <pt idx="7">
                  <v>0.863715</v>
                </pt>
                <pt idx="8">
                  <v>0.8878470000000001</v>
                </pt>
                <pt idx="9">
                  <v>0.886979</v>
                </pt>
                <pt idx="10">
                  <v>0.880035</v>
                </pt>
                <pt idx="11">
                  <v>0.884549</v>
                </pt>
                <pt idx="12">
                  <v>0.9395829999999999</v>
                </pt>
                <pt idx="13">
                  <v>0.91875</v>
                </pt>
                <pt idx="14">
                  <v>0.854861</v>
                </pt>
                <pt idx="15">
                  <v>0.812847</v>
                </pt>
                <pt idx="16">
                  <v>0.790799</v>
                </pt>
                <pt idx="17">
                  <v>0.7677079999999999</v>
                </pt>
                <pt idx="18">
                  <v>0.679688</v>
                </pt>
                <pt idx="19">
                  <v>0.721007</v>
                </pt>
                <pt idx="20">
                  <v>0.708681</v>
                </pt>
                <pt idx="21">
                  <v>0.740625</v>
                </pt>
                <pt idx="22">
                  <v>0.829514</v>
                </pt>
                <pt idx="23">
                  <v>0.840625</v>
                </pt>
                <pt idx="24">
                  <v>0.869965</v>
                </pt>
                <pt idx="25">
                  <v>0.850868</v>
                </pt>
                <pt idx="26">
                  <v>0.810069</v>
                </pt>
                <pt idx="27">
                  <v>0.831076</v>
                </pt>
                <pt idx="28">
                  <v>0.8309029999999999</v>
                </pt>
                <pt idx="29">
                  <v>0.819792</v>
                </pt>
                <pt idx="30">
                  <v>0.854861</v>
                </pt>
                <pt idx="31">
                  <v>0.883333</v>
                </pt>
                <pt idx="32">
                  <v>0.884201</v>
                </pt>
                <pt idx="33">
                  <v>0.896007</v>
                </pt>
                <pt idx="34">
                  <v>0.912326</v>
                </pt>
                <pt idx="35">
                  <v>0.9041670000000001</v>
                </pt>
                <pt idx="36">
                  <v>0.884375</v>
                </pt>
                <pt idx="37">
                  <v>0.980903</v>
                </pt>
                <pt idx="38">
                  <v>0.949132</v>
                </pt>
                <pt idx="39">
                  <v>0.947917</v>
                </pt>
                <pt idx="40">
                  <v>0.968229</v>
                </pt>
                <pt idx="41">
                  <v>0.953299</v>
                </pt>
                <pt idx="42">
                  <v>0.977778</v>
                </pt>
                <pt idx="43">
                  <v>0.9979170000000001</v>
                </pt>
                <pt idx="44">
                  <v>1.060069</v>
                </pt>
                <pt idx="45">
                  <v>1.05</v>
                </pt>
                <pt idx="46">
                  <v>1.040104</v>
                </pt>
                <pt idx="47">
                  <v>1.059375</v>
                </pt>
                <pt idx="48">
                  <v>1.00625</v>
                </pt>
                <pt idx="49">
                  <v>0.966493</v>
                </pt>
                <pt idx="50">
                  <v>0.986111</v>
                </pt>
                <pt idx="51">
                  <v>0.9875</v>
                </pt>
                <pt idx="52">
                  <v>1</v>
                </pt>
                <pt idx="53">
                  <v>0.954699660746358</v>
                </pt>
                <pt idx="54">
                  <v>0.970664538016364</v>
                </pt>
                <pt idx="55">
                  <v>0.932947515465975</v>
                </pt>
                <pt idx="56">
                  <v>0.923568150069846</v>
                </pt>
                <pt idx="57">
                  <v>0.939932149271603</v>
                </pt>
                <pt idx="58">
                  <v>0.957293953302734</v>
                </pt>
                <pt idx="59">
                  <v>0.992815805228497</v>
                </pt>
                <pt idx="60">
                  <v>1.02055477948513</v>
                </pt>
                <pt idx="61">
                  <v>1.01955697465576</v>
                </pt>
                <pt idx="62">
                  <v>1.01157453602075</v>
                </pt>
                <pt idx="63">
                  <v>1.01676312113351</v>
                </pt>
                <pt idx="64">
                  <v>1.08002394731591</v>
                </pt>
                <pt idx="65">
                  <v>1.0560766314109</v>
                </pt>
                <pt idx="66">
                  <v>0.982638195968869</v>
                </pt>
                <pt idx="67">
                  <v>0.9343444422271</v>
                </pt>
                <pt idx="68">
                  <v>0.909000199560966</v>
                </pt>
                <pt idx="69">
                  <v>0.882458591099581</v>
                </pt>
                <pt idx="70">
                  <v>0.781281181400918</v>
                </pt>
                <pt idx="71">
                  <v>0.828776691279186</v>
                </pt>
                <pt idx="72">
                  <v>0.814607862702056</v>
                </pt>
                <pt idx="73">
                  <v>0.851327080423069</v>
                </pt>
                <pt idx="74">
                  <v>0.9535022949511081</v>
                </pt>
                <pt idx="75">
                  <v>0.966274196767112</v>
                </pt>
                <pt idx="76">
                  <v>1</v>
                </pt>
                <pt idx="77">
                  <v>0.978048293753742</v>
                </pt>
                <pt idx="78">
                  <v>0.931151466773099</v>
                </pt>
                <pt idx="79">
                  <v>0.955298343643983</v>
                </pt>
                <pt idx="80">
                  <v>0.955098782678108</v>
                </pt>
                <pt idx="81">
                  <v>0.942326880862103</v>
                </pt>
                <pt idx="82">
                  <v>0.982638195968869</v>
                </pt>
                <pt idx="83">
                  <v>1.01536619437238</v>
                </pt>
                <pt idx="84">
                  <v>1.01636399920176</v>
                </pt>
                <pt idx="85">
                  <v>1.02993414488126</v>
                </pt>
                <pt idx="86">
                  <v>1.04869287567352</v>
                </pt>
                <pt idx="87">
                  <v>1.03931351027739</v>
                </pt>
                <pt idx="88">
                  <v>1.01656356016763</v>
                </pt>
                <pt idx="89">
                  <v>1.12751945719417</v>
                </pt>
                <pt idx="90">
                  <v>1.09099980043903</v>
                </pt>
                <pt idx="91">
                  <v>1.08960287367791</v>
                </pt>
                <pt idx="92">
                  <v>1.11295150668529</v>
                </pt>
                <pt idx="93">
                  <v>1.09578926362004</v>
                </pt>
                <pt idx="94">
                  <v>1.12392735980842</v>
                </pt>
                <pt idx="95">
                  <v>1.14707643184993</v>
                </pt>
                <pt idx="96">
                  <v>0.818199960087807</v>
                </pt>
                <pt idx="97">
                  <v>0.837557398138158</v>
                </pt>
                <pt idx="98">
                  <v>0.837557398138158</v>
                </pt>
              </numCache>
            </numRef>
          </val>
          <smooth val="0"/>
        </ser>
        <ser>
          <idx val="17"/>
          <order val="17"/>
          <tx>
            <strRef>
              <f>'运动服饰 Normalized'!$S$2</f>
              <strCache>
                <ptCount val="1"/>
                <pt idx="0">
                  <v>GAP.N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Normalized'!$S$3:$S$101</f>
              <numCache>
                <formatCode>General</formatCode>
                <ptCount val="99"/>
                <pt idx="0">
                  <v>0.938545</v>
                </pt>
                <pt idx="1">
                  <v>0.924</v>
                </pt>
                <pt idx="2">
                  <v>0.903273</v>
                </pt>
                <pt idx="3">
                  <v>0.873091</v>
                </pt>
                <pt idx="4">
                  <v>0.856364</v>
                </pt>
                <pt idx="5">
                  <v>0.875636</v>
                </pt>
                <pt idx="6">
                  <v>0.838545</v>
                </pt>
                <pt idx="7">
                  <v>0.853091</v>
                </pt>
                <pt idx="8">
                  <v>0.880364</v>
                </pt>
                <pt idx="9">
                  <v>0.840364</v>
                </pt>
                <pt idx="10">
                  <v>0.821818</v>
                </pt>
                <pt idx="11">
                  <v>0.828364</v>
                </pt>
                <pt idx="12">
                  <v>0.826909</v>
                </pt>
                <pt idx="13">
                  <v>0.7763640000000001</v>
                </pt>
                <pt idx="14">
                  <v>0.813091</v>
                </pt>
                <pt idx="15">
                  <v>0.730909</v>
                </pt>
                <pt idx="16">
                  <v>0.788</v>
                </pt>
                <pt idx="17">
                  <v>0.749455</v>
                </pt>
                <pt idx="18">
                  <v>0.68</v>
                </pt>
                <pt idx="19">
                  <v>0.7</v>
                </pt>
                <pt idx="20">
                  <v>0.694182</v>
                </pt>
                <pt idx="21">
                  <v>0.7807269999999999</v>
                </pt>
                <pt idx="22">
                  <v>0.831636</v>
                </pt>
                <pt idx="23">
                  <v>0.901818</v>
                </pt>
                <pt idx="24">
                  <v>1.016727</v>
                </pt>
                <pt idx="25">
                  <v>1.034909</v>
                </pt>
                <pt idx="26">
                  <v>0.815636</v>
                </pt>
                <pt idx="27">
                  <v>0.809091</v>
                </pt>
                <pt idx="28">
                  <v>0.769455</v>
                </pt>
                <pt idx="29">
                  <v>0.779273</v>
                </pt>
                <pt idx="30">
                  <v>0.793091</v>
                </pt>
                <pt idx="31">
                  <v>0.824</v>
                </pt>
                <pt idx="32">
                  <v>0.779273</v>
                </pt>
                <pt idx="33">
                  <v>0.750182</v>
                </pt>
                <pt idx="34">
                  <v>0.741818</v>
                </pt>
                <pt idx="35">
                  <v>0.7098179999999999</v>
                </pt>
                <pt idx="36">
                  <v>0.716364</v>
                </pt>
                <pt idx="37">
                  <v>0.760364</v>
                </pt>
                <pt idx="38">
                  <v>0.781818</v>
                </pt>
                <pt idx="39">
                  <v>0.800364</v>
                </pt>
                <pt idx="40">
                  <v>0.877818</v>
                </pt>
                <pt idx="41">
                  <v>0.869818</v>
                </pt>
                <pt idx="42">
                  <v>0.822182</v>
                </pt>
                <pt idx="43">
                  <v>0.776</v>
                </pt>
                <pt idx="44">
                  <v>0.782182</v>
                </pt>
                <pt idx="45">
                  <v>0.749455</v>
                </pt>
                <pt idx="46">
                  <v>0.799273</v>
                </pt>
                <pt idx="47">
                  <v>0.868</v>
                </pt>
                <pt idx="48">
                  <v>0.8294550000000001</v>
                </pt>
                <pt idx="49">
                  <v>0.876</v>
                </pt>
                <pt idx="50">
                  <v>0.864364</v>
                </pt>
                <pt idx="51">
                  <v>0.9</v>
                </pt>
                <pt idx="52">
                  <v>1</v>
                </pt>
                <pt idx="53">
                  <v>0.984502130956993</v>
                </pt>
                <pt idx="54">
                  <v>0.962417667570709</v>
                </pt>
                <pt idx="55">
                  <v>0.93025958930647</v>
                </pt>
                <pt idx="56">
                  <v>0.912437039907013</v>
                </pt>
                <pt idx="57">
                  <v>0.932971716388996</v>
                </pt>
                <pt idx="58">
                  <v>0.89345215032933</v>
                </pt>
                <pt idx="59">
                  <v>0.908950019372336</v>
                </pt>
                <pt idx="60">
                  <v>0.938008523827974</v>
                </pt>
                <pt idx="61">
                  <v>0.895389383959706</v>
                </pt>
                <pt idx="62">
                  <v>0.875629600929872</v>
                </pt>
                <pt idx="63">
                  <v>0.882603641999225</v>
                </pt>
                <pt idx="64">
                  <v>0.881053855094924</v>
                </pt>
                <pt idx="65">
                  <v>0.827198760170477</v>
                </pt>
                <pt idx="66">
                  <v>0.866330879504068</v>
                </pt>
                <pt idx="67">
                  <v>0.778767919411081</v>
                </pt>
                <pt idx="68">
                  <v>0.8395970554048821</v>
                </pt>
                <pt idx="69">
                  <v>0.798527702440914</v>
                </pt>
                <pt idx="70">
                  <v>0.724525377760558</v>
                </pt>
                <pt idx="71">
                  <v>0.7458349476946921</v>
                </pt>
                <pt idx="72">
                  <v>0.739635800077489</v>
                </pt>
                <pt idx="73">
                  <v>0.831848120883379</v>
                </pt>
                <pt idx="74">
                  <v>0.886090662533902</v>
                </pt>
                <pt idx="75">
                  <v>0.960867880666408</v>
                </pt>
                <pt idx="76">
                  <v>1.08330104610616</v>
                </pt>
                <pt idx="77">
                  <v>1.10267338240992</v>
                </pt>
                <pt idx="78">
                  <v>0.8690430065865939</v>
                </pt>
                <pt idx="79">
                  <v>0.862068965517241</v>
                </pt>
                <pt idx="80">
                  <v>0.819837272375048</v>
                </pt>
                <pt idx="81">
                  <v>0.830298333979078</v>
                </pt>
                <pt idx="82">
                  <v>0.845021309569934</v>
                </pt>
                <pt idx="83">
                  <v>0.877954281286323</v>
                </pt>
                <pt idx="84">
                  <v>0.830298333979078</v>
                </pt>
                <pt idx="85">
                  <v>0.799302595893065</v>
                </pt>
                <pt idx="86">
                  <v>0.790391321193336</v>
                </pt>
                <pt idx="87">
                  <v>0.756296009298721</v>
                </pt>
                <pt idx="88">
                  <v>0.763270050368074</v>
                </pt>
                <pt idx="89">
                  <v>0.810151104223169</v>
                </pt>
                <pt idx="90">
                  <v>0.833010461061604</v>
                </pt>
                <pt idx="91">
                  <v>0.852770244091438</v>
                </pt>
                <pt idx="92">
                  <v>0.935296396745448</v>
                </pt>
                <pt idx="93">
                  <v>0.926772568771794</v>
                </pt>
                <pt idx="94">
                  <v>0.876017047655947</v>
                </pt>
                <pt idx="95">
                  <v>0.826811313444401</v>
                </pt>
                <pt idx="96">
                  <v>0.872142589263148</v>
                </pt>
                <pt idx="97">
                  <v>0.9000387269367039</v>
                </pt>
                <pt idx="98">
                  <v>0.9000387269367039</v>
                </pt>
              </numCache>
            </numRef>
          </val>
          <smooth val="0"/>
        </ser>
        <ser>
          <idx val="18"/>
          <order val="18"/>
          <tx>
            <strRef>
              <f>'运动服饰 Normalized'!$T$2</f>
              <strCache>
                <ptCount val="1"/>
                <pt idx="0">
                  <v>DECK.N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1">
                  <a:tint val="76667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Normalized'!$T$3:$T$101</f>
              <numCache>
                <formatCode>General</formatCode>
                <ptCount val="99"/>
                <pt idx="0">
                  <v>2.194088</v>
                </pt>
                <pt idx="1">
                  <v>2.190285</v>
                </pt>
                <pt idx="2">
                  <v>2.294284</v>
                </pt>
                <pt idx="3">
                  <v>2.256575</v>
                </pt>
                <pt idx="4">
                  <v>2.236036</v>
                </pt>
                <pt idx="5">
                  <v>2.265486</v>
                </pt>
                <pt idx="6">
                  <v>2.223321</v>
                </pt>
                <pt idx="7">
                  <v>2.281135</v>
                </pt>
                <pt idx="8">
                  <v>2.30276</v>
                </pt>
                <pt idx="9">
                  <v>1.854271</v>
                </pt>
                <pt idx="10">
                  <v>1.756683</v>
                </pt>
                <pt idx="11">
                  <v>1.685177</v>
                </pt>
                <pt idx="12">
                  <v>1.522604</v>
                </pt>
                <pt idx="13">
                  <v>1.491415</v>
                </pt>
                <pt idx="14">
                  <v>1.316127</v>
                </pt>
                <pt idx="15">
                  <v>1.276679</v>
                </pt>
                <pt idx="16">
                  <v>1.354923</v>
                </pt>
                <pt idx="17">
                  <v>1.215062</v>
                </pt>
                <pt idx="18">
                  <v>1.153336</v>
                </pt>
                <pt idx="19">
                  <v>1.164421</v>
                </pt>
                <pt idx="20">
                  <v>1.125299</v>
                </pt>
                <pt idx="21">
                  <v>1.186155</v>
                </pt>
                <pt idx="22">
                  <v>1.285916</v>
                </pt>
                <pt idx="23">
                  <v>1.370137</v>
                </pt>
                <pt idx="24">
                  <v>1.38459</v>
                </pt>
                <pt idx="25">
                  <v>1.098131</v>
                </pt>
                <pt idx="26">
                  <v>1.141165</v>
                </pt>
                <pt idx="27">
                  <v>1.205282</v>
                </pt>
                <pt idx="28">
                  <v>1.126168</v>
                </pt>
                <pt idx="29">
                  <v>1.091502</v>
                </pt>
                <pt idx="30">
                  <v>1.120083</v>
                </pt>
                <pt idx="31">
                  <v>1.149207</v>
                </pt>
                <pt idx="32">
                  <v>1.069115</v>
                </pt>
                <pt idx="33">
                  <v>1.142143</v>
                </pt>
                <pt idx="34">
                  <v>1.221365</v>
                </pt>
                <pt idx="35">
                  <v>1.142469</v>
                </pt>
                <pt idx="36">
                  <v>1.091828</v>
                </pt>
                <pt idx="37">
                  <v>1.147359</v>
                </pt>
                <pt idx="38">
                  <v>1.22832</v>
                </pt>
                <pt idx="39">
                  <v>1.300044</v>
                </pt>
                <pt idx="40">
                  <v>1.27331</v>
                </pt>
                <pt idx="41">
                  <v>1.289502</v>
                </pt>
                <pt idx="42">
                  <v>1.230385</v>
                </pt>
                <pt idx="43">
                  <v>1.122365</v>
                </pt>
                <pt idx="44">
                  <v>1.108889</v>
                </pt>
                <pt idx="45">
                  <v>1.068355</v>
                </pt>
                <pt idx="46">
                  <v>1.088785</v>
                </pt>
                <pt idx="47">
                  <v>0.983156</v>
                </pt>
                <pt idx="48">
                  <v>0.881548</v>
                </pt>
                <pt idx="49">
                  <v>0.867638</v>
                </pt>
                <pt idx="50">
                  <v>0.877201</v>
                </pt>
                <pt idx="51">
                  <v>0.9033910000000001</v>
                </pt>
                <pt idx="52">
                  <v>1</v>
                </pt>
                <pt idx="53">
                  <v>0.998266468548787</v>
                </pt>
                <pt idx="54">
                  <v>1.04566617137197</v>
                </pt>
                <pt idx="55">
                  <v>1.02847944526994</v>
                </pt>
                <pt idx="56">
                  <v>1.01911837543338</v>
                </pt>
                <pt idx="57">
                  <v>1.03254086181278</v>
                </pt>
                <pt idx="58">
                  <v>1.01332342743933</v>
                </pt>
                <pt idx="59">
                  <v>1.03967310549777</v>
                </pt>
                <pt idx="60">
                  <v>1.04952947003467</v>
                </pt>
                <pt idx="61">
                  <v>0.845121347201585</v>
                </pt>
                <pt idx="62">
                  <v>0.800643883110451</v>
                </pt>
                <pt idx="63">
                  <v>0.768053491827637</v>
                </pt>
                <pt idx="64">
                  <v>0.69395740465577</v>
                </pt>
                <pt idx="65">
                  <v>0.67974244675582</v>
                </pt>
                <pt idx="66">
                  <v>0.599851411589896</v>
                </pt>
                <pt idx="67">
                  <v>0.581872213967311</v>
                </pt>
                <pt idx="68">
                  <v>0.617533432392273</v>
                </pt>
                <pt idx="69">
                  <v>0.553789004457652</v>
                </pt>
                <pt idx="70">
                  <v>0.525656265477959</v>
                </pt>
                <pt idx="71">
                  <v>0.530708271421496</v>
                </pt>
                <pt idx="72">
                  <v>0.512877662209014</v>
                </pt>
                <pt idx="73">
                  <v>0.54061416542843</v>
                </pt>
                <pt idx="74">
                  <v>0.586082218920258</v>
                </pt>
                <pt idx="75">
                  <v>0.624467558197127</v>
                </pt>
                <pt idx="76">
                  <v>0.631054977711738</v>
                </pt>
                <pt idx="77">
                  <v>0.500495294700347</v>
                </pt>
                <pt idx="78">
                  <v>0.520108964834076</v>
                </pt>
                <pt idx="79">
                  <v>0.549331352154532</v>
                </pt>
                <pt idx="80">
                  <v>0.513273897969292</v>
                </pt>
                <pt idx="81">
                  <v>0.497473997028232</v>
                </pt>
                <pt idx="82">
                  <v>0.51050024764735</v>
                </pt>
                <pt idx="83">
                  <v>0.523774145616642</v>
                </pt>
                <pt idx="84">
                  <v>0.48727092620109</v>
                </pt>
                <pt idx="85">
                  <v>0.520554730064388</v>
                </pt>
                <pt idx="86">
                  <v>0.556661713719663</v>
                </pt>
                <pt idx="87">
                  <v>0.520703318474492</v>
                </pt>
                <pt idx="88">
                  <v>0.497622585438336</v>
                </pt>
                <pt idx="89">
                  <v>0.522932144626053</v>
                </pt>
                <pt idx="90">
                  <v>0.559831599801882</v>
                </pt>
                <pt idx="91">
                  <v>0.592521050024765</v>
                </pt>
                <pt idx="92">
                  <v>0.580336800396236</v>
                </pt>
                <pt idx="93">
                  <v>0.587716691431402</v>
                </pt>
                <pt idx="94">
                  <v>0.560772659732541</v>
                </pt>
                <pt idx="95">
                  <v>0.511540366518078</v>
                </pt>
                <pt idx="96">
                  <v>0.391877180517989</v>
                </pt>
                <pt idx="97">
                  <v>0.410549774094346</v>
                </pt>
                <pt idx="98">
                  <v>0.410549774094346</v>
                </pt>
              </numCache>
            </numRef>
          </val>
          <smooth val="0"/>
        </ser>
        <ser>
          <idx val="19"/>
          <order val="19"/>
          <tx>
            <strRef>
              <f>'运动服饰 Normalized'!$U$2</f>
              <strCache>
                <ptCount val="1"/>
                <pt idx="0">
                  <v>CROX.O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2">
                  <a:tint val="76667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Normalized'!$U$3:$U$101</f>
              <numCache>
                <formatCode>General</formatCode>
                <ptCount val="99"/>
                <pt idx="0">
                  <v>1.266074</v>
                </pt>
                <pt idx="1">
                  <v>1.276579</v>
                </pt>
                <pt idx="2">
                  <v>1.257763</v>
                </pt>
                <pt idx="3">
                  <v>1.307515</v>
                </pt>
                <pt idx="4">
                  <v>1.254877</v>
                </pt>
                <pt idx="5">
                  <v>1.293663</v>
                </pt>
                <pt idx="6">
                  <v>1.22094</v>
                </pt>
                <pt idx="7">
                  <v>1.153988</v>
                </pt>
                <pt idx="8">
                  <v>1.182269</v>
                </pt>
                <pt idx="9">
                  <v>1.116703</v>
                </pt>
                <pt idx="10">
                  <v>1.047674</v>
                </pt>
                <pt idx="11">
                  <v>1.251645</v>
                </pt>
                <pt idx="12">
                  <v>1.224749</v>
                </pt>
                <pt idx="13">
                  <v>1.158721</v>
                </pt>
                <pt idx="14">
                  <v>1.167032</v>
                </pt>
                <pt idx="15">
                  <v>1.199007</v>
                </pt>
                <pt idx="16">
                  <v>1.280388</v>
                </pt>
                <pt idx="17">
                  <v>1.225903</v>
                </pt>
                <pt idx="18">
                  <v>1.106199</v>
                </pt>
                <pt idx="19">
                  <v>1.048136</v>
                </pt>
                <pt idx="20">
                  <v>1.032668</v>
                </pt>
                <pt idx="21">
                  <v>1.110816</v>
                </pt>
                <pt idx="22">
                  <v>1.163454</v>
                </pt>
                <pt idx="23">
                  <v>1.371927</v>
                </pt>
                <pt idx="24">
                  <v>1.324368</v>
                </pt>
                <pt idx="25">
                  <v>1.250029</v>
                </pt>
                <pt idx="26">
                  <v>1.170726</v>
                </pt>
                <pt idx="27">
                  <v>1.180192</v>
                </pt>
                <pt idx="28">
                  <v>1.180192</v>
                </pt>
                <pt idx="29">
                  <v>1.123976</v>
                </pt>
                <pt idx="30">
                  <v>1.16911</v>
                </pt>
                <pt idx="31">
                  <v>1.227635</v>
                </pt>
                <pt idx="32">
                  <v>1.177537</v>
                </pt>
                <pt idx="33">
                  <v>1.196352</v>
                </pt>
                <pt idx="34">
                  <v>1.219439</v>
                </pt>
                <pt idx="35">
                  <v>1.15849</v>
                </pt>
                <pt idx="36">
                  <v>0.883759</v>
                </pt>
                <pt idx="37">
                  <v>0.956712</v>
                </pt>
                <pt idx="38">
                  <v>0.996075</v>
                </pt>
                <pt idx="39">
                  <v>1.00658</v>
                </pt>
                <pt idx="40">
                  <v>1.006464</v>
                </pt>
                <pt idx="41">
                  <v>0.895533</v>
                </pt>
                <pt idx="42">
                  <v>0.890454</v>
                </pt>
                <pt idx="43">
                  <v>0.966871</v>
                </pt>
                <pt idx="44">
                  <v>0.930855</v>
                </pt>
                <pt idx="45">
                  <v>0.940667</v>
                </pt>
                <pt idx="46">
                  <v>0.950479</v>
                </pt>
                <pt idx="47">
                  <v>1.007619</v>
                </pt>
                <pt idx="48">
                  <v>0.936858</v>
                </pt>
                <pt idx="49">
                  <v>0.855246</v>
                </pt>
                <pt idx="50">
                  <v>0.8905690000000001</v>
                </pt>
                <pt idx="51">
                  <v>0.927277</v>
                </pt>
                <pt idx="52">
                  <v>1</v>
                </pt>
                <pt idx="53">
                  <v>1.00829686360321</v>
                </pt>
                <pt idx="54">
                  <v>0.99343544857768</v>
                </pt>
                <pt idx="55">
                  <v>1.03273158278629</v>
                </pt>
                <pt idx="56">
                  <v>0.991156090444931</v>
                </pt>
                <pt idx="57">
                  <v>1.02179066374909</v>
                </pt>
                <pt idx="58">
                  <v>0.964350838803793</v>
                </pt>
                <pt idx="59">
                  <v>0.911469730123997</v>
                </pt>
                <pt idx="60">
                  <v>0.933807439824945</v>
                </pt>
                <pt idx="61">
                  <v>0.882020423048869</v>
                </pt>
                <pt idx="62">
                  <v>0.827498176513494</v>
                </pt>
                <pt idx="63">
                  <v>0.988603209336251</v>
                </pt>
                <pt idx="64">
                  <v>0.967359591539023</v>
                </pt>
                <pt idx="65">
                  <v>0.915207877461707</v>
                </pt>
                <pt idx="66">
                  <v>0.921772428884026</v>
                </pt>
                <pt idx="67">
                  <v>0.947027716994894</v>
                </pt>
                <pt idx="68">
                  <v>1.01130561633844</v>
                </pt>
                <pt idx="69">
                  <v>0.968271334792122</v>
                </pt>
                <pt idx="70">
                  <v>0.87372355944566</v>
                </pt>
                <pt idx="71">
                  <v>0.827862873814734</v>
                </pt>
                <pt idx="72">
                  <v>0.815645514223195</v>
                </pt>
                <pt idx="73">
                  <v>0.87737053245806</v>
                </pt>
                <pt idx="74">
                  <v>0.918946024799416</v>
                </pt>
                <pt idx="75">
                  <v>1.08360685630926</v>
                </pt>
                <pt idx="76">
                  <v>1.04604303428155</v>
                </pt>
                <pt idx="77">
                  <v>0.9873267687819109</v>
                </pt>
                <pt idx="78">
                  <v>0.924690007293946</v>
                </pt>
                <pt idx="79">
                  <v>0.932166301969365</v>
                </pt>
                <pt idx="80">
                  <v>0.932166301969365</v>
                </pt>
                <pt idx="81">
                  <v>0.887764405543399</v>
                </pt>
                <pt idx="82">
                  <v>0.923413566739606</v>
                </pt>
                <pt idx="83">
                  <v>0.969638949671772</v>
                </pt>
                <pt idx="84">
                  <v>0.930069292487236</v>
                </pt>
                <pt idx="85">
                  <v>0.944930707512764</v>
                </pt>
                <pt idx="86">
                  <v>0.963165572574763</v>
                </pt>
                <pt idx="87">
                  <v>0.915025528811087</v>
                </pt>
                <pt idx="88">
                  <v>0.6980306345733041</v>
                </pt>
                <pt idx="89">
                  <v>0.755652808169219</v>
                </pt>
                <pt idx="90">
                  <v>0.786743253099927</v>
                </pt>
                <pt idx="91">
                  <v>0.795040116703136</v>
                </pt>
                <pt idx="92">
                  <v>0.794948942377826</v>
                </pt>
                <pt idx="93">
                  <v>0.7073304157549229</v>
                </pt>
                <pt idx="94">
                  <v>0.703318745441284</v>
                </pt>
                <pt idx="95">
                  <v>0.763676148796499</v>
                </pt>
                <pt idx="96">
                  <v>1.07667757419667</v>
                </pt>
                <pt idx="97">
                  <v>1.04832242302091</v>
                </pt>
                <pt idx="98">
                  <v>1.04832242302091</v>
                </pt>
              </numCache>
            </numRef>
          </val>
          <smooth val="0"/>
        </ser>
        <ser>
          <idx val="20"/>
          <order val="20"/>
          <tx>
            <strRef>
              <f>'运动服饰 Normalized'!$V$2</f>
              <strCache>
                <ptCount val="1"/>
                <pt idx="0">
                  <v>COLM.O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3">
                  <a:tint val="76667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Normalized'!$V$3:$V$101</f>
              <numCache>
                <formatCode>General</formatCode>
                <ptCount val="99"/>
                <pt idx="0">
                  <v>1.592265</v>
                </pt>
                <pt idx="1">
                  <v>1.638352</v>
                </pt>
                <pt idx="2">
                  <v>1.623893</v>
                </pt>
                <pt idx="3">
                  <v>1.576541</v>
                </pt>
                <pt idx="4">
                  <v>1.508585</v>
                </pt>
                <pt idx="5">
                  <v>1.501898</v>
                </pt>
                <pt idx="6">
                  <v>1.503705</v>
                </pt>
                <pt idx="7">
                  <v>1.511296</v>
                </pt>
                <pt idx="8">
                  <v>1.619013</v>
                </pt>
                <pt idx="9">
                  <v>1.539671</v>
                </pt>
                <pt idx="10">
                  <v>1.409723</v>
                </pt>
                <pt idx="11">
                  <v>1.528646</v>
                </pt>
                <pt idx="12">
                  <v>1.664197</v>
                </pt>
                <pt idx="13">
                  <v>1.521055</v>
                </pt>
                <pt idx="14">
                  <v>1.540575</v>
                </pt>
                <pt idx="15">
                  <v>1.437556</v>
                </pt>
                <pt idx="16">
                  <v>1.409181</v>
                </pt>
                <pt idx="17">
                  <v>1.367974</v>
                </pt>
                <pt idx="18">
                  <v>1.18471</v>
                </pt>
                <pt idx="19">
                  <v>1.220857</v>
                </pt>
                <pt idx="20">
                  <v>1.140069</v>
                </pt>
                <pt idx="21">
                  <v>1.156696</v>
                </pt>
                <pt idx="22">
                  <v>1.12308</v>
                </pt>
                <pt idx="23">
                  <v>1.257726</v>
                </pt>
                <pt idx="24">
                  <v>1.186517</v>
                </pt>
                <pt idx="25">
                  <v>1.153081</v>
                </pt>
                <pt idx="26">
                  <v>1.107356</v>
                </pt>
                <pt idx="27">
                  <v>1.125068</v>
                </pt>
                <pt idx="28">
                  <v>1.114585</v>
                </pt>
                <pt idx="29">
                  <v>1.089282</v>
                </pt>
                <pt idx="30">
                  <v>1.103922</v>
                </pt>
                <pt idx="31">
                  <v>1.137719</v>
                </pt>
                <pt idx="32">
                  <v>1.092355</v>
                </pt>
                <pt idx="33">
                  <v>1.082234</v>
                </pt>
                <pt idx="34">
                  <v>1.09109</v>
                </pt>
                <pt idx="35">
                  <v>0.923188</v>
                </pt>
                <pt idx="36">
                  <v>0.893186</v>
                </pt>
                <pt idx="37">
                  <v>0.9725279999999999</v>
                </pt>
                <pt idx="38">
                  <v>1.001265</v>
                </pt>
                <pt idx="39">
                  <v>1.007049</v>
                </pt>
                <pt idx="40">
                  <v>1.022049</v>
                </pt>
                <pt idx="41">
                  <v>0.97795</v>
                </pt>
                <pt idx="42">
                  <v>0.958612</v>
                </pt>
                <pt idx="43">
                  <v>0.93349</v>
                </pt>
                <pt idx="44">
                  <v>0.966022</v>
                </pt>
                <pt idx="45">
                  <v>0.916682</v>
                </pt>
                <pt idx="46">
                  <v>0.949395</v>
                </pt>
                <pt idx="47">
                  <v>0.992048</v>
                </pt>
                <pt idx="48">
                  <v>0.910537</v>
                </pt>
                <pt idx="49">
                  <v>0.922827</v>
                </pt>
                <pt idx="50">
                  <v>0.929875</v>
                </pt>
                <pt idx="51">
                  <v>0.945418</v>
                </pt>
                <pt idx="52">
                  <v>1</v>
                </pt>
                <pt idx="53">
                  <v>1.02894438138479</v>
                </pt>
                <pt idx="54">
                  <v>1.01986379114642</v>
                </pt>
                <pt idx="55">
                  <v>0.990124858115778</v>
                </pt>
                <pt idx="56">
                  <v>0.94744608399546</v>
                </pt>
                <pt idx="57">
                  <v>0.9432463110102161</v>
                </pt>
                <pt idx="58">
                  <v>0.944381384790011</v>
                </pt>
                <pt idx="59">
                  <v>0.9491486946651529</v>
                </pt>
                <pt idx="60">
                  <v>1.01679909194098</v>
                </pt>
                <pt idx="61">
                  <v>0.966969353007946</v>
                </pt>
                <pt idx="62">
                  <v>0.8853575482406359</v>
                </pt>
                <pt idx="63">
                  <v>0.960045402951192</v>
                </pt>
                <pt idx="64">
                  <v>1.04517593643587</v>
                </pt>
                <pt idx="65">
                  <v>0.95527809307605</v>
                </pt>
                <pt idx="66">
                  <v>0.967536889897843</v>
                </pt>
                <pt idx="67">
                  <v>0.902837684449489</v>
                </pt>
                <pt idx="68">
                  <v>0.885017026106697</v>
                </pt>
                <pt idx="69">
                  <v>0.859137343927355</v>
                </pt>
                <pt idx="70">
                  <v>0.7440408626560731</v>
                </pt>
                <pt idx="71">
                  <v>0.766742338251986</v>
                </pt>
                <pt idx="72">
                  <v>0.716004540295119</v>
                </pt>
                <pt idx="73">
                  <v>0.72644721906924</v>
                </pt>
                <pt idx="74">
                  <v>0.70533484676504</v>
                </pt>
                <pt idx="75">
                  <v>0.7898978433598181</v>
                </pt>
                <pt idx="76">
                  <v>0.745175936435868</v>
                </pt>
                <pt idx="77">
                  <v>0.7241770715096481</v>
                </pt>
                <pt idx="78">
                  <v>0.695459704880817</v>
                </pt>
                <pt idx="79">
                  <v>0.706583427922815</v>
                </pt>
                <pt idx="80">
                  <v>0.7</v>
                </pt>
                <pt idx="81">
                  <v>0.684108967082861</v>
                </pt>
                <pt idx="82">
                  <v>0.693303064699205</v>
                </pt>
                <pt idx="83">
                  <v>0.714528944381385</v>
                </pt>
                <pt idx="84">
                  <v>0.686038592508513</v>
                </pt>
                <pt idx="85">
                  <v>0.679682179341657</v>
                </pt>
                <pt idx="86">
                  <v>0.685244040862656</v>
                </pt>
                <pt idx="87">
                  <v>0.579795686719637</v>
                </pt>
                <pt idx="88">
                  <v>0.560953461975028</v>
                </pt>
                <pt idx="89">
                  <v>0.610783200908059</v>
                </pt>
                <pt idx="90">
                  <v>0.62883087400681</v>
                </pt>
                <pt idx="91">
                  <v>0.6324631101021569</v>
                </pt>
                <pt idx="92">
                  <v>0.641884222474461</v>
                </pt>
                <pt idx="93">
                  <v>0.614188422247446</v>
                </pt>
                <pt idx="94">
                  <v>0.602043132803632</v>
                </pt>
                <pt idx="95">
                  <v>0.586265607264472</v>
                </pt>
                <pt idx="96">
                  <v>0.650056758884945</v>
                </pt>
                <pt idx="97">
                  <v>0.64744609438737</v>
                </pt>
                <pt idx="98">
                  <v>0.64744609438737</v>
                </pt>
              </numCache>
            </numRef>
          </val>
          <smooth val="0"/>
        </ser>
        <ser>
          <idx val="21"/>
          <order val="21"/>
          <tx>
            <strRef>
              <f>'运动服饰 Normalized'!$W$2</f>
              <strCache>
                <ptCount val="1"/>
                <pt idx="0">
                  <v>BZUN.O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4">
                  <a:tint val="76667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Normalized'!$W$3:$W$101</f>
              <numCache>
                <formatCode>General</formatCode>
                <ptCount val="99"/>
                <pt idx="0">
                  <v>0.958477</v>
                </pt>
                <pt idx="1">
                  <v>1.00346</v>
                </pt>
                <pt idx="2">
                  <v>1.280277</v>
                </pt>
                <pt idx="3">
                  <v>1.058823</v>
                </pt>
                <pt idx="4">
                  <v>0.955017</v>
                </pt>
                <pt idx="5">
                  <v>1.027682</v>
                </pt>
                <pt idx="6">
                  <v>0.937716</v>
                </pt>
                <pt idx="7">
                  <v>0.99654</v>
                </pt>
                <pt idx="8">
                  <v>1.058823</v>
                </pt>
                <pt idx="9">
                  <v>1.072664</v>
                </pt>
                <pt idx="10">
                  <v>1.217993</v>
                </pt>
                <pt idx="11">
                  <v>1.297578</v>
                </pt>
                <pt idx="12">
                  <v>1.148789</v>
                </pt>
                <pt idx="13">
                  <v>1.058823</v>
                </pt>
                <pt idx="14">
                  <v>1.117647</v>
                </pt>
                <pt idx="15">
                  <v>1.207612</v>
                </pt>
                <pt idx="16">
                  <v>1.044983</v>
                </pt>
                <pt idx="17">
                  <v>0.9446369999999999</v>
                </pt>
                <pt idx="18">
                  <v>0.809689</v>
                </pt>
                <pt idx="19">
                  <v>0.785467</v>
                </pt>
                <pt idx="20">
                  <v>0.761246</v>
                </pt>
                <pt idx="21">
                  <v>0.823529</v>
                </pt>
                <pt idx="22">
                  <v>0.986159</v>
                </pt>
                <pt idx="23">
                  <v>1.346021</v>
                </pt>
                <pt idx="24">
                  <v>1.148789</v>
                </pt>
                <pt idx="25">
                  <v>1.055363</v>
                </pt>
                <pt idx="26">
                  <v>0.99308</v>
                </pt>
                <pt idx="27">
                  <v>0.968858</v>
                </pt>
                <pt idx="28">
                  <v>1.044983</v>
                </pt>
                <pt idx="29">
                  <v>0.878893</v>
                </pt>
                <pt idx="30">
                  <v>0.865052</v>
                </pt>
                <pt idx="31">
                  <v>0.885813</v>
                </pt>
                <pt idx="32">
                  <v>0.896194</v>
                </pt>
                <pt idx="33">
                  <v>1.062284</v>
                </pt>
                <pt idx="34">
                  <v>0.961938</v>
                </pt>
                <pt idx="35">
                  <v>0.923875</v>
                </pt>
                <pt idx="36">
                  <v>0.910035</v>
                </pt>
                <pt idx="37">
                  <v>0.982699</v>
                </pt>
                <pt idx="38">
                  <v>1.055363</v>
                </pt>
                <pt idx="39">
                  <v>1.17301</v>
                </pt>
                <pt idx="40">
                  <v>1.356401</v>
                </pt>
                <pt idx="41">
                  <v>1.591695</v>
                </pt>
                <pt idx="42">
                  <v>1.50519</v>
                </pt>
                <pt idx="43">
                  <v>1.397924</v>
                </pt>
                <pt idx="44">
                  <v>1.32872</v>
                </pt>
                <pt idx="45">
                  <v>1.224913</v>
                </pt>
                <pt idx="46">
                  <v>1.266436</v>
                </pt>
                <pt idx="47">
                  <v>1.266436</v>
                </pt>
                <pt idx="48">
                  <v>1.148789</v>
                </pt>
                <pt idx="49">
                  <v>1.093426</v>
                </pt>
                <pt idx="50">
                  <v>1.00692</v>
                </pt>
                <pt idx="51">
                  <v>1.010381</v>
                </pt>
                <pt idx="52">
                  <v>1</v>
                </pt>
                <pt idx="53">
                  <v>1.04693140794224</v>
                </pt>
                <pt idx="54">
                  <v>1.33574007220217</v>
                </pt>
                <pt idx="55">
                  <v>1.10469314079422</v>
                </pt>
                <pt idx="56">
                  <v>0.996389891696751</v>
                </pt>
                <pt idx="57">
                  <v>1.07220216606498</v>
                </pt>
                <pt idx="58">
                  <v>0.978339350180505</v>
                </pt>
                <pt idx="59">
                  <v>1.03971119133574</v>
                </pt>
                <pt idx="60">
                  <v>1.10469314079422</v>
                </pt>
                <pt idx="61">
                  <v>1.11913357400722</v>
                </pt>
                <pt idx="62">
                  <v>1.27075812274368</v>
                </pt>
                <pt idx="63">
                  <v>1.35379061371841</v>
                </pt>
                <pt idx="64">
                  <v>1.1985559566787</v>
                </pt>
                <pt idx="65">
                  <v>1.10469314079422</v>
                </pt>
                <pt idx="66">
                  <v>1.16606498194946</v>
                </pt>
                <pt idx="67">
                  <v>1.25992779783394</v>
                </pt>
                <pt idx="68">
                  <v>1.09025270758123</v>
                </pt>
                <pt idx="69">
                  <v>0.985559566787004</v>
                </pt>
                <pt idx="70">
                  <v>0.844765342960289</v>
                </pt>
                <pt idx="71">
                  <v>0.819494584837545</v>
                </pt>
                <pt idx="72">
                  <v>0.794223826714802</v>
                </pt>
                <pt idx="73">
                  <v>0.859205776173285</v>
                </pt>
                <pt idx="74">
                  <v>1.02888086642599</v>
                </pt>
                <pt idx="75">
                  <v>1.4043321299639</v>
                </pt>
                <pt idx="76">
                  <v>1.1985559566787</v>
                </pt>
                <pt idx="77">
                  <v>1.10108303249097</v>
                </pt>
                <pt idx="78">
                  <v>1.03610108303249</v>
                </pt>
                <pt idx="79">
                  <v>1.01083032490975</v>
                </pt>
                <pt idx="80">
                  <v>1.09025270758123</v>
                </pt>
                <pt idx="81">
                  <v>0.916967509025271</v>
                </pt>
                <pt idx="82">
                  <v>0.902527075812274</v>
                </pt>
                <pt idx="83">
                  <v>0.924187725631769</v>
                </pt>
                <pt idx="84">
                  <v>0.935018050541516</v>
                </pt>
                <pt idx="85">
                  <v>1.10830324909747</v>
                </pt>
                <pt idx="86">
                  <v>1.00361010830325</v>
                </pt>
                <pt idx="87">
                  <v>0.963898916967509</v>
                </pt>
                <pt idx="88">
                  <v>0.949458483754513</v>
                </pt>
                <pt idx="89">
                  <v>1.02527075812274</v>
                </pt>
                <pt idx="90">
                  <v>1.10108303249097</v>
                </pt>
                <pt idx="91">
                  <v>1.22382671480144</v>
                </pt>
                <pt idx="92">
                  <v>1.41516245487365</v>
                </pt>
                <pt idx="93">
                  <v>1.66064981949458</v>
                </pt>
                <pt idx="94">
                  <v>1.57039711191336</v>
                </pt>
                <pt idx="95">
                  <v>1.45848375451264</v>
                </pt>
                <pt idx="96">
                  <v>1.13898915934649</v>
                </pt>
                <pt idx="97">
                  <v>1.19494582771825</v>
                </pt>
                <pt idx="98">
                  <v>1.19494582771825</v>
                </pt>
              </numCache>
            </numRef>
          </val>
          <smooth val="0"/>
        </ser>
        <ser>
          <idx val="22"/>
          <order val="22"/>
          <tx>
            <strRef>
              <f>'运动服饰 Normalized'!$X$2</f>
              <strCache>
                <ptCount val="1"/>
                <pt idx="0">
                  <v>AS.N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5">
                  <a:tint val="76667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Normalized'!$X$3:$X$101</f>
              <numCache>
                <formatCode>General</formatCode>
                <ptCount val="99"/>
                <pt idx="0">
                  <v>0.705644</v>
                </pt>
                <pt idx="1">
                  <v>0.696462</v>
                </pt>
                <pt idx="2">
                  <v>0.746692</v>
                </pt>
                <pt idx="3">
                  <v>0.771267</v>
                </pt>
                <pt idx="4">
                  <v>0.766946</v>
                </pt>
                <pt idx="5">
                  <v>0.806373</v>
                </pt>
                <pt idx="6">
                  <v>0.785849</v>
                </pt>
                <pt idx="7">
                  <v>0.803673</v>
                </pt>
                <pt idx="8">
                  <v>0.822036</v>
                </pt>
                <pt idx="9">
                  <v>0.835539</v>
                </pt>
                <pt idx="10">
                  <v>0.826627</v>
                </pt>
                <pt idx="11">
                  <v>0.836889</v>
                </pt>
                <pt idx="12">
                  <v>0.772347</v>
                </pt>
                <pt idx="13">
                  <v>0.8044829999999999</v>
                </pt>
                <pt idx="14">
                  <v>0.691331</v>
                </pt>
                <pt idx="15">
                  <v>0.7696460000000001</v>
                </pt>
                <pt idx="16">
                  <v>0.795841</v>
                </pt>
                <pt idx="17">
                  <v>0.721847</v>
                </pt>
                <pt idx="18">
                  <v>0.609506</v>
                </pt>
                <pt idx="19">
                  <v>0.614367</v>
                </pt>
                <pt idx="20">
                  <v>0.584931</v>
                </pt>
                <pt idx="21">
                  <v>0.6551439999999999</v>
                </pt>
                <pt idx="22">
                  <v>0.694572</v>
                </pt>
                <pt idx="23">
                  <v>0.811234</v>
                </pt>
                <pt idx="24">
                  <v>0.847691</v>
                </pt>
                <pt idx="25">
                  <v>1.00027</v>
                </pt>
                <pt idx="26">
                  <v>0.994059</v>
                </pt>
                <pt idx="27">
                  <v>1.017283</v>
                </pt>
                <pt idx="28">
                  <v>1.00243</v>
                </pt>
                <pt idx="29">
                  <v>1.00243</v>
                </pt>
                <pt idx="30">
                  <v>1.046719</v>
                </pt>
                <pt idx="31">
                  <v>1.034567</v>
                </pt>
                <pt idx="32">
                  <v>1.05347</v>
                </pt>
                <pt idx="33">
                  <v>1.031056</v>
                </pt>
                <pt idx="34">
                  <v>1.042398</v>
                </pt>
                <pt idx="35">
                  <v>1.045369</v>
                </pt>
                <pt idx="36">
                  <v>0.990278</v>
                </pt>
                <pt idx="37">
                  <v>1.012692</v>
                </pt>
                <pt idx="38">
                  <v>1.098839</v>
                </pt>
                <pt idx="39">
                  <v>1.061842</v>
                </pt>
                <pt idx="40">
                  <v>0.989468</v>
                </pt>
                <pt idx="41">
                  <v>1.005671</v>
                </pt>
                <pt idx="42">
                  <v>0.952471</v>
                </pt>
                <pt idx="43">
                  <v>0.934648</v>
                </pt>
                <pt idx="44">
                  <v>0.921415</v>
                </pt>
                <pt idx="45">
                  <v>0.835809</v>
                </pt>
                <pt idx="46">
                  <v>0.833378</v>
                </pt>
                <pt idx="47">
                  <v>0.879287</v>
                </pt>
                <pt idx="48">
                  <v>0.849851</v>
                </pt>
                <pt idx="49">
                  <v>0.813935</v>
                </pt>
                <pt idx="50">
                  <v>0.830678</v>
                </pt>
                <pt idx="51">
                  <v>0.973535</v>
                </pt>
                <pt idx="52">
                  <v>1</v>
                </pt>
                <pt idx="53">
                  <v>0.986988136241868</v>
                </pt>
                <pt idx="54">
                  <v>1.05817068503636</v>
                </pt>
                <pt idx="55">
                  <v>1.09299655568312</v>
                </pt>
                <pt idx="56">
                  <v>1.0868733256793</v>
                </pt>
                <pt idx="57">
                  <v>1.14274779946422</v>
                </pt>
                <pt idx="58">
                  <v>1.11366245694604</v>
                </pt>
                <pt idx="59">
                  <v>1.13892078071183</v>
                </pt>
                <pt idx="60">
                  <v>1.16494450822809</v>
                </pt>
                <pt idx="61">
                  <v>1.18407960199005</v>
                </pt>
                <pt idx="62">
                  <v>1.17145044010716</v>
                </pt>
                <pt idx="63">
                  <v>1.18599311136625</v>
                </pt>
                <pt idx="64">
                  <v>1.09452736318408</v>
                </pt>
                <pt idx="65">
                  <v>1.14006888633754</v>
                </pt>
                <pt idx="66">
                  <v>0.979716800612323</v>
                </pt>
                <pt idx="67">
                  <v>1.09070034443169</v>
                </pt>
                <pt idx="68">
                  <v>1.12782242632989</v>
                </pt>
                <pt idx="69">
                  <v>1.02296211251435</v>
                </pt>
                <pt idx="70">
                  <v>0.863758132414849</v>
                </pt>
                <pt idx="71">
                  <v>0.870646766169154</v>
                </pt>
                <pt idx="72">
                  <v>0.828932261768083</v>
                </pt>
                <pt idx="73">
                  <v>0.928434749330272</v>
                </pt>
                <pt idx="74">
                  <v>0.984309223115193</v>
                </pt>
                <pt idx="75">
                  <v>1.14963643321852</v>
                </pt>
                <pt idx="76">
                  <v>1.20130118637581</v>
                </pt>
                <pt idx="77">
                  <v>1.41752774588595</v>
                </pt>
                <pt idx="78">
                  <v>1.40872560275545</v>
                </pt>
                <pt idx="79">
                  <v>1.44163796402602</v>
                </pt>
                <pt idx="80">
                  <v>1.42058936088787</v>
                </pt>
                <pt idx="81">
                  <v>1.42058936088787</v>
                </pt>
                <pt idx="82">
                  <v>1.4833524684271</v>
                </pt>
                <pt idx="83">
                  <v>1.46613088404133</v>
                </pt>
                <pt idx="84">
                  <v>1.49292001530808</v>
                </pt>
                <pt idx="85">
                  <v>1.46115575966322</v>
                </pt>
                <pt idx="86">
                  <v>1.47722923842327</v>
                </pt>
                <pt idx="87">
                  <v>1.4814389590509</v>
                </pt>
                <pt idx="88">
                  <v>1.4033677765021</v>
                </pt>
                <pt idx="89">
                  <v>1.43513203214696</v>
                </pt>
                <pt idx="90">
                  <v>1.55721393034826</v>
                </pt>
                <pt idx="91">
                  <v>1.50478377344049</v>
                </pt>
                <pt idx="92">
                  <v>1.40221967087639</v>
                </pt>
                <pt idx="93">
                  <v>1.42518178339074</v>
                </pt>
                <pt idx="94">
                  <v>1.34978951396862</v>
                </pt>
                <pt idx="95">
                  <v>1.32453119020283</v>
                </pt>
                <pt idx="96">
                  <v>1.03980099794466</v>
                </pt>
                <pt idx="97">
                  <v>1.07692305356481</v>
                </pt>
                <pt idx="98">
                  <v>1.07692305356481</v>
                </pt>
              </numCache>
            </numRef>
          </val>
          <smooth val="0"/>
        </ser>
        <ser>
          <idx val="23"/>
          <order val="23"/>
          <tx>
            <strRef>
              <f>'运动服饰 Normalized'!$Y$2</f>
              <strCache>
                <ptCount val="1"/>
                <pt idx="0">
                  <v>ANF.N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6">
                  <a:tint val="76667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Normalized'!$Y$3:$Y$101</f>
              <numCache>
                <formatCode>General</formatCode>
                <ptCount val="99"/>
                <pt idx="0">
                  <v>1.543768</v>
                </pt>
                <pt idx="1">
                  <v>1.374583</v>
                </pt>
                <pt idx="2">
                  <v>1.441119</v>
                </pt>
                <pt idx="3">
                  <v>1.501079</v>
                </pt>
                <pt idx="4">
                  <v>1.517664</v>
                </pt>
                <pt idx="5">
                  <v>1.533072</v>
                </pt>
                <pt idx="6">
                  <v>1.331894</v>
                </pt>
                <pt idx="7">
                  <v>1.279195</v>
                </pt>
                <pt idx="8">
                  <v>1.173013</v>
                </pt>
                <pt idx="9">
                  <v>1.133955</v>
                </pt>
                <pt idx="10">
                  <v>1.110795</v>
                </pt>
                <pt idx="11">
                  <v>1.099804</v>
                </pt>
                <pt idx="12">
                  <v>1.002453</v>
                </pt>
                <pt idx="13">
                  <v>0.949068</v>
                </pt>
                <pt idx="14">
                  <v>0.7671249999999999</v>
                </pt>
                <pt idx="15">
                  <v>0.810991</v>
                </pt>
                <pt idx="16">
                  <v>0.778606</v>
                </pt>
                <pt idx="17">
                  <v>0.74946</v>
                </pt>
                <pt idx="18">
                  <v>0.713543</v>
                </pt>
                <pt idx="19">
                  <v>0.714917</v>
                </pt>
                <pt idx="20">
                  <v>0.714131</v>
                </pt>
                <pt idx="21">
                  <v>0.693523</v>
                </pt>
                <pt idx="22">
                  <v>0.6814519999999999</v>
                </pt>
                <pt idx="23">
                  <v>0.7671249999999999</v>
                </pt>
                <pt idx="24">
                  <v>0.766045</v>
                </pt>
                <pt idx="25">
                  <v>0.7180569999999999</v>
                </pt>
                <pt idx="26">
                  <v>0.7687929999999999</v>
                </pt>
                <pt idx="27">
                  <v>0.804514</v>
                </pt>
                <pt idx="28">
                  <v>0.736016</v>
                </pt>
                <pt idx="29">
                  <v>0.753288</v>
                </pt>
                <pt idx="30">
                  <v>0.813052</v>
                </pt>
                <pt idx="31">
                  <v>0.871246</v>
                </pt>
                <pt idx="32">
                  <v>0.903827</v>
                </pt>
                <pt idx="33">
                  <v>0.935329</v>
                </pt>
                <pt idx="34">
                  <v>0.96791</v>
                </pt>
                <pt idx="35">
                  <v>0.97262</v>
                </pt>
                <pt idx="36">
                  <v>0.982532</v>
                </pt>
                <pt idx="37">
                  <v>0.9390579999999999</v>
                </pt>
                <pt idx="38">
                  <v>0.978999</v>
                </pt>
                <pt idx="39">
                  <v>0.917861</v>
                </pt>
                <pt idx="40">
                  <v>0.936114</v>
                </pt>
                <pt idx="41">
                  <v>0.859863</v>
                </pt>
                <pt idx="42">
                  <v>0.861335</v>
                </pt>
                <pt idx="43">
                  <v>0.831894</v>
                </pt>
                <pt idx="44">
                  <v>0.764279</v>
                </pt>
                <pt idx="45">
                  <v>0.715407</v>
                </pt>
                <pt idx="46">
                  <v>0.654073</v>
                </pt>
                <pt idx="47">
                  <v>0.725319</v>
                </pt>
                <pt idx="48">
                  <v>0.68842</v>
                </pt>
                <pt idx="49">
                  <v>0.703337</v>
                </pt>
                <pt idx="50">
                  <v>0.682826</v>
                </pt>
                <pt idx="51">
                  <v>0.643867</v>
                </pt>
                <pt idx="52">
                  <v>1</v>
                </pt>
                <pt idx="53">
                  <v>0.890407475684953</v>
                </pt>
                <pt idx="54">
                  <v>0.933507087915581</v>
                </pt>
                <pt idx="55">
                  <v>0.972347593922828</v>
                </pt>
                <pt idx="56">
                  <v>0.983090712605683</v>
                </pt>
                <pt idx="57">
                  <v>0.993071006293306</v>
                </pt>
                <pt idx="58">
                  <v>0.862755069607781</v>
                </pt>
                <pt idx="59">
                  <v>0.828618651071133</v>
                </pt>
                <pt idx="60">
                  <v>0.759837264001017</v>
                </pt>
                <pt idx="61">
                  <v>0.734536901659144</v>
                </pt>
                <pt idx="62">
                  <v>0.7195346767529081</v>
                </pt>
                <pt idx="63">
                  <v>0.712414976797406</v>
                </pt>
                <pt idx="64">
                  <v>0.649354777191533</v>
                </pt>
                <pt idx="65">
                  <v>0.614773377407666</v>
                </pt>
                <pt idx="66">
                  <v>0.496916915644269</v>
                </pt>
                <pt idx="67">
                  <v>0.5253321467166741</v>
                </pt>
                <pt idx="68">
                  <v>0.504354459347785</v>
                </pt>
                <pt idx="69">
                  <v>0.485474540715784</v>
                </pt>
                <pt idx="70">
                  <v>0.462208378361198</v>
                </pt>
                <pt idx="71">
                  <v>0.463098340855635</v>
                </pt>
                <pt idx="72">
                  <v>0.462589790858814</v>
                </pt>
                <pt idx="73">
                  <v>0.449240353442248</v>
                </pt>
                <pt idx="74">
                  <v>0.441421397241116</v>
                </pt>
                <pt idx="75">
                  <v>0.496916915644269</v>
                </pt>
                <pt idx="76">
                  <v>0.49621765939864</v>
                </pt>
                <pt idx="77">
                  <v>0.465132540842922</v>
                </pt>
                <pt idx="78">
                  <v>0.497997584387515</v>
                </pt>
                <pt idx="79">
                  <v>0.521136609242896</v>
                </pt>
                <pt idx="80">
                  <v>0.476765622020215</v>
                </pt>
                <pt idx="81">
                  <v>0.487953721950289</v>
                </pt>
                <pt idx="82">
                  <v>0.526667090458331</v>
                </pt>
                <pt idx="83">
                  <v>0.564363358972729</v>
                </pt>
                <pt idx="84">
                  <v>0.585468183840824</v>
                </pt>
                <pt idx="85">
                  <v>0.605873752463289</v>
                </pt>
                <pt idx="86">
                  <v>0.626978577331384</v>
                </pt>
                <pt idx="87">
                  <v>0.630029877312313</v>
                </pt>
                <pt idx="88">
                  <v>0.636450321022185</v>
                </pt>
                <pt idx="89">
                  <v>0.608289364948191</v>
                </pt>
                <pt idx="90">
                  <v>0.634161846036489</v>
                </pt>
                <pt idx="91">
                  <v>0.594558515034009</v>
                </pt>
                <pt idx="92">
                  <v>0.606382302460111</v>
                </pt>
                <pt idx="93">
                  <v>0.556989384018816</v>
                </pt>
                <pt idx="94">
                  <v>0.557942915262857</v>
                </pt>
                <pt idx="95">
                  <v>0.538872290382048</v>
                </pt>
                <pt idx="96">
                  <v>0.863962899129804</v>
                </pt>
                <pt idx="97">
                  <v>0.906363243475016</v>
                </pt>
                <pt idx="98">
                  <v>0.906363243475016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0"/>
        <smooth val="0"/>
        <axId val="10"/>
        <axId val="100"/>
      </lineChart>
      <date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0"/>
        <crosses val="autoZero"/>
        <lblOffset val="100"/>
        <baseTimeUnit val="days"/>
      </dateAx>
      <valAx>
        <axId val="100"/>
        <scaling>
          <orientation val="minMax"/>
        </scaling>
        <delete val="0"/>
        <axPos val="l"/>
        <majorGridlines/>
        <numFmt formatCode="0.00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between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运动服饰 Japan（2025-12-01 = 1）</a:t>
            </a:r>
          </a:p>
        </rich>
      </tx>
      <layout/>
      <overlay val="0"/>
    </title>
    <plotArea>
      <layout/>
      <lineChart>
        <grouping val="standard"/>
        <varyColors val="0"/>
        <ser>
          <idx val="0"/>
          <order val="0"/>
          <tx>
            <strRef>
              <f>'运动服饰 Normalized'!$Z$2</f>
              <strCache>
                <ptCount val="1"/>
                <pt idx="0">
                  <v>9983.T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Normalized'!$Z$3:$Z$101</f>
              <numCache>
                <formatCode>General</formatCode>
                <ptCount val="99"/>
                <pt idx="0">
                  <v>0.90134</v>
                </pt>
                <pt idx="1">
                  <v>0.959249</v>
                </pt>
                <pt idx="2">
                  <v>0.943342</v>
                </pt>
                <pt idx="3">
                  <v>0.950492</v>
                </pt>
                <pt idx="4">
                  <v>0.96193</v>
                </pt>
                <pt idx="5">
                  <v>0.921358</v>
                </pt>
                <pt idx="6">
                  <v>0.87042</v>
                </pt>
                <pt idx="7">
                  <v>0.866845</v>
                </pt>
                <pt idx="8">
                  <v>0.893655</v>
                </pt>
                <pt idx="9">
                  <v>0.8793570000000001</v>
                </pt>
                <pt idx="10">
                  <v>0.862913</v>
                </pt>
                <pt idx="11">
                  <v>0.89008</v>
                </pt>
                <pt idx="12">
                  <v>0.839678</v>
                </pt>
                <pt idx="13">
                  <v>0.8395</v>
                </pt>
                <pt idx="14">
                  <v>0.816086</v>
                </pt>
                <pt idx="15">
                  <v>0.811796</v>
                </pt>
                <pt idx="16">
                  <v>0.809294</v>
                </pt>
                <pt idx="17">
                  <v>0.787489</v>
                </pt>
                <pt idx="18">
                  <v>0.744415</v>
                </pt>
                <pt idx="19">
                  <v>0.811618</v>
                </pt>
                <pt idx="20">
                  <v>0.826631</v>
                </pt>
                <pt idx="21">
                  <v>0.857194</v>
                </pt>
                <pt idx="22">
                  <v>0.85773</v>
                </pt>
                <pt idx="23">
                  <v>0.869705</v>
                </pt>
                <pt idx="24">
                  <v>0.866309</v>
                </pt>
                <pt idx="25">
                  <v>0.8428949999999999</v>
                </pt>
                <pt idx="26">
                  <v>0.854334</v>
                </pt>
                <pt idx="27">
                  <v>0.8745309999999999</v>
                </pt>
                <pt idx="28">
                  <v>0.838248</v>
                </pt>
                <pt idx="29">
                  <v>0.828597</v>
                </pt>
                <pt idx="30">
                  <v>0.885076</v>
                </pt>
                <pt idx="31">
                  <v>0.8500450000000001</v>
                </pt>
                <pt idx="32">
                  <v>0.788919</v>
                </pt>
                <pt idx="33">
                  <v>0.791957</v>
                </pt>
                <pt idx="34">
                  <v>0.840751</v>
                </pt>
                <pt idx="35">
                  <v>0.813584</v>
                </pt>
                <pt idx="36">
                  <v>0.827167</v>
                </pt>
                <pt idx="37">
                  <v>0.891332</v>
                </pt>
                <pt idx="38">
                  <v>0.867024</v>
                </pt>
                <pt idx="39">
                  <v>0.825916</v>
                </pt>
                <pt idx="40">
                  <v>0.878999</v>
                </pt>
                <pt idx="41">
                  <v>0.863628</v>
                </pt>
                <pt idx="42">
                  <v>0.832887</v>
                </pt>
                <pt idx="43">
                  <v>0.81126</v>
                </pt>
                <pt idx="44">
                  <v>0.852726</v>
                </pt>
                <pt idx="45">
                  <v>0.920465</v>
                </pt>
                <pt idx="46">
                  <v>0.957105</v>
                </pt>
                <pt idx="47">
                  <v>1.011975</v>
                </pt>
                <pt idx="48">
                  <v>1.01269</v>
                </pt>
                <pt idx="49">
                  <v>1.040751</v>
                </pt>
                <pt idx="50">
                  <v>0.95639</v>
                </pt>
                <pt idx="51">
                  <v>0.979446</v>
                </pt>
                <pt idx="52">
                  <v>1</v>
                </pt>
                <pt idx="53">
                  <v>1.06424747174301</v>
                </pt>
                <pt idx="54">
                  <v>1.04659924648027</v>
                </pt>
                <pt idx="55">
                  <v>1.05453103311521</v>
                </pt>
                <pt idx="56">
                  <v>1.06722189173111</v>
                </pt>
                <pt idx="57">
                  <v>1.02220900257783</v>
                </pt>
                <pt idx="58">
                  <v>0.965695022803887</v>
                </pt>
                <pt idx="59">
                  <v>0.961729129486417</v>
                </pt>
                <pt idx="60">
                  <v>0.99147332936744</v>
                </pt>
                <pt idx="61">
                  <v>0.975609756097561</v>
                </pt>
                <pt idx="62">
                  <v>0.9573666468372</v>
                </pt>
                <pt idx="63">
                  <v>0.98750743604997</v>
                </pt>
                <pt idx="64">
                  <v>0.931588340273647</v>
                </pt>
                <pt idx="65">
                  <v>0.9313900456077731</v>
                </pt>
                <pt idx="66">
                  <v>0.905413444378346</v>
                </pt>
                <pt idx="67">
                  <v>0.900654372397383</v>
                </pt>
                <pt idx="68">
                  <v>0.897878247075154</v>
                </pt>
                <pt idx="69">
                  <v>0.873686297838588</v>
                </pt>
                <pt idx="70">
                  <v>0.825897283363078</v>
                </pt>
                <pt idx="71">
                  <v>0.900456077731509</v>
                </pt>
                <pt idx="72">
                  <v>0.9171128296648819</v>
                </pt>
                <pt idx="73">
                  <v>0.951021217529249</v>
                </pt>
                <pt idx="74">
                  <v>0.951616101526869</v>
                </pt>
                <pt idx="75">
                  <v>0.964901844140393</v>
                </pt>
                <pt idx="76">
                  <v>0.961134245488796</v>
                </pt>
                <pt idx="77">
                  <v>0.935157644259369</v>
                </pt>
                <pt idx="78">
                  <v>0.947848502875273</v>
                </pt>
                <pt idx="79">
                  <v>0.9702558001189771</v>
                </pt>
                <pt idx="80">
                  <v>0.930001982946659</v>
                </pt>
                <pt idx="81">
                  <v>0.91929407098949</v>
                </pt>
                <pt idx="82">
                  <v>0.981955185405513</v>
                </pt>
                <pt idx="83">
                  <v>0.943089430894309</v>
                </pt>
                <pt idx="84">
                  <v>0.875272655165576</v>
                </pt>
                <pt idx="85">
                  <v>0.878643664485425</v>
                </pt>
                <pt idx="86">
                  <v>0.932778108268888</v>
                </pt>
                <pt idx="87">
                  <v>0.902637319056117</v>
                </pt>
                <pt idx="88">
                  <v>0.917707713662502</v>
                </pt>
                <pt idx="89">
                  <v>0.988895498711085</v>
                </pt>
                <pt idx="90">
                  <v>0.96192742415229</v>
                </pt>
                <pt idx="91">
                  <v>0.916319651001388</v>
                </pt>
                <pt idx="92">
                  <v>0.975213166765814</v>
                </pt>
                <pt idx="93">
                  <v>0.958159825500694</v>
                </pt>
                <pt idx="94">
                  <v>0.924053142970454</v>
                </pt>
                <pt idx="95">
                  <v>0.900059488399762</v>
                </pt>
                <pt idx="96">
                  <v>1.42316081697402</v>
                </pt>
                <pt idx="97">
                  <v>1.4233591116399</v>
                </pt>
                <pt idx="98">
                  <v>1.4233591116399</v>
                </pt>
              </numCache>
            </numRef>
          </val>
          <smooth val="0"/>
        </ser>
        <ser>
          <idx val="1"/>
          <order val="1"/>
          <tx>
            <strRef>
              <f>'运动服饰 Normalized'!$AA$2</f>
              <strCache>
                <ptCount val="1"/>
                <pt idx="0">
                  <v>8111.T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Normalized'!$AA$3:$AA$101</f>
              <numCache>
                <formatCode>General</formatCode>
                <ptCount val="99"/>
                <pt idx="0">
                  <v>1.012898</v>
                </pt>
                <pt idx="1">
                  <v>0.98584</v>
                </pt>
                <pt idx="2">
                  <v>0.945599</v>
                </pt>
                <pt idx="3">
                  <v>0.97644</v>
                </pt>
                <pt idx="4">
                  <v>1.014043</v>
                </pt>
                <pt idx="5">
                  <v>0.9887089999999999</v>
                </pt>
                <pt idx="6">
                  <v>0.978504</v>
                </pt>
                <pt idx="7">
                  <v>0.939181</v>
                </pt>
                <pt idx="8">
                  <v>0.92909</v>
                </pt>
                <pt idx="9">
                  <v>0.9210660000000001</v>
                </pt>
                <pt idx="10">
                  <v>0.892062</v>
                </pt>
                <pt idx="11">
                  <v>0.84196</v>
                </pt>
                <pt idx="12">
                  <v>0.826026</v>
                </pt>
                <pt idx="13">
                  <v>0.839095</v>
                </pt>
                <pt idx="14">
                  <v>0.818573</v>
                </pt>
                <pt idx="15">
                  <v>0.852279</v>
                </pt>
                <pt idx="16">
                  <v>0.913844</v>
                </pt>
                <pt idx="17">
                  <v>0.946862</v>
                </pt>
                <pt idx="18">
                  <v>0.867986</v>
                </pt>
                <pt idx="19">
                  <v>0.929551</v>
                </pt>
                <pt idx="20">
                  <v>0.929207</v>
                </pt>
                <pt idx="21">
                  <v>0.937575</v>
                </pt>
                <pt idx="22">
                  <v>0.933218</v>
                </pt>
                <pt idx="23">
                  <v>0.947549</v>
                </pt>
                <pt idx="24">
                  <v>0.985727</v>
                </pt>
                <pt idx="25">
                  <v>0.948237</v>
                </pt>
                <pt idx="26">
                  <v>0.943192</v>
                </pt>
                <pt idx="27">
                  <v>0.9887089999999999</v>
                </pt>
                <pt idx="28">
                  <v>0.938721</v>
                </pt>
                <pt idx="29">
                  <v>0.904444</v>
                </pt>
                <pt idx="30">
                  <v>0.930583</v>
                </pt>
                <pt idx="31">
                  <v>0.910291</v>
                </pt>
                <pt idx="32">
                  <v>0.920378</v>
                </pt>
                <pt idx="33">
                  <v>0.9045570000000001</v>
                </pt>
                <pt idx="34">
                  <v>0.910404</v>
                </pt>
                <pt idx="35">
                  <v>0.88908</v>
                </pt>
                <pt idx="36">
                  <v>0.823618</v>
                </pt>
                <pt idx="37">
                  <v>0.822012</v>
                </pt>
                <pt idx="38">
                  <v>0.8213240000000001</v>
                </pt>
                <pt idx="39">
                  <v>0.834968</v>
                </pt>
                <pt idx="40">
                  <v>0.8686739999999999</v>
                </pt>
                <pt idx="41">
                  <v>0.855604</v>
                </pt>
                <pt idx="42">
                  <v>0.859501</v>
                </pt>
                <pt idx="43">
                  <v>0.859501</v>
                </pt>
                <pt idx="44">
                  <v>0.853138</v>
                </pt>
                <pt idx="45">
                  <v>0.883749</v>
                </pt>
                <pt idx="46">
                  <v>0.877902</v>
                </pt>
                <pt idx="47">
                  <v>0.897334</v>
                </pt>
                <pt idx="48">
                  <v>0.877042</v>
                </pt>
                <pt idx="49">
                  <v>1.045572</v>
                </pt>
                <pt idx="50">
                  <v>1.025107</v>
                </pt>
                <pt idx="51">
                  <v>0.983835</v>
                </pt>
                <pt idx="52">
                  <v>1</v>
                </pt>
                <pt idx="53">
                  <v>0.973286926994907</v>
                </pt>
                <pt idx="54">
                  <v>0.93355857385399</v>
                </pt>
                <pt idx="55">
                  <v>0.964006791171477</v>
                </pt>
                <pt idx="56">
                  <v>1.00113073005093</v>
                </pt>
                <pt idx="57">
                  <v>0.976118845500849</v>
                </pt>
                <pt idx="58">
                  <v>0.966044142614601</v>
                </pt>
                <pt idx="59">
                  <v>0.927222410865874</v>
                </pt>
                <pt idx="60">
                  <v>0.917259762308998</v>
                </pt>
                <pt idx="61">
                  <v>0.909337860780985</v>
                </pt>
                <pt idx="62">
                  <v>0.880702886247878</v>
                </pt>
                <pt idx="63">
                  <v>0.831239388794567</v>
                </pt>
                <pt idx="64">
                  <v>0.815507640067912</v>
                </pt>
                <pt idx="65">
                  <v>0.828410865874363</v>
                </pt>
                <pt idx="66">
                  <v>0.8081494057724961</v>
                </pt>
                <pt idx="67">
                  <v>0.8414261460101869</v>
                </pt>
                <pt idx="68">
                  <v>0.902207130730051</v>
                </pt>
                <pt idx="69">
                  <v>0.934804753820034</v>
                </pt>
                <pt idx="70">
                  <v>0.856933786078098</v>
                </pt>
                <pt idx="71">
                  <v>0.917714770797963</v>
                </pt>
                <pt idx="72">
                  <v>0.917375212224109</v>
                </pt>
                <pt idx="73">
                  <v>0.925636672325976</v>
                </pt>
                <pt idx="74">
                  <v>0.921334465195246</v>
                </pt>
                <pt idx="75">
                  <v>0.935483870967742</v>
                </pt>
                <pt idx="76">
                  <v>0.973174872665535</v>
                </pt>
                <pt idx="77">
                  <v>0.93616298811545</v>
                </pt>
                <pt idx="78">
                  <v>0.931181663837012</v>
                </pt>
                <pt idx="79">
                  <v>0.976118845500849</v>
                </pt>
                <pt idx="80">
                  <v>0.92676740237691</v>
                </pt>
                <pt idx="81">
                  <v>0.892926994906621</v>
                </pt>
                <pt idx="82">
                  <v>0.918733446519525</v>
                </pt>
                <pt idx="83">
                  <v>0.8986994906621389</v>
                </pt>
                <pt idx="84">
                  <v>0.908658743633277</v>
                </pt>
                <pt idx="85">
                  <v>0.893039049235993</v>
                </pt>
                <pt idx="86">
                  <v>0.8988115449915109</v>
                </pt>
                <pt idx="87">
                  <v>0.877758913412564</v>
                </pt>
                <pt idx="88">
                  <v>0.8131307300509339</v>
                </pt>
                <pt idx="89">
                  <v>0.811544991511036</v>
                </pt>
                <pt idx="90">
                  <v>0.810865874363328</v>
                </pt>
                <pt idx="91">
                  <v>0.824336162988116</v>
                </pt>
                <pt idx="92">
                  <v>0.857612903225807</v>
                </pt>
                <pt idx="93">
                  <v>0.844709677419355</v>
                </pt>
                <pt idx="94">
                  <v>0.848556876061121</v>
                </pt>
                <pt idx="95">
                  <v>0.848556876061121</v>
                </pt>
                <pt idx="96">
                  <v>0.713752122241087</v>
                </pt>
                <pt idx="97">
                  <v>0.735823429541596</v>
                </pt>
                <pt idx="98">
                  <v>0.735823429541596</v>
                </pt>
              </numCache>
            </numRef>
          </val>
          <smooth val="0"/>
        </ser>
        <ser>
          <idx val="2"/>
          <order val="2"/>
          <tx>
            <strRef>
              <f>'运动服饰 Normalized'!$AB$2</f>
              <strCache>
                <ptCount val="1"/>
                <pt idx="0">
                  <v>7936.T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Normalized'!$AB$3:$AB$101</f>
              <numCache>
                <formatCode>General</formatCode>
                <ptCount val="99"/>
                <pt idx="0">
                  <v>0.846112</v>
                </pt>
                <pt idx="1">
                  <v>0.824244</v>
                </pt>
                <pt idx="2">
                  <v>0.817765</v>
                </pt>
                <pt idx="3">
                  <v>0.836933</v>
                </pt>
                <pt idx="4">
                  <v>0.839633</v>
                </pt>
                <pt idx="5">
                  <v>0.825864</v>
                </pt>
                <pt idx="6">
                  <v>0.8777</v>
                </pt>
                <pt idx="7">
                  <v>0.890929</v>
                </pt>
                <pt idx="8">
                  <v>0.958693</v>
                </pt>
                <pt idx="9">
                  <v>0.910097</v>
                </pt>
                <pt idx="10">
                  <v>0.889579</v>
                </pt>
                <pt idx="11">
                  <v>1.026728</v>
                </pt>
                <pt idx="12">
                  <v>0.953024</v>
                </pt>
                <pt idx="13">
                  <v>0.925756</v>
                </pt>
                <pt idx="14">
                  <v>0.811825</v>
                </pt>
                <pt idx="15">
                  <v>0.87257</v>
                </pt>
                <pt idx="16">
                  <v>0.906048</v>
                </pt>
                <pt idx="17">
                  <v>0.849082</v>
                </pt>
                <pt idx="18">
                  <v>0.7221919999999999</v>
                </pt>
                <pt idx="19">
                  <v>0.772003</v>
                </pt>
                <pt idx="20">
                  <v>0.75054</v>
                </pt>
                <pt idx="21">
                  <v>0.837473</v>
                </pt>
                <pt idx="22">
                  <v>0.87014</v>
                </pt>
                <pt idx="23">
                  <v>0.910367</v>
                </pt>
                <pt idx="24">
                  <v>0.87014</v>
                </pt>
                <pt idx="25">
                  <v>0.917927</v>
                </pt>
                <pt idx="26">
                  <v>0.9611229999999999</v>
                </pt>
                <pt idx="27">
                  <v>0.952214</v>
                </pt>
                <pt idx="28">
                  <v>0.917927</v>
                </pt>
                <pt idx="29">
                  <v>0.909287</v>
                </pt>
                <pt idx="30">
                  <v>0.993521</v>
                </pt>
                <pt idx="31">
                  <v>1.00135</v>
                </pt>
                <pt idx="32">
                  <v>0.977322</v>
                </pt>
                <pt idx="33">
                  <v>0.971382</v>
                </pt>
                <pt idx="34">
                  <v>0.970302</v>
                </pt>
                <pt idx="35">
                  <v>0.9395250000000001</v>
                </pt>
                <pt idx="36">
                  <v>0.942225</v>
                </pt>
                <pt idx="37">
                  <v>1.145518</v>
                </pt>
                <pt idx="38">
                  <v>1.12905</v>
                </pt>
                <pt idx="39">
                  <v>1.076134</v>
                </pt>
                <pt idx="40">
                  <v>1.110691</v>
                </pt>
                <pt idx="41">
                  <v>1.12338</v>
                </pt>
                <pt idx="42">
                  <v>1.038337</v>
                </pt>
                <pt idx="43">
                  <v>1.057775</v>
                </pt>
                <pt idx="44">
                  <v>1.073164</v>
                </pt>
                <pt idx="45">
                  <v>1.027268</v>
                </pt>
                <pt idx="46">
                  <v>1.00513</v>
                </pt>
                <pt idx="47">
                  <v>1.111231</v>
                </pt>
                <pt idx="48">
                  <v>1.064525</v>
                </pt>
                <pt idx="49">
                  <v>1.00243</v>
                </pt>
                <pt idx="50">
                  <v>0.9832610000000001</v>
                </pt>
                <pt idx="51">
                  <v>1.010799</v>
                </pt>
                <pt idx="52">
                  <v>1</v>
                </pt>
                <pt idx="53">
                  <v>0.974154435226548</v>
                </pt>
                <pt idx="54">
                  <v>0.966496490108488</v>
                </pt>
                <pt idx="55">
                  <v>0.989151244416082</v>
                </pt>
                <pt idx="56">
                  <v>0.99234205488194</v>
                </pt>
                <pt idx="57">
                  <v>0.9760689215060629</v>
                </pt>
                <pt idx="58">
                  <v>1.03733248245054</v>
                </pt>
                <pt idx="59">
                  <v>1.05296745373325</v>
                </pt>
                <pt idx="60">
                  <v>1.13305679642629</v>
                </pt>
                <pt idx="61">
                  <v>1.07562220804084</v>
                </pt>
                <pt idx="62">
                  <v>1.05137204850032</v>
                </pt>
                <pt idx="63">
                  <v>1.21346522016592</v>
                </pt>
                <pt idx="64">
                  <v>1.12635609444799</v>
                </pt>
                <pt idx="65">
                  <v>1.09412890874282</v>
                </pt>
                <pt idx="66">
                  <v>0.959476707083599</v>
                </pt>
                <pt idx="67">
                  <v>1.03126994256541</v>
                </pt>
                <pt idx="68">
                  <v>1.07083599234205</v>
                </pt>
                <pt idx="69">
                  <v>1.00350989151244</v>
                </pt>
                <pt idx="70">
                  <v>0.853541799617103</v>
                </pt>
                <pt idx="71">
                  <v>0.912412252712189</v>
                </pt>
                <pt idx="72">
                  <v>0.887045309508615</v>
                </pt>
                <pt idx="73">
                  <v>0.989789406509253</v>
                </pt>
                <pt idx="74">
                  <v>1.02839821314614</v>
                </pt>
                <pt idx="75">
                  <v>1.07594128908743</v>
                </pt>
                <pt idx="76">
                  <v>1.02839821314614</v>
                </pt>
                <pt idx="77">
                  <v>1.08487555839183</v>
                </pt>
                <pt idx="78">
                  <v>1.13592852584556</v>
                </pt>
                <pt idx="79">
                  <v>1.12539885130823</v>
                </pt>
                <pt idx="80">
                  <v>1.08487555839183</v>
                </pt>
                <pt idx="81">
                  <v>1.07466496490108</v>
                </pt>
                <pt idx="82">
                  <v>1.17421825143586</v>
                </pt>
                <pt idx="83">
                  <v>1.18347160178685</v>
                </pt>
                <pt idx="84">
                  <v>1.15507338864071</v>
                </pt>
                <pt idx="85">
                  <v>1.14805360561583</v>
                </pt>
                <pt idx="86">
                  <v>1.14677728142948</v>
                </pt>
                <pt idx="87">
                  <v>1.1104020421187</v>
                </pt>
                <pt idx="88">
                  <v>1.11359285258456</v>
                </pt>
                <pt idx="89">
                  <v>1.35386088066369</v>
                </pt>
                <pt idx="90">
                  <v>1.33439693682195</v>
                </pt>
                <pt idx="91">
                  <v>1.27185705169113</v>
                </pt>
                <pt idx="92">
                  <v>1.31269942565412</v>
                </pt>
                <pt idx="93">
                  <v>1.32769623484365</v>
                </pt>
                <pt idx="94">
                  <v>1.22718570516911</v>
                </pt>
                <pt idx="95">
                  <v>1.25015954052329</v>
                </pt>
                <pt idx="96">
                  <v>1.32131461391193</v>
                </pt>
                <pt idx="97">
                  <v>1.42756860242502</v>
                </pt>
                <pt idx="98">
                  <v>1.42756860242502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0"/>
        <smooth val="0"/>
        <axId val="10"/>
        <axId val="100"/>
      </lineChart>
      <date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0"/>
        <crosses val="autoZero"/>
        <lblOffset val="100"/>
        <baseTimeUnit val="days"/>
      </dateAx>
      <valAx>
        <axId val="100"/>
        <scaling>
          <orientation val="minMax"/>
        </scaling>
        <delete val="0"/>
        <axPos val="l"/>
        <majorGridlines/>
        <numFmt formatCode="0.00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between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运动服饰 China/HK（2025-12-01 = 1）</a:t>
            </a:r>
          </a:p>
        </rich>
      </tx>
      <layout/>
      <overlay val="0"/>
    </title>
    <plotArea>
      <layout/>
      <lineChart>
        <grouping val="standard"/>
        <varyColors val="0"/>
        <ser>
          <idx val="0"/>
          <order val="0"/>
          <tx>
            <strRef>
              <f>'运动服饰 Normalized'!$AC$2</f>
              <strCache>
                <ptCount val="1"/>
                <pt idx="0">
                  <v>3998.HK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Normalized'!$AC$3:$AC$101</f>
              <numCache>
                <formatCode>General</formatCode>
                <ptCount val="99"/>
                <pt idx="0">
                  <v>0.8243509999999999</v>
                </pt>
                <pt idx="1">
                  <v>0.802395</v>
                </pt>
                <pt idx="2">
                  <v>0.798403</v>
                </pt>
                <pt idx="3">
                  <v>0.8243509999999999</v>
                </pt>
                <pt idx="4">
                  <v>0.804391</v>
                </pt>
                <pt idx="5">
                  <v>0.7265470000000001</v>
                </pt>
                <pt idx="6">
                  <v>0.714571</v>
                </pt>
                <pt idx="7">
                  <v>0.734531</v>
                </pt>
                <pt idx="8">
                  <v>0.740519</v>
                </pt>
                <pt idx="9">
                  <v>0.736527</v>
                </pt>
                <pt idx="10">
                  <v>0.772455</v>
                </pt>
                <pt idx="11">
                  <v>0.768463</v>
                </pt>
                <pt idx="12">
                  <v>0.774451</v>
                </pt>
                <pt idx="13">
                  <v>0.738523</v>
                </pt>
                <pt idx="14">
                  <v>0.818363</v>
                </pt>
                <pt idx="15">
                  <v>0.858283</v>
                </pt>
                <pt idx="16">
                  <v>0.784431</v>
                </pt>
                <pt idx="17">
                  <v>0.796407</v>
                </pt>
                <pt idx="18">
                  <v>0.732535</v>
                </pt>
                <pt idx="19">
                  <v>0.794411</v>
                </pt>
                <pt idx="20">
                  <v>0.778443</v>
                </pt>
                <pt idx="21">
                  <v>0.8203589999999999</v>
                </pt>
                <pt idx="22">
                  <v>0.810379</v>
                </pt>
                <pt idx="23">
                  <v>0.816367</v>
                </pt>
                <pt idx="24">
                  <v>0.914172</v>
                </pt>
                <pt idx="25">
                  <v>0.884231</v>
                </pt>
                <pt idx="26">
                  <v>0.860279</v>
                </pt>
                <pt idx="27">
                  <v>0.902196</v>
                </pt>
                <pt idx="28">
                  <v>0.93014</v>
                </pt>
                <pt idx="29">
                  <v>0.934132</v>
                </pt>
                <pt idx="30">
                  <v>0.926148</v>
                </pt>
                <pt idx="31">
                  <v>0.896208</v>
                </pt>
                <pt idx="32">
                  <v>0.848303</v>
                </pt>
                <pt idx="33">
                  <v>0.880239</v>
                </pt>
                <pt idx="34">
                  <v>0.896208</v>
                </pt>
                <pt idx="35">
                  <v>0.878243</v>
                </pt>
                <pt idx="36">
                  <v>0.89022</v>
                </pt>
                <pt idx="37">
                  <v>0.97006</v>
                </pt>
                <pt idx="38">
                  <v>0.932136</v>
                </pt>
                <pt idx="39">
                  <v>0.878243</v>
                </pt>
                <pt idx="40">
                  <v>0.942116</v>
                </pt>
                <pt idx="41">
                  <v>0.908184</v>
                </pt>
                <pt idx="42">
                  <v>0.936128</v>
                </pt>
                <pt idx="43">
                  <v>0.922156</v>
                </pt>
                <pt idx="44">
                  <v>0.932136</v>
                </pt>
                <pt idx="45">
                  <v>0.902196</v>
                </pt>
                <pt idx="46">
                  <v>0.898204</v>
                </pt>
                <pt idx="47">
                  <v>0.982036</v>
                </pt>
                <pt idx="48">
                  <v>0.962076</v>
                </pt>
                <pt idx="49">
                  <v>0.992016</v>
                </pt>
                <pt idx="50">
                  <v>1.037924</v>
                </pt>
                <pt idx="51">
                  <v>1.01996</v>
                </pt>
                <pt idx="52">
                  <v>1</v>
                </pt>
                <pt idx="53">
                  <v>0.973365617433414</v>
                </pt>
                <pt idx="54">
                  <v>0.968523002421308</v>
                </pt>
                <pt idx="55">
                  <v>1</v>
                </pt>
                <pt idx="56">
                  <v>0.9757869249394669</v>
                </pt>
                <pt idx="57">
                  <v>0.88135593220339</v>
                </pt>
                <pt idx="58">
                  <v>0.86682808716707</v>
                </pt>
                <pt idx="59">
                  <v>0.891041162227603</v>
                </pt>
                <pt idx="60">
                  <v>0.898305084745763</v>
                </pt>
                <pt idx="61">
                  <v>0.893462469733656</v>
                </pt>
                <pt idx="62">
                  <v>0.937046004842615</v>
                </pt>
                <pt idx="63">
                  <v>0.932203389830509</v>
                </pt>
                <pt idx="64">
                  <v>0.939467312348668</v>
                </pt>
                <pt idx="65">
                  <v>0.895883777239709</v>
                </pt>
                <pt idx="66">
                  <v>0.99273607748184</v>
                </pt>
                <pt idx="67">
                  <v>1.04116222760291</v>
                </pt>
                <pt idx="68">
                  <v>0.951573849878935</v>
                </pt>
                <pt idx="69">
                  <v>0.966101694915254</v>
                </pt>
                <pt idx="70">
                  <v>0.88861985472155</v>
                </pt>
                <pt idx="71">
                  <v>0.963680387409201</v>
                </pt>
                <pt idx="72">
                  <v>0.944309927360775</v>
                </pt>
                <pt idx="73">
                  <v>0.995157384987894</v>
                </pt>
                <pt idx="74">
                  <v>0.9830508474576271</v>
                </pt>
                <pt idx="75">
                  <v>0.990314769975787</v>
                </pt>
                <pt idx="76">
                  <v>1.1089588377724</v>
                </pt>
                <pt idx="77">
                  <v>1.0726392251816</v>
                </pt>
                <pt idx="78">
                  <v>1.04358353510896</v>
                </pt>
                <pt idx="79">
                  <v>1.09443099273608</v>
                </pt>
                <pt idx="80">
                  <v>1.12832929782082</v>
                </pt>
                <pt idx="81">
                  <v>1.13317191283293</v>
                </pt>
                <pt idx="82">
                  <v>1.12348668280872</v>
                </pt>
                <pt idx="83">
                  <v>1.08716707021792</v>
                </pt>
                <pt idx="84">
                  <v>1.02905569007264</v>
                </pt>
                <pt idx="85">
                  <v>1.06779661016949</v>
                </pt>
                <pt idx="86">
                  <v>1.08716707021792</v>
                </pt>
                <pt idx="87">
                  <v>1.06537530266344</v>
                </pt>
                <pt idx="88">
                  <v>1.07990314769976</v>
                </pt>
                <pt idx="89">
                  <v>1.17675544794189</v>
                </pt>
                <pt idx="90">
                  <v>1.13075060532688</v>
                </pt>
                <pt idx="91">
                  <v>1.06537530266344</v>
                </pt>
                <pt idx="92">
                  <v>1.14285714285714</v>
                </pt>
                <pt idx="93">
                  <v>1.10169491525424</v>
                </pt>
                <pt idx="94">
                  <v>1.13559322033898</v>
                </pt>
                <pt idx="95">
                  <v>1.11864406779661</v>
                </pt>
                <pt idx="96">
                  <v>0.961259086830564</v>
                </pt>
                <pt idx="97">
                  <v>1.06658600721752</v>
                </pt>
                <pt idx="98">
                  <v>1.04237283979143</v>
                </pt>
              </numCache>
            </numRef>
          </val>
          <smooth val="0"/>
        </ser>
        <ser>
          <idx val="1"/>
          <order val="1"/>
          <tx>
            <strRef>
              <f>'运动服饰 Normalized'!$AD$2</f>
              <strCache>
                <ptCount val="1"/>
                <pt idx="0">
                  <v>2331.HK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Normalized'!$AD$3:$AD$101</f>
              <numCache>
                <formatCode>General</formatCode>
                <ptCount val="99"/>
                <pt idx="0">
                  <v>0.933638</v>
                </pt>
                <pt idx="1">
                  <v>0.997712</v>
                </pt>
                <pt idx="2">
                  <v>0.956522</v>
                </pt>
                <pt idx="3">
                  <v>0.947368</v>
                </pt>
                <pt idx="4">
                  <v>0.932494</v>
                </pt>
                <pt idx="5">
                  <v>0.90389</v>
                </pt>
                <pt idx="6">
                  <v>0.838673</v>
                </pt>
                <pt idx="7">
                  <v>0.89016</v>
                </pt>
                <pt idx="8">
                  <v>0.902746</v>
                </pt>
                <pt idx="9">
                  <v>0.89016</v>
                </pt>
                <pt idx="10">
                  <v>0.918764</v>
                </pt>
                <pt idx="11">
                  <v>0.9393590000000001</v>
                </pt>
                <pt idx="12">
                  <v>0.975973</v>
                </pt>
                <pt idx="13">
                  <v>0.98627</v>
                </pt>
                <pt idx="14">
                  <v>1.019451</v>
                </pt>
                <pt idx="15">
                  <v>1.085812</v>
                </pt>
                <pt idx="16">
                  <v>0.973684</v>
                </pt>
                <pt idx="17">
                  <v>0.910755</v>
                </pt>
                <pt idx="18">
                  <v>0.798627</v>
                </pt>
                <pt idx="19">
                  <v>0.885584</v>
                </pt>
                <pt idx="20">
                  <v>0.854691</v>
                </pt>
                <pt idx="21">
                  <v>0.858124</v>
                </pt>
                <pt idx="22">
                  <v>0.871854</v>
                </pt>
                <pt idx="23">
                  <v>0.894737</v>
                </pt>
                <pt idx="24">
                  <v>0.8627</v>
                </pt>
                <pt idx="25">
                  <v>0.861556</v>
                </pt>
                <pt idx="26">
                  <v>0.851259</v>
                </pt>
                <pt idx="27">
                  <v>0.897025</v>
                </pt>
                <pt idx="28">
                  <v>0.874142</v>
                </pt>
                <pt idx="29">
                  <v>0.90389</v>
                </pt>
                <pt idx="30">
                  <v>0.967963</v>
                </pt>
                <pt idx="31">
                  <v>0.9553779999999999</v>
                </pt>
                <pt idx="32">
                  <v>0.918764</v>
                </pt>
                <pt idx="33">
                  <v>0.950801</v>
                </pt>
                <pt idx="34">
                  <v>0.962243</v>
                </pt>
                <pt idx="35">
                  <v>0.937071</v>
                </pt>
                <pt idx="36">
                  <v>0.956522</v>
                </pt>
                <pt idx="37">
                  <v>1.03032</v>
                </pt>
                <pt idx="38">
                  <v>1.160183</v>
                </pt>
                <pt idx="39">
                  <v>1.073799</v>
                </pt>
                <pt idx="40">
                  <v>1.079519</v>
                </pt>
                <pt idx="41">
                  <v>1.033753</v>
                </pt>
                <pt idx="42">
                  <v>1.020595</v>
                </pt>
                <pt idx="43">
                  <v>0.982838</v>
                </pt>
                <pt idx="44">
                  <v>0.980549</v>
                </pt>
                <pt idx="45">
                  <v>0.967963</v>
                </pt>
                <pt idx="46">
                  <v>0.965103</v>
                </pt>
                <pt idx="47">
                  <v>1.008581</v>
                </pt>
                <pt idx="48">
                  <v>0.96968</v>
                </pt>
                <pt idx="49">
                  <v>1.001716</v>
                </pt>
                <pt idx="50">
                  <v>1.004577</v>
                </pt>
                <pt idx="51">
                  <v>1.013158</v>
                </pt>
                <pt idx="52">
                  <v>1</v>
                </pt>
                <pt idx="53">
                  <v>1.06862745098039</v>
                </pt>
                <pt idx="54">
                  <v>1.02450980392157</v>
                </pt>
                <pt idx="55">
                  <v>1.01470588235294</v>
                </pt>
                <pt idx="56">
                  <v>0.998774509803922</v>
                </pt>
                <pt idx="57">
                  <v>0.968137254901961</v>
                </pt>
                <pt idx="58">
                  <v>0.89828431372549</v>
                </pt>
                <pt idx="59">
                  <v>0.95343137254902</v>
                </pt>
                <pt idx="60">
                  <v>0.966911764705882</v>
                </pt>
                <pt idx="61">
                  <v>0.95343137254902</v>
                </pt>
                <pt idx="62">
                  <v>0.98406862745098</v>
                </pt>
                <pt idx="63">
                  <v>1.00612745098039</v>
                </pt>
                <pt idx="64">
                  <v>1.0453431372549</v>
                </pt>
                <pt idx="65">
                  <v>1.05637254901961</v>
                </pt>
                <pt idx="66">
                  <v>1.09191176470588</v>
                </pt>
                <pt idx="67">
                  <v>1.16299019607843</v>
                </pt>
                <pt idx="68">
                  <v>1.04289215686274</v>
                </pt>
                <pt idx="69">
                  <v>0.975490196078431</v>
                </pt>
                <pt idx="70">
                  <v>0.8553921568627449</v>
                </pt>
                <pt idx="71">
                  <v>0.948529411764706</v>
                </pt>
                <pt idx="72">
                  <v>0.915441176470588</v>
                </pt>
                <pt idx="73">
                  <v>0.919117647058823</v>
                </pt>
                <pt idx="74">
                  <v>0.9338235294117651</v>
                </pt>
                <pt idx="75">
                  <v>0.958333333333333</v>
                </pt>
                <pt idx="76">
                  <v>0.924019607843137</v>
                </pt>
                <pt idx="77">
                  <v>0.922794117647059</v>
                </pt>
                <pt idx="78">
                  <v>0.911764705882353</v>
                </pt>
                <pt idx="79">
                  <v>0.96078431372549</v>
                </pt>
                <pt idx="80">
                  <v>0.936274509803921</v>
                </pt>
                <pt idx="81">
                  <v>0.968137254901961</v>
                </pt>
                <pt idx="82">
                  <v>1.03676470588235</v>
                </pt>
                <pt idx="83">
                  <v>1.02328431372549</v>
                </pt>
                <pt idx="84">
                  <v>0.98406862745098</v>
                </pt>
                <pt idx="85">
                  <v>1.01838235294118</v>
                </pt>
                <pt idx="86">
                  <v>1.03063725490196</v>
                </pt>
                <pt idx="87">
                  <v>1.00367647058824</v>
                </pt>
                <pt idx="88">
                  <v>1.02450980392157</v>
                </pt>
                <pt idx="89">
                  <v>1.10355392156863</v>
                </pt>
                <pt idx="90">
                  <v>1.24264705882353</v>
                </pt>
                <pt idx="91">
                  <v>1.15012254901961</v>
                </pt>
                <pt idx="92">
                  <v>1.15625</v>
                </pt>
                <pt idx="93">
                  <v>1.10723039215686</v>
                </pt>
                <pt idx="94">
                  <v>1.09313725490196</v>
                </pt>
                <pt idx="95">
                  <v>1.05269607843137</v>
                </pt>
                <pt idx="96">
                  <v>0.752450964030097</v>
                </pt>
                <pt idx="97">
                  <v>0.781862759122662</v>
                </pt>
                <pt idx="98">
                  <v>0.775122525645237</v>
                </pt>
              </numCache>
            </numRef>
          </val>
          <smooth val="0"/>
        </ser>
        <ser>
          <idx val="2"/>
          <order val="2"/>
          <tx>
            <strRef>
              <f>'运动服饰 Normalized'!$AE$2</f>
              <strCache>
                <ptCount val="1"/>
                <pt idx="0">
                  <v>2020.HK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Normalized'!$AE$3:$AE$101</f>
              <numCache>
                <formatCode>General</formatCode>
                <ptCount val="99"/>
                <pt idx="0">
                  <v>0.929845</v>
                </pt>
                <pt idx="1">
                  <v>0.995838</v>
                </pt>
                <pt idx="2">
                  <v>0.967301</v>
                </pt>
                <pt idx="3">
                  <v>0.951249</v>
                </pt>
                <pt idx="4">
                  <v>0.927467</v>
                </pt>
                <pt idx="5">
                  <v>0.893579</v>
                </pt>
                <pt idx="6">
                  <v>0.927467</v>
                </pt>
                <pt idx="7">
                  <v>0.963734</v>
                </pt>
                <pt idx="8">
                  <v>0.976813</v>
                </pt>
                <pt idx="9">
                  <v>0.979191</v>
                </pt>
                <pt idx="10">
                  <v>1.030916</v>
                </pt>
                <pt idx="11">
                  <v>1.012485</v>
                </pt>
                <pt idx="12">
                  <v>1.029727</v>
                </pt>
                <pt idx="13">
                  <v>1.071344</v>
                </pt>
                <pt idx="14">
                  <v>1.143282</v>
                </pt>
                <pt idx="15">
                  <v>1.178954</v>
                </pt>
                <pt idx="16">
                  <v>1.060642</v>
                </pt>
                <pt idx="17">
                  <v>1.015458</v>
                </pt>
                <pt idx="18">
                  <v>0.897741</v>
                </pt>
                <pt idx="19">
                  <v>1.017836</v>
                </pt>
                <pt idx="20">
                  <v>1.068966</v>
                </pt>
                <pt idx="21">
                  <v>1.087396</v>
                </pt>
                <pt idx="22">
                  <v>1.104637</v>
                </pt>
                <pt idx="23">
                  <v>1.12604</v>
                </pt>
                <pt idx="24">
                  <v>1.073127</v>
                </pt>
                <pt idx="25">
                  <v>1.096908</v>
                </pt>
                <pt idx="26">
                  <v>1.12069</v>
                </pt>
                <pt idx="27">
                  <v>1.149822</v>
                </pt>
                <pt idx="28">
                  <v>1.121879</v>
                </pt>
                <pt idx="29">
                  <v>1.081451</v>
                </pt>
                <pt idx="30">
                  <v>1.123662</v>
                </pt>
                <pt idx="31">
                  <v>1.082045</v>
                </pt>
                <pt idx="32">
                  <v>1.054697</v>
                </pt>
                <pt idx="33">
                  <v>1.103448</v>
                </pt>
                <pt idx="34">
                  <v>1.084423</v>
                </pt>
                <pt idx="35">
                  <v>1.082045</v>
                </pt>
                <pt idx="36">
                  <v>1.058859</v>
                </pt>
                <pt idx="37">
                  <v>1.108205</v>
                </pt>
                <pt idx="38">
                  <v>1.241379</v>
                </pt>
                <pt idx="39">
                  <v>1.127824</v>
                </pt>
                <pt idx="40">
                  <v>1.133769</v>
                </pt>
                <pt idx="41">
                  <v>1.116528</v>
                </pt>
                <pt idx="42">
                  <v>1.125446</v>
                </pt>
                <pt idx="43">
                  <v>1.089774</v>
                </pt>
                <pt idx="44">
                  <v>1.087396</v>
                </pt>
                <pt idx="45">
                  <v>1.030916</v>
                </pt>
                <pt idx="46">
                  <v>1.019025</v>
                </pt>
                <pt idx="47">
                  <v>1.043995</v>
                </pt>
                <pt idx="48">
                  <v>0.967301</v>
                </pt>
                <pt idx="49">
                  <v>0.985137</v>
                </pt>
                <pt idx="50">
                  <v>0.960761</v>
                </pt>
                <pt idx="51">
                  <v>0.994055</v>
                </pt>
                <pt idx="52">
                  <v>1</v>
                </pt>
                <pt idx="53">
                  <v>1.07097186700767</v>
                </pt>
                <pt idx="54">
                  <v>1.04028132992327</v>
                </pt>
                <pt idx="55">
                  <v>1.0230179028133</v>
                </pt>
                <pt idx="56">
                  <v>0.997442455242967</v>
                </pt>
                <pt idx="57">
                  <v>0.960997442455243</v>
                </pt>
                <pt idx="58">
                  <v>0.997442455242967</v>
                </pt>
                <pt idx="59">
                  <v>1.03644501278772</v>
                </pt>
                <pt idx="60">
                  <v>1.05051150895141</v>
                </pt>
                <pt idx="61">
                  <v>1.05306905370844</v>
                </pt>
                <pt idx="62">
                  <v>1.10869565217391</v>
                </pt>
                <pt idx="63">
                  <v>1.08887468030691</v>
                </pt>
                <pt idx="64">
                  <v>1.1074168797954</v>
                </pt>
                <pt idx="65">
                  <v>1.15217391304348</v>
                </pt>
                <pt idx="66">
                  <v>1.22953964194373</v>
                </pt>
                <pt idx="67">
                  <v>1.26790281329923</v>
                </pt>
                <pt idx="68">
                  <v>1.14066496163683</v>
                </pt>
                <pt idx="69">
                  <v>1.0920716112532</v>
                </pt>
                <pt idx="70">
                  <v>0.9654731457800509</v>
                </pt>
                <pt idx="71">
                  <v>1.09462915601023</v>
                </pt>
                <pt idx="72">
                  <v>1.14961636828645</v>
                </pt>
                <pt idx="73">
                  <v>1.16943734015345</v>
                </pt>
                <pt idx="74">
                  <v>1.18797953964194</v>
                </pt>
                <pt idx="75">
                  <v>1.21099744245524</v>
                </pt>
                <pt idx="76">
                  <v>1.15409207161125</v>
                </pt>
                <pt idx="77">
                  <v>1.17966751918159</v>
                </pt>
                <pt idx="78">
                  <v>1.20524296675192</v>
                </pt>
                <pt idx="79">
                  <v>1.23657289002558</v>
                </pt>
                <pt idx="80">
                  <v>1.20652173913043</v>
                </pt>
                <pt idx="81">
                  <v>1.16304347826087</v>
                </pt>
                <pt idx="82">
                  <v>1.20843989769821</v>
                </pt>
                <pt idx="83">
                  <v>1.16368286445013</v>
                </pt>
                <pt idx="84">
                  <v>1.13427109974425</v>
                </pt>
                <pt idx="85">
                  <v>1.18670076726343</v>
                </pt>
                <pt idx="86">
                  <v>1.16624040920716</v>
                </pt>
                <pt idx="87">
                  <v>1.16368286445013</v>
                </pt>
                <pt idx="88">
                  <v>1.13874680306905</v>
                </pt>
                <pt idx="89">
                  <v>1.19181585677749</v>
                </pt>
                <pt idx="90">
                  <v>1.33503836317136</v>
                </pt>
                <pt idx="91">
                  <v>1.21291560102302</v>
                </pt>
                <pt idx="92">
                  <v>1.2193094629156</v>
                </pt>
                <pt idx="93">
                  <v>1.20076726342711</v>
                </pt>
                <pt idx="94">
                  <v>1.21035805626598</v>
                </pt>
                <pt idx="95">
                  <v>1.17199488491049</v>
                </pt>
                <pt idx="96">
                  <v>0.948209738182595</v>
                </pt>
                <pt idx="97">
                  <v>0.9290281525048451</v>
                </pt>
                <pt idx="98">
                  <v>0.913682825425092</v>
                </pt>
              </numCache>
            </numRef>
          </val>
          <smooth val="0"/>
        </ser>
        <ser>
          <idx val="3"/>
          <order val="3"/>
          <tx>
            <strRef>
              <f>'运动服饰 Normalized'!$AF$2</f>
              <strCache>
                <ptCount val="1"/>
                <pt idx="0">
                  <v>1836.HK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Normalized'!$AF$3:$AF$101</f>
              <numCache>
                <formatCode>General</formatCode>
                <ptCount val="99"/>
                <pt idx="0">
                  <v>0.853317</v>
                </pt>
                <pt idx="1">
                  <v>0.900791</v>
                </pt>
                <pt idx="2">
                  <v>0.894705</v>
                </pt>
                <pt idx="3">
                  <v>0.971394</v>
                </pt>
                <pt idx="4">
                  <v>0.992088</v>
                </pt>
                <pt idx="5">
                  <v>0.978697</v>
                </pt>
                <pt idx="6">
                  <v>1.060256</v>
                </pt>
                <pt idx="7">
                  <v>1.063907</v>
                </pt>
                <pt idx="8">
                  <v>1.083384</v>
                </pt>
                <pt idx="9">
                  <v>1.099209</v>
                </pt>
                <pt idx="10">
                  <v>1.046865</v>
                </pt>
                <pt idx="11">
                  <v>1.06269</v>
                </pt>
                <pt idx="12">
                  <v>1.039562</v>
                </pt>
                <pt idx="13">
                  <v>1.016433</v>
                </pt>
                <pt idx="14">
                  <v>1.116251</v>
                </pt>
                <pt idx="15">
                  <v>1.074863</v>
                </pt>
                <pt idx="16">
                  <v>1.096774</v>
                </pt>
                <pt idx="17">
                  <v>1.054169</v>
                </pt>
                <pt idx="18">
                  <v>0.8423620000000001</v>
                </pt>
                <pt idx="19">
                  <v>0.856969</v>
                </pt>
                <pt idx="20">
                  <v>0.819233</v>
                </pt>
                <pt idx="21">
                  <v>0.854534</v>
                </pt>
                <pt idx="22">
                  <v>0.855752</v>
                </pt>
                <pt idx="23">
                  <v>1.005478</v>
                </pt>
                <pt idx="24">
                  <v>1.005478</v>
                </pt>
                <pt idx="25">
                  <v>0.8849669999999999</v>
                </pt>
                <pt idx="26">
                  <v>0.872794</v>
                </pt>
                <pt idx="27">
                  <v>0.858186</v>
                </pt>
                <pt idx="28">
                  <v>0.853317</v>
                </pt>
                <pt idx="29">
                  <v>0.839927</v>
                </pt>
                <pt idx="30">
                  <v>0.882532</v>
                </pt>
                <pt idx="31">
                  <v>0.908095</v>
                </pt>
                <pt idx="32">
                  <v>0.880097</v>
                </pt>
                <pt idx="33">
                  <v>0.904443</v>
                </pt>
                <pt idx="34">
                  <v>0.976263</v>
                </pt>
                <pt idx="35">
                  <v>0.944613</v>
                </pt>
                <pt idx="36">
                  <v>0.961655</v>
                </pt>
                <pt idx="37">
                  <v>0.99087</v>
                </pt>
                <pt idx="38">
                  <v>1.041996</v>
                </pt>
                <pt idx="39">
                  <v>1.015825</v>
                </pt>
                <pt idx="40">
                  <v>0.930006</v>
                </pt>
                <pt idx="41">
                  <v>0.906269</v>
                </pt>
                <pt idx="42">
                  <v>0.93731</v>
                </pt>
                <pt idx="43">
                  <v>0.940962</v>
                </pt>
                <pt idx="44">
                  <v>0.931223</v>
                </pt>
                <pt idx="45">
                  <v>0.956178</v>
                </pt>
                <pt idx="46">
                  <v>0.940962</v>
                </pt>
                <pt idx="47">
                  <v>1.00426</v>
                </pt>
                <pt idx="48">
                  <v>1.016433</v>
                </pt>
                <pt idx="49">
                  <v>0.971394</v>
                </pt>
                <pt idx="50">
                  <v>0.968351</v>
                </pt>
                <pt idx="51">
                  <v>0.978697</v>
                </pt>
                <pt idx="52">
                  <v>1</v>
                </pt>
                <pt idx="53">
                  <v>1.05563480741797</v>
                </pt>
                <pt idx="54">
                  <v>1.04850213980029</v>
                </pt>
                <pt idx="55">
                  <v>1.13837375178317</v>
                </pt>
                <pt idx="56">
                  <v>1.16262482168331</v>
                </pt>
                <pt idx="57">
                  <v>1.14693295292439</v>
                </pt>
                <pt idx="58">
                  <v>1.24251069900143</v>
                </pt>
                <pt idx="59">
                  <v>1.24679029957204</v>
                </pt>
                <pt idx="60">
                  <v>1.26961483594864</v>
                </pt>
                <pt idx="61">
                  <v>1.28815977175464</v>
                </pt>
                <pt idx="62">
                  <v>1.22681883024251</v>
                </pt>
                <pt idx="63">
                  <v>1.2453637660485</v>
                </pt>
                <pt idx="64">
                  <v>1.21825962910128</v>
                </pt>
                <pt idx="65">
                  <v>1.19115549215407</v>
                </pt>
                <pt idx="66">
                  <v>1.30813124108417</v>
                </pt>
                <pt idx="67">
                  <v>1.25962910128388</v>
                </pt>
                <pt idx="68">
                  <v>1.28530670470756</v>
                </pt>
                <pt idx="69">
                  <v>1.23537803138374</v>
                </pt>
                <pt idx="70">
                  <v>0.98716119828816</v>
                </pt>
                <pt idx="71">
                  <v>1.00427960057061</v>
                </pt>
                <pt idx="72">
                  <v>0.960057061340942</v>
                </pt>
                <pt idx="73">
                  <v>1.00142653352354</v>
                </pt>
                <pt idx="74">
                  <v>1.00285306704708</v>
                </pt>
                <pt idx="75">
                  <v>1.17831669044223</v>
                </pt>
                <pt idx="76">
                  <v>1.17831669044223</v>
                </pt>
                <pt idx="77">
                  <v>1.03708987161198</v>
                </pt>
                <pt idx="78">
                  <v>1.0228245363766</v>
                </pt>
                <pt idx="79">
                  <v>1.00570613409415</v>
                </pt>
                <pt idx="80">
                  <v>1</v>
                </pt>
                <pt idx="81">
                  <v>0.984308131241084</v>
                </pt>
                <pt idx="82">
                  <v>1.03423680456491</v>
                </pt>
                <pt idx="83">
                  <v>1.0641940085592</v>
                </pt>
                <pt idx="84">
                  <v>1.03138373751783</v>
                </pt>
                <pt idx="85">
                  <v>1.05991440798859</v>
                </pt>
                <pt idx="86">
                  <v>1.14407988587732</v>
                </pt>
                <pt idx="87">
                  <v>1.10699001426534</v>
                </pt>
                <pt idx="88">
                  <v>1.12696148359486</v>
                </pt>
                <pt idx="89">
                  <v>1.16119828815977</v>
                </pt>
                <pt idx="90">
                  <v>1.22111269614836</v>
                </pt>
                <pt idx="91">
                  <v>1.1904422253923</v>
                </pt>
                <pt idx="92">
                  <v>1.08987161198288</v>
                </pt>
                <pt idx="93">
                  <v>1.06205420827389</v>
                </pt>
                <pt idx="94">
                  <v>1.09843081312411</v>
                </pt>
                <pt idx="95">
                  <v>1.10271041369472</v>
                </pt>
                <pt idx="96">
                  <v>0.858059895361711</v>
                </pt>
                <pt idx="97">
                  <v>0.8737517831669041</v>
                </pt>
                <pt idx="98">
                  <v>0.879457911819262</v>
                </pt>
              </numCache>
            </numRef>
          </val>
          <smooth val="0"/>
        </ser>
        <ser>
          <idx val="4"/>
          <order val="4"/>
          <tx>
            <strRef>
              <f>'运动服饰 Normalized'!$AG$2</f>
              <strCache>
                <ptCount val="1"/>
                <pt idx="0">
                  <v>1368.HK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Normalized'!$AG$3:$AG$101</f>
              <numCache>
                <formatCode>General</formatCode>
                <ptCount val="99"/>
                <pt idx="0">
                  <v>0.95</v>
                </pt>
                <pt idx="1">
                  <v>0.998214</v>
                </pt>
                <pt idx="2">
                  <v>1.041071</v>
                </pt>
                <pt idx="3">
                  <v>1.016071</v>
                </pt>
                <pt idx="4">
                  <v>1.028571</v>
                </pt>
                <pt idx="5">
                  <v>0.980357</v>
                </pt>
                <pt idx="6">
                  <v>0.9839290000000001</v>
                </pt>
                <pt idx="7">
                  <v>1.025</v>
                </pt>
                <pt idx="8">
                  <v>1.064286</v>
                </pt>
                <pt idx="9">
                  <v>1.0625</v>
                </pt>
                <pt idx="10">
                  <v>0.989286</v>
                </pt>
                <pt idx="11">
                  <v>0.973214</v>
                </pt>
                <pt idx="12">
                  <v>0.944643</v>
                </pt>
                <pt idx="13">
                  <v>0.930357</v>
                </pt>
                <pt idx="14">
                  <v>0.966071</v>
                </pt>
                <pt idx="15">
                  <v>1.016071</v>
                </pt>
                <pt idx="16">
                  <v>0.941071</v>
                </pt>
                <pt idx="17">
                  <v>0.905357</v>
                </pt>
                <pt idx="18">
                  <v>0.801786</v>
                </pt>
                <pt idx="19">
                  <v>0.8696430000000001</v>
                </pt>
                <pt idx="20">
                  <v>0.875</v>
                </pt>
                <pt idx="21">
                  <v>0.935714</v>
                </pt>
                <pt idx="22">
                  <v>0.9375</v>
                </pt>
                <pt idx="23">
                  <v>0.998214</v>
                </pt>
                <pt idx="24">
                  <v>1</v>
                </pt>
                <pt idx="25">
                  <v>1.035714</v>
                </pt>
                <pt idx="26">
                  <v>1.042857</v>
                </pt>
                <pt idx="27">
                  <v>1.016071</v>
                </pt>
                <pt idx="28">
                  <v>0.991071</v>
                </pt>
                <pt idx="29">
                  <v>0.982143</v>
                </pt>
                <pt idx="30">
                  <v>1.005357</v>
                </pt>
                <pt idx="31">
                  <v>0.971429</v>
                </pt>
                <pt idx="32">
                  <v>0.955357</v>
                </pt>
                <pt idx="33">
                  <v>0.991071</v>
                </pt>
                <pt idx="34">
                  <v>1.014286</v>
                </pt>
                <pt idx="35">
                  <v>1.010714</v>
                </pt>
                <pt idx="36">
                  <v>1.030357</v>
                </pt>
                <pt idx="37">
                  <v>1.098214</v>
                </pt>
                <pt idx="38">
                  <v>1.1875</v>
                </pt>
                <pt idx="39">
                  <v>1.164286</v>
                </pt>
                <pt idx="40">
                  <v>1.15</v>
                </pt>
                <pt idx="41">
                  <v>1.123214</v>
                </pt>
                <pt idx="42">
                  <v>1.067857</v>
                </pt>
                <pt idx="43">
                  <v>1.030357</v>
                </pt>
                <pt idx="44">
                  <v>1.030357</v>
                </pt>
                <pt idx="45">
                  <v>1.041071</v>
                </pt>
                <pt idx="46">
                  <v>1.021429</v>
                </pt>
                <pt idx="47">
                  <v>1.010714</v>
                </pt>
                <pt idx="48">
                  <v>1.003571</v>
                </pt>
                <pt idx="49">
                  <v>1.030357</v>
                </pt>
                <pt idx="50">
                  <v>1.0625</v>
                </pt>
                <pt idx="51">
                  <v>0.998214</v>
                </pt>
                <pt idx="52">
                  <v>1</v>
                </pt>
                <pt idx="53">
                  <v>1.05075187969925</v>
                </pt>
                <pt idx="54">
                  <v>1.09586466165414</v>
                </pt>
                <pt idx="55">
                  <v>1.06954887218045</v>
                </pt>
                <pt idx="56">
                  <v>1.08270676691729</v>
                </pt>
                <pt idx="57">
                  <v>1.03195488721805</v>
                </pt>
                <pt idx="58">
                  <v>1.03571428571429</v>
                </pt>
                <pt idx="59">
                  <v>1.07894736842105</v>
                </pt>
                <pt idx="60">
                  <v>1.1203007518797</v>
                </pt>
                <pt idx="61">
                  <v>1.11842105263158</v>
                </pt>
                <pt idx="62">
                  <v>1.04135338345865</v>
                </pt>
                <pt idx="63">
                  <v>1.02443609022556</v>
                </pt>
                <pt idx="64">
                  <v>0.994360902255639</v>
                </pt>
                <pt idx="65">
                  <v>0.979323308270677</v>
                </pt>
                <pt idx="66">
                  <v>1.01691729323308</v>
                </pt>
                <pt idx="67">
                  <v>1.06954887218045</v>
                </pt>
                <pt idx="68">
                  <v>0.990601503759398</v>
                </pt>
                <pt idx="69">
                  <v>0.953007518796993</v>
                </pt>
                <pt idx="70">
                  <v>0.8439849624060149</v>
                </pt>
                <pt idx="71">
                  <v>0.915413533834586</v>
                </pt>
                <pt idx="72">
                  <v>0.921052631578947</v>
                </pt>
                <pt idx="73">
                  <v>0.984962406015038</v>
                </pt>
                <pt idx="74">
                  <v>0.986842105263158</v>
                </pt>
                <pt idx="75">
                  <v>1.05075187969925</v>
                </pt>
                <pt idx="76">
                  <v>1.05263157894737</v>
                </pt>
                <pt idx="77">
                  <v>1.09022556390977</v>
                </pt>
                <pt idx="78">
                  <v>1.09774436090226</v>
                </pt>
                <pt idx="79">
                  <v>1.06954887218045</v>
                </pt>
                <pt idx="80">
                  <v>1.04323308270677</v>
                </pt>
                <pt idx="81">
                  <v>1.03383458646617</v>
                </pt>
                <pt idx="82">
                  <v>1.05827067669173</v>
                </pt>
                <pt idx="83">
                  <v>1.02255639097744</v>
                </pt>
                <pt idx="84">
                  <v>1.00563909774436</v>
                </pt>
                <pt idx="85">
                  <v>1.04323308270677</v>
                </pt>
                <pt idx="86">
                  <v>1.06766917293233</v>
                </pt>
                <pt idx="87">
                  <v>1.06390977443609</v>
                </pt>
                <pt idx="88">
                  <v>1.08458646616541</v>
                </pt>
                <pt idx="89">
                  <v>1.15601503759399</v>
                </pt>
                <pt idx="90">
                  <v>1.25</v>
                </pt>
                <pt idx="91">
                  <v>1.22556390977444</v>
                </pt>
                <pt idx="92">
                  <v>1.21052631578947</v>
                </pt>
                <pt idx="93">
                  <v>1.18233082706767</v>
                </pt>
                <pt idx="94">
                  <v>1.12406015037594</v>
                </pt>
                <pt idx="95">
                  <v>1.08458646616541</v>
                </pt>
                <pt idx="96">
                  <v>0.651315773340096</v>
                </pt>
                <pt idx="97">
                  <v>0.663533829208603</v>
                </pt>
                <pt idx="98">
                  <v>0.666353397799614</v>
                </pt>
              </numCache>
            </numRef>
          </val>
          <smooth val="0"/>
        </ser>
        <ser>
          <idx val="5"/>
          <order val="5"/>
          <tx>
            <strRef>
              <f>'运动服饰 Normalized'!$AH$2</f>
              <strCache>
                <ptCount val="1"/>
                <pt idx="0">
                  <v>1361.HK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Normalized'!$AH$3:$AH$101</f>
              <numCache>
                <formatCode>General</formatCode>
                <ptCount val="99"/>
                <pt idx="0">
                  <v>0.659967</v>
                </pt>
                <pt idx="1">
                  <v>0.713568</v>
                </pt>
                <pt idx="2">
                  <v>0.711893</v>
                </pt>
                <pt idx="3">
                  <v>0.708543</v>
                </pt>
                <pt idx="4">
                  <v>0.7068680000000001</v>
                </pt>
                <pt idx="5">
                  <v>0.6834170000000001</v>
                </pt>
                <pt idx="6">
                  <v>0.648241</v>
                </pt>
                <pt idx="7">
                  <v>0.678392</v>
                </pt>
                <pt idx="8">
                  <v>0.6934669999999999</v>
                </pt>
                <pt idx="9">
                  <v>0.686767</v>
                </pt>
                <pt idx="10">
                  <v>0.678392</v>
                </pt>
                <pt idx="11">
                  <v>0.664992</v>
                </pt>
                <pt idx="12">
                  <v>0.668342</v>
                </pt>
                <pt idx="13">
                  <v>0.685092</v>
                </pt>
                <pt idx="14">
                  <v>0.743719</v>
                </pt>
                <pt idx="15">
                  <v>0.80737</v>
                </pt>
                <pt idx="16">
                  <v>0.757119</v>
                </pt>
                <pt idx="17">
                  <v>0.742044</v>
                </pt>
                <pt idx="18">
                  <v>0.6834170000000001</v>
                </pt>
                <pt idx="19">
                  <v>0.715243</v>
                </pt>
                <pt idx="20">
                  <v>0.705193</v>
                </pt>
                <pt idx="21">
                  <v>0.715243</v>
                </pt>
                <pt idx="22">
                  <v>0.695142</v>
                </pt>
                <pt idx="23">
                  <v>0.730318</v>
                </pt>
                <pt idx="24">
                  <v>0.7169180000000001</v>
                </pt>
                <pt idx="25">
                  <v>0.711893</v>
                </pt>
                <pt idx="26">
                  <v>0.7269679999999999</v>
                </pt>
                <pt idx="27">
                  <v>0.757119</v>
                </pt>
                <pt idx="28">
                  <v>0.765494</v>
                </pt>
                <pt idx="29">
                  <v>0.775544</v>
                </pt>
                <pt idx="30">
                  <v>0.835846</v>
                </pt>
                <pt idx="31">
                  <v>0.8626470000000001</v>
                </pt>
                <pt idx="32">
                  <v>0.827471</v>
                </pt>
                <pt idx="33">
                  <v>0.896147</v>
                </pt>
                <pt idx="34">
                  <v>0.9715240000000001</v>
                </pt>
                <pt idx="35">
                  <v>1.075377</v>
                </pt>
                <pt idx="36">
                  <v>1.050251</v>
                </pt>
                <pt idx="37">
                  <v>1.020101</v>
                </pt>
                <pt idx="38">
                  <v>1.01675</v>
                </pt>
                <pt idx="39">
                  <v>1.063652</v>
                </pt>
                <pt idx="40">
                  <v>1.035176</v>
                </pt>
                <pt idx="41">
                  <v>0.9933</v>
                </pt>
                <pt idx="42">
                  <v>0.946399</v>
                </pt>
                <pt idx="43">
                  <v>0.9849250000000001</v>
                </pt>
                <pt idx="44">
                  <v>1.011725</v>
                </pt>
                <pt idx="45">
                  <v>0.9949750000000001</v>
                </pt>
                <pt idx="46">
                  <v>0.99665</v>
                </pt>
                <pt idx="47">
                  <v>1.031826</v>
                </pt>
                <pt idx="48">
                  <v>0.988275</v>
                </pt>
                <pt idx="49">
                  <v>1.015075</v>
                </pt>
                <pt idx="50">
                  <v>1.025126</v>
                </pt>
                <pt idx="51">
                  <v>0.998325</v>
                </pt>
                <pt idx="52">
                  <v>1</v>
                </pt>
                <pt idx="53">
                  <v>1.08121827411168</v>
                </pt>
                <pt idx="54">
                  <v>1.07868020304569</v>
                </pt>
                <pt idx="55">
                  <v>1.07360406091371</v>
                </pt>
                <pt idx="56">
                  <v>1.07106598984772</v>
                </pt>
                <pt idx="57">
                  <v>1.03553299492386</v>
                </pt>
                <pt idx="58">
                  <v>0.982233502538071</v>
                </pt>
                <pt idx="59">
                  <v>1.02791878172589</v>
                </pt>
                <pt idx="60">
                  <v>1.0507614213198</v>
                </pt>
                <pt idx="61">
                  <v>1.04060913705584</v>
                </pt>
                <pt idx="62">
                  <v>1.02791878172589</v>
                </pt>
                <pt idx="63">
                  <v>1.00761421319797</v>
                </pt>
                <pt idx="64">
                  <v>1.01269035532995</v>
                </pt>
                <pt idx="65">
                  <v>1.03807106598985</v>
                </pt>
                <pt idx="66">
                  <v>1.12690355329949</v>
                </pt>
                <pt idx="67">
                  <v>1.22335025380711</v>
                </pt>
                <pt idx="68">
                  <v>1.14720812182741</v>
                </pt>
                <pt idx="69">
                  <v>1.1243654822335</v>
                </pt>
                <pt idx="70">
                  <v>1.03553299492386</v>
                </pt>
                <pt idx="71">
                  <v>1.08375634517766</v>
                </pt>
                <pt idx="72">
                  <v>1.06852791878173</v>
                </pt>
                <pt idx="73">
                  <v>1.08375634517766</v>
                </pt>
                <pt idx="74">
                  <v>1.05329949238579</v>
                </pt>
                <pt idx="75">
                  <v>1.10659898477157</v>
                </pt>
                <pt idx="76">
                  <v>1.08629441624365</v>
                </pt>
                <pt idx="77">
                  <v>1.07868020304569</v>
                </pt>
                <pt idx="78">
                  <v>1.10152284263959</v>
                </pt>
                <pt idx="79">
                  <v>1.14720812182741</v>
                </pt>
                <pt idx="80">
                  <v>1.15989847715736</v>
                </pt>
                <pt idx="81">
                  <v>1.1751269035533</v>
                </pt>
                <pt idx="82">
                  <v>1.26649746192893</v>
                </pt>
                <pt idx="83">
                  <v>1.30710659898477</v>
                </pt>
                <pt idx="84">
                  <v>1.25380710659898</v>
                </pt>
                <pt idx="85">
                  <v>1.35786802030457</v>
                </pt>
                <pt idx="86">
                  <v>1.47208121827411</v>
                </pt>
                <pt idx="87">
                  <v>1.62944162436548</v>
                </pt>
                <pt idx="88">
                  <v>1.59137055837563</v>
                </pt>
                <pt idx="89">
                  <v>1.54568527918782</v>
                </pt>
                <pt idx="90">
                  <v>1.54060913705584</v>
                </pt>
                <pt idx="91">
                  <v>1.61167512690355</v>
                </pt>
                <pt idx="92">
                  <v>1.56852791878173</v>
                </pt>
                <pt idx="93">
                  <v>1.50507614213198</v>
                </pt>
                <pt idx="94">
                  <v>1.43401015228426</v>
                </pt>
                <pt idx="95">
                  <v>1.49238578680203</v>
                </pt>
                <pt idx="96">
                  <v>1.10913702679165</v>
                </pt>
                <pt idx="97">
                  <v>1.15736039156841</v>
                </pt>
                <pt idx="98">
                  <v>1.1624365288594</v>
                </pt>
              </numCache>
            </numRef>
          </val>
          <smooth val="0"/>
        </ser>
        <ser>
          <idx val="6"/>
          <order val="6"/>
          <tx>
            <strRef>
              <f>'运动服饰 Normalized'!$AI$2</f>
              <strCache>
                <ptCount val="1"/>
                <pt idx="0">
                  <v>002832.SZ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1">
                  <a:tint val="76667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Normalized'!$AI$3:$AI$101</f>
              <numCache>
                <formatCode>General</formatCode>
                <ptCount val="99"/>
                <pt idx="0">
                  <v>1.249045</v>
                </pt>
                <pt idx="1">
                  <v>1.219745</v>
                </pt>
                <pt idx="2">
                  <v>1.427389</v>
                </pt>
                <pt idx="3">
                  <v>1.308917</v>
                </pt>
                <pt idx="4">
                  <v>1.309554</v>
                </pt>
                <pt idx="5">
                  <v>1.247134</v>
                </pt>
                <pt idx="6">
                  <v>1.167516</v>
                </pt>
                <pt idx="7">
                  <v>1.231847</v>
                </pt>
                <pt idx="8">
                  <v>1.211465</v>
                </pt>
                <pt idx="9">
                  <v>1.211465</v>
                </pt>
                <pt idx="10">
                  <v>1.211465</v>
                </pt>
                <pt idx="11">
                  <v>1.192994</v>
                </pt>
                <pt idx="12">
                  <v>1.19172</v>
                </pt>
                <pt idx="13">
                  <v>1.171975</v>
                </pt>
                <pt idx="14">
                  <v>1.176433</v>
                </pt>
                <pt idx="15">
                  <v>1.222293</v>
                </pt>
                <pt idx="16">
                  <v>1.196815</v>
                </pt>
                <pt idx="17">
                  <v>1.176433</v>
                </pt>
                <pt idx="18">
                  <v>1.073248</v>
                </pt>
                <pt idx="19">
                  <v>1.129299</v>
                </pt>
                <pt idx="20">
                  <v>1.108917</v>
                </pt>
                <pt idx="21">
                  <v>1.090446</v>
                </pt>
                <pt idx="22">
                  <v>1.049682</v>
                </pt>
                <pt idx="23">
                  <v>1.06242</v>
                </pt>
                <pt idx="24">
                  <v>1.045223</v>
                </pt>
                <pt idx="25">
                  <v>1.034395</v>
                </pt>
                <pt idx="26">
                  <v>1.038854</v>
                </pt>
                <pt idx="27">
                  <v>1.072611</v>
                </pt>
                <pt idx="28">
                  <v>1.038854</v>
                </pt>
                <pt idx="29">
                  <v>0.994268</v>
                </pt>
                <pt idx="30">
                  <v>1.022293</v>
                </pt>
                <pt idx="31">
                  <v>1.012739</v>
                </pt>
                <pt idx="32">
                  <v>1.026752</v>
                </pt>
                <pt idx="33">
                  <v>1.040127</v>
                </pt>
                <pt idx="34">
                  <v>1.046497</v>
                </pt>
                <pt idx="35">
                  <v>1.05414</v>
                </pt>
                <pt idx="36">
                  <v>1.026752</v>
                </pt>
                <pt idx="37">
                  <v>1.02293</v>
                </pt>
                <pt idx="38">
                  <v>1.056688</v>
                </pt>
                <pt idx="39">
                  <v>1.067516</v>
                </pt>
                <pt idx="40">
                  <v>1.077707</v>
                </pt>
                <pt idx="41">
                  <v>1.050955</v>
                </pt>
                <pt idx="42">
                  <v>1.019108</v>
                </pt>
                <pt idx="43">
                  <v>1.012739</v>
                </pt>
                <pt idx="44">
                  <v>1.00828</v>
                </pt>
                <pt idx="45">
                  <v>0.996815</v>
                </pt>
                <pt idx="46">
                  <v>1.010191</v>
                </pt>
                <pt idx="47">
                  <v>1.018471</v>
                </pt>
                <pt idx="48">
                  <v>1.019745</v>
                </pt>
                <pt idx="49">
                  <v>1.044586</v>
                </pt>
                <pt idx="50">
                  <v>1.043312</v>
                </pt>
                <pt idx="51">
                  <v>0.995541</v>
                </pt>
                <pt idx="52">
                  <v>1</v>
                </pt>
                <pt idx="53">
                  <v>0.976542580316165</v>
                </pt>
                <pt idx="54">
                  <v>1.14278429372769</v>
                </pt>
                <pt idx="55">
                  <v>1.04793472718001</v>
                </pt>
                <pt idx="56">
                  <v>1.04844467108618</v>
                </pt>
                <pt idx="57">
                  <v>0.998470168281489</v>
                </pt>
                <pt idx="58">
                  <v>0.9347271800101991</v>
                </pt>
                <pt idx="59">
                  <v>0.986231514533401</v>
                </pt>
                <pt idx="60">
                  <v>0.969913309535951</v>
                </pt>
                <pt idx="61">
                  <v>0.969913309535951</v>
                </pt>
                <pt idx="62">
                  <v>0.969913309535951</v>
                </pt>
                <pt idx="63">
                  <v>0.955124936257012</v>
                </pt>
                <pt idx="64">
                  <v>0.954105048444671</v>
                </pt>
                <pt idx="65">
                  <v>0.9382967873533909</v>
                </pt>
                <pt idx="66">
                  <v>0.941866394696583</v>
                </pt>
                <pt idx="67">
                  <v>0.978582355940847</v>
                </pt>
                <pt idx="68">
                  <v>0.958184599694034</v>
                </pt>
                <pt idx="69">
                  <v>0.941866394696583</v>
                </pt>
                <pt idx="70">
                  <v>0.859255481896991</v>
                </pt>
                <pt idx="71">
                  <v>0.90413054563998</v>
                </pt>
                <pt idx="72">
                  <v>0.887812340642529</v>
                </pt>
                <pt idx="73">
                  <v>0.87302396736359</v>
                </pt>
                <pt idx="74">
                  <v>0.84038755736869</v>
                </pt>
                <pt idx="75">
                  <v>0.850586435492096</v>
                </pt>
                <pt idx="76">
                  <v>0.836817950025497</v>
                </pt>
                <pt idx="77">
                  <v>0.828148903620602</v>
                </pt>
                <pt idx="78">
                  <v>0.831718510963794</v>
                </pt>
                <pt idx="79">
                  <v>0.858745537990821</v>
                </pt>
                <pt idx="80">
                  <v>0.831718510963794</v>
                </pt>
                <pt idx="81">
                  <v>0.796022437531872</v>
                </pt>
                <pt idx="82">
                  <v>0.818459969403366</v>
                </pt>
                <pt idx="83">
                  <v>0.810810810810811</v>
                </pt>
                <pt idx="84">
                  <v>0.822029576746558</v>
                </pt>
                <pt idx="85">
                  <v>0.832738398776135</v>
                </pt>
                <pt idx="86">
                  <v>0.8378378378378381</v>
                </pt>
                <pt idx="87">
                  <v>0.843957164711882</v>
                </pt>
                <pt idx="88">
                  <v>0.822029576746558</v>
                </pt>
                <pt idx="89">
                  <v>0.8189699133095359</v>
                </pt>
                <pt idx="90">
                  <v>0.845996940336563</v>
                </pt>
                <pt idx="91">
                  <v>0.854665986741459</v>
                </pt>
                <pt idx="92">
                  <v>0.862825089240184</v>
                </pt>
                <pt idx="93">
                  <v>0.8414074451810299</v>
                </pt>
                <pt idx="94">
                  <v>0.815910249872514</v>
                </pt>
                <pt idx="95">
                  <v>0.810810810810811</v>
                </pt>
                <pt idx="96">
                  <v>1.3222845642619</v>
                </pt>
                <pt idx="97">
                  <v>1.41458438404478</v>
                </pt>
                <pt idx="98">
                  <v>1.36460990458347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0"/>
        <smooth val="0"/>
        <axId val="10"/>
        <axId val="100"/>
      </lineChart>
      <date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0"/>
        <crosses val="autoZero"/>
        <lblOffset val="100"/>
        <baseTimeUnit val="days"/>
      </dateAx>
      <valAx>
        <axId val="100"/>
        <scaling>
          <orientation val="minMax"/>
        </scaling>
        <delete val="0"/>
        <axPos val="l"/>
        <majorGridlines/>
        <numFmt formatCode="0.00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between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奢侈品（2025-12-01 = 1）</a:t>
            </a:r>
          </a:p>
        </rich>
      </tx>
      <layout/>
      <overlay val="0"/>
    </title>
    <plotArea>
      <layout/>
      <lineChart>
        <grouping val="standard"/>
        <varyColors val="0"/>
        <ser>
          <idx val="0"/>
          <order val="0"/>
          <tx>
            <strRef>
              <f>'奢侈品 Normalized'!$B$2</f>
              <strCache>
                <ptCount val="1"/>
                <pt idx="0">
                  <v>VFC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Normalized'!$B$3:$B$101</f>
              <numCache>
                <formatCode>General</formatCode>
                <ptCount val="99"/>
                <pt idx="0">
                  <v>1.150496</v>
                </pt>
                <pt idx="1">
                  <v>1.176406</v>
                </pt>
                <pt idx="2">
                  <v>1.191841</v>
                </pt>
                <pt idx="3">
                  <v>1.214443</v>
                </pt>
                <pt idx="4">
                  <v>1.180265</v>
                </pt>
                <pt idx="5">
                  <v>1.186329</v>
                </pt>
                <pt idx="6">
                  <v>1.268468</v>
                </pt>
                <pt idx="7">
                  <v>1.304851</v>
                </pt>
                <pt idx="8">
                  <v>1.432745</v>
                </pt>
                <pt idx="9">
                  <v>1.357222</v>
                </pt>
                <pt idx="10">
                  <v>1.304851</v>
                </pt>
                <pt idx="11">
                  <v>1.410695</v>
                </pt>
                <pt idx="12">
                  <v>1.391952</v>
                </pt>
                <pt idx="13">
                  <v>1.341786</v>
                </pt>
                <pt idx="14">
                  <v>0.959206</v>
                </pt>
                <pt idx="15">
                  <v>0.906284</v>
                </pt>
                <pt idx="16">
                  <v>0.937155</v>
                </pt>
                <pt idx="17">
                  <v>0.855568</v>
                </pt>
                <pt idx="18">
                  <v>0.6207279999999999</v>
                </pt>
                <pt idx="19">
                  <v>0.621279</v>
                </pt>
                <pt idx="20">
                  <v>0.577178</v>
                </pt>
                <pt idx="21">
                  <v>0.637817</v>
                </pt>
                <pt idx="22">
                  <v>0.692944</v>
                </pt>
                <pt idx="23">
                  <v>0.796031</v>
                </pt>
                <pt idx="24">
                  <v>0.789416</v>
                </pt>
                <pt idx="25">
                  <v>0.6615220000000001</v>
                </pt>
                <pt idx="26">
                  <v>0.6742010000000001</v>
                </pt>
                <pt idx="27">
                  <v>0.717751</v>
                </pt>
                <pt idx="28">
                  <v>0.684124</v>
                </pt>
                <pt idx="29">
                  <v>0.632856</v>
                </pt>
                <pt idx="30">
                  <v>0.64774</v>
                </pt>
                <pt idx="31">
                  <v>0.688534</v>
                </pt>
                <pt idx="32">
                  <v>0.675303</v>
                </pt>
                <pt idx="33">
                  <v>0.686329</v>
                </pt>
                <pt idx="34">
                  <v>0.690187</v>
                </pt>
                <pt idx="35">
                  <v>0.693495</v>
                </pt>
                <pt idx="36">
                  <v>0.649945</v>
                </pt>
                <pt idx="37">
                  <v>0.723815</v>
                </pt>
                <pt idx="38">
                  <v>0.753583</v>
                </pt>
                <pt idx="39">
                  <v>0.834068</v>
                </pt>
                <pt idx="40">
                  <v>0.857773</v>
                </pt>
                <pt idx="41">
                  <v>0.8109150000000001</v>
                </pt>
                <pt idx="42">
                  <v>0.789967</v>
                </pt>
                <pt idx="43">
                  <v>0.796582</v>
                </pt>
                <pt idx="44">
                  <v>0.799339</v>
                </pt>
                <pt idx="45">
                  <v>0.774531</v>
                </pt>
                <pt idx="46">
                  <v>0.79548</v>
                </pt>
                <pt idx="47">
                  <v>0.915656</v>
                </pt>
                <pt idx="48">
                  <v>0.781147</v>
                </pt>
                <pt idx="49">
                  <v>0.806505</v>
                </pt>
                <pt idx="50">
                  <v>0.7855569999999999</v>
                </pt>
                <pt idx="51">
                  <v>0.902426</v>
                </pt>
                <pt idx="52">
                  <v>1</v>
                </pt>
                <pt idx="53">
                  <v>1.02252036415908</v>
                </pt>
                <pt idx="54">
                  <v>1.03593675131768</v>
                </pt>
                <pt idx="55">
                  <v>1.05558217537135</v>
                </pt>
                <pt idx="56">
                  <v>1.02587446094873</v>
                </pt>
                <pt idx="57">
                  <v>1.03114518447532</v>
                </pt>
                <pt idx="58">
                  <v>1.10253953042645</v>
                </pt>
                <pt idx="59">
                  <v>1.13416387158601</v>
                </pt>
                <pt idx="60">
                  <v>1.2453282223287</v>
                </pt>
                <pt idx="61">
                  <v>1.1796837565884</v>
                </pt>
                <pt idx="62">
                  <v>1.13416387158601</v>
                </pt>
                <pt idx="63">
                  <v>1.22616195495927</v>
                </pt>
                <pt idx="64">
                  <v>1.20987062769526</v>
                </pt>
                <pt idx="65">
                  <v>1.1662673694298</v>
                </pt>
                <pt idx="66">
                  <v>0.833732630570196</v>
                </pt>
                <pt idx="67">
                  <v>0.787733588883565</v>
                </pt>
                <pt idx="68">
                  <v>0.814566363200767</v>
                </pt>
                <pt idx="69">
                  <v>0.743651173933876</v>
                </pt>
                <pt idx="70">
                  <v>0.539530426449449</v>
                </pt>
                <pt idx="71">
                  <v>0.540009583133685</v>
                </pt>
                <pt idx="72">
                  <v>0.501677048394825</v>
                </pt>
                <pt idx="73">
                  <v>0.554384283660757</v>
                </pt>
                <pt idx="74">
                  <v>0.602299952084332</v>
                </pt>
                <pt idx="75">
                  <v>0.691902252036416</v>
                </pt>
                <pt idx="76">
                  <v>0.686152371825587</v>
                </pt>
                <pt idx="77">
                  <v>0.574988021082894</v>
                </pt>
                <pt idx="78">
                  <v>0.586008624820316</v>
                </pt>
                <pt idx="79">
                  <v>0.62386200287494</v>
                </pt>
                <pt idx="80">
                  <v>0.59463344513656</v>
                </pt>
                <pt idx="81">
                  <v>0.550071873502635</v>
                </pt>
                <pt idx="82">
                  <v>0.563009103977</v>
                </pt>
                <pt idx="83">
                  <v>0.598466698610446</v>
                </pt>
                <pt idx="84">
                  <v>0.586966938188788</v>
                </pt>
                <pt idx="85">
                  <v>0.596550071873503</v>
                </pt>
                <pt idx="86">
                  <v>0.599904168663153</v>
                </pt>
                <pt idx="87">
                  <v>0.602779108768567</v>
                </pt>
                <pt idx="88">
                  <v>0.564925730713943</v>
                </pt>
                <pt idx="89">
                  <v>0.6291327264015329</v>
                </pt>
                <pt idx="90">
                  <v>0.655007187350264</v>
                </pt>
                <pt idx="91">
                  <v>0.724964063248682</v>
                </pt>
                <pt idx="92">
                  <v>0.745567800670819</v>
                </pt>
                <pt idx="93">
                  <v>0.704839482510781</v>
                </pt>
                <pt idx="94">
                  <v>0.686631528509823</v>
                </pt>
                <pt idx="95">
                  <v>0.692381408720652</v>
                </pt>
                <pt idx="96">
                  <v>0.686631524854147</v>
                </pt>
                <pt idx="97">
                  <v>0.718735026353618</v>
                </pt>
                <pt idx="98">
                  <v>0.718735026353618</v>
                </pt>
              </numCache>
            </numRef>
          </val>
          <smooth val="0"/>
        </ser>
        <ser>
          <idx val="1"/>
          <order val="1"/>
          <tx>
            <strRef>
              <f>'奢侈品 Normalized'!$C$2</f>
              <strCache>
                <ptCount val="1"/>
                <pt idx="0">
                  <v>CFR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Normalized'!$C$3:$C$101</f>
              <numCache>
                <formatCode>General</formatCode>
                <ptCount val="99"/>
                <pt idx="0">
                  <v>0.724942</v>
                </pt>
                <pt idx="1">
                  <v>0.771889</v>
                </pt>
                <pt idx="2">
                  <v>0.780242</v>
                </pt>
                <pt idx="3">
                  <v>0.783986</v>
                </pt>
                <pt idx="4">
                  <v>0.794355</v>
                </pt>
                <pt idx="5">
                  <v>0.800979</v>
                </pt>
                <pt idx="6">
                  <v>0.797523</v>
                </pt>
                <pt idx="7">
                  <v>0.9449880000000001</v>
                </pt>
                <pt idx="8">
                  <v>0.9928</v>
                </pt>
                <pt idx="9">
                  <v>1.012385</v>
                </pt>
                <pt idx="10">
                  <v>1.013249</v>
                </pt>
                <pt idx="11">
                  <v>1.053571</v>
                </pt>
                <pt idx="12">
                  <v>1.025922</v>
                </pt>
                <pt idx="13">
                  <v>1.064804</v>
                </pt>
                <pt idx="14">
                  <v>0.91273</v>
                </pt>
                <pt idx="15">
                  <v>0.9447</v>
                </pt>
                <pt idx="16">
                  <v>0.933756</v>
                </pt>
                <pt idx="17">
                  <v>0.8810480000000001</v>
                </pt>
                <pt idx="18">
                  <v>0.743088</v>
                </pt>
                <pt idx="19">
                  <v>0.78917</v>
                </pt>
                <pt idx="20">
                  <v>0.788594</v>
                </pt>
                <pt idx="21">
                  <v>0.848214</v>
                </pt>
                <pt idx="22">
                  <v>0.837558</v>
                </pt>
                <pt idx="23">
                  <v>0.889401</v>
                </pt>
                <pt idx="24">
                  <v>0.953917</v>
                </pt>
                <pt idx="25">
                  <v>0.910714</v>
                </pt>
                <pt idx="26">
                  <v>0.8822</v>
                </pt>
                <pt idx="27">
                  <v>0.872984</v>
                </pt>
                <pt idx="28">
                  <v>0.8781679999999999</v>
                </pt>
                <pt idx="29">
                  <v>0.84879</v>
                </pt>
                <pt idx="30">
                  <v>0.860887</v>
                </pt>
                <pt idx="31">
                  <v>0.868664</v>
                </pt>
                <pt idx="32">
                  <v>0.849654</v>
                </pt>
                <pt idx="33">
                  <v>0.80674</v>
                </pt>
                <pt idx="34">
                  <v>0.793203</v>
                </pt>
                <pt idx="35">
                  <v>0.758641</v>
                </pt>
                <pt idx="36">
                  <v>0.749424</v>
                </pt>
                <pt idx="37">
                  <v>0.759217</v>
                </pt>
                <pt idx="38">
                  <v>0.778514</v>
                </pt>
                <pt idx="39">
                  <v>0.799827</v>
                </pt>
                <pt idx="40">
                  <v>0.829205</v>
                </pt>
                <pt idx="41">
                  <v>0.87932</v>
                </pt>
                <pt idx="42">
                  <v>0.856279</v>
                </pt>
                <pt idx="43">
                  <v>0.87068</v>
                </pt>
                <pt idx="44">
                  <v>0.8796079999999999</v>
                </pt>
                <pt idx="45">
                  <v>0.8796079999999999</v>
                </pt>
                <pt idx="46">
                  <v>0.924827</v>
                </pt>
                <pt idx="47">
                  <v>0.929435</v>
                </pt>
                <pt idx="48">
                  <v>0.932028</v>
                </pt>
                <pt idx="49">
                  <v>0.910714</v>
                </pt>
                <pt idx="50">
                  <v>0.976958</v>
                </pt>
                <pt idx="51">
                  <v>0.959101</v>
                </pt>
                <pt idx="52">
                  <v>1</v>
                </pt>
                <pt idx="53">
                  <v>1.0647596344855</v>
                </pt>
                <pt idx="54">
                  <v>1.07628128724672</v>
                </pt>
                <pt idx="55">
                  <v>1.08144616607072</v>
                </pt>
                <pt idx="56">
                  <v>1.09574890742948</v>
                </pt>
                <pt idx="57">
                  <v>1.10488676996424</v>
                </pt>
                <pt idx="58">
                  <v>1.10011918951132</v>
                </pt>
                <pt idx="59">
                  <v>1.30353595550258</v>
                </pt>
                <pt idx="60">
                  <v>1.36948748510131</v>
                </pt>
                <pt idx="61">
                  <v>1.39650377433453</v>
                </pt>
                <pt idx="62">
                  <v>1.39769566944776</v>
                </pt>
                <pt idx="63">
                  <v>1.45331744139849</v>
                </pt>
                <pt idx="64">
                  <v>1.41517679777513</v>
                </pt>
                <pt idx="65">
                  <v>1.46881207787048</v>
                </pt>
                <pt idx="66">
                  <v>1.25903853794199</v>
                </pt>
                <pt idx="67">
                  <v>1.30313865713151</v>
                </pt>
                <pt idx="68">
                  <v>1.28804131903059</v>
                </pt>
                <pt idx="69">
                  <v>1.21533571712356</v>
                </pt>
                <pt idx="70">
                  <v>1.02502979737783</v>
                </pt>
                <pt idx="71">
                  <v>1.0885975367501</v>
                </pt>
                <pt idx="72">
                  <v>1.08780294000795</v>
                </pt>
                <pt idx="73">
                  <v>1.17004370282082</v>
                </pt>
                <pt idx="74">
                  <v>1.15534366309098</v>
                </pt>
                <pt idx="75">
                  <v>1.22685736988478</v>
                </pt>
                <pt idx="76">
                  <v>1.31585220500596</v>
                </pt>
                <pt idx="77">
                  <v>1.25625744934446</v>
                </pt>
                <pt idx="78">
                  <v>1.21692491060787</v>
                </pt>
                <pt idx="79">
                  <v>1.20421136273341</v>
                </pt>
                <pt idx="80">
                  <v>1.21136273341279</v>
                </pt>
                <pt idx="81">
                  <v>1.17083829956297</v>
                </pt>
                <pt idx="82">
                  <v>1.18752483114819</v>
                </pt>
                <pt idx="83">
                  <v>1.19825188716726</v>
                </pt>
                <pt idx="84">
                  <v>1.1720301946762</v>
                </pt>
                <pt idx="85">
                  <v>1.11283273738578</v>
                </pt>
                <pt idx="86">
                  <v>1.09415971394517</v>
                </pt>
                <pt idx="87">
                  <v>1.04648390941597</v>
                </pt>
                <pt idx="88">
                  <v>1.03377036154152</v>
                </pt>
                <pt idx="89">
                  <v>1.04727850615812</v>
                </pt>
                <pt idx="90">
                  <v>1.07389749702026</v>
                </pt>
                <pt idx="91">
                  <v>1.10329757647994</v>
                </pt>
                <pt idx="92">
                  <v>1.14382201032976</v>
                </pt>
                <pt idx="93">
                  <v>1.2129519268971</v>
                </pt>
                <pt idx="94">
                  <v>1.18116805721097</v>
                </pt>
                <pt idx="95">
                  <v>1.2010329757648</v>
                </pt>
                <pt idx="96">
                  <v>1.37346051731041</v>
                </pt>
                <pt idx="97">
                  <v>1.35319827613634</v>
                </pt>
                <pt idx="98">
                  <v>1.35399280013098</v>
                </pt>
              </numCache>
            </numRef>
          </val>
          <smooth val="0"/>
        </ser>
        <ser>
          <idx val="2"/>
          <order val="2"/>
          <tx>
            <strRef>
              <f>'奢侈品 Normalized'!$D$2</f>
              <strCache>
                <ptCount val="1"/>
                <pt idx="0">
                  <v>1913.HK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Normalized'!$D$3:$D$101</f>
              <numCache>
                <formatCode>General</formatCode>
                <ptCount val="99"/>
                <pt idx="0">
                  <v>1.20749</v>
                </pt>
                <pt idx="1">
                  <v>1.310805</v>
                </pt>
                <pt idx="2">
                  <v>1.335557</v>
                </pt>
                <pt idx="3">
                  <v>1.371072</v>
                </pt>
                <pt idx="4">
                  <v>1.366767</v>
                </pt>
                <pt idx="5">
                  <v>1.304348</v>
                </pt>
                <pt idx="6">
                  <v>1.322643</v>
                </pt>
                <pt idx="7">
                  <v>1.338786</v>
                </pt>
                <pt idx="8">
                  <v>1.371072</v>
                </pt>
                <pt idx="9">
                  <v>1.332329</v>
                </pt>
                <pt idx="10">
                  <v>1.373224</v>
                </pt>
                <pt idx="11">
                  <v>1.485149</v>
                </pt>
                <pt idx="12">
                  <v>1.458244</v>
                </pt>
                <pt idx="13">
                  <v>1.474387</v>
                </pt>
                <pt idx="14">
                  <v>1.353853</v>
                </pt>
                <pt idx="15">
                  <v>1.23009</v>
                </pt>
                <pt idx="16">
                  <v>1.179509</v>
                </pt>
                <pt idx="17">
                  <v>1.165519</v>
                </pt>
                <pt idx="18">
                  <v>0.961042</v>
                </pt>
                <pt idx="19">
                  <v>1.054671</v>
                </pt>
                <pt idx="20">
                  <v>1.006242</v>
                </pt>
                <pt idx="21">
                  <v>1.054671</v>
                </pt>
                <pt idx="22">
                  <v>1.035299</v>
                </pt>
                <pt idx="23">
                  <v>1.120319</v>
                </pt>
                <pt idx="24">
                  <v>1.128928</v>
                </pt>
                <pt idx="25">
                  <v>1.097718</v>
                </pt>
                <pt idx="26">
                  <v>1.097718</v>
                </pt>
                <pt idx="27">
                  <v>1.079423</v>
                </pt>
                <pt idx="28">
                  <v>1.025613</v>
                </pt>
                <pt idx="29">
                  <v>1.028842</v>
                </pt>
                <pt idx="30">
                  <v>1.048214</v>
                </pt>
                <pt idx="31">
                  <v>1.065433</v>
                </pt>
                <pt idx="32">
                  <v>1.06328</v>
                </pt>
                <pt idx="33">
                  <v>1.056823</v>
                </pt>
                <pt idx="34">
                  <v>1.033147</v>
                </pt>
                <pt idx="35">
                  <v>0.894533</v>
                </pt>
                <pt idx="36">
                  <v>0.870426</v>
                </pt>
                <pt idx="37">
                  <v>0.893672</v>
                </pt>
                <pt idx="38">
                  <v>0.867843</v>
                </pt>
                <pt idx="39">
                  <v>0.974171</v>
                </pt>
                <pt idx="40">
                  <v>0.947912</v>
                </pt>
                <pt idx="41">
                  <v>0.968575</v>
                </pt>
                <pt idx="42">
                  <v>1.003444</v>
                </pt>
                <pt idx="43">
                  <v>0.998709</v>
                </pt>
                <pt idx="44">
                  <v>1.005596</v>
                </pt>
                <pt idx="45">
                  <v>0.955661</v>
                </pt>
                <pt idx="46">
                  <v>1.013775</v>
                </pt>
                <pt idx="47">
                  <v>1.081576</v>
                </pt>
                <pt idx="48">
                  <v>0.995695</v>
                </pt>
                <pt idx="49">
                  <v>0.996987</v>
                </pt>
                <pt idx="50">
                  <v>1.012484</v>
                </pt>
                <pt idx="51">
                  <v>0.96427</v>
                </pt>
                <pt idx="52">
                  <v>1</v>
                </pt>
                <pt idx="53">
                  <v>1.0855614973262</v>
                </pt>
                <pt idx="54">
                  <v>1.10606060606061</v>
                </pt>
                <pt idx="55">
                  <v>1.13547237076649</v>
                </pt>
                <pt idx="56">
                  <v>1.1319073083779</v>
                </pt>
                <pt idx="57">
                  <v>1.08021390374332</v>
                </pt>
                <pt idx="58">
                  <v>1.09536541889483</v>
                </pt>
                <pt idx="59">
                  <v>1.10873440285205</v>
                </pt>
                <pt idx="60">
                  <v>1.13547237076649</v>
                </pt>
                <pt idx="61">
                  <v>1.10338680926916</v>
                </pt>
                <pt idx="62">
                  <v>1.13725490196078</v>
                </pt>
                <pt idx="63">
                  <v>1.22994652406417</v>
                </pt>
                <pt idx="64">
                  <v>1.20766488413547</v>
                </pt>
                <pt idx="65">
                  <v>1.22103386809269</v>
                </pt>
                <pt idx="66">
                  <v>1.12121212121212</v>
                </pt>
                <pt idx="67">
                  <v>1.01871657754011</v>
                </pt>
                <pt idx="68">
                  <v>0.9768270944741529</v>
                </pt>
                <pt idx="69">
                  <v>0.96524064171123</v>
                </pt>
                <pt idx="70">
                  <v>0.795900178253119</v>
                </pt>
                <pt idx="71">
                  <v>0.873440285204991</v>
                </pt>
                <pt idx="72">
                  <v>0.833333333333333</v>
                </pt>
                <pt idx="73">
                  <v>0.873440285204991</v>
                </pt>
                <pt idx="74">
                  <v>0.857397504456328</v>
                </pt>
                <pt idx="75">
                  <v>0.927807486631016</v>
                </pt>
                <pt idx="76">
                  <v>0.9349376114082</v>
                </pt>
                <pt idx="77">
                  <v>0.9090909090909089</v>
                </pt>
                <pt idx="78">
                  <v>0.9090909090909089</v>
                </pt>
                <pt idx="79">
                  <v>0.893939393939394</v>
                </pt>
                <pt idx="80">
                  <v>0.849376114081996</v>
                </pt>
                <pt idx="81">
                  <v>0.85204991087344</v>
                </pt>
                <pt idx="82">
                  <v>0.868092691622103</v>
                </pt>
                <pt idx="83">
                  <v>0.882352941176471</v>
                </pt>
                <pt idx="84">
                  <v>0.880570409982175</v>
                </pt>
                <pt idx="85">
                  <v>0.875222816399287</v>
                </pt>
                <pt idx="86">
                  <v>0.855614973262032</v>
                </pt>
                <pt idx="87">
                  <v>0.740819964349376</v>
                </pt>
                <pt idx="88">
                  <v>0.720855614973262</v>
                </pt>
                <pt idx="89">
                  <v>0.740106951871658</v>
                </pt>
                <pt idx="90">
                  <v>0.718716577540107</v>
                </pt>
                <pt idx="91">
                  <v>0.806773618538324</v>
                </pt>
                <pt idx="92">
                  <v>0.785026737967914</v>
                </pt>
                <pt idx="93">
                  <v>0.802139037433155</v>
                </pt>
                <pt idx="94">
                  <v>0.831016042780749</v>
                </pt>
                <pt idx="95">
                  <v>0.827094474153298</v>
                </pt>
                <pt idx="96">
                  <v>0.6527629043116711</v>
                </pt>
                <pt idx="97">
                  <v>0.663458132276348</v>
                </pt>
                <pt idx="98">
                  <v>0.657754037894455</v>
                </pt>
              </numCache>
            </numRef>
          </val>
          <smooth val="0"/>
        </ser>
        <ser>
          <idx val="3"/>
          <order val="3"/>
          <tx>
            <strRef>
              <f>'奢侈品 Normalized'!$E$2</f>
              <strCache>
                <ptCount val="1"/>
                <pt idx="0">
                  <v>MONC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Normalized'!$E$3:$E$101</f>
              <numCache>
                <formatCode>General</formatCode>
                <ptCount val="99"/>
                <pt idx="0">
                  <v>0.801789</v>
                </pt>
                <pt idx="1">
                  <v>0.890571</v>
                </pt>
                <pt idx="2">
                  <v>0.884377</v>
                </pt>
                <pt idx="3">
                  <v>0.858741</v>
                </pt>
                <pt idx="4">
                  <v>0.877151</v>
                </pt>
                <pt idx="5">
                  <v>0.8836889999999999</v>
                </pt>
                <pt idx="6">
                  <v>0.919133</v>
                </pt>
                <pt idx="7">
                  <v>0.991053</v>
                </pt>
                <pt idx="8">
                  <v>1.057467</v>
                </pt>
                <pt idx="9">
                  <v>1.049553</v>
                </pt>
                <pt idx="10">
                  <v>1.047832</v>
                </pt>
                <pt idx="11">
                  <v>1.129732</v>
                </pt>
                <pt idx="12">
                  <v>1.139711</v>
                </pt>
                <pt idx="13">
                  <v>1.131108</v>
                </pt>
                <pt idx="14">
                  <v>1.079147</v>
                </pt>
                <pt idx="15">
                  <v>1.048176</v>
                </pt>
                <pt idx="16">
                  <v>1.033035</v>
                </pt>
                <pt idx="17">
                  <v>0.973847</v>
                </pt>
                <pt idx="18">
                  <v>0.844288</v>
                </pt>
                <pt idx="19">
                  <v>0.9415</v>
                </pt>
                <pt idx="20">
                  <v>0.92395</v>
                </pt>
                <pt idx="21">
                  <v>0.939436</v>
                </pt>
                <pt idx="22">
                  <v>0.951824</v>
                </pt>
                <pt idx="23">
                  <v>0.983138</v>
                </pt>
                <pt idx="24">
                  <v>0.965933</v>
                </pt>
                <pt idx="25">
                  <v>0.938747</v>
                </pt>
                <pt idx="26">
                  <v>0.9421890000000001</v>
                </pt>
                <pt idx="27">
                  <v>0.924639</v>
                </pt>
                <pt idx="28">
                  <v>0.881624</v>
                </pt>
                <pt idx="29">
                  <v>0.82691</v>
                </pt>
                <pt idx="30">
                  <v>0.832588</v>
                </pt>
                <pt idx="31">
                  <v>0.885754</v>
                </pt>
                <pt idx="32">
                  <v>0.865451</v>
                </pt>
                <pt idx="33">
                  <v>0.85788</v>
                </pt>
                <pt idx="34">
                  <v>0.828114</v>
                </pt>
                <pt idx="35">
                  <v>0.807295</v>
                </pt>
                <pt idx="36">
                  <v>0.79095</v>
                </pt>
                <pt idx="37">
                  <v>0.792326</v>
                </pt>
                <pt idx="38">
                  <v>0.823641</v>
                </pt>
                <pt idx="39">
                  <v>0.849966</v>
                </pt>
                <pt idx="40">
                  <v>0.806435</v>
                </pt>
                <pt idx="41">
                  <v>0.877495</v>
                </pt>
                <pt idx="42">
                  <v>0.868892</v>
                </pt>
                <pt idx="43">
                  <v>0.86786</v>
                </pt>
                <pt idx="44">
                  <v>0.864418</v>
                </pt>
                <pt idx="45">
                  <v>0.8568480000000001</v>
                </pt>
                <pt idx="46">
                  <v>0.917068</v>
                </pt>
                <pt idx="47">
                  <v>0.925671</v>
                </pt>
                <pt idx="48">
                  <v>0.906401</v>
                </pt>
                <pt idx="49">
                  <v>0.97075</v>
                </pt>
                <pt idx="50">
                  <v>0.964212</v>
                </pt>
                <pt idx="51">
                  <v>0.970406</v>
                </pt>
                <pt idx="52">
                  <v>1</v>
                </pt>
                <pt idx="53">
                  <v>1.11072961373391</v>
                </pt>
                <pt idx="54">
                  <v>1.10300429184549</v>
                </pt>
                <pt idx="55">
                  <v>1.07103004291845</v>
                </pt>
                <pt idx="56">
                  <v>1.09399141630901</v>
                </pt>
                <pt idx="57">
                  <v>1.10214592274678</v>
                </pt>
                <pt idx="58">
                  <v>1.14635193133047</v>
                </pt>
                <pt idx="59">
                  <v>1.23605150214592</v>
                </pt>
                <pt idx="60">
                  <v>1.31888412017167</v>
                </pt>
                <pt idx="61">
                  <v>1.30901287553648</v>
                </pt>
                <pt idx="62">
                  <v>1.3068669527897</v>
                </pt>
                <pt idx="63">
                  <v>1.40901287553648</v>
                </pt>
                <pt idx="64">
                  <v>1.42145922746781</v>
                </pt>
                <pt idx="65">
                  <v>1.41072961373391</v>
                </pt>
                <pt idx="66">
                  <v>1.34592274678112</v>
                </pt>
                <pt idx="67">
                  <v>1.30729613733906</v>
                </pt>
                <pt idx="68">
                  <v>1.28841201716738</v>
                </pt>
                <pt idx="69">
                  <v>1.21459227467811</v>
                </pt>
                <pt idx="70">
                  <v>1.05300429184549</v>
                </pt>
                <pt idx="71">
                  <v>1.17424892703863</v>
                </pt>
                <pt idx="72">
                  <v>1.15236051502146</v>
                </pt>
                <pt idx="73">
                  <v>1.17167381974249</v>
                </pt>
                <pt idx="74">
                  <v>1.18712446351931</v>
                </pt>
                <pt idx="75">
                  <v>1.22618025751073</v>
                </pt>
                <pt idx="76">
                  <v>1.20472103004292</v>
                </pt>
                <pt idx="77">
                  <v>1.17081545064378</v>
                </pt>
                <pt idx="78">
                  <v>1.17510729613734</v>
                </pt>
                <pt idx="79">
                  <v>1.15321888412017</v>
                </pt>
                <pt idx="80">
                  <v>1.09957081545064</v>
                </pt>
                <pt idx="81">
                  <v>1.031330472103</v>
                </pt>
                <pt idx="82">
                  <v>1.03841201716738</v>
                </pt>
                <pt idx="83">
                  <v>1.10472103004292</v>
                </pt>
                <pt idx="84">
                  <v>1.0793991416309</v>
                </pt>
                <pt idx="85">
                  <v>1.06995708154506</v>
                </pt>
                <pt idx="86">
                  <v>1.03283261802575</v>
                </pt>
                <pt idx="87">
                  <v>1.0068669527897</v>
                </pt>
                <pt idx="88">
                  <v>0.986480686695279</v>
                </pt>
                <pt idx="89">
                  <v>0.988197424892704</v>
                </pt>
                <pt idx="90">
                  <v>1.02725321888412</v>
                </pt>
                <pt idx="91">
                  <v>1.06008583690987</v>
                </pt>
                <pt idx="92">
                  <v>1.00579399141631</v>
                </pt>
                <pt idx="93">
                  <v>1.09442060085837</v>
                </pt>
                <pt idx="94">
                  <v>1.08369098712446</v>
                </pt>
                <pt idx="95">
                  <v>1.08240343347639</v>
                </pt>
                <pt idx="96">
                  <v>0.937768256715439</v>
                </pt>
                <pt idx="97">
                  <v>0.933905589222396</v>
                </pt>
                <pt idx="98">
                  <v>0.93669531171414</v>
                </pt>
              </numCache>
            </numRef>
          </val>
          <smooth val="0"/>
        </ser>
        <ser>
          <idx val="4"/>
          <order val="4"/>
          <tx>
            <strRef>
              <f>'奢侈品 Normalized'!$F$2</f>
              <strCache>
                <ptCount val="1"/>
                <pt idx="0">
                  <v>KER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Normalized'!$F$3:$F$101</f>
              <numCache>
                <formatCode>General</formatCode>
                <ptCount val="99"/>
                <pt idx="0">
                  <v>0.743406</v>
                </pt>
                <pt idx="1">
                  <v>0.823038</v>
                </pt>
                <pt idx="2">
                  <v>0.800167</v>
                </pt>
                <pt idx="3">
                  <v>0.786644</v>
                </pt>
                <pt idx="4">
                  <v>0.7916530000000001</v>
                </pt>
                <pt idx="5">
                  <v>0.767446</v>
                </pt>
                <pt idx="6">
                  <v>0.759265</v>
                </pt>
                <pt idx="7">
                  <v>0.8265439999999999</v>
                </pt>
                <pt idx="8">
                  <v>0.876628</v>
                </pt>
                <pt idx="9">
                  <v>0.814524</v>
                </pt>
                <pt idx="10">
                  <v>0.8153589999999999</v>
                </pt>
                <pt idx="11">
                  <v>0.935225</v>
                </pt>
                <pt idx="12">
                  <v>0.914524</v>
                </pt>
                <pt idx="13">
                  <v>0.896828</v>
                </pt>
                <pt idx="14">
                  <v>0.851419</v>
                </pt>
                <pt idx="15">
                  <v>0.725876</v>
                </pt>
                <pt idx="16">
                  <v>0.675793</v>
                </pt>
                <pt idx="17">
                  <v>0.637462</v>
                </pt>
                <pt idx="18">
                  <v>0.54798</v>
                </pt>
                <pt idx="19">
                  <v>0.570952</v>
                </pt>
                <pt idx="20">
                  <v>0.5491819999999999</v>
                </pt>
                <pt idx="21">
                  <v>0.595993</v>
                </pt>
                <pt idx="22">
                  <v>0.588114</v>
                </pt>
                <pt idx="23">
                  <v>0.628848</v>
                </pt>
                <pt idx="24">
                  <v>0.586377</v>
                </pt>
                <pt idx="25">
                  <v>0.585109</v>
                </pt>
                <pt idx="26">
                  <v>0.572354</v>
                </pt>
                <pt idx="27">
                  <v>0.593456</v>
                </pt>
                <pt idx="28">
                  <v>0.644007</v>
                </pt>
                <pt idx="29">
                  <v>0.585977</v>
                </pt>
                <pt idx="30">
                  <v>0.616227</v>
                </pt>
                <pt idx="31">
                  <v>0.652421</v>
                </pt>
                <pt idx="32">
                  <v>0.6576959999999999</v>
                </pt>
                <pt idx="33">
                  <v>0.658898</v>
                </pt>
                <pt idx="34">
                  <v>0.720868</v>
                </pt>
                <pt idx="35">
                  <v>0.7180299999999999</v>
                </pt>
                <pt idx="36">
                  <v>0.711519</v>
                </pt>
                <pt idx="37">
                  <v>0.702003</v>
                </pt>
                <pt idx="38">
                  <v>0.748748</v>
                </pt>
                <pt idx="39">
                  <v>0.767279</v>
                </pt>
                <pt idx="40">
                  <v>0.797663</v>
                </pt>
                <pt idx="41">
                  <v>0.852588</v>
                </pt>
                <pt idx="42">
                  <v>0.884808</v>
                </pt>
                <pt idx="43">
                  <v>0.961436</v>
                </pt>
                <pt idx="44">
                  <v>0.976294</v>
                </pt>
                <pt idx="45">
                  <v>1.01419</v>
                </pt>
                <pt idx="46">
                  <v>1.083472</v>
                </pt>
                <pt idx="47">
                  <v>1.094825</v>
                </pt>
                <pt idx="48">
                  <v>1.017028</v>
                </pt>
                <pt idx="49">
                  <v>1.036561</v>
                </pt>
                <pt idx="50">
                  <v>1.046578</v>
                </pt>
                <pt idx="51">
                  <v>0.9871450000000001</v>
                </pt>
                <pt idx="52">
                  <v>1</v>
                </pt>
                <pt idx="53">
                  <v>1.10711879631709</v>
                </pt>
                <pt idx="54">
                  <v>1.07635302043566</v>
                </pt>
                <pt idx="55">
                  <v>1.0581630361554</v>
                </pt>
                <pt idx="56">
                  <v>1.06490006737031</v>
                </pt>
                <pt idx="57">
                  <v>1.03233774983157</v>
                </pt>
                <pt idx="58">
                  <v>1.02133393218055</v>
                </pt>
                <pt idx="59">
                  <v>1.11183471816753</v>
                </pt>
                <pt idx="60">
                  <v>1.17920503031664</v>
                </pt>
                <pt idx="61">
                  <v>1.09566584325174</v>
                </pt>
                <pt idx="62">
                  <v>1.09678868178756</v>
                </pt>
                <pt idx="63">
                  <v>1.2580282955311</v>
                </pt>
                <pt idx="64">
                  <v>1.2301818998428</v>
                </pt>
                <pt idx="65">
                  <v>1.20637772288345</v>
                </pt>
                <pt idx="66">
                  <v>1.14529530653492</v>
                </pt>
                <pt idx="67">
                  <v>0.976420390747811</v>
                </pt>
                <pt idx="68">
                  <v>0.909050078598697</v>
                </pt>
                <pt idx="69">
                  <v>0.85748933303391</v>
                </pt>
                <pt idx="70">
                  <v>0.737121041994161</v>
                </pt>
                <pt idx="71">
                  <v>0.768021558499888</v>
                </pt>
                <pt idx="72">
                  <v>0.73873792948574</v>
                </pt>
                <pt idx="73">
                  <v>0.801706714574444</v>
                </pt>
                <pt idx="74">
                  <v>0.791107118796317</v>
                </pt>
                <pt idx="75">
                  <v>0.845901639344262</v>
                </pt>
                <pt idx="76">
                  <v>0.788771614641815</v>
                </pt>
                <pt idx="77">
                  <v>0.78706490006737</v>
                </pt>
                <pt idx="78">
                  <v>0.769907927240063</v>
                </pt>
                <pt idx="79">
                  <v>0.798293285425556</v>
                </pt>
                <pt idx="80">
                  <v>0.866292387154727</v>
                </pt>
                <pt idx="81">
                  <v>0.788232652144622</v>
                </pt>
                <pt idx="82">
                  <v>0.828924320682686</v>
                </pt>
                <pt idx="83">
                  <v>0.877610599595778</v>
                </pt>
                <pt idx="84">
                  <v>0.884706939142151</v>
                </pt>
                <pt idx="85">
                  <v>0.88632382663373</v>
                </pt>
                <pt idx="86">
                  <v>0.969683359532899</v>
                </pt>
                <pt idx="87">
                  <v>0.965865708511116</v>
                </pt>
                <pt idx="88">
                  <v>0.957107567931731</v>
                </pt>
                <pt idx="89">
                  <v>0.9443072086234</v>
                </pt>
                <pt idx="90">
                  <v>1.00718616662924</v>
                </pt>
                <pt idx="91">
                  <v>1.03211318212441</v>
                </pt>
                <pt idx="92">
                  <v>1.07298450482821</v>
                </pt>
                <pt idx="93">
                  <v>1.14686728048507</v>
                </pt>
                <pt idx="94">
                  <v>1.19020884796766</v>
                </pt>
                <pt idx="95">
                  <v>1.29328542555581</v>
                </pt>
                <pt idx="96">
                  <v>0.944531790037089</v>
                </pt>
                <pt idx="97">
                  <v>0.949472238475115</v>
                </pt>
                <pt idx="98">
                  <v>0.964293720854445</v>
                </pt>
              </numCache>
            </numRef>
          </val>
          <smooth val="0"/>
        </ser>
        <ser>
          <idx val="5"/>
          <order val="5"/>
          <tx>
            <strRef>
              <f>'奢侈品 Normalized'!$G$2</f>
              <strCache>
                <ptCount val="1"/>
                <pt idx="0">
                  <v>SFER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Normalized'!$G$3:$G$101</f>
              <numCache>
                <formatCode>General</formatCode>
                <ptCount val="99"/>
                <pt idx="0">
                  <v>0.708798</v>
                </pt>
                <pt idx="1">
                  <v>0.83891</v>
                </pt>
                <pt idx="2">
                  <v>0.845105</v>
                </pt>
                <pt idx="3">
                  <v>0.827757</v>
                </pt>
                <pt idx="4">
                  <v>0.83891</v>
                </pt>
                <pt idx="5">
                  <v>0.83767</v>
                </pt>
                <pt idx="6">
                  <v>0.842627</v>
                </pt>
                <pt idx="7">
                  <v>0.827757</v>
                </pt>
                <pt idx="8">
                  <v>0.89715</v>
                </pt>
                <pt idx="9">
                  <v>0.947955</v>
                </pt>
                <pt idx="10">
                  <v>0.877323</v>
                </pt>
                <pt idx="11">
                  <v>0.9863690000000001</v>
                </pt>
                <pt idx="12">
                  <v>0.954151</v>
                </pt>
                <pt idx="13">
                  <v>0.97026</v>
                </pt>
                <pt idx="14">
                  <v>0.843866</v>
                </pt>
                <pt idx="15">
                  <v>0.847584</v>
                </pt>
                <pt idx="16">
                  <v>0.817844</v>
                </pt>
                <pt idx="17">
                  <v>0.768278</v>
                </pt>
                <pt idx="18">
                  <v>0.639405</v>
                </pt>
                <pt idx="19">
                  <v>0.643123</v>
                </pt>
                <pt idx="20">
                  <v>0.593556</v>
                </pt>
                <pt idx="21">
                  <v>0.684015</v>
                </pt>
                <pt idx="22">
                  <v>0.692689</v>
                </pt>
                <pt idx="23">
                  <v>0.752169</v>
                </pt>
                <pt idx="24">
                  <v>0.728625</v>
                </pt>
                <pt idx="25">
                  <v>0.701363</v>
                </pt>
                <pt idx="26">
                  <v>0.693928</v>
                </pt>
                <pt idx="27">
                  <v>0.664188</v>
                </pt>
                <pt idx="28">
                  <v>0.656753</v>
                </pt>
                <pt idx="29">
                  <v>0.610905</v>
                </pt>
                <pt idx="30">
                  <v>0.619579</v>
                </pt>
                <pt idx="31">
                  <v>0.639405</v>
                </pt>
                <pt idx="32">
                  <v>0.638166</v>
                </pt>
                <pt idx="33">
                  <v>0.634449</v>
                </pt>
                <pt idx="34">
                  <v>0.650558</v>
                </pt>
                <pt idx="35">
                  <v>0.591078</v>
                </pt>
                <pt idx="36">
                  <v>0.550186</v>
                </pt>
                <pt idx="37">
                  <v>0.55886</v>
                </pt>
                <pt idx="38">
                  <v>0.6009910000000001</v>
                </pt>
                <pt idx="39">
                  <v>0.57373</v>
                </pt>
                <pt idx="40">
                  <v>0.572491</v>
                </pt>
                <pt idx="41">
                  <v>0.577447</v>
                </pt>
                <pt idx="42">
                  <v>0.664188</v>
                </pt>
                <pt idx="43">
                  <v>0.669145</v>
                </pt>
                <pt idx="44">
                  <v>0.714994</v>
                </pt>
                <pt idx="45">
                  <v>0.705081</v>
                </pt>
                <pt idx="46">
                  <v>0.765799</v>
                </pt>
                <pt idx="47">
                  <v>0.898389</v>
                </pt>
                <pt idx="48">
                  <v>0.848823</v>
                </pt>
                <pt idx="49">
                  <v>0.938042</v>
                </pt>
                <pt idx="50">
                  <v>0.929368</v>
                </pt>
                <pt idx="51">
                  <v>0.947955</v>
                </pt>
                <pt idx="52">
                  <v>1</v>
                </pt>
                <pt idx="53">
                  <v>1.18356643356643</v>
                </pt>
                <pt idx="54">
                  <v>1.19230769230769</v>
                </pt>
                <pt idx="55">
                  <v>1.16783216783217</v>
                </pt>
                <pt idx="56">
                  <v>1.18356643356643</v>
                </pt>
                <pt idx="57">
                  <v>1.18181818181818</v>
                </pt>
                <pt idx="58">
                  <v>1.18881118881119</v>
                </pt>
                <pt idx="59">
                  <v>1.16783216783217</v>
                </pt>
                <pt idx="60">
                  <v>1.26573426573427</v>
                </pt>
                <pt idx="61">
                  <v>1.33741258741259</v>
                </pt>
                <pt idx="62">
                  <v>1.23776223776224</v>
                </pt>
                <pt idx="63">
                  <v>1.39160839160839</v>
                </pt>
                <pt idx="64">
                  <v>1.34615384615385</v>
                </pt>
                <pt idx="65">
                  <v>1.36888111888112</v>
                </pt>
                <pt idx="66">
                  <v>1.19055944055944</v>
                </pt>
                <pt idx="67">
                  <v>1.1958041958042</v>
                </pt>
                <pt idx="68">
                  <v>1.15384615384615</v>
                </pt>
                <pt idx="69">
                  <v>1.08391608391608</v>
                </pt>
                <pt idx="70">
                  <v>0.902097902097902</v>
                </pt>
                <pt idx="71">
                  <v>0.907342657342657</v>
                </pt>
                <pt idx="72">
                  <v>0.8374125874125879</v>
                </pt>
                <pt idx="73">
                  <v>0.965034965034965</v>
                </pt>
                <pt idx="74">
                  <v>0.977272727272727</v>
                </pt>
                <pt idx="75">
                  <v>1.06118881118881</v>
                </pt>
                <pt idx="76">
                  <v>1.02797202797203</v>
                </pt>
                <pt idx="77">
                  <v>0.98951048951049</v>
                </pt>
                <pt idx="78">
                  <v>0.979020979020979</v>
                </pt>
                <pt idx="79">
                  <v>0.937062937062937</v>
                </pt>
                <pt idx="80">
                  <v>0.926573426573427</v>
                </pt>
                <pt idx="81">
                  <v>0.861888111888112</v>
                </pt>
                <pt idx="82">
                  <v>0.8741258741258739</v>
                </pt>
                <pt idx="83">
                  <v>0.902097902097902</v>
                </pt>
                <pt idx="84">
                  <v>0.90034965034965</v>
                </pt>
                <pt idx="85">
                  <v>0.895104895104895</v>
                </pt>
                <pt idx="86">
                  <v>0.917832167832168</v>
                </pt>
                <pt idx="87">
                  <v>0.833916083916084</v>
                </pt>
                <pt idx="88">
                  <v>0.776223776223776</v>
                </pt>
                <pt idx="89">
                  <v>0.788461538461538</v>
                </pt>
                <pt idx="90">
                  <v>0.847902097902098</v>
                </pt>
                <pt idx="91">
                  <v>0.809440559440559</v>
                </pt>
                <pt idx="92">
                  <v>0.807692307692308</v>
                </pt>
                <pt idx="93">
                  <v>0.814685314685315</v>
                </pt>
                <pt idx="94">
                  <v>0.937062937062937</v>
                </pt>
                <pt idx="95">
                  <v>0.944055944055944</v>
                </pt>
                <pt idx="96">
                  <v>1.22814686981948</v>
                </pt>
                <pt idx="97">
                  <v>1.19405593071784</v>
                </pt>
                <pt idx="98">
                  <v>1.21153843152773</v>
                </pt>
              </numCache>
            </numRef>
          </val>
          <smooth val="0"/>
        </ser>
        <ser>
          <idx val="6"/>
          <order val="6"/>
          <tx>
            <strRef>
              <f>'奢侈品 Normalized'!$H$2</f>
              <strCache>
                <ptCount val="1"/>
                <pt idx="0">
                  <v>RACE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Normalized'!$H$3:$H$101</f>
              <numCache>
                <formatCode>General</formatCode>
                <ptCount val="99"/>
                <pt idx="0">
                  <v>1.130437</v>
                </pt>
                <pt idx="1">
                  <v>1.159073</v>
                </pt>
                <pt idx="2">
                  <v>1.1293</v>
                </pt>
                <pt idx="3">
                  <v>1.1117</v>
                </pt>
                <pt idx="4">
                  <v>1.102964</v>
                </pt>
                <pt idx="5">
                  <v>1.102964</v>
                </pt>
                <pt idx="6">
                  <v>1.081255</v>
                </pt>
                <pt idx="7">
                  <v>1.126483</v>
                </pt>
                <pt idx="8">
                  <v>1.117308</v>
                </pt>
                <pt idx="9">
                  <v>1.108573</v>
                </pt>
                <pt idx="10">
                  <v>1.190913</v>
                </pt>
                <pt idx="11">
                  <v>1.302148</v>
                </pt>
                <pt idx="12">
                  <v>1.290208</v>
                </pt>
                <pt idx="13">
                  <v>1.1997</v>
                </pt>
                <pt idx="14">
                  <v>1.12961</v>
                </pt>
                <pt idx="15">
                  <v>1.173856</v>
                </pt>
                <pt idx="16">
                  <v>1.126379</v>
                </pt>
                <pt idx="17">
                  <v>1.105833</v>
                </pt>
                <pt idx="18">
                  <v>1.030419</v>
                </pt>
                <pt idx="19">
                  <v>1.110097</v>
                </pt>
                <pt idx="20">
                  <v>1.123614</v>
                </pt>
                <pt idx="21">
                  <v>1.184194</v>
                </pt>
                <pt idx="22">
                  <v>1.205541</v>
                </pt>
                <pt idx="23">
                  <v>1.258005</v>
                </pt>
                <pt idx="24">
                  <v>1.286098</v>
                </pt>
                <pt idx="25">
                  <v>1.230765</v>
                </pt>
                <pt idx="26">
                  <v>1.240741</v>
                </pt>
                <pt idx="27">
                  <v>1.23826</v>
                </pt>
                <pt idx="28">
                  <v>1.201277</v>
                </pt>
                <pt idx="29">
                  <v>1.191637</v>
                </pt>
                <pt idx="30">
                  <v>1.268291</v>
                </pt>
                <pt idx="31">
                  <v>1.256868</v>
                </pt>
                <pt idx="32">
                  <v>1.26196</v>
                </pt>
                <pt idx="33">
                  <v>1.311193</v>
                </pt>
                <pt idx="34">
                  <v>1.311116</v>
                </pt>
                <pt idx="35">
                  <v>1.132815</v>
                </pt>
                <pt idx="36">
                  <v>1.140646</v>
                </pt>
                <pt idx="37">
                  <v>1.197038</v>
                </pt>
                <pt idx="38">
                  <v>1.208332</v>
                </pt>
                <pt idx="39">
                  <v>1.233324</v>
                </pt>
                <pt idx="40">
                  <v>1.237873</v>
                </pt>
                <pt idx="41">
                  <v>1.237795</v>
                </pt>
                <pt idx="42">
                  <v>1.234694</v>
                </pt>
                <pt idx="43">
                  <v>1.245807</v>
                </pt>
                <pt idx="44">
                  <v>1.270333</v>
                </pt>
                <pt idx="45">
                  <v>0.978782</v>
                </pt>
                <pt idx="46">
                  <v>1.029411</v>
                </pt>
                <pt idx="47">
                  <v>1.053059</v>
                </pt>
                <pt idx="48">
                  <v>1.013181</v>
                </pt>
                <pt idx="49">
                  <v>1.063241</v>
                </pt>
                <pt idx="50">
                  <v>1.047683</v>
                </pt>
                <pt idx="51">
                  <v>0.986173</v>
                </pt>
                <pt idx="52">
                  <v>1</v>
                </pt>
                <pt idx="53">
                  <v>1.02533150434385</v>
                </pt>
                <pt idx="54">
                  <v>0.998994055784179</v>
                </pt>
                <pt idx="55">
                  <v>0.983424782807499</v>
                </pt>
                <pt idx="56">
                  <v>0.975697302240512</v>
                </pt>
                <pt idx="57">
                  <v>0.975697302240512</v>
                </pt>
                <pt idx="58">
                  <v>0.956492912665752</v>
                </pt>
                <pt idx="59">
                  <v>0.996502057613169</v>
                </pt>
                <pt idx="60">
                  <v>0.988385916780979</v>
                </pt>
                <pt idx="61">
                  <v>0.980658436213992</v>
                </pt>
                <pt idx="62">
                  <v>1.05349794238683</v>
                </pt>
                <pt idx="63">
                  <v>1.15189757658893</v>
                </pt>
                <pt idx="64">
                  <v>1.14133516232282</v>
                </pt>
                <pt idx="65">
                  <v>1.0612711476909</v>
                </pt>
                <pt idx="66">
                  <v>0.999268404206676</v>
                </pt>
                <pt idx="67">
                  <v>1.03840877914952</v>
                </pt>
                <pt idx="68">
                  <v>0.996410608139003</v>
                </pt>
                <pt idx="69">
                  <v>0.9782350251486051</v>
                </pt>
                <pt idx="70">
                  <v>0.911522633744856</v>
                </pt>
                <pt idx="71">
                  <v>0.982007315957933</v>
                </pt>
                <pt idx="72">
                  <v>0.9939643347050759</v>
                </pt>
                <pt idx="73">
                  <v>1.04755372656607</v>
                </pt>
                <pt idx="74">
                  <v>1.06643804298125</v>
                </pt>
                <pt idx="75">
                  <v>1.11284865112026</v>
                </pt>
                <pt idx="76">
                  <v>1.13770004572474</v>
                </pt>
                <pt idx="77">
                  <v>1.08875171467764</v>
                </pt>
                <pt idx="78">
                  <v>1.09757658893461</v>
                </pt>
                <pt idx="79">
                  <v>1.09538180155464</v>
                </pt>
                <pt idx="80">
                  <v>1.06266575217193</v>
                </pt>
                <pt idx="81">
                  <v>1.05413808870599</v>
                </pt>
                <pt idx="82">
                  <v>1.12194787379973</v>
                </pt>
                <pt idx="83">
                  <v>1.11184270690444</v>
                </pt>
                <pt idx="84">
                  <v>1.11634659350709</v>
                </pt>
                <pt idx="85">
                  <v>1.15989940557842</v>
                </pt>
                <pt idx="86">
                  <v>1.15983081847279</v>
                </pt>
                <pt idx="87">
                  <v>1.00210333790581</v>
                </pt>
                <pt idx="88">
                  <v>1.00903063557385</v>
                </pt>
                <pt idx="89">
                  <v>1.05891632373114</v>
                </pt>
                <pt idx="90">
                  <v>1.06890717878372</v>
                </pt>
                <pt idx="91">
                  <v>1.09101508916324</v>
                </pt>
                <pt idx="92">
                  <v>1.09503886602652</v>
                </pt>
                <pt idx="93">
                  <v>1.0949702789209</v>
                </pt>
                <pt idx="94">
                  <v>1.09222679469593</v>
                </pt>
                <pt idx="95">
                  <v>1.10205761316872</v>
                </pt>
                <pt idx="96">
                  <v>0.887814326868463</v>
                </pt>
                <pt idx="97">
                  <v>0.891426620169432</v>
                </pt>
                <pt idx="98">
                  <v>0.891426620169432</v>
                </pt>
              </numCache>
            </numRef>
          </val>
          <smooth val="0"/>
        </ser>
        <ser>
          <idx val="7"/>
          <order val="7"/>
          <tx>
            <strRef>
              <f>'奢侈品 Normalized'!$I$2</f>
              <strCache>
                <ptCount val="1"/>
                <pt idx="0">
                  <v>RMS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Normalized'!$I$3:$I$101</f>
              <numCache>
                <formatCode>General</formatCode>
                <ptCount val="99"/>
                <pt idx="0">
                  <v>1.007452</v>
                </pt>
                <pt idx="1">
                  <v>1.061015</v>
                </pt>
                <pt idx="2">
                  <v>1.056823</v>
                </pt>
                <pt idx="3">
                  <v>1.072194</v>
                </pt>
                <pt idx="4">
                  <v>1.073591</v>
                </pt>
                <pt idx="5">
                  <v>1.088961</v>
                </pt>
                <pt idx="6">
                  <v>1.095948</v>
                </pt>
                <pt idx="7">
                  <v>1.163484</v>
                </pt>
                <pt idx="8">
                  <v>1.23987</v>
                </pt>
                <pt idx="9">
                  <v>1.266884</v>
                </pt>
                <pt idx="10">
                  <v>1.280857</v>
                </pt>
                <pt idx="11">
                  <v>1.308337</v>
                </pt>
                <pt idx="12">
                  <v>1.254774</v>
                </pt>
                <pt idx="13">
                  <v>1.273871</v>
                </pt>
                <pt idx="14">
                  <v>1.162087</v>
                </pt>
                <pt idx="15">
                  <v>1.157895</v>
                </pt>
                <pt idx="16">
                  <v>1.163484</v>
                </pt>
                <pt idx="17">
                  <v>1.122962</v>
                </pt>
                <pt idx="18">
                  <v>0.994411</v>
                </pt>
                <pt idx="19">
                  <v>1.094551</v>
                </pt>
                <pt idx="20">
                  <v>1.065207</v>
                </pt>
                <pt idx="21">
                  <v>1.11551</v>
                </pt>
                <pt idx="22">
                  <v>1.149045</v>
                </pt>
                <pt idx="23">
                  <v>1.18258</v>
                </pt>
                <pt idx="24">
                  <v>1.191896</v>
                </pt>
                <pt idx="25">
                  <v>1.112715</v>
                </pt>
                <pt idx="26">
                  <v>1.11551</v>
                </pt>
                <pt idx="27">
                  <v>1.082906</v>
                </pt>
                <pt idx="28">
                  <v>1.074057</v>
                </pt>
                <pt idx="29">
                  <v>1.054495</v>
                </pt>
                <pt idx="30">
                  <v>1.070796</v>
                </pt>
                <pt idx="31">
                  <v>1.117839</v>
                </pt>
                <pt idx="32">
                  <v>1.122031</v>
                </pt>
                <pt idx="33">
                  <v>1.084769</v>
                </pt>
                <pt idx="34">
                  <v>1.11225</v>
                </pt>
                <pt idx="35">
                  <v>0.976712</v>
                </pt>
                <pt idx="36">
                  <v>0.948766</v>
                </pt>
                <pt idx="37">
                  <v>0.965533</v>
                </pt>
                <pt idx="38">
                  <v>0.969259</v>
                </pt>
                <pt idx="39">
                  <v>0.960876</v>
                </pt>
                <pt idx="40">
                  <v>0.952026</v>
                </pt>
                <pt idx="41">
                  <v>0.98789</v>
                </pt>
                <pt idx="42">
                  <v>0.98463</v>
                </pt>
                <pt idx="43">
                  <v>0.986959</v>
                </pt>
                <pt idx="44">
                  <v>0.981835</v>
                </pt>
                <pt idx="45">
                  <v>0.951095</v>
                </pt>
                <pt idx="46">
                  <v>1.033069</v>
                </pt>
                <pt idx="47">
                  <v>1.027946</v>
                </pt>
                <pt idx="48">
                  <v>0.985561</v>
                </pt>
                <pt idx="49">
                  <v>0.971588</v>
                </pt>
                <pt idx="50">
                  <v>0.989753</v>
                </pt>
                <pt idx="51">
                  <v>0.9827669999999999</v>
                </pt>
                <pt idx="52">
                  <v>1</v>
                </pt>
                <pt idx="53">
                  <v>1.05316689782709</v>
                </pt>
                <pt idx="54">
                  <v>1.04900601017106</v>
                </pt>
                <pt idx="55">
                  <v>1.06426259824318</v>
                </pt>
                <pt idx="56">
                  <v>1.06564956079519</v>
                </pt>
                <pt idx="57">
                  <v>1.08090614886731</v>
                </pt>
                <pt idx="58">
                  <v>1.08784096162737</v>
                </pt>
                <pt idx="59">
                  <v>1.15487748497457</v>
                </pt>
                <pt idx="60">
                  <v>1.23069810448451</v>
                </pt>
                <pt idx="61">
                  <v>1.25751271382339</v>
                </pt>
                <pt idx="62">
                  <v>1.2713823393435</v>
                </pt>
                <pt idx="63">
                  <v>1.29865926953306</v>
                </pt>
                <pt idx="64">
                  <v>1.24549237170596</v>
                </pt>
                <pt idx="65">
                  <v>1.26444752658345</v>
                </pt>
                <pt idx="66">
                  <v>1.15349052242256</v>
                </pt>
                <pt idx="67">
                  <v>1.14932963476653</v>
                </pt>
                <pt idx="68">
                  <v>1.15487748497457</v>
                </pt>
                <pt idx="69">
                  <v>1.11465557096625</v>
                </pt>
                <pt idx="70">
                  <v>0.98705501618123</v>
                </pt>
                <pt idx="71">
                  <v>1.08645399907536</v>
                </pt>
                <pt idx="72">
                  <v>1.05732778548313</v>
                </pt>
                <pt idx="73">
                  <v>1.10725843735552</v>
                </pt>
                <pt idx="74">
                  <v>1.14054553860379</v>
                </pt>
                <pt idx="75">
                  <v>1.17383263985206</v>
                </pt>
                <pt idx="76">
                  <v>1.18307905686546</v>
                </pt>
                <pt idx="77">
                  <v>1.1044845122515</v>
                </pt>
                <pt idx="78">
                  <v>1.10725843735552</v>
                </pt>
                <pt idx="79">
                  <v>1.0748959778086</v>
                </pt>
                <pt idx="80">
                  <v>1.06611188164586</v>
                </pt>
                <pt idx="81">
                  <v>1.04669440591771</v>
                </pt>
                <pt idx="82">
                  <v>1.06287563569117</v>
                </pt>
                <pt idx="83">
                  <v>1.10957004160888</v>
                </pt>
                <pt idx="84">
                  <v>1.11373092926491</v>
                </pt>
                <pt idx="85">
                  <v>1.07674526121128</v>
                </pt>
                <pt idx="86">
                  <v>1.10402219140083</v>
                </pt>
                <pt idx="87">
                  <v>0.969486823855756</v>
                </pt>
                <pt idx="88">
                  <v>0.941747572815534</v>
                </pt>
                <pt idx="89">
                  <v>0.958391123439667</v>
                </pt>
                <pt idx="90">
                  <v>0.96208969024503</v>
                </pt>
                <pt idx="91">
                  <v>0.953767914932963</v>
                </pt>
                <pt idx="92">
                  <v>0.944983818770227</v>
                </pt>
                <pt idx="93">
                  <v>0.980582524271845</v>
                </pt>
                <pt idx="94">
                  <v>0.977346278317152</v>
                </pt>
                <pt idx="95">
                  <v>0.979657882570504</v>
                </pt>
                <pt idx="96">
                  <v>0.6007859454461399</v>
                </pt>
                <pt idx="97">
                  <v>0.593157651410079</v>
                </pt>
                <pt idx="98">
                  <v>0.605177993527508</v>
                </pt>
              </numCache>
            </numRef>
          </val>
          <smooth val="0"/>
        </ser>
        <ser>
          <idx val="8"/>
          <order val="8"/>
          <tx>
            <strRef>
              <f>'奢侈品 Normalized'!$J$2</f>
              <strCache>
                <ptCount val="1"/>
                <pt idx="0">
                  <v>MC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Normalized'!$J$3:$J$101</f>
              <numCache>
                <formatCode>General</formatCode>
                <ptCount val="99"/>
                <pt idx="0">
                  <v>0.943053</v>
                </pt>
                <pt idx="1">
                  <v>1.015404</v>
                </pt>
                <pt idx="2">
                  <v>0.982107</v>
                </pt>
                <pt idx="3">
                  <v>0.9789949999999999</v>
                </pt>
                <pt idx="4">
                  <v>0.97915</v>
                </pt>
                <pt idx="5">
                  <v>0.987397</v>
                </pt>
                <pt idx="6">
                  <v>1.005757</v>
                </pt>
                <pt idx="7">
                  <v>1.06286</v>
                </pt>
                <pt idx="8">
                  <v>1.17442</v>
                </pt>
                <pt idx="9">
                  <v>1.073751</v>
                </pt>
                <pt idx="10">
                  <v>1.066283</v>
                </pt>
                <pt idx="11">
                  <v>1.091489</v>
                </pt>
                <pt idx="12">
                  <v>1.076863</v>
                </pt>
                <pt idx="13">
                  <v>1.07484</v>
                </pt>
                <pt idx="14">
                  <v>0.980706</v>
                </pt>
                <pt idx="15">
                  <v>0.948654</v>
                </pt>
                <pt idx="16">
                  <v>0.927805</v>
                </pt>
                <pt idx="17">
                  <v>0.889529</v>
                </pt>
                <pt idx="18">
                  <v>0.789793</v>
                </pt>
                <pt idx="19">
                  <v>0.824802</v>
                </pt>
                <pt idx="20">
                  <v>0.755562</v>
                </pt>
                <pt idx="21">
                  <v>0.78108</v>
                </pt>
                <pt idx="22">
                  <v>0.765909</v>
                </pt>
                <pt idx="23">
                  <v>0.825424</v>
                </pt>
                <pt idx="24">
                  <v>0.77579</v>
                </pt>
                <pt idx="25">
                  <v>0.752217</v>
                </pt>
                <pt idx="26">
                  <v>0.742493</v>
                </pt>
                <pt idx="27">
                  <v>0.733702</v>
                </pt>
                <pt idx="28">
                  <v>0.727167</v>
                </pt>
                <pt idx="29">
                  <v>0.69986</v>
                </pt>
                <pt idx="30">
                  <v>0.691769</v>
                </pt>
                <pt idx="31">
                  <v>0.739614</v>
                </pt>
                <pt idx="32">
                  <v>0.746149</v>
                </pt>
                <pt idx="33">
                  <v>0.729423</v>
                </pt>
                <pt idx="34">
                  <v>0.761164</v>
                </pt>
                <pt idx="35">
                  <v>0.719309</v>
                </pt>
                <pt idx="36">
                  <v>0.712619</v>
                </pt>
                <pt idx="37">
                  <v>0.7403920000000001</v>
                </pt>
                <pt idx="38">
                  <v>0.759374</v>
                </pt>
                <pt idx="39">
                  <v>0.783725</v>
                </pt>
                <pt idx="40">
                  <v>0.7719780000000001</v>
                </pt>
                <pt idx="41">
                  <v>0.784503</v>
                </pt>
                <pt idx="42">
                  <v>0.788859</v>
                </pt>
                <pt idx="43">
                  <v>0.81391</v>
                </pt>
                <pt idx="44">
                  <v>0.840828</v>
                </pt>
                <pt idx="45">
                  <v>0.840828</v>
                </pt>
                <pt idx="46">
                  <v>0.952388</v>
                </pt>
                <pt idx="47">
                  <v>0.9514550000000001</v>
                </pt>
                <pt idx="48">
                  <v>0.959701</v>
                </pt>
                <pt idx="49">
                  <v>0.961413</v>
                </pt>
                <pt idx="50">
                  <v>0.970904</v>
                </pt>
                <pt idx="51">
                  <v>0.967325</v>
                </pt>
                <pt idx="52">
                  <v>1</v>
                </pt>
                <pt idx="53">
                  <v>1.07672001319914</v>
                </pt>
                <pt idx="54">
                  <v>1.04141230819997</v>
                </pt>
                <pt idx="55">
                  <v>1.03811252268603</v>
                </pt>
                <pt idx="56">
                  <v>1.03827751196172</v>
                </pt>
                <pt idx="57">
                  <v>1.04702194357367</v>
                </pt>
                <pt idx="58">
                  <v>1.06649067810592</v>
                </pt>
                <pt idx="59">
                  <v>1.12704174228675</v>
                </pt>
                <pt idx="60">
                  <v>1.24533905296156</v>
                </pt>
                <pt idx="61">
                  <v>1.13859099158555</v>
                </pt>
                <pt idx="62">
                  <v>1.13067150635209</v>
                </pt>
                <pt idx="63">
                  <v>1.15739976901501</v>
                </pt>
                <pt idx="64">
                  <v>1.14189077709949</v>
                </pt>
                <pt idx="65">
                  <v>1.13974591651543</v>
                </pt>
                <pt idx="66">
                  <v>1.03992740471869</v>
                </pt>
                <pt idx="67">
                  <v>1.00593961392509</v>
                </pt>
                <pt idx="68">
                  <v>0.983831050981686</v>
                </pt>
                <pt idx="69">
                  <v>0.943243689160205</v>
                </pt>
                <pt idx="70">
                  <v>0.837485563438377</v>
                </pt>
                <pt idx="71">
                  <v>0.874608150470219</v>
                </pt>
                <pt idx="72">
                  <v>0.801187922785019</v>
                </pt>
                <pt idx="73">
                  <v>0.82824616399934</v>
                </pt>
                <pt idx="74">
                  <v>0.812159709618875</v>
                </pt>
                <pt idx="75">
                  <v>0.875268107573008</v>
                </pt>
                <pt idx="76">
                  <v>0.822636528625639</v>
                </pt>
                <pt idx="77">
                  <v>0.797640653357532</v>
                </pt>
                <pt idx="78">
                  <v>0.7873288236264639</v>
                </pt>
                <pt idx="79">
                  <v>0.778006929549579</v>
                </pt>
                <pt idx="80">
                  <v>0.771077379970302</v>
                </pt>
                <pt idx="81">
                  <v>0.742121762085464</v>
                </pt>
                <pt idx="82">
                  <v>0.733542319749216</v>
                </pt>
                <pt idx="83">
                  <v>0.784276522026068</v>
                </pt>
                <pt idx="84">
                  <v>0.791206071605346</v>
                </pt>
                <pt idx="85">
                  <v>0.77346972446791</v>
                </pt>
                <pt idx="86">
                  <v>0.8071275367101139</v>
                </pt>
                <pt idx="87">
                  <v>0.7627454215475989</v>
                </pt>
                <pt idx="88">
                  <v>0.755650882692625</v>
                </pt>
                <pt idx="89">
                  <v>0.785101468404554</v>
                </pt>
                <pt idx="90">
                  <v>0.805230160039597</v>
                </pt>
                <pt idx="91">
                  <v>0.83105098168619</v>
                </pt>
                <pt idx="92">
                  <v>0.818594291371061</v>
                </pt>
                <pt idx="93">
                  <v>0.831875928064676</v>
                </pt>
                <pt idx="94">
                  <v>0.836495627784194</v>
                </pt>
                <pt idx="95">
                  <v>0.863058901171424</v>
                </pt>
                <pt idx="96">
                  <v>0.624566883011003</v>
                </pt>
                <pt idx="97">
                  <v>0.626959247648903</v>
                </pt>
                <pt idx="98">
                  <v>0.634053766363585</v>
                </pt>
              </numCache>
            </numRef>
          </val>
          <smooth val="0"/>
        </ser>
        <ser>
          <idx val="9"/>
          <order val="9"/>
          <tx>
            <strRef>
              <f>'奢侈品 Normalized'!$K$2</f>
              <strCache>
                <ptCount val="1"/>
                <pt idx="0">
                  <v>BRBY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Normalized'!$K$3:$K$101</f>
              <numCache>
                <formatCode>General</formatCode>
                <ptCount val="99"/>
                <pt idx="0">
                  <v>0.782847</v>
                </pt>
                <pt idx="1">
                  <v>0.831904</v>
                </pt>
                <pt idx="2">
                  <v>0.817153</v>
                </pt>
                <pt idx="3">
                  <v>0.832075</v>
                </pt>
                <pt idx="4">
                  <v>0.825386</v>
                </pt>
                <pt idx="5">
                  <v>0.817839</v>
                </pt>
                <pt idx="6">
                  <v>0.830189</v>
                </pt>
                <pt idx="7">
                  <v>0.834305</v>
                </pt>
                <pt idx="8">
                  <v>0.971698</v>
                </pt>
                <pt idx="9">
                  <v>1.021441</v>
                </pt>
                <pt idx="10">
                  <v>1.015866</v>
                </pt>
                <pt idx="11">
                  <v>0.9905659999999999</v>
                </pt>
                <pt idx="12">
                  <v>0.876501</v>
                </pt>
                <pt idx="13">
                  <v>0.950257</v>
                </pt>
                <pt idx="14">
                  <v>0.861492</v>
                </pt>
                <pt idx="15">
                  <v>0.778559</v>
                </pt>
                <pt idx="16">
                  <v>0.716981</v>
                </pt>
                <pt idx="17">
                  <v>0.661921</v>
                </pt>
                <pt idx="18">
                  <v>0.548027</v>
                </pt>
                <pt idx="19">
                  <v>0.588679</v>
                </pt>
                <pt idx="20">
                  <v>0.561063</v>
                </pt>
                <pt idx="21">
                  <v>0.624185</v>
                </pt>
                <pt idx="22">
                  <v>0.623328</v>
                </pt>
                <pt idx="23">
                  <v>0.6835329999999999</v>
                </pt>
                <pt idx="24">
                  <v>0.867067</v>
                </pt>
                <pt idx="25">
                  <v>0.824871</v>
                </pt>
                <pt idx="26">
                  <v>0.896226</v>
                </pt>
                <pt idx="27">
                  <v>0.922813</v>
                </pt>
                <pt idx="28">
                  <v>0.95283</v>
                </pt>
                <pt idx="29">
                  <v>0.857633</v>
                </pt>
                <pt idx="30">
                  <v>1.013722</v>
                </pt>
                <pt idx="31">
                  <v>1.077187</v>
                </pt>
                <pt idx="32">
                  <v>1.059605</v>
                </pt>
                <pt idx="33">
                  <v>1.120069</v>
                </pt>
                <pt idx="34">
                  <v>1.176244</v>
                </pt>
                <pt idx="35">
                  <v>1.104202</v>
                </pt>
                <pt idx="36">
                  <v>0.981132</v>
                </pt>
                <pt idx="37">
                  <v>0.954974</v>
                </pt>
                <pt idx="38">
                  <v>1.048885</v>
                </pt>
                <pt idx="39">
                  <v>1.070326</v>
                </pt>
                <pt idx="40">
                  <v>1.090909</v>
                </pt>
                <pt idx="41">
                  <v>0.919383</v>
                </pt>
                <pt idx="42">
                  <v>0.961835</v>
                </pt>
                <pt idx="43">
                  <v>1.005575</v>
                </pt>
                <pt idx="44">
                  <v>1.030875</v>
                </pt>
                <pt idx="45">
                  <v>1.014151</v>
                </pt>
                <pt idx="46">
                  <v>1.05789</v>
                </pt>
                <pt idx="47">
                  <v>1.136792</v>
                </pt>
                <pt idx="48">
                  <v>1.042024</v>
                </pt>
                <pt idx="49">
                  <v>1.014151</v>
                </pt>
                <pt idx="50">
                  <v>0.986707</v>
                </pt>
                <pt idx="51">
                  <v>0.957118</v>
                </pt>
                <pt idx="52">
                  <v>1</v>
                </pt>
                <pt idx="53">
                  <v>1.0626643295355</v>
                </pt>
                <pt idx="54">
                  <v>1.04382120946538</v>
                </pt>
                <pt idx="55">
                  <v>1.06288343558282</v>
                </pt>
                <pt idx="56">
                  <v>1.05433829973707</v>
                </pt>
                <pt idx="57">
                  <v>1.04469763365469</v>
                </pt>
                <pt idx="58">
                  <v>1.06047326906223</v>
                </pt>
                <pt idx="59">
                  <v>1.06573181419807</v>
                </pt>
                <pt idx="60">
                  <v>1.24123575810692</v>
                </pt>
                <pt idx="61">
                  <v>1.30477651183173</v>
                </pt>
                <pt idx="62">
                  <v>1.2976555652936</v>
                </pt>
                <pt idx="63">
                  <v>1.26533742331288</v>
                </pt>
                <pt idx="64">
                  <v>1.11963190184049</v>
                </pt>
                <pt idx="65">
                  <v>1.21384750219106</v>
                </pt>
                <pt idx="66">
                  <v>1.10046012269939</v>
                </pt>
                <pt idx="67">
                  <v>0.994522348816827</v>
                </pt>
                <pt idx="68">
                  <v>0.915863277826468</v>
                </pt>
                <pt idx="69">
                  <v>0.845530236634531</v>
                </pt>
                <pt idx="70">
                  <v>0.700043821209465</v>
                </pt>
                <pt idx="71">
                  <v>0.751971954425942</v>
                </pt>
                <pt idx="72">
                  <v>0.71669588080631</v>
                </pt>
                <pt idx="73">
                  <v>0.797326906222612</v>
                </pt>
                <pt idx="74">
                  <v>0.796231375985977</v>
                </pt>
                <pt idx="75">
                  <v>0.873137598597721</v>
                </pt>
                <pt idx="76">
                  <v>1.10758106923751</v>
                </pt>
                <pt idx="77">
                  <v>1.05368098159509</v>
                </pt>
                <pt idx="78">
                  <v>1.14482909728309</v>
                </pt>
                <pt idx="79">
                  <v>1.17879053461876</v>
                </pt>
                <pt idx="80">
                  <v>1.21713409290096</v>
                </pt>
                <pt idx="81">
                  <v>1.09553023663453</v>
                </pt>
                <pt idx="82">
                  <v>1.29491673970202</v>
                </pt>
                <pt idx="83">
                  <v>1.37598597721297</v>
                </pt>
                <pt idx="84">
                  <v>1.35352760736196</v>
                </pt>
                <pt idx="85">
                  <v>1.4307624890447</v>
                </pt>
                <pt idx="86">
                  <v>1.50251971954426</v>
                </pt>
                <pt idx="87">
                  <v>1.41049517966696</v>
                </pt>
                <pt idx="88">
                  <v>1.2532865907099</v>
                </pt>
                <pt idx="89">
                  <v>1.21987291849255</v>
                </pt>
                <pt idx="90">
                  <v>1.33983347940403</v>
                </pt>
                <pt idx="91">
                  <v>1.36722173531989</v>
                </pt>
                <pt idx="92">
                  <v>1.39351446099912</v>
                </pt>
                <pt idx="93">
                  <v>1.17440841367222</v>
                </pt>
                <pt idx="94">
                  <v>1.22863716038563</v>
                </pt>
                <pt idx="95">
                  <v>1.28450920245399</v>
                </pt>
                <pt idx="96">
                  <v>1.10703330411919</v>
                </pt>
                <pt idx="97">
                  <v>1.12237072743208</v>
                </pt>
                <pt idx="98">
                  <v>1.13551709027169</v>
                </pt>
              </numCache>
            </numRef>
          </val>
          <smooth val="0"/>
        </ser>
        <ser>
          <idx val="10"/>
          <order val="10"/>
          <tx>
            <strRef>
              <f>'奢侈品 Normalized'!$L$2</f>
              <strCache>
                <ptCount val="1"/>
                <pt idx="0">
                  <v>CPRI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Normalized'!$L$3:$L$101</f>
              <numCache>
                <formatCode>General</formatCode>
                <ptCount val="99"/>
                <pt idx="0">
                  <v>0.927778</v>
                </pt>
                <pt idx="1">
                  <v>0.884921</v>
                </pt>
                <pt idx="2">
                  <v>0.878968</v>
                </pt>
                <pt idx="3">
                  <v>0.847222</v>
                </pt>
                <pt idx="4">
                  <v>0.814286</v>
                </pt>
                <pt idx="5">
                  <v>0.868651</v>
                </pt>
                <pt idx="6">
                  <v>0.943651</v>
                </pt>
                <pt idx="7">
                  <v>0.945238</v>
                </pt>
                <pt idx="8">
                  <v>1.005556</v>
                </pt>
                <pt idx="9">
                  <v>0.950397</v>
                </pt>
                <pt idx="10">
                  <v>0.8722220000000001</v>
                </pt>
                <pt idx="11">
                  <v>0.89127</v>
                </pt>
                <pt idx="12">
                  <v>0.842063</v>
                </pt>
                <pt idx="13">
                  <v>0.905952</v>
                </pt>
                <pt idx="14">
                  <v>0.754762</v>
                </pt>
                <pt idx="15">
                  <v>0.846429</v>
                </pt>
                <pt idx="16">
                  <v>0.844048</v>
                </pt>
                <pt idx="17">
                  <v>0.782936</v>
                </pt>
                <pt idx="18">
                  <v>0.551984</v>
                </pt>
                <pt idx="19">
                  <v>0.571429</v>
                </pt>
                <pt idx="20">
                  <v>0.542063</v>
                </pt>
                <pt idx="21">
                  <v>0.6023810000000001</v>
                </pt>
                <pt idx="22">
                  <v>0.6115080000000001</v>
                </pt>
                <pt idx="23">
                  <v>0.732143</v>
                </pt>
                <pt idx="24">
                  <v>0.723016</v>
                </pt>
                <pt idx="25">
                  <v>0.666667</v>
                </pt>
                <pt idx="26">
                  <v>0.690476</v>
                </pt>
                <pt idx="27">
                  <v>0.690873</v>
                </pt>
                <pt idx="28">
                  <v>0.690476</v>
                </pt>
                <pt idx="29">
                  <v>0.665873</v>
                </pt>
                <pt idx="30">
                  <v>0.702381</v>
                </pt>
                <pt idx="31">
                  <v>0.734127</v>
                </pt>
                <pt idx="32">
                  <v>0.761111</v>
                </pt>
                <pt idx="33">
                  <v>0.770238</v>
                </pt>
                <pt idx="34">
                  <v>0.7833329999999999</v>
                </pt>
                <pt idx="35">
                  <v>0.726587</v>
                </pt>
                <pt idx="36">
                  <v>0.770635</v>
                </pt>
                <pt idx="37">
                  <v>0.813492</v>
                </pt>
                <pt idx="38">
                  <v>0.846429</v>
                </pt>
                <pt idx="39">
                  <v>0.817063</v>
                </pt>
                <pt idx="40">
                  <v>0.812302</v>
                </pt>
                <pt idx="41">
                  <v>0.859921</v>
                </pt>
                <pt idx="42">
                  <v>0.795635</v>
                </pt>
                <pt idx="43">
                  <v>0.781349</v>
                </pt>
                <pt idx="44">
                  <v>0.840476</v>
                </pt>
                <pt idx="45">
                  <v>0.792857</v>
                </pt>
                <pt idx="46">
                  <v>0.850397</v>
                </pt>
                <pt idx="47">
                  <v>0.894444</v>
                </pt>
                <pt idx="48">
                  <v>0.822222</v>
                </pt>
                <pt idx="49">
                  <v>0.857936</v>
                </pt>
                <pt idx="50">
                  <v>0.861111</v>
                </pt>
                <pt idx="51">
                  <v>0.952381</v>
                </pt>
                <pt idx="52">
                  <v>1</v>
                </pt>
                <pt idx="53">
                  <v>0.953806672369547</v>
                </pt>
                <pt idx="54">
                  <v>0.947390932420872</v>
                </pt>
                <pt idx="55">
                  <v>0.913173652694611</v>
                </pt>
                <pt idx="56">
                  <v>0.877673224978614</v>
                </pt>
                <pt idx="57">
                  <v>0.9362703165098371</v>
                </pt>
                <pt idx="58">
                  <v>1.01710863986313</v>
                </pt>
                <pt idx="59">
                  <v>1.01881950384944</v>
                </pt>
                <pt idx="60">
                  <v>1.08383233532934</v>
                </pt>
                <pt idx="61">
                  <v>1.02437981180496</v>
                </pt>
                <pt idx="62">
                  <v>0.940119760479042</v>
                </pt>
                <pt idx="63">
                  <v>0.960650128314799</v>
                </pt>
                <pt idx="64">
                  <v>0.9076133447390931</v>
                </pt>
                <pt idx="65">
                  <v>0.976475620188195</v>
                </pt>
                <pt idx="66">
                  <v>0.813515825491873</v>
                </pt>
                <pt idx="67">
                  <v>0.912318220701454</v>
                </pt>
                <pt idx="68">
                  <v>0.909751924721985</v>
                </pt>
                <pt idx="69">
                  <v>0.843883661248931</v>
                </pt>
                <pt idx="70">
                  <v>0.5949529512403759</v>
                </pt>
                <pt idx="71">
                  <v>0.6159110350727121</v>
                </pt>
                <pt idx="72">
                  <v>0.58426005132592</v>
                </pt>
                <pt idx="73">
                  <v>0.649272882805817</v>
                </pt>
                <pt idx="74">
                  <v>0.659110350727117</v>
                </pt>
                <pt idx="75">
                  <v>0.789136013686912</v>
                </pt>
                <pt idx="76">
                  <v>0.779298545765612</v>
                </pt>
                <pt idx="77">
                  <v>0.718562874251497</v>
                </pt>
                <pt idx="78">
                  <v>0.744225834046193</v>
                </pt>
                <pt idx="79">
                  <v>0.744653550042772</v>
                </pt>
                <pt idx="80">
                  <v>0.744225834046193</v>
                </pt>
                <pt idx="81">
                  <v>0.71770744225834</v>
                </pt>
                <pt idx="82">
                  <v>0.757057313943541</v>
                </pt>
                <pt idx="83">
                  <v>0.791274593669803</v>
                </pt>
                <pt idx="84">
                  <v>0.820359281437126</v>
                </pt>
                <pt idx="85">
                  <v>0.830196749358426</v>
                </pt>
                <pt idx="86">
                  <v>0.844311377245509</v>
                </pt>
                <pt idx="87">
                  <v>0.783147989734816</v>
                </pt>
                <pt idx="88">
                  <v>0.830624465355004</v>
                </pt>
                <pt idx="89">
                  <v>0.876817792985458</v>
                </pt>
                <pt idx="90">
                  <v>0.912318220701454</v>
                </pt>
                <pt idx="91">
                  <v>0.880667236954662</v>
                </pt>
                <pt idx="92">
                  <v>0.875534644995723</v>
                </pt>
                <pt idx="93">
                  <v>0.926860564585116</v>
                </pt>
                <pt idx="94">
                  <v>0.857570573139436</v>
                </pt>
                <pt idx="95">
                  <v>0.842172797262618</v>
                </pt>
                <pt idx="96">
                  <v>0.617621881111347</v>
                </pt>
                <pt idx="97">
                  <v>0.639435406726482</v>
                </pt>
                <pt idx="98">
                  <v>0.639435406726482</v>
                </pt>
              </numCache>
            </numRef>
          </val>
          <smooth val="0"/>
        </ser>
        <ser>
          <idx val="11"/>
          <order val="11"/>
          <tx>
            <strRef>
              <f>'奢侈品 Normalized'!$M$2</f>
              <strCache>
                <ptCount val="1"/>
                <pt idx="0">
                  <v>PVH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Normalized'!$M$3:$M$101</f>
              <numCache>
                <formatCode>General</formatCode>
                <ptCount val="99"/>
                <pt idx="0">
                  <v>1.304047</v>
                </pt>
                <pt idx="1">
                  <v>1.267683</v>
                </pt>
                <pt idx="2">
                  <v>1.293138</v>
                </pt>
                <pt idx="3">
                  <v>1.260293</v>
                </pt>
                <pt idx="4">
                  <v>1.24</v>
                </pt>
                <pt idx="5">
                  <v>1.264282</v>
                </pt>
                <pt idx="6">
                  <v>1.144985</v>
                </pt>
                <pt idx="7">
                  <v>1.088328</v>
                </pt>
                <pt idx="8">
                  <v>1.060293</v>
                </pt>
                <pt idx="9">
                  <v>0.977361</v>
                </pt>
                <pt idx="10">
                  <v>0.907918</v>
                </pt>
                <pt idx="11">
                  <v>0.911554</v>
                </pt>
                <pt idx="12">
                  <v>0.9212900000000001</v>
                </pt>
                <pt idx="13">
                  <v>0.835777</v>
                </pt>
                <pt idx="14">
                  <v>0.821818</v>
                </pt>
                <pt idx="15">
                  <v>0.766804</v>
                </pt>
                <pt idx="16">
                  <v>0.812903</v>
                </pt>
                <pt idx="17">
                  <v>0.75824</v>
                </pt>
                <pt idx="18">
                  <v>0.773959</v>
                </pt>
                <pt idx="19">
                  <v>0.824516</v>
                </pt>
                <pt idx="20">
                  <v>0.814076</v>
                </pt>
                <pt idx="21">
                  <v>0.834135</v>
                </pt>
                <pt idx="22">
                  <v>0.839765</v>
                </pt>
                <pt idx="23">
                  <v>0.925982</v>
                </pt>
                <pt idx="24">
                  <v>0.993666</v>
                </pt>
                <pt idx="25">
                  <v>0.9617599999999999</v>
                </pt>
                <pt idx="26">
                  <v>0.963402</v>
                </pt>
                <pt idx="27">
                  <v>0.766217</v>
                </pt>
                <pt idx="28">
                  <v>0.764223</v>
                </pt>
                <pt idx="29">
                  <v>0.742405</v>
                </pt>
                <pt idx="30">
                  <v>0.804692</v>
                </pt>
                <pt idx="31">
                  <v>0.85654</v>
                </pt>
                <pt idx="32">
                  <v>0.84868</v>
                </pt>
                <pt idx="33">
                  <v>0.859472</v>
                </pt>
                <pt idx="34">
                  <v>0.902405</v>
                </pt>
                <pt idx="35">
                  <v>0.873548</v>
                </pt>
                <pt idx="36">
                  <v>0.8426979999999999</v>
                </pt>
                <pt idx="37">
                  <v>0.894311</v>
                </pt>
                <pt idx="38">
                  <v>0.957185</v>
                </pt>
                <pt idx="39">
                  <v>0.9890910000000001</v>
                </pt>
                <pt idx="40">
                  <v>0.99261</v>
                </pt>
                <pt idx="41">
                  <v>0.985572</v>
                </pt>
                <pt idx="42">
                  <v>0.9980059999999999</v>
                </pt>
                <pt idx="43">
                  <v>0.99566</v>
                </pt>
                <pt idx="44">
                  <v>0.998358</v>
                </pt>
                <pt idx="45">
                  <v>0.9393550000000001</v>
                </pt>
                <pt idx="46">
                  <v>0.96305</v>
                </pt>
                <pt idx="47">
                  <v>1.002815</v>
                </pt>
                <pt idx="48">
                  <v>0.899472</v>
                </pt>
                <pt idx="49">
                  <v>0.897713</v>
                </pt>
                <pt idx="50">
                  <v>0.8924339999999999</v>
                </pt>
                <pt idx="51">
                  <v>0.913314</v>
                </pt>
                <pt idx="52">
                  <v>1</v>
                </pt>
                <pt idx="53">
                  <v>0.972114779167041</v>
                </pt>
                <pt idx="54">
                  <v>0.991634433750112</v>
                </pt>
                <pt idx="55">
                  <v>0.9664477826751821</v>
                </pt>
                <pt idx="56">
                  <v>0.950886030403886</v>
                </pt>
                <pt idx="57">
                  <v>0.9695061617342809</v>
                </pt>
                <pt idx="58">
                  <v>0.878024646937123</v>
                </pt>
                <pt idx="59">
                  <v>0.834577673832869</v>
                </pt>
                <pt idx="60">
                  <v>0.81307906809391</v>
                </pt>
                <pt idx="61">
                  <v>0.749482774129711</v>
                </pt>
                <pt idx="62">
                  <v>0.696230997571287</v>
                </pt>
                <pt idx="63">
                  <v>0.699019519654583</v>
                </pt>
                <pt idx="64">
                  <v>0.706485562651795</v>
                </pt>
                <pt idx="65">
                  <v>0.640910317531708</v>
                </pt>
                <pt idx="66">
                  <v>0.6302059908248629</v>
                </pt>
                <pt idx="67">
                  <v>0.588018350274355</v>
                </pt>
                <pt idx="68">
                  <v>0.623369614104525</v>
                </pt>
                <pt idx="69">
                  <v>0.581451830529819</v>
                </pt>
                <pt idx="70">
                  <v>0.593505442115679</v>
                </pt>
                <pt idx="71">
                  <v>0.632274894306018</v>
                </pt>
                <pt idx="72">
                  <v>0.624269137357201</v>
                </pt>
                <pt idx="73">
                  <v>0.639650984977962</v>
                </pt>
                <pt idx="74">
                  <v>0.643968696590807</v>
                </pt>
                <pt idx="75">
                  <v>0.710083655662499</v>
                </pt>
                <pt idx="76">
                  <v>0.7619861473419089</v>
                </pt>
                <pt idx="77">
                  <v>0.737519114869119</v>
                </pt>
                <pt idx="78">
                  <v>0.738778447422866</v>
                </pt>
                <pt idx="79">
                  <v>0.587568588648017</v>
                </pt>
                <pt idx="80">
                  <v>0.586039399118467</v>
                </pt>
                <pt idx="81">
                  <v>0.569308266618692</v>
                </pt>
                <pt idx="82">
                  <v>0.617072951335792</v>
                </pt>
                <pt idx="83">
                  <v>0.656831879104075</v>
                </pt>
                <pt idx="84">
                  <v>0.650805073311145</v>
                </pt>
                <pt idx="85">
                  <v>0.659080687235765</v>
                </pt>
                <pt idx="86">
                  <v>0.69200323828371</v>
                </pt>
                <pt idx="87">
                  <v>0.669874966267878</v>
                </pt>
                <pt idx="88">
                  <v>0.6462175047224969</v>
                </pt>
                <pt idx="89">
                  <v>0.685796527840245</v>
                </pt>
                <pt idx="90">
                  <v>0.734010974183683</v>
                </pt>
                <pt idx="91">
                  <v>0.758478006656472</v>
                </pt>
                <pt idx="92">
                  <v>0.7611765764145</v>
                </pt>
                <pt idx="93">
                  <v>0.755779436898444</v>
                </pt>
                <pt idx="94">
                  <v>0.76531438337681</v>
                </pt>
                <pt idx="95">
                  <v>0.763515336871458</v>
                </pt>
                <pt idx="96">
                  <v>0.679409901765736</v>
                </pt>
                <pt idx="97">
                  <v>0.731762152326357</v>
                </pt>
                <pt idx="98">
                  <v>0.731762152326357</v>
                </pt>
              </numCache>
            </numRef>
          </val>
          <smooth val="0"/>
        </ser>
        <ser>
          <idx val="12"/>
          <order val="12"/>
          <tx>
            <strRef>
              <f>'奢侈品 Normalized'!$N$2</f>
              <strCache>
                <ptCount val="1"/>
                <pt idx="0">
                  <v>TPR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1">
                  <a:tint val="65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Normalized'!$N$3:$N$101</f>
              <numCache>
                <formatCode>General</formatCode>
                <ptCount val="99"/>
                <pt idx="0">
                  <v>0.576093</v>
                </pt>
                <pt idx="1">
                  <v>0.555486</v>
                </pt>
                <pt idx="2">
                  <v>0.572703</v>
                </pt>
                <pt idx="3">
                  <v>0.577431</v>
                </pt>
                <pt idx="4">
                  <v>0.587154</v>
                </pt>
                <pt idx="5">
                  <v>0.603568</v>
                </pt>
                <pt idx="6">
                  <v>0.59545</v>
                </pt>
                <pt idx="7">
                  <v>0.636842</v>
                </pt>
                <pt idx="8">
                  <v>0.646833</v>
                </pt>
                <pt idx="9">
                  <v>0.655932</v>
                </pt>
                <pt idx="10">
                  <v>0.705174</v>
                </pt>
                <pt idx="11">
                  <v>0.7823369999999999</v>
                </pt>
                <pt idx="12">
                  <v>0.75281</v>
                </pt>
                <pt idx="13">
                  <v>0.750134</v>
                </pt>
                <pt idx="14">
                  <v>0.630687</v>
                </pt>
                <pt idx="15">
                  <v>0.6353259999999999</v>
                </pt>
                <pt idx="16">
                  <v>0.675468</v>
                </pt>
                <pt idx="17">
                  <v>0.6281</v>
                </pt>
                <pt idx="18">
                  <v>0.561909</v>
                </pt>
                <pt idx="19">
                  <v>0.568956</v>
                </pt>
                <pt idx="20">
                  <v>0.563604</v>
                </pt>
                <pt idx="21">
                  <v>0.617841</v>
                </pt>
                <pt idx="22">
                  <v>0.653791</v>
                </pt>
                <pt idx="23">
                  <v>0.7373769999999999</v>
                </pt>
                <pt idx="24">
                  <v>0.7347900000000001</v>
                </pt>
                <pt idx="25">
                  <v>0.685727</v>
                </pt>
                <pt idx="26">
                  <v>0.700803</v>
                </pt>
                <pt idx="27">
                  <v>0.707047</v>
                </pt>
                <pt idx="28">
                  <v>0.75165</v>
                </pt>
                <pt idx="29">
                  <v>0.764942</v>
                </pt>
                <pt idx="30">
                  <v>0.783318</v>
                </pt>
                <pt idx="31">
                  <v>0.824889</v>
                </pt>
                <pt idx="32">
                  <v>0.905888</v>
                </pt>
                <pt idx="33">
                  <v>0.949242</v>
                </pt>
                <pt idx="34">
                  <v>0.985013</v>
                </pt>
                <pt idx="35">
                  <v>0.998127</v>
                </pt>
                <pt idx="36">
                  <v>0.963069</v>
                </pt>
                <pt idx="37">
                  <v>0.891258</v>
                </pt>
                <pt idx="38">
                  <v>0.878412</v>
                </pt>
                <pt idx="39">
                  <v>0.908296</v>
                </pt>
                <pt idx="40">
                  <v>0.9350579999999999</v>
                </pt>
                <pt idx="41">
                  <v>0.982783</v>
                </pt>
                <pt idx="42">
                  <v>1.015879</v>
                </pt>
                <pt idx="43">
                  <v>0.994291</v>
                </pt>
                <pt idx="44">
                  <v>1.030241</v>
                </pt>
                <pt idx="45">
                  <v>1.017484</v>
                </pt>
                <pt idx="46">
                  <v>1.037823</v>
                </pt>
                <pt idx="47">
                  <v>1.025602</v>
                </pt>
                <pt idx="48">
                  <v>0.948528</v>
                </pt>
                <pt idx="49">
                  <v>0.946298</v>
                </pt>
                <pt idx="50">
                  <v>0.907583</v>
                </pt>
                <pt idx="51">
                  <v>0.942819</v>
                </pt>
                <pt idx="52">
                  <v>1</v>
                </pt>
                <pt idx="53">
                  <v>0.964230411892227</v>
                </pt>
                <pt idx="54">
                  <v>0.994115825332921</v>
                </pt>
                <pt idx="55">
                  <v>1.00232270052648</v>
                </pt>
                <pt idx="56">
                  <v>1.01920099101889</v>
                </pt>
                <pt idx="57">
                  <v>1.0476927841437</v>
                </pt>
                <pt idx="58">
                  <v>1.03360173428306</v>
                </pt>
                <pt idx="59">
                  <v>1.10545060390214</v>
                </pt>
                <pt idx="60">
                  <v>1.12279343449985</v>
                </pt>
                <pt idx="61">
                  <v>1.1385877980799</v>
                </pt>
                <pt idx="62">
                  <v>1.22406317745432</v>
                </pt>
                <pt idx="63">
                  <v>1.35800557448126</v>
                </pt>
                <pt idx="64">
                  <v>1.30675131619697</v>
                </pt>
                <pt idx="65">
                  <v>1.30210591514401</v>
                </pt>
                <pt idx="66">
                  <v>1.09476618148033</v>
                </pt>
                <pt idx="67">
                  <v>1.10281820997213</v>
                </pt>
                <pt idx="68">
                  <v>1.17249922576649</v>
                </pt>
                <pt idx="69">
                  <v>1.09027562712914</v>
                </pt>
                <pt idx="70">
                  <v>0.975379374419325</v>
                </pt>
                <pt idx="71">
                  <v>0.98761226385878</v>
                </pt>
                <pt idx="72">
                  <v>0.9783214617528651</v>
                </pt>
                <pt idx="73">
                  <v>1.07246825642614</v>
                </pt>
                <pt idx="74">
                  <v>1.13487147723754</v>
                </pt>
                <pt idx="75">
                  <v>1.27996283679158</v>
                </pt>
                <pt idx="76">
                  <v>1.27547228244038</v>
                </pt>
                <pt idx="77">
                  <v>1.1903065964695</v>
                </pt>
                <pt idx="78">
                  <v>1.21647568906782</v>
                </pt>
                <pt idx="79">
                  <v>1.22731495819139</v>
                </pt>
                <pt idx="80">
                  <v>1.30473830907402</v>
                </pt>
                <pt idx="81">
                  <v>1.32781046763704</v>
                </pt>
                <pt idx="82">
                  <v>1.35970888820068</v>
                </pt>
                <pt idx="83">
                  <v>1.43186745122329</v>
                </pt>
                <pt idx="84">
                  <v>1.57246825642614</v>
                </pt>
                <pt idx="85">
                  <v>1.64772375348405</v>
                </pt>
                <pt idx="86">
                  <v>1.70981728089192</v>
                </pt>
                <pt idx="87">
                  <v>1.73257974605141</v>
                </pt>
                <pt idx="88">
                  <v>1.67172499225766</v>
                </pt>
                <pt idx="89">
                  <v>1.54707339733664</v>
                </pt>
                <pt idx="90">
                  <v>1.52477547228244</v>
                </pt>
                <pt idx="91">
                  <v>1.5766491173738</v>
                </pt>
                <pt idx="92">
                  <v>1.62310312790338</v>
                </pt>
                <pt idx="93">
                  <v>1.70594611334779</v>
                </pt>
                <pt idx="94">
                  <v>1.76339423970269</v>
                </pt>
                <pt idx="95">
                  <v>1.7259213378755</v>
                </pt>
                <pt idx="96">
                  <v>1.82904928378108</v>
                </pt>
                <pt idx="97">
                  <v>1.79993802824047</v>
                </pt>
                <pt idx="98">
                  <v>1.79993802824047</v>
                </pt>
              </numCache>
            </numRef>
          </val>
          <smooth val="0"/>
        </ser>
        <ser>
          <idx val="13"/>
          <order val="13"/>
          <tx>
            <strRef>
              <f>'奢侈品 Normalized'!$O$2</f>
              <strCache>
                <ptCount val="1"/>
                <pt idx="0">
                  <v>GOOS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2">
                  <a:tint val="65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Normalized'!$O$3:$O$101</f>
              <numCache>
                <formatCode>General</formatCode>
                <ptCount val="99"/>
                <pt idx="0">
                  <v>0.672302</v>
                </pt>
                <pt idx="1">
                  <v>0.6996520000000001</v>
                </pt>
                <pt idx="2">
                  <v>0.710094</v>
                </pt>
                <pt idx="3">
                  <v>0.721034</v>
                </pt>
                <pt idx="4">
                  <v>0.7041269999999999</v>
                </pt>
                <pt idx="5">
                  <v>0.743411</v>
                </pt>
                <pt idx="6">
                  <v>0.706614</v>
                </pt>
                <pt idx="7">
                  <v>0.740428</v>
                </pt>
                <pt idx="8">
                  <v>0.770761</v>
                </pt>
                <pt idx="9">
                  <v>0.757832</v>
                </pt>
                <pt idx="10">
                  <v>0.700646</v>
                </pt>
                <pt idx="11">
                  <v>0.711089</v>
                </pt>
                <pt idx="12">
                  <v>0.823471</v>
                </pt>
                <pt idx="13">
                  <v>0.703133</v>
                </pt>
                <pt idx="14">
                  <v>0.669319</v>
                </pt>
                <pt idx="15">
                  <v>0.606166</v>
                </pt>
                <pt idx="16">
                  <v>0.613128</v>
                </pt>
                <pt idx="17">
                  <v>0.567379</v>
                </pt>
                <pt idx="18">
                  <v>0.517653</v>
                </pt>
                <pt idx="19">
                  <v>0.54003</v>
                </pt>
                <pt idx="20">
                  <v>0.561909</v>
                </pt>
                <pt idx="21">
                  <v>0.571855</v>
                </pt>
                <pt idx="22">
                  <v>0.57633</v>
                </pt>
                <pt idx="23">
                  <v>0.62904</v>
                </pt>
                <pt idx="24">
                  <v>0.633516</v>
                </pt>
                <pt idx="25">
                  <v>0.820487</v>
                </pt>
                <pt idx="26">
                  <v>0.7821979999999999</v>
                </pt>
                <pt idx="27">
                  <v>0.79811</v>
                </pt>
                <pt idx="28">
                  <v>0.783192</v>
                </pt>
                <pt idx="29">
                  <v>0.772253</v>
                </pt>
                <pt idx="30">
                  <v>0.757335</v>
                </pt>
                <pt idx="31">
                  <v>0.853307</v>
                </pt>
                <pt idx="32">
                  <v>0.938836</v>
                </pt>
                <pt idx="33">
                  <v>0.965191</v>
                </pt>
                <pt idx="34">
                  <v>0.935853</v>
                </pt>
                <pt idx="35">
                  <v>0.773247</v>
                </pt>
                <pt idx="36">
                  <v>0.758329</v>
                </pt>
                <pt idx="37">
                  <v>0.775236</v>
                </pt>
                <pt idx="38">
                  <v>0.812034</v>
                </pt>
                <pt idx="39">
                  <v>0.885132</v>
                </pt>
                <pt idx="40">
                  <v>1.036798</v>
                </pt>
                <pt idx="41">
                  <v>0.976131</v>
                </pt>
                <pt idx="42">
                  <v>0.941323</v>
                </pt>
                <pt idx="43">
                  <v>0.950273</v>
                </pt>
                <pt idx="44">
                  <v>0.990055</v>
                </pt>
                <pt idx="45">
                  <v>0.897563</v>
                </pt>
                <pt idx="46">
                  <v>0.917951</v>
                </pt>
                <pt idx="47">
                  <v>0.973645</v>
                </pt>
                <pt idx="48">
                  <v>0.986574</v>
                </pt>
                <pt idx="49">
                  <v>0.906514</v>
                </pt>
                <pt idx="50">
                  <v>0.887121</v>
                </pt>
                <pt idx="51">
                  <v>0.903531</v>
                </pt>
                <pt idx="52">
                  <v>1</v>
                </pt>
                <pt idx="53">
                  <v>1.04068047337278</v>
                </pt>
                <pt idx="54">
                  <v>1.05621301775148</v>
                </pt>
                <pt idx="55">
                  <v>1.07248520710059</v>
                </pt>
                <pt idx="56">
                  <v>1.04733727810651</v>
                </pt>
                <pt idx="57">
                  <v>1.10576923076923</v>
                </pt>
                <pt idx="58">
                  <v>1.05103550295858</v>
                </pt>
                <pt idx="59">
                  <v>1.10133136094675</v>
                </pt>
                <pt idx="60">
                  <v>1.14644970414201</v>
                </pt>
                <pt idx="61">
                  <v>1.12721893491124</v>
                </pt>
                <pt idx="62">
                  <v>1.04215976331361</v>
                </pt>
                <pt idx="63">
                  <v>1.05769230769231</v>
                </pt>
                <pt idx="64">
                  <v>1.22485207100592</v>
                </pt>
                <pt idx="65">
                  <v>1.04585798816568</v>
                </pt>
                <pt idx="66">
                  <v>0.995562130177515</v>
                </pt>
                <pt idx="67">
                  <v>0.901627218934911</v>
                </pt>
                <pt idx="68">
                  <v>0.91198224852071</v>
                </pt>
                <pt idx="69">
                  <v>0.843934911242604</v>
                </pt>
                <pt idx="70">
                  <v>0.769970414201184</v>
                </pt>
                <pt idx="71">
                  <v>0.803254437869822</v>
                </pt>
                <pt idx="72">
                  <v>0.835798816568047</v>
                </pt>
                <pt idx="73">
                  <v>0.850591715976331</v>
                </pt>
                <pt idx="74">
                  <v>0.857248520710059</v>
                </pt>
                <pt idx="75">
                  <v>0.935650887573965</v>
                </pt>
                <pt idx="76">
                  <v>0.942307692307692</v>
                </pt>
                <pt idx="77">
                  <v>1.22041420118343</v>
                </pt>
                <pt idx="78">
                  <v>1.16346153846154</v>
                </pt>
                <pt idx="79">
                  <v>1.18713017751479</v>
                </pt>
                <pt idx="80">
                  <v>1.16494082840237</v>
                </pt>
                <pt idx="81">
                  <v>1.14866863905325</v>
                </pt>
                <pt idx="82">
                  <v>1.12647928994083</v>
                </pt>
                <pt idx="83">
                  <v>1.26923076923077</v>
                </pt>
                <pt idx="84">
                  <v>1.39644970414201</v>
                </pt>
                <pt idx="85">
                  <v>1.43565088757396</v>
                </pt>
                <pt idx="86">
                  <v>1.39201183431953</v>
                </pt>
                <pt idx="87">
                  <v>1.15014792899408</v>
                </pt>
                <pt idx="88">
                  <v>1.12795857988166</v>
                </pt>
                <pt idx="89">
                  <v>1.15310650887574</v>
                </pt>
                <pt idx="90">
                  <v>1.20784023668639</v>
                </pt>
                <pt idx="91">
                  <v>1.31656804733728</v>
                </pt>
                <pt idx="92">
                  <v>1.54215976331361</v>
                </pt>
                <pt idx="93">
                  <v>1.45192307692308</v>
                </pt>
                <pt idx="94">
                  <v>1.40014792899408</v>
                </pt>
                <pt idx="95">
                  <v>1.41346153846154</v>
                </pt>
                <pt idx="96">
                  <v>0.806952651435807</v>
                </pt>
                <pt idx="97">
                  <v>0.8335799155150641</v>
                </pt>
                <pt idx="98">
                  <v>0.8335799155150641</v>
                </pt>
              </numCache>
            </numRef>
          </val>
          <smooth val="0"/>
        </ser>
        <ser>
          <idx val="14"/>
          <order val="14"/>
          <tx>
            <strRef>
              <f>'奢侈品 Normalized'!$P$2</f>
              <strCache>
                <ptCount val="1"/>
                <pt idx="0">
                  <v>ZGN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chemeClr val="accent3">
                  <a:tint val="65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Normalized'!$P$3:$P$101</f>
              <numCache>
                <formatCode>General</formatCode>
                <ptCount val="99"/>
                <pt idx="0">
                  <v>0.777251</v>
                </pt>
                <pt idx="1">
                  <v>0.804739</v>
                </pt>
                <pt idx="2">
                  <v>0.840758</v>
                </pt>
                <pt idx="3">
                  <v>0.806635</v>
                </pt>
                <pt idx="4">
                  <v>0.781991</v>
                </pt>
                <pt idx="5">
                  <v>0.758294</v>
                </pt>
                <pt idx="6">
                  <v>0.7232229999999999</v>
                </pt>
                <pt idx="7">
                  <v>0.787678</v>
                </pt>
                <pt idx="8">
                  <v>0.90237</v>
                </pt>
                <pt idx="9">
                  <v>0.837915</v>
                </pt>
                <pt idx="10">
                  <v>0.8322270000000001</v>
                </pt>
                <pt idx="11">
                  <v>0.845498</v>
                </pt>
                <pt idx="12">
                  <v>0.81327</v>
                </pt>
                <pt idx="13">
                  <v>0.790521</v>
                </pt>
                <pt idx="14">
                  <v>0.7156400000000001</v>
                </pt>
                <pt idx="15">
                  <v>0.701422</v>
                </pt>
                <pt idx="16">
                  <v>0.692891</v>
                </pt>
                <pt idx="17">
                  <v>0.701422</v>
                </pt>
                <pt idx="18">
                  <v>0.614218</v>
                </pt>
                <pt idx="19">
                  <v>0.649289</v>
                </pt>
                <pt idx="20">
                  <v>0.664455</v>
                </pt>
                <pt idx="21">
                  <v>0.746919</v>
                </pt>
                <pt idx="22">
                  <v>0.76872</v>
                </pt>
                <pt idx="23">
                  <v>0.8094789999999999</v>
                </pt>
                <pt idx="24">
                  <v>0.81327</v>
                </pt>
                <pt idx="25">
                  <v>0.797156</v>
                </pt>
                <pt idx="26">
                  <v>0.806635</v>
                </pt>
                <pt idx="27">
                  <v>0.818957</v>
                </pt>
                <pt idx="28">
                  <v>0.856872</v>
                </pt>
                <pt idx="29">
                  <v>0.828436</v>
                </pt>
                <pt idx="30">
                  <v>0.810427</v>
                </pt>
                <pt idx="31">
                  <v>0.852133</v>
                </pt>
                <pt idx="32">
                  <v>0.8341229999999999</v>
                </pt>
                <pt idx="33">
                  <v>0.848341</v>
                </pt>
                <pt idx="34">
                  <v>0.85782</v>
                </pt>
                <pt idx="35">
                  <v>0.745024</v>
                </pt>
                <pt idx="36">
                  <v>0.730806</v>
                </pt>
                <pt idx="37">
                  <v>0.758294</v>
                </pt>
                <pt idx="38">
                  <v>0.777251</v>
                </pt>
                <pt idx="39">
                  <v>0.8</v>
                </pt>
                <pt idx="40">
                  <v>0.854976</v>
                </pt>
                <pt idx="41">
                  <v>0.890995</v>
                </pt>
                <pt idx="42">
                  <v>0.894787</v>
                </pt>
                <pt idx="43">
                  <v>0.867299</v>
                </pt>
                <pt idx="44">
                  <v>0.967772</v>
                </pt>
                <pt idx="45">
                  <v>0.830332</v>
                </pt>
                <pt idx="46">
                  <v>0.997156</v>
                </pt>
                <pt idx="47">
                  <v>0.9933650000000001</v>
                </pt>
                <pt idx="48">
                  <v>0.944076</v>
                </pt>
                <pt idx="49">
                  <v>0.945972</v>
                </pt>
                <pt idx="50">
                  <v>0.919431</v>
                </pt>
                <pt idx="51">
                  <v>0.978199</v>
                </pt>
                <pt idx="52">
                  <v>1</v>
                </pt>
                <pt idx="53">
                  <v>1.03536585365854</v>
                </pt>
                <pt idx="54">
                  <v>1.08170731707317</v>
                </pt>
                <pt idx="55">
                  <v>1.03780487804878</v>
                </pt>
                <pt idx="56">
                  <v>1.00609756097561</v>
                </pt>
                <pt idx="57">
                  <v>0.975609756097561</v>
                </pt>
                <pt idx="58">
                  <v>0.9304878048780491</v>
                </pt>
                <pt idx="59">
                  <v>1.01341463414634</v>
                </pt>
                <pt idx="60">
                  <v>1.1609756097561</v>
                </pt>
                <pt idx="61">
                  <v>1.0780487804878</v>
                </pt>
                <pt idx="62">
                  <v>1.07073170731707</v>
                </pt>
                <pt idx="63">
                  <v>1.08780487804878</v>
                </pt>
                <pt idx="64">
                  <v>1.04634146341463</v>
                </pt>
                <pt idx="65">
                  <v>1.01707317073171</v>
                </pt>
                <pt idx="66">
                  <v>0.920731707317073</v>
                </pt>
                <pt idx="67">
                  <v>0.902439024390244</v>
                </pt>
                <pt idx="68">
                  <v>0.891463414634146</v>
                </pt>
                <pt idx="69">
                  <v>0.902439024390244</v>
                </pt>
                <pt idx="70">
                  <v>0.790243902439025</v>
                </pt>
                <pt idx="71">
                  <v>0.835365853658537</v>
                </pt>
                <pt idx="72">
                  <v>0.854878048780488</v>
                </pt>
                <pt idx="73">
                  <v>0.960975609756098</v>
                </pt>
                <pt idx="74">
                  <v>0.989024390243902</v>
                </pt>
                <pt idx="75">
                  <v>1.04146341463415</v>
                </pt>
                <pt idx="76">
                  <v>1.04634146341463</v>
                </pt>
                <pt idx="77">
                  <v>1.02560975609756</v>
                </pt>
                <pt idx="78">
                  <v>1.03780487804878</v>
                </pt>
                <pt idx="79">
                  <v>1.05365853658537</v>
                </pt>
                <pt idx="80">
                  <v>1.10243902439024</v>
                </pt>
                <pt idx="81">
                  <v>1.06585365853659</v>
                </pt>
                <pt idx="82">
                  <v>1.04268292682927</v>
                </pt>
                <pt idx="83">
                  <v>1.09634146341463</v>
                </pt>
                <pt idx="84">
                  <v>1.07317073170732</v>
                </pt>
                <pt idx="85">
                  <v>1.09146341463415</v>
                </pt>
                <pt idx="86">
                  <v>1.10365853658537</v>
                </pt>
                <pt idx="87">
                  <v>0.958536585365854</v>
                </pt>
                <pt idx="88">
                  <v>0.940243902439024</v>
                </pt>
                <pt idx="89">
                  <v>0.975609756097561</v>
                </pt>
                <pt idx="90">
                  <v>1</v>
                </pt>
                <pt idx="91">
                  <v>1.02926829268293</v>
                </pt>
                <pt idx="92">
                  <v>1.1</v>
                </pt>
                <pt idx="93">
                  <v>1.14634146341463</v>
                </pt>
                <pt idx="94">
                  <v>1.15121951219512</v>
                </pt>
                <pt idx="95">
                  <v>1.11585365853659</v>
                </pt>
                <pt idx="96">
                  <v>1.52682932411752</v>
                </pt>
                <pt idx="97">
                  <v>1.54634150063119</v>
                </pt>
                <pt idx="98">
                  <v>1.54634150063119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0"/>
        <smooth val="0"/>
        <axId val="10"/>
        <axId val="100"/>
      </lineChart>
      <date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0"/>
        <crosses val="autoZero"/>
        <lblOffset val="100"/>
        <baseTimeUnit val="days"/>
      </dateAx>
      <valAx>
        <axId val="100"/>
        <scaling>
          <orientation val="minMax"/>
        </scaling>
        <delete val="0"/>
        <axPos val="l"/>
        <majorGridlines/>
        <numFmt formatCode="0.00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between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运动服饰走势（2025-12-01 = 1）</a:t>
            </a:r>
          </a:p>
        </rich>
      </tx>
      <layout/>
      <overlay val="0"/>
    </title>
    <plotArea>
      <layout/>
      <lineChart>
        <grouping val="standard"/>
        <varyColors val="0"/>
        <ser>
          <idx val="0"/>
          <order val="0"/>
          <tx>
            <strRef>
              <f>'运动服饰 Normalized'!$B$2</f>
              <strCache>
                <ptCount val="1"/>
                <pt idx="0">
                  <v>NKE.N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Normalized'!$B$3:$B$101</f>
              <numCache>
                <formatCode>General</formatCode>
                <ptCount val="99"/>
                <pt idx="0">
                  <v>1.209512</v>
                </pt>
                <pt idx="1">
                  <v>1.187338</v>
                </pt>
                <pt idx="2">
                  <v>1.180609</v>
                </pt>
                <pt idx="3">
                  <v>1.17388</v>
                </pt>
                <pt idx="4">
                  <v>1.141612</v>
                </pt>
                <pt idx="5">
                  <v>1.101086</v>
                </pt>
                <pt idx="6">
                  <v>1.102309</v>
                </pt>
                <pt idx="7">
                  <v>1.083346</v>
                </pt>
                <pt idx="8">
                  <v>1.155834</v>
                </pt>
                <pt idx="9">
                  <v>1.17128</v>
                </pt>
                <pt idx="10">
                  <v>1.084875</v>
                </pt>
                <pt idx="11">
                  <v>1.11699</v>
                </pt>
                <pt idx="12">
                  <v>1.227711</v>
                </pt>
                <pt idx="13">
                  <v>1.199113</v>
                </pt>
                <pt idx="14">
                  <v>1.168374</v>
                </pt>
                <pt idx="15">
                  <v>1.127084</v>
                </pt>
                <pt idx="16">
                  <v>1.030586</v>
                </pt>
                <pt idx="17">
                  <v>0.970791</v>
                </pt>
                <pt idx="18">
                  <v>0.850436</v>
                </pt>
                <pt idx="19">
                  <v>0.847377</v>
                </pt>
                <pt idx="20">
                  <v>0.858235</v>
                </pt>
                <pt idx="21">
                  <v>0.876434</v>
                </pt>
                <pt idx="22">
                  <v>0.877045</v>
                </pt>
                <pt idx="23">
                  <v>0.957027</v>
                </pt>
                <pt idx="24">
                  <v>0.949381</v>
                </pt>
                <pt idx="25">
                  <v>0.9178770000000001</v>
                </pt>
                <pt idx="26">
                  <v>0.941581</v>
                </pt>
                <pt idx="27">
                  <v>0.946781</v>
                </pt>
                <pt idx="28">
                  <v>0.946628</v>
                </pt>
                <pt idx="29">
                  <v>0.9295</v>
                </pt>
                <pt idx="30">
                  <v>1.086405</v>
                </pt>
                <pt idx="31">
                  <v>1.170362</v>
                </pt>
                <pt idx="32">
                  <v>1.104909</v>
                </pt>
                <pt idx="33">
                  <v>1.131977</v>
                </pt>
                <pt idx="34">
                  <v>1.211806</v>
                </pt>
                <pt idx="35">
                  <v>1.144212</v>
                </pt>
                <pt idx="36">
                  <v>1.131977</v>
                </pt>
                <pt idx="37">
                  <v>1.184126</v>
                </pt>
                <pt idx="38">
                  <v>1.210736</v>
                </pt>
                <pt idx="39">
                  <v>1.183208</v>
                </pt>
                <pt idx="40">
                  <v>1.133965</v>
                </pt>
                <pt idx="41">
                  <v>1.116837</v>
                </pt>
                <pt idx="42">
                  <v>1.090075</v>
                </pt>
                <pt idx="43">
                  <v>1.063618</v>
                </pt>
                <pt idx="44">
                  <v>1.088393</v>
                </pt>
                <pt idx="45">
                  <v>1.030433</v>
                </pt>
                <pt idx="46">
                  <v>1.034103</v>
                </pt>
                <pt idx="47">
                  <v>1.048937</v>
                </pt>
                <pt idx="48">
                  <v>0.958098</v>
                </pt>
                <pt idx="49">
                  <v>0.929806</v>
                </pt>
                <pt idx="50">
                  <v>0.961921</v>
                </pt>
                <pt idx="51">
                  <v>0.947087</v>
                </pt>
                <pt idx="52">
                  <v>1</v>
                </pt>
                <pt idx="53">
                  <v>0.981666455936275</v>
                </pt>
                <pt idx="54">
                  <v>0.976103173599697</v>
                </pt>
                <pt idx="55">
                  <v>0.970539891263118</v>
                </pt>
                <pt idx="56">
                  <v>0.943861423694525</v>
                </pt>
                <pt idx="57">
                  <v>0.9103552914401311</v>
                </pt>
                <pt idx="58">
                  <v>0.911366797319509</v>
                </pt>
                <pt idx="59">
                  <v>0.895688456189152</v>
                </pt>
                <pt idx="60">
                  <v>0.9556201795422939</v>
                </pt>
                <pt idx="61">
                  <v>0.96839044126944</v>
                </pt>
                <pt idx="62">
                  <v>0.896952838538374</v>
                </pt>
                <pt idx="63">
                  <v>0.923504867872045</v>
                </pt>
                <pt idx="64">
                  <v>1.01504614995575</v>
                </pt>
                <pt idx="65">
                  <v>0.991402200025288</v>
                </pt>
                <pt idx="66">
                  <v>0.965988114805917</v>
                </pt>
                <pt idx="67">
                  <v>0.931849791376912</v>
                </pt>
                <pt idx="68">
                  <v>0.852067265140979</v>
                </pt>
                <pt idx="69">
                  <v>0.8026299152863831</v>
                </pt>
                <pt idx="70">
                  <v>0.703123024402579</v>
                </pt>
                <pt idx="71">
                  <v>0.700594259704134</v>
                </pt>
                <pt idx="72">
                  <v>0.709571374383614</v>
                </pt>
                <pt idx="73">
                  <v>0.72461752433936</v>
                </pt>
                <pt idx="74">
                  <v>0.725123277279049</v>
                </pt>
                <pt idx="75">
                  <v>0.791250474143381</v>
                </pt>
                <pt idx="76">
                  <v>0.784928562397269</v>
                </pt>
                <pt idx="77">
                  <v>0.758882286003287</v>
                </pt>
                <pt idx="78">
                  <v>0.778480212416235</v>
                </pt>
                <pt idx="79">
                  <v>0.782779112403591</v>
                </pt>
                <pt idx="80">
                  <v>0.782652674168669</v>
                </pt>
                <pt idx="81">
                  <v>0.768491591857378</v>
                </pt>
                <pt idx="82">
                  <v>0.898217220887596</v>
                </pt>
                <pt idx="83">
                  <v>0.967631811859906</v>
                </pt>
                <pt idx="84">
                  <v>0.913516247313187</v>
                </pt>
                <pt idx="85">
                  <v>0.935895814894424</v>
                </pt>
                <pt idx="86">
                  <v>1.00189657352383</v>
                </pt>
                <pt idx="87">
                  <v>0.946010873688203</v>
                </pt>
                <pt idx="88">
                  <v>0.935895814894424</v>
                </pt>
                <pt idx="89">
                  <v>0.979011253002908</v>
                </pt>
                <pt idx="90">
                  <v>1.00101150587938</v>
                </pt>
                <pt idx="91">
                  <v>0.9782526235933749</v>
                </pt>
                <pt idx="92">
                  <v>0.937539511948413</v>
                </pt>
                <pt idx="93">
                  <v>0.923378429637122</v>
                </pt>
                <pt idx="94">
                  <v>0.90125173852573</v>
                </pt>
                <pt idx="95">
                  <v>0.879377923884182</v>
                </pt>
                <pt idx="96">
                  <v>0.428246288176568</v>
                </pt>
                <pt idx="97">
                  <v>0.438867101839331</v>
                </pt>
                <pt idx="98">
                  <v>0.438867101839331</v>
                </pt>
              </numCache>
            </numRef>
          </val>
          <smooth val="0"/>
        </ser>
        <ser>
          <idx val="1"/>
          <order val="1"/>
          <tx>
            <strRef>
              <f>'运动服饰 Normalized'!$C$2</f>
              <strCache>
                <ptCount val="1"/>
                <pt idx="0">
                  <v>ADDY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Normalized'!$C$3:$C$101</f>
              <numCache>
                <formatCode>General</formatCode>
                <ptCount val="99"/>
                <pt idx="0">
                  <v>1.428483</v>
                </pt>
                <pt idx="1">
                  <v>1.480608</v>
                </pt>
                <pt idx="2">
                  <v>1.507912</v>
                </pt>
                <pt idx="3">
                  <v>1.457648</v>
                </pt>
                <pt idx="4">
                  <v>1.469438</v>
                </pt>
                <pt idx="5">
                  <v>1.486193</v>
                </pt>
                <pt idx="6">
                  <v>1.481849</v>
                </pt>
                <pt idx="7">
                  <v>1.509774</v>
                </pt>
                <pt idx="8">
                  <v>1.582997</v>
                </pt>
                <pt idx="9">
                  <v>1.573069</v>
                </pt>
                <pt idx="10">
                  <v>1.596649</v>
                </pt>
                <pt idx="11">
                  <v>1.612163</v>
                </pt>
                <pt idx="12">
                  <v>1.521564</v>
                </pt>
                <pt idx="13">
                  <v>1.54018</v>
                </pt>
                <pt idx="14">
                  <v>1.407384</v>
                </pt>
                <pt idx="15">
                  <v>1.383804</v>
                </pt>
                <pt idx="16">
                  <v>1.378219</v>
                </pt>
                <pt idx="17">
                  <v>1.34471</v>
                </pt>
                <pt idx="18">
                  <v>1.156376</v>
                </pt>
                <pt idx="19">
                  <v>1.255352</v>
                </pt>
                <pt idx="20">
                  <v>1.232702</v>
                </pt>
                <pt idx="21">
                  <v>1.349054</v>
                </pt>
                <pt idx="22">
                  <v>1.287</v>
                </pt>
                <pt idx="23">
                  <v>1.345951</v>
                </pt>
                <pt idx="24">
                  <v>1.354639</v>
                </pt>
                <pt idx="25">
                  <v>1.357121</v>
                </pt>
                <pt idx="26">
                  <v>1.353398</v>
                </pt>
                <pt idx="27">
                  <v>1.324853</v>
                </pt>
                <pt idx="28">
                  <v>1.249147</v>
                </pt>
                <pt idx="29">
                  <v>1.222153</v>
                </pt>
                <pt idx="30">
                  <v>1.228359</v>
                </pt>
                <pt idx="31">
                  <v>1.29879</v>
                </pt>
                <pt idx="32">
                  <v>1.282035</v>
                </pt>
                <pt idx="33">
                  <v>1.272107</v>
                </pt>
                <pt idx="34">
                  <v>1.219981</v>
                </pt>
                <pt idx="35">
                  <v>1.035061</v>
                </pt>
                <pt idx="36">
                  <v>1.018927</v>
                </pt>
                <pt idx="37">
                  <v>1.035681</v>
                </pt>
                <pt idx="38">
                  <v>1.048402</v>
                </pt>
                <pt idx="39">
                  <v>1.030096</v>
                </pt>
                <pt idx="40">
                  <v>1.129693</v>
                </pt>
                <pt idx="41">
                  <v>1.106423</v>
                </pt>
                <pt idx="42">
                  <v>1.110456</v>
                </pt>
                <pt idx="43">
                  <v>1.123798</v>
                </pt>
                <pt idx="44">
                  <v>1.163202</v>
                </pt>
                <pt idx="45">
                  <v>1.171269</v>
                </pt>
                <pt idx="46">
                  <v>1.209432</v>
                </pt>
                <pt idx="47">
                  <v>1.162581</v>
                </pt>
                <pt idx="48">
                  <v>1.006205</v>
                </pt>
                <pt idx="49">
                  <v>0.978591</v>
                </pt>
                <pt idx="50">
                  <v>0.992864</v>
                </pt>
                <pt idx="51">
                  <v>0.945393</v>
                </pt>
                <pt idx="52">
                  <v>1</v>
                </pt>
                <pt idx="53">
                  <v>1.0364900086881</v>
                </pt>
                <pt idx="54">
                  <v>1.05560382276282</v>
                </pt>
                <pt idx="55">
                  <v>1.02041702867072</v>
                </pt>
                <pt idx="56">
                  <v>1.02867072111208</v>
                </pt>
                <pt idx="57">
                  <v>1.04039965247611</v>
                </pt>
                <pt idx="58">
                  <v>1.03735881841877</v>
                </pt>
                <pt idx="59">
                  <v>1.05690703735882</v>
                </pt>
                <pt idx="60">
                  <v>1.10816681146829</v>
                </pt>
                <pt idx="61">
                  <v>1.10121633362294</v>
                </pt>
                <pt idx="62">
                  <v>1.11772371850565</v>
                </pt>
                <pt idx="63">
                  <v>1.12858384013901</v>
                </pt>
                <pt idx="64">
                  <v>1.06516072980017</v>
                </pt>
                <pt idx="65">
                  <v>1.07819287576021</v>
                </pt>
                <pt idx="66">
                  <v>0.985230234578627</v>
                </pt>
                <pt idx="67">
                  <v>0.968722849695917</v>
                </pt>
                <pt idx="68">
                  <v>0.964813205907906</v>
                </pt>
                <pt idx="69">
                  <v>0.941355343179844</v>
                </pt>
                <pt idx="70">
                  <v>0.809513466550825</v>
                </pt>
                <pt idx="71">
                  <v>0.878801042571677</v>
                </pt>
                <pt idx="72">
                  <v>0.862945264986968</v>
                </pt>
                <pt idx="73">
                  <v>0.9443961772371851</v>
                </pt>
                <pt idx="74">
                  <v>0.900955690703736</v>
                </pt>
                <pt idx="75">
                  <v>0.942224152910513</v>
                </pt>
                <pt idx="76">
                  <v>0.948305821025196</v>
                </pt>
                <pt idx="77">
                  <v>0.950043440486533</v>
                </pt>
                <pt idx="78">
                  <v>0.947437011294527</v>
                </pt>
                <pt idx="79">
                  <v>0.92745438748914</v>
                </pt>
                <pt idx="80">
                  <v>0.874456993918332</v>
                </pt>
                <pt idx="81">
                  <v>0.8555603822762819</v>
                </pt>
                <pt idx="82">
                  <v>0.859904430929626</v>
                </pt>
                <pt idx="83">
                  <v>0.909209383145091</v>
                </pt>
                <pt idx="84">
                  <v>0.89748045178106</v>
                </pt>
                <pt idx="85">
                  <v>0.890529973935708</v>
                </pt>
                <pt idx="86">
                  <v>0.8540399652476111</v>
                </pt>
                <pt idx="87">
                  <v>0.724587315377932</v>
                </pt>
                <pt idx="88">
                  <v>0.713292788879235</v>
                </pt>
                <pt idx="89">
                  <v>0.7250217202432671</v>
                </pt>
                <pt idx="90">
                  <v>0.733927019982624</v>
                </pt>
                <pt idx="91">
                  <v>0.721112076455256</v>
                </pt>
                <pt idx="92">
                  <v>0.790834057341442</v>
                </pt>
                <pt idx="93">
                  <v>0.774543874891399</v>
                </pt>
                <pt idx="94">
                  <v>0.777367506516073</v>
                </pt>
                <pt idx="95">
                  <v>0.786707211120765</v>
                </pt>
                <pt idx="96">
                  <v>0.62576022177132</v>
                </pt>
                <pt idx="97">
                  <v>0.650955717217705</v>
                </pt>
                <pt idx="98">
                  <v>0.655734130965431</v>
                </pt>
              </numCache>
            </numRef>
          </val>
          <smooth val="0"/>
        </ser>
        <ser>
          <idx val="2"/>
          <order val="2"/>
          <tx>
            <strRef>
              <f>'运动服饰 Normalized'!$D$2</f>
              <strCache>
                <ptCount val="1"/>
                <pt idx="0">
                  <v>ZGN.N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Normalized'!$D$3:$D$101</f>
              <numCache>
                <formatCode>General</formatCode>
                <ptCount val="99"/>
                <pt idx="0">
                  <v>0.777251</v>
                </pt>
                <pt idx="1">
                  <v>0.804739</v>
                </pt>
                <pt idx="2">
                  <v>0.840758</v>
                </pt>
                <pt idx="3">
                  <v>0.806635</v>
                </pt>
                <pt idx="4">
                  <v>0.781991</v>
                </pt>
                <pt idx="5">
                  <v>0.758294</v>
                </pt>
                <pt idx="6">
                  <v>0.7232229999999999</v>
                </pt>
                <pt idx="7">
                  <v>0.787678</v>
                </pt>
                <pt idx="8">
                  <v>0.90237</v>
                </pt>
                <pt idx="9">
                  <v>0.837915</v>
                </pt>
                <pt idx="10">
                  <v>0.8322270000000001</v>
                </pt>
                <pt idx="11">
                  <v>0.845498</v>
                </pt>
                <pt idx="12">
                  <v>0.81327</v>
                </pt>
                <pt idx="13">
                  <v>0.790521</v>
                </pt>
                <pt idx="14">
                  <v>0.7156400000000001</v>
                </pt>
                <pt idx="15">
                  <v>0.701422</v>
                </pt>
                <pt idx="16">
                  <v>0.692891</v>
                </pt>
                <pt idx="17">
                  <v>0.701422</v>
                </pt>
                <pt idx="18">
                  <v>0.614218</v>
                </pt>
                <pt idx="19">
                  <v>0.649289</v>
                </pt>
                <pt idx="20">
                  <v>0.664455</v>
                </pt>
                <pt idx="21">
                  <v>0.746919</v>
                </pt>
                <pt idx="22">
                  <v>0.76872</v>
                </pt>
                <pt idx="23">
                  <v>0.8094789999999999</v>
                </pt>
                <pt idx="24">
                  <v>0.81327</v>
                </pt>
                <pt idx="25">
                  <v>0.797156</v>
                </pt>
                <pt idx="26">
                  <v>0.806635</v>
                </pt>
                <pt idx="27">
                  <v>0.818957</v>
                </pt>
                <pt idx="28">
                  <v>0.856872</v>
                </pt>
                <pt idx="29">
                  <v>0.828436</v>
                </pt>
                <pt idx="30">
                  <v>0.810427</v>
                </pt>
                <pt idx="31">
                  <v>0.852133</v>
                </pt>
                <pt idx="32">
                  <v>0.8341229999999999</v>
                </pt>
                <pt idx="33">
                  <v>0.848341</v>
                </pt>
                <pt idx="34">
                  <v>0.85782</v>
                </pt>
                <pt idx="35">
                  <v>0.745024</v>
                </pt>
                <pt idx="36">
                  <v>0.730806</v>
                </pt>
                <pt idx="37">
                  <v>0.758294</v>
                </pt>
                <pt idx="38">
                  <v>0.777251</v>
                </pt>
                <pt idx="39">
                  <v>0.8</v>
                </pt>
                <pt idx="40">
                  <v>0.854976</v>
                </pt>
                <pt idx="41">
                  <v>0.890995</v>
                </pt>
                <pt idx="42">
                  <v>0.894787</v>
                </pt>
                <pt idx="43">
                  <v>0.867299</v>
                </pt>
                <pt idx="44">
                  <v>0.967772</v>
                </pt>
                <pt idx="45">
                  <v>0.830332</v>
                </pt>
                <pt idx="46">
                  <v>0.997156</v>
                </pt>
                <pt idx="47">
                  <v>0.9933650000000001</v>
                </pt>
                <pt idx="48">
                  <v>0.944076</v>
                </pt>
                <pt idx="49">
                  <v>0.945972</v>
                </pt>
                <pt idx="50">
                  <v>0.919431</v>
                </pt>
                <pt idx="51">
                  <v>0.978199</v>
                </pt>
                <pt idx="52">
                  <v>1</v>
                </pt>
                <pt idx="53">
                  <v>1.03536585365854</v>
                </pt>
                <pt idx="54">
                  <v>1.08170731707317</v>
                </pt>
                <pt idx="55">
                  <v>1.03780487804878</v>
                </pt>
                <pt idx="56">
                  <v>1.00609756097561</v>
                </pt>
                <pt idx="57">
                  <v>0.975609756097561</v>
                </pt>
                <pt idx="58">
                  <v>0.9304878048780491</v>
                </pt>
                <pt idx="59">
                  <v>1.01341463414634</v>
                </pt>
                <pt idx="60">
                  <v>1.1609756097561</v>
                </pt>
                <pt idx="61">
                  <v>1.0780487804878</v>
                </pt>
                <pt idx="62">
                  <v>1.07073170731707</v>
                </pt>
                <pt idx="63">
                  <v>1.08780487804878</v>
                </pt>
                <pt idx="64">
                  <v>1.04634146341463</v>
                </pt>
                <pt idx="65">
                  <v>1.01707317073171</v>
                </pt>
                <pt idx="66">
                  <v>0.920731707317073</v>
                </pt>
                <pt idx="67">
                  <v>0.902439024390244</v>
                </pt>
                <pt idx="68">
                  <v>0.891463414634146</v>
                </pt>
                <pt idx="69">
                  <v>0.902439024390244</v>
                </pt>
                <pt idx="70">
                  <v>0.790243902439025</v>
                </pt>
                <pt idx="71">
                  <v>0.835365853658537</v>
                </pt>
                <pt idx="72">
                  <v>0.854878048780488</v>
                </pt>
                <pt idx="73">
                  <v>0.960975609756098</v>
                </pt>
                <pt idx="74">
                  <v>0.989024390243902</v>
                </pt>
                <pt idx="75">
                  <v>1.04146341463415</v>
                </pt>
                <pt idx="76">
                  <v>1.04634146341463</v>
                </pt>
                <pt idx="77">
                  <v>1.02560975609756</v>
                </pt>
                <pt idx="78">
                  <v>1.03780487804878</v>
                </pt>
                <pt idx="79">
                  <v>1.05365853658537</v>
                </pt>
                <pt idx="80">
                  <v>1.10243902439024</v>
                </pt>
                <pt idx="81">
                  <v>1.06585365853659</v>
                </pt>
                <pt idx="82">
                  <v>1.04268292682927</v>
                </pt>
                <pt idx="83">
                  <v>1.09634146341463</v>
                </pt>
                <pt idx="84">
                  <v>1.07317073170732</v>
                </pt>
                <pt idx="85">
                  <v>1.09146341463415</v>
                </pt>
                <pt idx="86">
                  <v>1.10365853658537</v>
                </pt>
                <pt idx="87">
                  <v>0.958536585365854</v>
                </pt>
                <pt idx="88">
                  <v>0.940243902439024</v>
                </pt>
                <pt idx="89">
                  <v>0.975609756097561</v>
                </pt>
                <pt idx="90">
                  <v>1</v>
                </pt>
                <pt idx="91">
                  <v>1.02926829268293</v>
                </pt>
                <pt idx="92">
                  <v>1.1</v>
                </pt>
                <pt idx="93">
                  <v>1.14634146341463</v>
                </pt>
                <pt idx="94">
                  <v>1.15121951219512</v>
                </pt>
                <pt idx="95">
                  <v>1.11585365853659</v>
                </pt>
                <pt idx="96">
                  <v>1.52682932411752</v>
                </pt>
                <pt idx="97">
                  <v>1.54634150063119</v>
                </pt>
                <pt idx="98">
                  <v>1.54634150063119</v>
                </pt>
              </numCache>
            </numRef>
          </val>
          <smooth val="0"/>
        </ser>
        <ser>
          <idx val="3"/>
          <order val="3"/>
          <tx>
            <strRef>
              <f>'运动服饰 Normalized'!$E$2</f>
              <strCache>
                <ptCount val="1"/>
                <pt idx="0">
                  <v>WWW.N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Normalized'!$E$3:$E$101</f>
              <numCache>
                <formatCode>General</formatCode>
                <ptCount val="99"/>
                <pt idx="0">
                  <v>1.382491</v>
                </pt>
                <pt idx="1">
                  <v>1.327262</v>
                </pt>
                <pt idx="2">
                  <v>1.372503</v>
                </pt>
                <pt idx="3">
                  <v>1.3349</v>
                </pt>
                <pt idx="4">
                  <v>1.295535</v>
                </pt>
                <pt idx="5">
                  <v>1.313161</v>
                </pt>
                <pt idx="6">
                  <v>1.331962</v>
                </pt>
                <pt idx="7">
                  <v>1.339013</v>
                </pt>
                <pt idx="8">
                  <v>1.364277</v>
                </pt>
                <pt idx="9">
                  <v>1.286134</v>
                </pt>
                <pt idx="10">
                  <v>1.222092</v>
                </pt>
                <pt idx="11">
                  <v>1.088719</v>
                </pt>
                <pt idx="12">
                  <v>0.89718</v>
                </pt>
                <pt idx="13">
                  <v>0.842538</v>
                </pt>
                <pt idx="14">
                  <v>0.8237370000000001</v>
                </pt>
                <pt idx="15">
                  <v>0.80141</v>
                </pt>
                <pt idx="16">
                  <v>0.847826</v>
                </pt>
                <pt idx="17">
                  <v>0.8172739999999999</v>
                </pt>
                <pt idx="18">
                  <v>0.653937</v>
                </pt>
                <pt idx="19">
                  <v>0.649824</v>
                </pt>
                <pt idx="20">
                  <v>0.673325</v>
                </pt>
                <pt idx="21">
                  <v>0.762632</v>
                </pt>
                <pt idx="22">
                  <v>0.835488</v>
                </pt>
                <pt idx="23">
                  <v>0.979436</v>
                </pt>
                <pt idx="24">
                  <v>1.002938</v>
                </pt>
                <pt idx="25">
                  <v>0.961222</v>
                </pt>
                <pt idx="26">
                  <v>0.975911</v>
                </pt>
                <pt idx="27">
                  <v>1.094595</v>
                </pt>
                <pt idx="28">
                  <v>1.050529</v>
                </pt>
                <pt idx="29">
                  <v>1.018801</v>
                </pt>
                <pt idx="30">
                  <v>1.06228</v>
                </pt>
                <pt idx="31">
                  <v>1.148061</v>
                </pt>
                <pt idx="32">
                  <v>1.135723</v>
                </pt>
                <pt idx="33">
                  <v>1.226792</v>
                </pt>
                <pt idx="34">
                  <v>1.398942</v>
                </pt>
                <pt idx="35">
                  <v>1.344301</v>
                </pt>
                <pt idx="36">
                  <v>1.57168</v>
                </pt>
                <pt idx="37">
                  <v>1.653937</v>
                </pt>
                <pt idx="38">
                  <v>1.793184</v>
                </pt>
                <pt idx="39">
                  <v>1.876616</v>
                </pt>
                <pt idx="40">
                  <v>1.864865</v>
                </pt>
                <pt idx="41">
                  <v>1.773208</v>
                </pt>
                <pt idx="42">
                  <v>1.709753</v>
                </pt>
                <pt idx="43">
                  <v>1.602233</v>
                </pt>
                <pt idx="44">
                  <v>1.47356</v>
                </pt>
                <pt idx="45">
                  <v>1.490012</v>
                </pt>
                <pt idx="46">
                  <v>1.571093</v>
                </pt>
                <pt idx="47">
                  <v>1.460047</v>
                </pt>
                <pt idx="48">
                  <v>1.312573</v>
                </pt>
                <pt idx="49">
                  <v>0.960047</v>
                </pt>
                <pt idx="50">
                  <v>0.865452</v>
                </pt>
                <pt idx="51">
                  <v>0.905993</v>
                </pt>
                <pt idx="52">
                  <v>1</v>
                </pt>
                <pt idx="53">
                  <v>0.960050998725032</v>
                </pt>
                <pt idx="54">
                  <v>0.992775180620484</v>
                </pt>
                <pt idx="55">
                  <v>0.965575860603485</v>
                </pt>
                <pt idx="56">
                  <v>0.937101572460688</v>
                </pt>
                <pt idx="57">
                  <v>0.949851253718657</v>
                </pt>
                <pt idx="58">
                  <v>0.963450913727157</v>
                </pt>
                <pt idx="59">
                  <v>0.968550786230344</v>
                </pt>
                <pt idx="60">
                  <v>0.986825329366766</v>
                </pt>
                <pt idx="61">
                  <v>0.930301742456439</v>
                </pt>
                <pt idx="62">
                  <v>0.883977900552486</v>
                </pt>
                <pt idx="63">
                  <v>0.787505312367191</v>
                </pt>
                <pt idx="64">
                  <v>0.648958776030599</v>
                </pt>
                <pt idx="65">
                  <v>0.609434764130897</v>
                </pt>
                <pt idx="66">
                  <v>0.595835104122397</v>
                </pt>
                <pt idx="67">
                  <v>0.579685507862303</v>
                </pt>
                <pt idx="68">
                  <v>0.6132596685082869</v>
                </pt>
                <pt idx="69">
                  <v>0.591160220994475</v>
                </pt>
                <pt idx="70">
                  <v>0.473013174670633</v>
                </pt>
                <pt idx="71">
                  <v>0.470038249043774</v>
                </pt>
                <pt idx="72">
                  <v>0.487037824054399</v>
                </pt>
                <pt idx="73">
                  <v>0.551636209094773</v>
                </pt>
                <pt idx="74">
                  <v>0.604334891627709</v>
                </pt>
                <pt idx="75">
                  <v>0.708457288567786</v>
                </pt>
                <pt idx="76">
                  <v>0.725456863578411</v>
                </pt>
                <pt idx="77">
                  <v>0.695282617934552</v>
                </pt>
                <pt idx="78">
                  <v>0.7059073523161919</v>
                </pt>
                <pt idx="79">
                  <v>0.791755206119847</v>
                </pt>
                <pt idx="80">
                  <v>0.759881002974926</v>
                </pt>
                <pt idx="81">
                  <v>0.736931576710582</v>
                </pt>
                <pt idx="82">
                  <v>0.768380790480238</v>
                </pt>
                <pt idx="83">
                  <v>0.830429239269018</v>
                </pt>
                <pt idx="84">
                  <v>0.82150446238844</v>
                </pt>
                <pt idx="85">
                  <v>0.887377815554611</v>
                </pt>
                <pt idx="86">
                  <v>1.01189970250744</v>
                </pt>
                <pt idx="87">
                  <v>0.972375690607735</v>
                </pt>
                <pt idx="88">
                  <v>1.13684657883553</v>
                </pt>
                <pt idx="89">
                  <v>1.19634509137272</v>
                </pt>
                <pt idx="90">
                  <v>1.29706757331067</v>
                </pt>
                <pt idx="91">
                  <v>1.35741606459839</v>
                </pt>
                <pt idx="92">
                  <v>1.34891627709307</v>
                </pt>
                <pt idx="93">
                  <v>1.28261793455164</v>
                </pt>
                <pt idx="94">
                  <v>1.23671908202295</v>
                </pt>
                <pt idx="95">
                  <v>1.15894602634934</v>
                </pt>
                <pt idx="96">
                  <v>0.815979632934103</v>
                </pt>
                <pt idx="97">
                  <v>0.825754369110743</v>
                </pt>
                <pt idx="98">
                  <v>0.825754369110743</v>
                </pt>
              </numCache>
            </numRef>
          </val>
          <smooth val="0"/>
        </ser>
        <ser>
          <idx val="4"/>
          <order val="4"/>
          <tx>
            <strRef>
              <f>'运动服饰 Normalized'!$F$2</f>
              <strCache>
                <ptCount val="1"/>
                <pt idx="0">
                  <v>VSCO.N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Normalized'!$F$3:$F$101</f>
              <numCache>
                <formatCode>General</formatCode>
                <ptCount val="99"/>
                <pt idx="52">
                  <v>1</v>
                </pt>
                <pt idx="53">
                  <v>1.12595419847328</v>
                </pt>
                <pt idx="54">
                  <v>1.09470419847328</v>
                </pt>
                <pt idx="55">
                  <v>1.00620229007634</v>
                </pt>
                <pt idx="56">
                  <v>0.999284351145038</v>
                </pt>
                <pt idx="57">
                  <v>0.947519083969466</v>
                </pt>
                <pt idx="58">
                  <v>0.8544847328244271</v>
                </pt>
                <pt idx="59">
                  <v>0.885019083969466</v>
                </pt>
                <pt idx="60">
                  <v>0.89074427480916</v>
                </pt>
                <pt idx="61">
                  <v>0.832776717557252</v>
                </pt>
                <pt idx="62">
                  <v>0.782442748091603</v>
                </pt>
                <pt idx="63">
                  <v>0.783158396946565</v>
                </pt>
                <pt idx="64">
                  <v>0.682490458015267</v>
                </pt>
                <pt idx="65">
                  <v>0.572757633587786</v>
                </pt>
                <pt idx="66">
                  <v>0.400286259541985</v>
                </pt>
                <pt idx="67">
                  <v>0.478530534351145</v>
                </pt>
                <pt idx="68">
                  <v>0.510019083969466</v>
                </pt>
                <pt idx="69">
                  <v>0.443225190839695</v>
                </pt>
                <pt idx="70">
                  <v>0.410543893129771</v>
                </pt>
                <pt idx="71">
                  <v>0.388358778625954</v>
                </pt>
                <pt idx="72">
                  <v>0.39050572519084</v>
                </pt>
                <pt idx="73">
                  <v>0.452290076335878</v>
                </pt>
                <pt idx="74">
                  <v>0.459446564885496</v>
                </pt>
                <pt idx="75">
                  <v>0.522900763358779</v>
                </pt>
                <pt idx="76">
                  <v>0.543654580152672</v>
                </pt>
                <pt idx="77">
                  <v>0.53125</v>
                </pt>
                <pt idx="78">
                  <v>0.496898854961832</v>
                </pt>
                <pt idx="79">
                  <v>0.5419847328244271</v>
                </pt>
                <pt idx="80">
                  <v>0.444179389312977</v>
                </pt>
                <pt idx="81">
                  <v>0.443225190839695</v>
                </pt>
                <pt idx="82">
                  <v>0.441793893129771</v>
                </pt>
                <pt idx="83">
                  <v>0.488072519083969</v>
                </pt>
                <pt idx="84">
                  <v>0.452051526717557</v>
                </pt>
                <pt idx="85">
                  <v>0.475190839694657</v>
                </pt>
                <pt idx="86">
                  <v>0.49618320610687</v>
                </pt>
                <pt idx="87">
                  <v>0.490458015267176</v>
                </pt>
                <pt idx="88">
                  <v>0.508587786259542</v>
                </pt>
                <pt idx="89">
                  <v>0.5419847328244271</v>
                </pt>
                <pt idx="90">
                  <v>0.5190839694656491</v>
                </pt>
                <pt idx="91">
                  <v>0.549141221374046</v>
                </pt>
                <pt idx="92">
                  <v>0.611879770992366</v>
                </pt>
                <pt idx="93">
                  <v>0.6607824427480919</v>
                </pt>
                <pt idx="94">
                  <v>0.609732824427481</v>
                </pt>
                <pt idx="95">
                  <v>0.631917938931298</v>
                </pt>
                <pt idx="96">
                  <v>0</v>
                </pt>
                <pt idx="97">
                  <v>0</v>
                </pt>
                <pt idx="98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'运动服饰 Normalized'!$G$2</f>
              <strCache>
                <ptCount val="1"/>
                <pt idx="0">
                  <v>UAA.N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Normalized'!$G$3:$G$101</f>
              <numCache>
                <formatCode>General</formatCode>
                <ptCount val="99"/>
                <pt idx="0">
                  <v>2.218341</v>
                </pt>
                <pt idx="1">
                  <v>2.222707</v>
                </pt>
                <pt idx="2">
                  <v>1.816594</v>
                </pt>
                <pt idx="3">
                  <v>1.840611</v>
                </pt>
                <pt idx="4">
                  <v>1.792576</v>
                </pt>
                <pt idx="5">
                  <v>1.849345</v>
                </pt>
                <pt idx="6">
                  <v>1.812227</v>
                </pt>
                <pt idx="7">
                  <v>1.790393</v>
                </pt>
                <pt idx="8">
                  <v>1.803493</v>
                </pt>
                <pt idx="9">
                  <v>1.80131</v>
                </pt>
                <pt idx="10">
                  <v>1.58952</v>
                </pt>
                <pt idx="11">
                  <v>1.550218</v>
                </pt>
                <pt idx="12">
                  <v>1.574236</v>
                </pt>
                <pt idx="13">
                  <v>1.467249</v>
                </pt>
                <pt idx="14">
                  <v>1.585153</v>
                </pt>
                <pt idx="15">
                  <v>1.515284</v>
                </pt>
                <pt idx="16">
                  <v>1.443231</v>
                </pt>
                <pt idx="17">
                  <v>1.364629</v>
                </pt>
                <pt idx="18">
                  <v>1.144105</v>
                </pt>
                <pt idx="19">
                  <v>1.187773</v>
                </pt>
                <pt idx="20">
                  <v>1.253275</v>
                </pt>
                <pt idx="21">
                  <v>1.264192</v>
                </pt>
                <pt idx="22">
                  <v>1.28821</v>
                </pt>
                <pt idx="23">
                  <v>1.355895</v>
                </pt>
                <pt idx="24">
                  <v>1.430131</v>
                </pt>
                <pt idx="25">
                  <v>1.460699</v>
                </pt>
                <pt idx="26">
                  <v>1.421397</v>
                </pt>
                <pt idx="27">
                  <v>1.473799</v>
                </pt>
                <pt idx="28">
                  <v>1.449782</v>
                </pt>
                <pt idx="29">
                  <v>1.5</v>
                </pt>
                <pt idx="30">
                  <v>1.491266</v>
                </pt>
                <pt idx="31">
                  <v>1.524017</v>
                </pt>
                <pt idx="32">
                  <v>1.526201</v>
                </pt>
                <pt idx="33">
                  <v>1.524017</v>
                </pt>
                <pt idx="34">
                  <v>1.563319</v>
                </pt>
                <pt idx="35">
                  <v>1.471616</v>
                </pt>
                <pt idx="36">
                  <v>1.117904</v>
                </pt>
                <pt idx="37">
                  <v>1.128821</v>
                </pt>
                <pt idx="38">
                  <v>1.106987</v>
                </pt>
                <pt idx="39">
                  <v>1.091703</v>
                </pt>
                <pt idx="40">
                  <v>1.113537</v>
                </pt>
                <pt idx="41">
                  <v>1.065502</v>
                </pt>
                <pt idx="42">
                  <v>1.043668</v>
                </pt>
                <pt idx="43">
                  <v>1.091703</v>
                </pt>
                <pt idx="44">
                  <v>1.091703</v>
                </pt>
                <pt idx="45">
                  <v>1.056769</v>
                </pt>
                <pt idx="46">
                  <v>1.032751</v>
                </pt>
                <pt idx="47">
                  <v>1.058952</v>
                </pt>
                <pt idx="48">
                  <v>0.997817</v>
                </pt>
                <pt idx="49">
                  <v>0.978166</v>
                </pt>
                <pt idx="50">
                  <v>0.930131</v>
                </pt>
                <pt idx="51">
                  <v>0.960699</v>
                </pt>
                <pt idx="52">
                  <v>1</v>
                </pt>
                <pt idx="53">
                  <v>1.00196850393701</v>
                </pt>
                <pt idx="54">
                  <v>0.818897637795276</v>
                </pt>
                <pt idx="55">
                  <v>0.829724409448819</v>
                </pt>
                <pt idx="56">
                  <v>0.808070866141732</v>
                </pt>
                <pt idx="57">
                  <v>0.8336614173228351</v>
                </pt>
                <pt idx="58">
                  <v>0.816929133858268</v>
                </pt>
                <pt idx="59">
                  <v>0.807086614173228</v>
                </pt>
                <pt idx="60">
                  <v>0.812992125984252</v>
                </pt>
                <pt idx="61">
                  <v>0.812007874015748</v>
                </pt>
                <pt idx="62">
                  <v>0.716535433070866</v>
                </pt>
                <pt idx="63">
                  <v>0.698818897637795</v>
                </pt>
                <pt idx="64">
                  <v>0.709645669291339</v>
                </pt>
                <pt idx="65">
                  <v>0.661417322834646</v>
                </pt>
                <pt idx="66">
                  <v>0.714566929133858</v>
                </pt>
                <pt idx="67">
                  <v>0.683070866141732</v>
                </pt>
                <pt idx="68">
                  <v>0.650590551181102</v>
                </pt>
                <pt idx="69">
                  <v>0.615157480314961</v>
                </pt>
                <pt idx="70">
                  <v>0.515748031496063</v>
                </pt>
                <pt idx="71">
                  <v>0.535433070866142</v>
                </pt>
                <pt idx="72">
                  <v>0.5649606299212599</v>
                </pt>
                <pt idx="73">
                  <v>0.56988188976378</v>
                </pt>
                <pt idx="74">
                  <v>0.580708661417323</v>
                </pt>
                <pt idx="75">
                  <v>0.611220472440945</v>
                </pt>
                <pt idx="76">
                  <v>0.644685039370079</v>
                </pt>
                <pt idx="77">
                  <v>0.658464566929134</v>
                </pt>
                <pt idx="78">
                  <v>0.640748031496063</v>
                </pt>
                <pt idx="79">
                  <v>0.664370078740158</v>
                </pt>
                <pt idx="80">
                  <v>0.653543307086614</v>
                </pt>
                <pt idx="81">
                  <v>0.676181102362205</v>
                </pt>
                <pt idx="82">
                  <v>0.672244094488189</v>
                </pt>
                <pt idx="83">
                  <v>0.687007874015748</v>
                </pt>
                <pt idx="84">
                  <v>0.687992125984252</v>
                </pt>
                <pt idx="85">
                  <v>0.687007874015748</v>
                </pt>
                <pt idx="86">
                  <v>0.704724409448819</v>
                </pt>
                <pt idx="87">
                  <v>0.663385826771654</v>
                </pt>
                <pt idx="88">
                  <v>0.503937007874016</v>
                </pt>
                <pt idx="89">
                  <v>0.508858267716535</v>
                </pt>
                <pt idx="90">
                  <v>0.499015748031496</v>
                </pt>
                <pt idx="91">
                  <v>0.492125984251969</v>
                </pt>
                <pt idx="92">
                  <v>0.501968503937008</v>
                </pt>
                <pt idx="93">
                  <v>0.480314960629921</v>
                </pt>
                <pt idx="94">
                  <v>0.470472440944882</v>
                </pt>
                <pt idx="95">
                  <v>0.492125984251969</v>
                </pt>
                <pt idx="96">
                  <v>0.463582680919978</v>
                </pt>
                <pt idx="97">
                  <v>0.485236203576636</v>
                </pt>
                <pt idx="98">
                  <v>0.485236203576636</v>
                </pt>
              </numCache>
            </numRef>
          </val>
          <smooth val="0"/>
        </ser>
        <ser>
          <idx val="6"/>
          <order val="6"/>
          <tx>
            <strRef>
              <f>'运动服饰 Normalized'!$H$2</f>
              <strCache>
                <ptCount val="1"/>
                <pt idx="0">
                  <v>SKX.N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Normalized'!$H$3:$H$101</f>
              <numCache>
                <formatCode>General</formatCode>
                <ptCount val="99"/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'运动服饰 Normalized'!$I$2</f>
              <strCache>
                <ptCount val="1"/>
                <pt idx="0">
                  <v>SHOO.O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Normalized'!$I$3:$I$101</f>
              <numCache>
                <formatCode>General</formatCode>
                <ptCount val="99"/>
                <pt idx="0">
                  <v>1.075705</v>
                </pt>
                <pt idx="1">
                  <v>1.021197</v>
                </pt>
                <pt idx="2">
                  <v>1.020731</v>
                </pt>
                <pt idx="3">
                  <v>0.989285</v>
                </pt>
                <pt idx="4">
                  <v>0.983694</v>
                </pt>
                <pt idx="5">
                  <v>0.981831</v>
                </pt>
                <pt idx="6">
                  <v>0.937806</v>
                </pt>
                <pt idx="7">
                  <v>0.957838</v>
                </pt>
                <pt idx="8">
                  <v>0.9604009999999999</v>
                </pt>
                <pt idx="9">
                  <v>0.892616</v>
                </pt>
                <pt idx="10">
                  <v>0.878873</v>
                </pt>
                <pt idx="11">
                  <v>0.923131</v>
                </pt>
                <pt idx="12">
                  <v>0.897508</v>
                </pt>
                <pt idx="13">
                  <v>0.709294</v>
                </pt>
                <pt idx="14">
                  <v>0.6522250000000001</v>
                </pt>
                <pt idx="15">
                  <v>0.600047</v>
                </pt>
                <pt idx="16">
                  <v>0.638947</v>
                </pt>
                <pt idx="17">
                  <v>0.620545</v>
                </pt>
                <pt idx="18">
                  <v>0.518519</v>
                </pt>
                <pt idx="19">
                  <v>0.489401</v>
                </pt>
                <pt idx="20">
                  <v>0.465642</v>
                </pt>
                <pt idx="21">
                  <v>0.487305</v>
                </pt>
                <pt idx="22">
                  <v>0.481714</v>
                </pt>
                <pt idx="23">
                  <v>0.615188</v>
                </pt>
                <pt idx="24">
                  <v>0.60028</v>
                </pt>
                <pt idx="25">
                  <v>0.571861</v>
                </pt>
                <pt idx="26">
                  <v>0.564873</v>
                </pt>
                <pt idx="27">
                  <v>0.607966</v>
                </pt>
                <pt idx="28">
                  <v>0.564407</v>
                </pt>
                <pt idx="29">
                  <v>0.557419</v>
                </pt>
                <pt idx="30">
                  <v>0.558584</v>
                </pt>
                <pt idx="31">
                  <v>0.5823430000000001</v>
                </pt>
                <pt idx="32">
                  <v>0.578616</v>
                </pt>
                <pt idx="33">
                  <v>0.607268</v>
                </pt>
                <pt idx="34">
                  <v>0.628931</v>
                </pt>
                <pt idx="35">
                  <v>0.584673</v>
                </pt>
                <pt idx="36">
                  <v>0.573259</v>
                </pt>
                <pt idx="37">
                  <v>0.627067</v>
                </pt>
                <pt idx="38">
                  <v>0.652923</v>
                </pt>
                <pt idx="39">
                  <v>0.67645</v>
                </pt>
                <pt idx="40">
                  <v>0.710459</v>
                </pt>
                <pt idx="41">
                  <v>0.730724</v>
                </pt>
                <pt idx="42">
                  <v>0.77242</v>
                </pt>
                <pt idx="43">
                  <v>0.789425</v>
                </pt>
                <pt idx="44">
                  <v>0.784999</v>
                </pt>
                <pt idx="45">
                  <v>0.799441</v>
                </pt>
                <pt idx="46">
                  <v>0.814349</v>
                </pt>
                <pt idx="47">
                  <v>0.82553</v>
                </pt>
                <pt idx="48">
                  <v>0.764034</v>
                </pt>
                <pt idx="49">
                  <v>0.878407</v>
                </pt>
                <pt idx="50">
                  <v>0.861402</v>
                </pt>
                <pt idx="51">
                  <v>0.94689</v>
                </pt>
                <pt idx="52">
                  <v>1</v>
                </pt>
                <pt idx="53">
                  <v>0.9493287137288871</v>
                </pt>
                <pt idx="54">
                  <v>0.94889562581204</v>
                </pt>
                <pt idx="55">
                  <v>0.9196621914248591</v>
                </pt>
                <pt idx="56">
                  <v>0.914465136422694</v>
                </pt>
                <pt idx="57">
                  <v>0.9127327847553049</v>
                </pt>
                <pt idx="58">
                  <v>0.871805976613252</v>
                </pt>
                <pt idx="59">
                  <v>0.890428757037679</v>
                </pt>
                <pt idx="60">
                  <v>0.892810740580338</v>
                </pt>
                <pt idx="61">
                  <v>0.829796448679082</v>
                </pt>
                <pt idx="62">
                  <v>0.817020355132092</v>
                </pt>
                <pt idx="63">
                  <v>0.858163707232568</v>
                </pt>
                <pt idx="64">
                  <v>0.834343871805977</v>
                </pt>
                <pt idx="65">
                  <v>0.65937635339974</v>
                </pt>
                <pt idx="66">
                  <v>0.606323083585968</v>
                </pt>
                <pt idx="67">
                  <v>0.557817236899091</v>
                </pt>
                <pt idx="68">
                  <v>0.593980077955825</v>
                </pt>
                <pt idx="69">
                  <v>0.5768731052403639</v>
                </pt>
                <pt idx="70">
                  <v>0.482026851450845</v>
                </pt>
                <pt idx="71">
                  <v>0.4549588566479</v>
                </pt>
                <pt idx="72">
                  <v>0.432871372888696</v>
                </pt>
                <pt idx="73">
                  <v>0.453009961022088</v>
                </pt>
                <pt idx="74">
                  <v>0.447812906019922</v>
                </pt>
                <pt idx="75">
                  <v>0.571892594196622</v>
                </pt>
                <pt idx="76">
                  <v>0.558033780857514</v>
                </pt>
                <pt idx="77">
                  <v>0.53161541792984</v>
                </pt>
                <pt idx="78">
                  <v>0.525119099177133</v>
                </pt>
                <pt idx="79">
                  <v>0.5651797314854921</v>
                </pt>
                <pt idx="80">
                  <v>0.524686011260286</v>
                </pt>
                <pt idx="81">
                  <v>0.518189692507579</v>
                </pt>
                <pt idx="82">
                  <v>0.519272412299697</v>
                </pt>
                <pt idx="83">
                  <v>0.5413598960589</v>
                </pt>
                <pt idx="84">
                  <v>0.537895192724123</v>
                </pt>
                <pt idx="85">
                  <v>0.564530099610221</v>
                </pt>
                <pt idx="86">
                  <v>0.584668687743612</v>
                </pt>
                <pt idx="87">
                  <v>0.543525335643136</v>
                </pt>
                <pt idx="88">
                  <v>0.532914681680381</v>
                </pt>
                <pt idx="89">
                  <v>0.582936336076224</v>
                </pt>
                <pt idx="90">
                  <v>0.606972715461239</v>
                </pt>
                <pt idx="91">
                  <v>0.628843655262018</v>
                </pt>
                <pt idx="92">
                  <v>0.660459073191858</v>
                </pt>
                <pt idx="93">
                  <v>0.679298397574708</v>
                </pt>
                <pt idx="94">
                  <v>0.718059766132525</v>
                </pt>
                <pt idx="95">
                  <v>0.733867475097445</v>
                </pt>
                <pt idx="96">
                  <v>0.9954526033066941</v>
                </pt>
                <pt idx="97">
                  <v>0.959289719295378</v>
                </pt>
                <pt idx="98">
                  <v>0.959289719295378</v>
                </pt>
              </numCache>
            </numRef>
          </val>
          <smooth val="0"/>
        </ser>
        <ser>
          <idx val="8"/>
          <order val="8"/>
          <tx>
            <strRef>
              <f>'运动服饰 Normalized'!$J$2</f>
              <strCache>
                <ptCount val="1"/>
                <pt idx="0">
                  <v>RL.N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Normalized'!$J$3:$J$101</f>
              <numCache>
                <formatCode>General</formatCode>
                <ptCount val="99"/>
                <pt idx="0">
                  <v>0.637941</v>
                </pt>
                <pt idx="1">
                  <v>0.62351</v>
                </pt>
                <pt idx="2">
                  <v>0.633158</v>
                </pt>
                <pt idx="3">
                  <v>0.629742</v>
                </pt>
                <pt idx="4">
                  <v>0.6346889999999999</v>
                </pt>
                <pt idx="5">
                  <v>0.664043</v>
                </pt>
                <pt idx="6">
                  <v>0.646387</v>
                </pt>
                <pt idx="7">
                  <v>0.65721</v>
                </pt>
                <pt idx="8">
                  <v>0.677025</v>
                </pt>
                <pt idx="9">
                  <v>0.6723519999999999</v>
                </pt>
                <pt idx="10">
                  <v>0.733984</v>
                </pt>
                <pt idx="11">
                  <v>0.772466</v>
                </pt>
                <pt idx="12">
                  <v>0.753389</v>
                </pt>
                <pt idx="13">
                  <v>0.717066</v>
                </pt>
                <pt idx="14">
                  <v>0.596917</v>
                </pt>
                <pt idx="15">
                  <v>0.601345</v>
                </pt>
                <pt idx="16">
                  <v>0.64513</v>
                </pt>
                <pt idx="17">
                  <v>0.603313</v>
                </pt>
                <pt idx="18">
                  <v>0.52796</v>
                </pt>
                <pt idx="19">
                  <v>0.55141</v>
                </pt>
                <pt idx="20">
                  <v>0.557669</v>
                </pt>
                <pt idx="21">
                  <v>0.60662</v>
                </pt>
                <pt idx="22">
                  <v>0.649967</v>
                </pt>
                <pt idx="23">
                  <v>0.722942</v>
                </pt>
                <pt idx="24">
                  <v>0.75891</v>
                </pt>
                <pt idx="25">
                  <v>0.749098</v>
                </pt>
                <pt idx="26">
                  <v>0.754154</v>
                </pt>
                <pt idx="27">
                  <v>0.7388209999999999</v>
                </pt>
                <pt idx="28">
                  <v>0.7388209999999999</v>
                </pt>
                <pt idx="29">
                  <v>0.7394500000000001</v>
                </pt>
                <pt idx="30">
                  <v>0.749645</v>
                </pt>
                <pt idx="31">
                  <v>0.781158</v>
                </pt>
                <pt idx="32">
                  <v>0.789849</v>
                </pt>
                <pt idx="33">
                  <v>0.78922</v>
                </pt>
                <pt idx="34">
                  <v>0.824642</v>
                </pt>
                <pt idx="35">
                  <v>0.832103</v>
                </pt>
                <pt idx="36">
                  <v>0.788674</v>
                </pt>
                <pt idx="37">
                  <v>0.7916800000000001</v>
                </pt>
                <pt idx="38">
                  <v>0.785476</v>
                </pt>
                <pt idx="39">
                  <v>0.81155</v>
                </pt>
                <pt idx="40">
                  <v>0.844512</v>
                </pt>
                <pt idx="41">
                  <v>0.863043</v>
                </pt>
                <pt idx="42">
                  <v>0.840849</v>
                </pt>
                <pt idx="43">
                  <v>0.8435550000000001</v>
                </pt>
                <pt idx="44">
                  <v>0.87761</v>
                </pt>
                <pt idx="45">
                  <v>0.8670330000000001</v>
                </pt>
                <pt idx="46">
                  <v>0.910134</v>
                </pt>
                <pt idx="47">
                  <v>0.922625</v>
                </pt>
                <pt idx="48">
                  <v>0.860801</v>
                </pt>
                <pt idx="49">
                  <v>0.914808</v>
                </pt>
                <pt idx="50">
                  <v>0.88581</v>
                </pt>
                <pt idx="51">
                  <v>0.956543</v>
                </pt>
                <pt idx="52">
                  <v>1</v>
                </pt>
                <pt idx="53">
                  <v>0.97737886123131</v>
                </pt>
                <pt idx="54">
                  <v>0.992502463476286</v>
                </pt>
                <pt idx="55">
                  <v>0.987147080245062</v>
                </pt>
                <pt idx="56">
                  <v>0.994901675163875</v>
                </pt>
                <pt idx="57">
                  <v>1.04091512788655</v>
                </pt>
                <pt idx="58">
                  <v>1.01323850734759</v>
                </pt>
                <pt idx="59">
                  <v>1.0302043614241</v>
                </pt>
                <pt idx="60">
                  <v>1.0612655841652</v>
                </pt>
                <pt idx="61">
                  <v>1.05393941990489</v>
                </pt>
                <pt idx="62">
                  <v>1.15055053339617</v>
                </pt>
                <pt idx="63">
                  <v>1.21087357011268</v>
                </pt>
                <pt idx="64">
                  <v>1.18096911014952</v>
                </pt>
                <pt idx="65">
                  <v>1.12403067563515</v>
                </pt>
                <pt idx="66">
                  <v>0.935692558159462</v>
                </pt>
                <pt idx="67">
                  <v>0.942633134827128</v>
                </pt>
                <pt idx="68">
                  <v>1.0112677263185</v>
                </pt>
                <pt idx="69">
                  <v>0.945717835568313</v>
                </pt>
                <pt idx="70">
                  <v>0.8275995030204359</v>
                </pt>
                <pt idx="71">
                  <v>0.864358853519558</v>
                </pt>
                <pt idx="72">
                  <v>0.87416991559916</v>
                </pt>
                <pt idx="73">
                  <v>0.950901846536138</v>
                </pt>
                <pt idx="74">
                  <v>1.01885094897391</v>
                </pt>
                <pt idx="75">
                  <v>1.13324193479285</v>
                </pt>
                <pt idx="76">
                  <v>1.18962340945118</v>
                </pt>
                <pt idx="77">
                  <v>1.1742427488111</v>
                </pt>
                <pt idx="78">
                  <v>1.18216871599332</v>
                </pt>
                <pt idx="79">
                  <v>1.15813375605158</v>
                </pt>
                <pt idx="80">
                  <v>1.15813375605158</v>
                </pt>
                <pt idx="81">
                  <v>1.15911914656613</v>
                </pt>
                <pt idx="82">
                  <v>1.1750996101281</v>
                </pt>
                <pt idx="83">
                  <v>1.22449766505291</v>
                </pt>
                <pt idx="84">
                  <v>1.23812175999315</v>
                </pt>
                <pt idx="85">
                  <v>1.2371363694786</v>
                </pt>
                <pt idx="86">
                  <v>1.29266098281993</v>
                </pt>
                <pt idx="87">
                  <v>1.30435713979692</v>
                </pt>
                <pt idx="88">
                  <v>1.2362795081616</v>
                </pt>
                <pt idx="89">
                  <v>1.24099224540508</v>
                </pt>
                <pt idx="90">
                  <v>1.23126686945718</v>
                </pt>
                <pt idx="91">
                  <v>1.27213915427788</v>
                </pt>
                <pt idx="92">
                  <v>1.32380789169273</v>
                </pt>
                <pt idx="93">
                  <v>1.35285549033889</v>
                </pt>
                <pt idx="94">
                  <v>1.31806692086886</v>
                </pt>
                <pt idx="95">
                  <v>1.32230838438799</v>
                </pt>
                <pt idx="96">
                  <v>1.55678846286443</v>
                </pt>
                <pt idx="97">
                  <v>1.59067734364122</v>
                </pt>
                <pt idx="98">
                  <v>1.59067734364122</v>
                </pt>
              </numCache>
            </numRef>
          </val>
          <smooth val="0"/>
        </ser>
        <ser>
          <idx val="9"/>
          <order val="9"/>
          <tx>
            <strRef>
              <f>'运动服饰 Normalized'!$K$2</f>
              <strCache>
                <ptCount val="1"/>
                <pt idx="0">
                  <v>PUM.DF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Normalized'!$K$3:$K$101</f>
              <numCache>
                <formatCode>General</formatCode>
                <ptCount val="99"/>
                <pt idx="0">
                  <v>2.084017</v>
                </pt>
                <pt idx="1">
                  <v>2.235152</v>
                </pt>
                <pt idx="2">
                  <v>2.179623</v>
                </pt>
                <pt idx="3">
                  <v>2.179141</v>
                </pt>
                <pt idx="4">
                  <v>2.141961</v>
                </pt>
                <pt idx="5">
                  <v>2.158861</v>
                </pt>
                <pt idx="6">
                  <v>2.004829</v>
                </pt>
                <pt idx="7">
                  <v>1.95268</v>
                </pt>
                <pt idx="8">
                  <v>1.533076</v>
                </pt>
                <pt idx="9">
                  <v>1.425398</v>
                </pt>
                <pt idx="10">
                  <v>1.407533</v>
                </pt>
                <pt idx="11">
                  <v>1.435056</v>
                </pt>
                <pt idx="12">
                  <v>1.436504</v>
                </pt>
                <pt idx="13">
                  <v>1.395944</v>
                </pt>
                <pt idx="14">
                  <v>1.449541</v>
                </pt>
                <pt idx="15">
                  <v>1.1183</v>
                </pt>
                <pt idx="16">
                  <v>1.151135</v>
                </pt>
                <pt idx="17">
                  <v>1.08112</v>
                </pt>
                <pt idx="18">
                  <v>0.902945</v>
                </pt>
                <pt idx="19">
                  <v>0.945437</v>
                </pt>
                <pt idx="20">
                  <v>0.995654</v>
                </pt>
                <pt idx="21">
                  <v>1.106229</v>
                </pt>
                <pt idx="22">
                  <v>1.149686</v>
                </pt>
                <pt idx="23">
                  <v>1.160309</v>
                </pt>
                <pt idx="24">
                  <v>1.124578</v>
                </pt>
                <pt idx="25">
                  <v>1.07774</v>
                </pt>
                <pt idx="26">
                  <v>1.090295</v>
                </pt>
                <pt idx="27">
                  <v>1.092709</v>
                </pt>
                <pt idx="28">
                  <v>1.046837</v>
                </pt>
                <pt idx="29">
                  <v>1.0169</v>
                </pt>
                <pt idx="30">
                  <v>1.119266</v>
                </pt>
                <pt idx="31">
                  <v>1.104297</v>
                </pt>
                <pt idx="32">
                  <v>1.069049</v>
                </pt>
                <pt idx="33">
                  <v>1.080155</v>
                </pt>
                <pt idx="34">
                  <v>0.982617</v>
                </pt>
                <pt idx="35">
                  <v>0.859488</v>
                </pt>
                <pt idx="36">
                  <v>0.832931</v>
                </pt>
                <pt idx="37">
                  <v>0.834862</v>
                </pt>
                <pt idx="38">
                  <v>1.049252</v>
                </pt>
                <pt idx="39">
                  <v>1.012072</v>
                </pt>
                <pt idx="40">
                  <v>0.969097</v>
                </pt>
                <pt idx="41">
                  <v>0.9357799999999999</v>
                </pt>
                <pt idx="42">
                  <v>1.038146</v>
                </pt>
                <pt idx="43">
                  <v>0.976823</v>
                </pt>
                <pt idx="44">
                  <v>1.0338</v>
                </pt>
                <pt idx="45">
                  <v>1.025592</v>
                </pt>
                <pt idx="46">
                  <v>1.036697</v>
                </pt>
                <pt idx="47">
                  <v>1.055046</v>
                </pt>
                <pt idx="48">
                  <v>0.845002</v>
                </pt>
                <pt idx="49">
                  <v>0.783197</v>
                </pt>
                <pt idx="50">
                  <v>0.770159</v>
                </pt>
                <pt idx="51">
                  <v>0.751811</v>
                </pt>
                <pt idx="52">
                  <v>1</v>
                </pt>
                <pt idx="53">
                  <v>1.07252085264133</v>
                </pt>
                <pt idx="54">
                  <v>1.04587581093605</v>
                </pt>
                <pt idx="55">
                  <v>1.04564411492122</v>
                </pt>
                <pt idx="56">
                  <v>1.02780352177943</v>
                </pt>
                <pt idx="57">
                  <v>1.03591288229842</v>
                </pt>
                <pt idx="58">
                  <v>0.962001853568119</v>
                </pt>
                <pt idx="59">
                  <v>0.936978683966636</v>
                </pt>
                <pt idx="60">
                  <v>0.73563484708063</v>
                </pt>
                <pt idx="61">
                  <v>0.683966635773865</v>
                </pt>
                <pt idx="62">
                  <v>0.675393883225209</v>
                </pt>
                <pt idx="63">
                  <v>0.688600556070436</v>
                </pt>
                <pt idx="64">
                  <v>0.6892956441149209</v>
                </pt>
                <pt idx="65">
                  <v>0.669833178869323</v>
                </pt>
                <pt idx="66">
                  <v>0.6955514365152921</v>
                </pt>
                <pt idx="67">
                  <v>0.53660797034291</v>
                </pt>
                <pt idx="68">
                  <v>0.5523632993512509</v>
                </pt>
                <pt idx="69">
                  <v>0.518767377201112</v>
                </pt>
                <pt idx="70">
                  <v>0.433271547729379</v>
                </pt>
                <pt idx="71">
                  <v>0.453660797034291</v>
                </pt>
                <pt idx="72">
                  <v>0.47775718257646</v>
                </pt>
                <pt idx="73">
                  <v>0.530815569972196</v>
                </pt>
                <pt idx="74">
                  <v>0.551668211306766</v>
                </pt>
                <pt idx="75">
                  <v>0.556765523632994</v>
                </pt>
                <pt idx="76">
                  <v>0.539620018535681</v>
                </pt>
                <pt idx="77">
                  <v>0.5171455050973121</v>
                </pt>
                <pt idx="78">
                  <v>0.523169601482855</v>
                </pt>
                <pt idx="79">
                  <v>0.5243280815569969</v>
                </pt>
                <pt idx="80">
                  <v>0.502316960148286</v>
                </pt>
                <pt idx="81">
                  <v>0.487951807228916</v>
                </pt>
                <pt idx="82">
                  <v>0.537071362372567</v>
                </pt>
                <pt idx="83">
                  <v>0.529888785912882</v>
                </pt>
                <pt idx="84">
                  <v>0.5129749768303991</v>
                </pt>
                <pt idx="85">
                  <v>0.518303985171455</v>
                </pt>
                <pt idx="86">
                  <v>0.471501390176089</v>
                </pt>
                <pt idx="87">
                  <v>0.41241890639481</v>
                </pt>
                <pt idx="88">
                  <v>0.39967562557924</v>
                </pt>
                <pt idx="89">
                  <v>0.400602409638554</v>
                </pt>
                <pt idx="90">
                  <v>0.503475440222428</v>
                </pt>
                <pt idx="91">
                  <v>0.48563484708063</v>
                </pt>
                <pt idx="92">
                  <v>0.46501390176089</v>
                </pt>
                <pt idx="93">
                  <v>0.44902687673772</v>
                </pt>
                <pt idx="94">
                  <v>0.498146431881372</v>
                </pt>
                <pt idx="95">
                  <v>0.468721037998146</v>
                </pt>
                <pt idx="96">
                  <v>0.513438365324655</v>
                </pt>
                <pt idx="97">
                  <v>0.5324374314697951</v>
                </pt>
                <pt idx="98">
                  <v>0.533827639377371</v>
                </pt>
              </numCache>
            </numRef>
          </val>
          <smooth val="0"/>
        </ser>
        <ser>
          <idx val="10"/>
          <order val="10"/>
          <tx>
            <strRef>
              <f>'运动服饰 Normalized'!$L$2</f>
              <strCache>
                <ptCount val="1"/>
                <pt idx="0">
                  <v>ONON.N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Normalized'!$L$3:$L$101</f>
              <numCache>
                <formatCode>General</formatCode>
                <ptCount val="99"/>
                <pt idx="0">
                  <v>1.309982</v>
                </pt>
                <pt idx="1">
                  <v>1.231423</v>
                </pt>
                <pt idx="2">
                  <v>1.295434</v>
                </pt>
                <pt idx="3">
                  <v>1.267905</v>
                </pt>
                <pt idx="4">
                  <v>1.235228</v>
                </pt>
                <pt idx="5">
                  <v>1.222471</v>
                </pt>
                <pt idx="6">
                  <v>1.239481</v>
                </pt>
                <pt idx="7">
                  <v>1.297672</v>
                </pt>
                <pt idx="8">
                  <v>1.340868</v>
                </pt>
                <pt idx="9">
                  <v>1.309758</v>
                </pt>
                <pt idx="10">
                  <v>1.246867</v>
                </pt>
                <pt idx="11">
                  <v>1.164503</v>
                </pt>
                <pt idx="12">
                  <v>1.091092</v>
                </pt>
                <pt idx="13">
                  <v>1.070949</v>
                </pt>
                <pt idx="14">
                  <v>0.989928</v>
                </pt>
                <pt idx="15">
                  <v>1.075649</v>
                </pt>
                <pt idx="16">
                  <v>1.081468</v>
                </pt>
                <pt idx="17">
                  <v>0.98299</v>
                </pt>
                <pt idx="18">
                  <v>0.916965</v>
                </pt>
                <pt idx="19">
                  <v>0.966204</v>
                </pt>
                <pt idx="20">
                  <v>0.924575</v>
                </pt>
                <pt idx="21">
                  <v>1.042748</v>
                </pt>
                <pt idx="22">
                  <v>1.094226</v>
                </pt>
                <pt idx="23">
                  <v>1.148389</v>
                </pt>
                <pt idx="24">
                  <v>1.342659</v>
                </pt>
                <pt idx="25">
                  <v>1.307968</v>
                </pt>
                <pt idx="26">
                  <v>1.323635</v>
                </pt>
                <pt idx="27">
                  <v>1.263653</v>
                </pt>
                <pt idx="28">
                  <v>1.186437</v>
                </pt>
                <pt idx="29">
                  <v>1.18778</v>
                </pt>
                <pt idx="30">
                  <v>1.164951</v>
                </pt>
                <pt idx="31">
                  <v>1.216652</v>
                </pt>
                <pt idx="32">
                  <v>1.192032</v>
                </pt>
                <pt idx="33">
                  <v>1.190913</v>
                </pt>
                <pt idx="34">
                  <v>1.140331</v>
                </pt>
                <pt idx="35">
                  <v>1.065354</v>
                </pt>
                <pt idx="36">
                  <v>1.023277</v>
                </pt>
                <pt idx="37">
                  <v>1.012086</v>
                </pt>
                <pt idx="38">
                  <v>1.020367</v>
                </pt>
                <pt idx="39">
                  <v>1.008953</v>
                </pt>
                <pt idx="40">
                  <v>1.011638</v>
                </pt>
                <pt idx="41">
                  <v>0.955013</v>
                </pt>
                <pt idx="42">
                  <v>1.020367</v>
                </pt>
                <pt idx="43">
                  <v>0.975604</v>
                </pt>
                <pt idx="44">
                  <v>0.952775</v>
                </pt>
                <pt idx="45">
                  <v>0.961728</v>
                </pt>
                <pt idx="46">
                  <v>0.928156</v>
                </pt>
                <pt idx="47">
                  <v>0.9447179999999999</v>
                </pt>
                <pt idx="48">
                  <v>0.816025</v>
                </pt>
                <pt idx="49">
                  <v>0.782453</v>
                </pt>
                <pt idx="50">
                  <v>0.926589</v>
                </pt>
                <pt idx="51">
                  <v>0.912936</v>
                </pt>
                <pt idx="52">
                  <v>1</v>
                </pt>
                <pt idx="53">
                  <v>0.9400307534597639</v>
                </pt>
                <pt idx="54">
                  <v>0.98889458397403</v>
                </pt>
                <pt idx="55">
                  <v>0.967879719801811</v>
                </pt>
                <pt idx="56">
                  <v>0.942935246881941</v>
                </pt>
                <pt idx="57">
                  <v>0.933196651289937</v>
                </pt>
                <pt idx="58">
                  <v>0.946181445412609</v>
                </pt>
                <pt idx="59">
                  <v>0.990603109516487</v>
                </pt>
                <pt idx="60">
                  <v>1.0235776524859</v>
                </pt>
                <pt idx="61">
                  <v>0.999829147445754</v>
                </pt>
                <pt idx="62">
                  <v>0.951819579702717</v>
                </pt>
                <pt idx="63">
                  <v>0.8889458397403039</v>
                </pt>
                <pt idx="64">
                  <v>0.832906201947719</v>
                </pt>
                <pt idx="65">
                  <v>0.817529472065607</v>
                </pt>
                <pt idx="66">
                  <v>0.755680847428669</v>
                </pt>
                <pt idx="67">
                  <v>0.8211173757047669</v>
                </pt>
                <pt idx="68">
                  <v>0.825559542115155</v>
                </pt>
                <pt idx="69">
                  <v>0.750384418247053</v>
                </pt>
                <pt idx="70">
                  <v>0.699982914744575</v>
                </pt>
                <pt idx="71">
                  <v>0.737570476678626</v>
                </pt>
                <pt idx="72">
                  <v>0.705791901588929</v>
                </pt>
                <pt idx="73">
                  <v>0.796002050230651</v>
                </pt>
                <pt idx="74">
                  <v>0.835298137707159</v>
                </pt>
                <pt idx="75">
                  <v>0.876644455834615</v>
                </pt>
                <pt idx="76">
                  <v>1.02494447291987</v>
                </pt>
                <pt idx="77">
                  <v>0.9984623270117891</v>
                </pt>
                <pt idx="78">
                  <v>1.01042200580899</v>
                </pt>
                <pt idx="79">
                  <v>0.964633521271143</v>
                </pt>
                <pt idx="80">
                  <v>0.905689390056381</v>
                </pt>
                <pt idx="81">
                  <v>0.9067145053818551</v>
                </pt>
                <pt idx="82">
                  <v>0.889287544848795</v>
                </pt>
                <pt idx="83">
                  <v>0.928754484879549</v>
                </pt>
                <pt idx="84">
                  <v>0.909960703912523</v>
                </pt>
                <pt idx="85">
                  <v>0.909106441141295</v>
                </pt>
                <pt idx="86">
                  <v>0.87049376388177</v>
                </pt>
                <pt idx="87">
                  <v>0.813258158209465</v>
                </pt>
                <pt idx="88">
                  <v>0.781137878011276</v>
                </pt>
                <pt idx="89">
                  <v>0.772595250298992</v>
                </pt>
                <pt idx="90">
                  <v>0.778916794806082</v>
                </pt>
                <pt idx="91">
                  <v>0.770203314539552</v>
                </pt>
                <pt idx="92">
                  <v>0.772253545190501</v>
                </pt>
                <pt idx="93">
                  <v>0.729027848966342</v>
                </pt>
                <pt idx="94">
                  <v>0.778916794806082</v>
                </pt>
                <pt idx="95">
                  <v>0.744746283956945</v>
                </pt>
                <pt idx="96">
                  <v>0.527080136365449</v>
                </pt>
                <pt idx="97">
                  <v>0.599521615455115</v>
                </pt>
                <pt idx="98">
                  <v>0.599521615455115</v>
                </pt>
              </numCache>
            </numRef>
          </val>
          <smooth val="0"/>
        </ser>
        <ser>
          <idx val="11"/>
          <order val="11"/>
          <tx>
            <strRef>
              <f>'运动服饰 Normalized'!$M$2</f>
              <strCache>
                <ptCount val="1"/>
                <pt idx="0">
                  <v>NWL.O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Normalized'!$M$3:$M$101</f>
              <numCache>
                <formatCode>General</formatCode>
                <ptCount val="99"/>
                <pt idx="0">
                  <v>2.56168</v>
                </pt>
                <pt idx="1">
                  <v>3.020997</v>
                </pt>
                <pt idx="2">
                  <v>2.845144</v>
                </pt>
                <pt idx="3">
                  <v>2.637795</v>
                </pt>
                <pt idx="4">
                  <v>2.624672</v>
                </pt>
                <pt idx="5">
                  <v>2.669291</v>
                </pt>
                <pt idx="6">
                  <v>2.548556</v>
                </pt>
                <pt idx="7">
                  <v>2.656168</v>
                </pt>
                <pt idx="8">
                  <v>2.779528</v>
                </pt>
                <pt idx="9">
                  <v>2.51706</v>
                </pt>
                <pt idx="10">
                  <v>1.839895</v>
                </pt>
                <pt idx="11">
                  <v>1.853018</v>
                </pt>
                <pt idx="12">
                  <v>1.692913</v>
                </pt>
                <pt idx="13">
                  <v>1.645669</v>
                </pt>
                <pt idx="14">
                  <v>1.766404</v>
                </pt>
                <pt idx="15">
                  <v>1.742782</v>
                </pt>
                <pt idx="16">
                  <v>1.766404</v>
                </pt>
                <pt idx="17">
                  <v>1.627297</v>
                </pt>
                <pt idx="18">
                  <v>1.283465</v>
                </pt>
                <pt idx="19">
                  <v>1.309711</v>
                </pt>
                <pt idx="20">
                  <v>1.194226</v>
                </pt>
                <pt idx="21">
                  <v>1.341207</v>
                </pt>
                <pt idx="22">
                  <v>1.338583</v>
                </pt>
                <pt idx="23">
                  <v>1.577428</v>
                </pt>
                <pt idx="24">
                  <v>1.493438</v>
                </pt>
                <pt idx="25">
                  <v>1.43832</v>
                </pt>
                <pt idx="26">
                  <v>1.325459</v>
                </pt>
                <pt idx="27">
                  <v>1.472441</v>
                </pt>
                <pt idx="28">
                  <v>1.51706</v>
                </pt>
                <pt idx="29">
                  <v>1.385827</v>
                </pt>
                <pt idx="30">
                  <v>1.417323</v>
                </pt>
                <pt idx="31">
                  <v>1.501312</v>
                </pt>
                <pt idx="32">
                  <v>1.480315</v>
                </pt>
                <pt idx="33">
                  <v>1.47769</v>
                </pt>
                <pt idx="34">
                  <v>1.619423</v>
                </pt>
                <pt idx="35">
                  <v>1.304462</v>
                </pt>
                <pt idx="36">
                  <v>1.267717</v>
                </pt>
                <pt idx="37">
                  <v>1.540682</v>
                </pt>
                <pt idx="38">
                  <v>1.527559</v>
                </pt>
                <pt idx="39">
                  <v>1.553806</v>
                </pt>
                <pt idx="40">
                  <v>1.661417</v>
                </pt>
                <pt idx="41">
                  <v>1.532808</v>
                </pt>
                <pt idx="42">
                  <v>1.440945</v>
                </pt>
                <pt idx="43">
                  <v>1.335958</v>
                </pt>
                <pt idx="44">
                  <v>1.377953</v>
                </pt>
                <pt idx="45">
                  <v>1.267717</v>
                </pt>
                <pt idx="46">
                  <v>1.272966</v>
                </pt>
                <pt idx="47">
                  <v>1.335958</v>
                </pt>
                <pt idx="48">
                  <v>0.847769</v>
                </pt>
                <pt idx="49">
                  <v>0.847769</v>
                </pt>
                <pt idx="50">
                  <v>0.87664</v>
                </pt>
                <pt idx="51">
                  <v>0.9081360000000001</v>
                </pt>
                <pt idx="52">
                  <v>1</v>
                </pt>
                <pt idx="53">
                  <v>1.17930327868852</v>
                </pt>
                <pt idx="54">
                  <v>1.11065573770492</v>
                </pt>
                <pt idx="55">
                  <v>1.0297131147541</v>
                </pt>
                <pt idx="56">
                  <v>1.02459016393443</v>
                </pt>
                <pt idx="57">
                  <v>1.04200819672131</v>
                </pt>
                <pt idx="58">
                  <v>0.994877049180328</v>
                </pt>
                <pt idx="59">
                  <v>1.03688524590164</v>
                </pt>
                <pt idx="60">
                  <v>1.08504098360656</v>
                </pt>
                <pt idx="61">
                  <v>0.982581967213115</v>
                </pt>
                <pt idx="62">
                  <v>0.718237704918033</v>
                </pt>
                <pt idx="63">
                  <v>0.723360655737705</v>
                </pt>
                <pt idx="64">
                  <v>0.660860655737705</v>
                </pt>
                <pt idx="65">
                  <v>0.642418032786885</v>
                </pt>
                <pt idx="66">
                  <v>0.689549180327869</v>
                </pt>
                <pt idx="67">
                  <v>0.680327868852459</v>
                </pt>
                <pt idx="68">
                  <v>0.689549180327869</v>
                </pt>
                <pt idx="69">
                  <v>0.635245901639344</v>
                </pt>
                <pt idx="70">
                  <v>0.501024590163934</v>
                </pt>
                <pt idx="71">
                  <v>0.511270491803279</v>
                </pt>
                <pt idx="72">
                  <v>0.466188524590164</v>
                </pt>
                <pt idx="73">
                  <v>0.523565573770492</v>
                </pt>
                <pt idx="74">
                  <v>0.522540983606557</v>
                </pt>
                <pt idx="75">
                  <v>0.6157786885245899</v>
                </pt>
                <pt idx="76">
                  <v>0.582991803278689</v>
                </pt>
                <pt idx="77">
                  <v>0.561475409836066</v>
                </pt>
                <pt idx="78">
                  <v>0.517418032786885</v>
                </pt>
                <pt idx="79">
                  <v>0.574795081967213</v>
                </pt>
                <pt idx="80">
                  <v>0.592213114754098</v>
                </pt>
                <pt idx="81">
                  <v>0.540983606557377</v>
                </pt>
                <pt idx="82">
                  <v>0.5532786885245899</v>
                </pt>
                <pt idx="83">
                  <v>0.586065573770492</v>
                </pt>
                <pt idx="84">
                  <v>0.577868852459016</v>
                </pt>
                <pt idx="85">
                  <v>0.576844262295082</v>
                </pt>
                <pt idx="86">
                  <v>0.632172131147541</v>
                </pt>
                <pt idx="87">
                  <v>0.5092213114754101</v>
                </pt>
                <pt idx="88">
                  <v>0.494877049180328</v>
                </pt>
                <pt idx="89">
                  <v>0.601434426229508</v>
                </pt>
                <pt idx="90">
                  <v>0.596311475409836</v>
                </pt>
                <pt idx="91">
                  <v>0.60655737704918</v>
                </pt>
                <pt idx="92">
                  <v>0.648565573770492</v>
                </pt>
                <pt idx="93">
                  <v>0.598360655737705</v>
                </pt>
                <pt idx="94">
                  <v>0.5625</v>
                </pt>
                <pt idx="95">
                  <v>0.521516393442623</v>
                </pt>
                <pt idx="96">
                  <v>0.553278698295843</v>
                </pt>
                <pt idx="97">
                  <v>0.577868838779262</v>
                </pt>
                <pt idx="98">
                  <v>0.577868838779262</v>
                </pt>
              </numCache>
            </numRef>
          </val>
          <smooth val="0"/>
        </ser>
        <ser>
          <idx val="12"/>
          <order val="12"/>
          <tx>
            <strRef>
              <f>'运动服饰 Normalized'!$N$2</f>
              <strCache>
                <ptCount val="1"/>
                <pt idx="0">
                  <v>LULU.O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Normalized'!$N$3:$N$101</f>
              <numCache>
                <formatCode>General</formatCode>
                <ptCount val="99"/>
                <pt idx="0">
                  <v>1.833233</v>
                </pt>
                <pt idx="1">
                  <v>2.219122</v>
                </pt>
                <pt idx="2">
                  <v>2.136615</v>
                </pt>
                <pt idx="3">
                  <v>2.102352</v>
                </pt>
                <pt idx="4">
                  <v>2.105422</v>
                </pt>
                <pt idx="5">
                  <v>2.167151</v>
                </pt>
                <pt idx="6">
                  <v>2.186613</v>
                </pt>
                <pt idx="7">
                  <v>2.048682</v>
                </pt>
                <pt idx="8">
                  <v>2.20876</v>
                </pt>
                <pt idx="9">
                  <v>2.249274</v>
                </pt>
                <pt idx="10">
                  <v>2.191272</v>
                </pt>
                <pt idx="11">
                  <v>2.010197</v>
                </pt>
                <pt idx="12">
                  <v>2.018639</v>
                </pt>
                <pt idx="13">
                  <v>1.906748</v>
                </pt>
                <pt idx="14">
                  <v>1.829779</v>
                </pt>
                <pt idx="15">
                  <v>1.793158</v>
                </pt>
                <pt idx="16">
                  <v>1.836303</v>
                </pt>
                <pt idx="17">
                  <v>1.551779</v>
                </pt>
                <pt idx="18">
                  <v>1.452771</v>
                </pt>
                <pt idx="19">
                  <v>1.424045</v>
                </pt>
                <pt idx="20">
                  <v>1.391974</v>
                </pt>
                <pt idx="21">
                  <v>1.472068</v>
                </pt>
                <pt idx="22">
                  <v>1.527054</v>
                </pt>
                <pt idx="23">
                  <v>1.667672</v>
                </pt>
                <pt idx="24">
                  <v>1.774574</v>
                </pt>
                <pt idx="25">
                  <v>1.703635</v>
                </pt>
                <pt idx="26">
                  <v>1.770462</v>
                </pt>
                <pt idx="27">
                  <v>1.420098</v>
                </pt>
                <pt idx="28">
                  <v>1.322789</v>
                </pt>
                <pt idx="29">
                  <v>1.236555</v>
                </pt>
                <pt idx="30">
                  <v>1.30245</v>
                </pt>
                <pt idx="31">
                  <v>1.302396</v>
                </pt>
                <pt idx="32">
                  <v>1.254811</v>
                </pt>
                <pt idx="33">
                  <v>1.223672</v>
                </pt>
                <pt idx="34">
                  <v>1.18738</v>
                </pt>
                <pt idx="35">
                  <v>1.076969</v>
                </pt>
                <pt idx="36">
                  <v>1.022093</v>
                </pt>
                <pt idx="37">
                  <v>1.116276</v>
                </pt>
                <pt idx="38">
                  <v>1.109808</v>
                </pt>
                <pt idx="39">
                  <v>1.108492</v>
                </pt>
                <pt idx="40">
                  <v>0.92155</v>
                </pt>
                <pt idx="41">
                  <v>0.877035</v>
                </pt>
                <pt idx="42">
                  <v>0.950661</v>
                </pt>
                <pt idx="43">
                  <v>0.981909</v>
                </pt>
                <pt idx="44">
                  <v>0.954553</v>
                </pt>
                <pt idx="45">
                  <v>0.931144</v>
                </pt>
                <pt idx="46">
                  <v>0.945288</v>
                </pt>
                <pt idx="47">
                  <v>0.994408</v>
                </pt>
                <pt idx="48">
                  <v>0.907132</v>
                </pt>
                <pt idx="49">
                  <v>0.933885</v>
                </pt>
                <pt idx="50">
                  <v>0.8999509999999999</v>
                </pt>
                <pt idx="51">
                  <v>0.930157</v>
                </pt>
                <pt idx="52">
                  <v>1</v>
                </pt>
                <pt idx="53">
                  <v>1.21049641148325</v>
                </pt>
                <pt idx="54">
                  <v>1.16549043062201</v>
                </pt>
                <pt idx="55">
                  <v>1.14680023923445</v>
                </pt>
                <pt idx="56">
                  <v>1.14847488038278</v>
                </pt>
                <pt idx="57">
                  <v>1.1821471291866</v>
                </pt>
                <pt idx="58">
                  <v>1.19276315789474</v>
                </pt>
                <pt idx="59">
                  <v>1.11752392344498</v>
                </pt>
                <pt idx="60">
                  <v>1.20484449760766</v>
                </pt>
                <pt idx="61">
                  <v>1.22694377990431</v>
                </pt>
                <pt idx="62">
                  <v>1.19530502392345</v>
                </pt>
                <pt idx="63">
                  <v>1.09653110047847</v>
                </pt>
                <pt idx="64">
                  <v>1.10113636363636</v>
                </pt>
                <pt idx="65">
                  <v>1.04010167464115</v>
                </pt>
                <pt idx="66">
                  <v>0.998116028708134</v>
                </pt>
                <pt idx="67">
                  <v>0.97813995215311</v>
                </pt>
                <pt idx="68">
                  <v>1.00167464114833</v>
                </pt>
                <pt idx="69">
                  <v>0.846471291866029</v>
                </pt>
                <pt idx="70">
                  <v>0.792464114832536</v>
                </pt>
                <pt idx="71">
                  <v>0.776794258373206</v>
                </pt>
                <pt idx="72">
                  <v>0.75930023923445</v>
                </pt>
                <pt idx="73">
                  <v>0.80299043062201</v>
                </pt>
                <pt idx="74">
                  <v>0.832984449760766</v>
                </pt>
                <pt idx="75">
                  <v>0.909688995215311</v>
                </pt>
                <pt idx="76">
                  <v>0.968002392344498</v>
                </pt>
                <pt idx="77">
                  <v>0.929306220095694</v>
                </pt>
                <pt idx="78">
                  <v>0.96575956937799</v>
                </pt>
                <pt idx="79">
                  <v>0.774641148325359</v>
                </pt>
                <pt idx="80">
                  <v>0.721561004784689</v>
                </pt>
                <pt idx="81">
                  <v>0.674521531100479</v>
                </pt>
                <pt idx="82">
                  <v>0.710466507177034</v>
                </pt>
                <pt idx="83">
                  <v>0.710436602870813</v>
                </pt>
                <pt idx="84">
                  <v>0.68447966507177</v>
                </pt>
                <pt idx="85">
                  <v>0.6674940191387559</v>
                </pt>
                <pt idx="86">
                  <v>0.647697368421053</v>
                </pt>
                <pt idx="87">
                  <v>0.5874700956937799</v>
                </pt>
                <pt idx="88">
                  <v>0.557535885167464</v>
                </pt>
                <pt idx="89">
                  <v>0.608911483253589</v>
                </pt>
                <pt idx="90">
                  <v>0.605382775119617</v>
                </pt>
                <pt idx="91">
                  <v>0.604665071770335</v>
                </pt>
                <pt idx="92">
                  <v>0.502691387559809</v>
                </pt>
                <pt idx="93">
                  <v>0.478409090909091</v>
                </pt>
                <pt idx="94">
                  <v>0.518570574162679</v>
                </pt>
                <pt idx="95">
                  <v>0.535616028708134</v>
                </pt>
                <pt idx="96">
                  <v>0.282476073817203</v>
                </pt>
                <pt idx="97">
                  <v>0.282595693779904</v>
                </pt>
                <pt idx="98">
                  <v>0.282595693779904</v>
                </pt>
              </numCache>
            </numRef>
          </val>
          <smooth val="0"/>
        </ser>
        <ser>
          <idx val="13"/>
          <order val="13"/>
          <tx>
            <strRef>
              <f>'运动服饰 Normalized'!$O$2</f>
              <strCache>
                <ptCount val="1"/>
                <pt idx="0">
                  <v>LEVI.N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Normalized'!$O$3:$O$101</f>
              <numCache>
                <formatCode>General</formatCode>
                <ptCount val="99"/>
                <pt idx="0">
                  <v>0.815612</v>
                </pt>
                <pt idx="1">
                  <v>0.787349</v>
                </pt>
                <pt idx="2">
                  <v>0.767609</v>
                </pt>
                <pt idx="3">
                  <v>0.77703</v>
                </pt>
                <pt idx="4">
                  <v>0.777927</v>
                </pt>
                <pt idx="5">
                  <v>0.800359</v>
                </pt>
                <pt idx="6">
                  <v>0.781516</v>
                </pt>
                <pt idx="7">
                  <v>0.779273</v>
                </pt>
                <pt idx="8">
                  <v>0.818304</v>
                </pt>
                <pt idx="9">
                  <v>0.837147</v>
                </pt>
                <pt idx="10">
                  <v>0.816958</v>
                </pt>
                <pt idx="11">
                  <v>0.81965</v>
                </pt>
                <pt idx="12">
                  <v>0.8483619999999999</v>
                </pt>
                <pt idx="13">
                  <v>0.772992</v>
                </pt>
                <pt idx="14">
                  <v>0.726335</v>
                </pt>
                <pt idx="15">
                  <v>0.73755</v>
                </pt>
                <pt idx="16">
                  <v>0.7196050000000001</v>
                </pt>
                <pt idx="17">
                  <v>0.699417</v>
                </pt>
                <pt idx="18">
                  <v>0.605653</v>
                </pt>
                <pt idx="19">
                  <v>0.671153</v>
                </pt>
                <pt idx="20">
                  <v>0.673845</v>
                </pt>
                <pt idx="21">
                  <v>0.712427</v>
                </pt>
                <pt idx="22">
                  <v>0.7308210000000001</v>
                </pt>
                <pt idx="23">
                  <v>0.7958730000000001</v>
                </pt>
                <pt idx="24">
                  <v>0.788694</v>
                </pt>
                <pt idx="25">
                  <v>0.7958730000000001</v>
                </pt>
                <pt idx="26">
                  <v>0.766711</v>
                </pt>
                <pt idx="27">
                  <v>0.786003</v>
                </pt>
                <pt idx="28">
                  <v>0.787349</v>
                </pt>
                <pt idx="29">
                  <v>0.807986</v>
                </pt>
                <pt idx="30">
                  <v>0.82952</v>
                </pt>
                <pt idx="31">
                  <v>0.877075</v>
                </pt>
                <pt idx="32">
                  <v>0.958726</v>
                </pt>
                <pt idx="33">
                  <v>0.930462</v>
                </pt>
                <pt idx="34">
                  <v>0.926424</v>
                </pt>
                <pt idx="35">
                  <v>0.894572</v>
                </pt>
                <pt idx="36">
                  <v>0.907133</v>
                </pt>
                <pt idx="37">
                  <v>0.943921</v>
                </pt>
                <pt idx="38">
                  <v>0.961418</v>
                </pt>
                <pt idx="39">
                  <v>1.003589</v>
                </pt>
                <pt idx="40">
                  <v>0.992822</v>
                </pt>
                <pt idx="41">
                  <v>1.013459</v>
                </pt>
                <pt idx="42">
                  <v>1.027366</v>
                </pt>
                <pt idx="43">
                  <v>1.044863</v>
                </pt>
                <pt idx="44">
                  <v>1.090175</v>
                </pt>
                <pt idx="45">
                  <v>0.949305</v>
                </pt>
                <pt idx="46">
                  <v>0.922835</v>
                </pt>
                <pt idx="47">
                  <v>0.960969</v>
                </pt>
                <pt idx="48">
                  <v>0.896815</v>
                </pt>
                <pt idx="49">
                  <v>0.946164</v>
                </pt>
                <pt idx="50">
                  <v>0.918349</v>
                </pt>
                <pt idx="51">
                  <v>0.930911</v>
                </pt>
                <pt idx="52">
                  <v>1</v>
                </pt>
                <pt idx="53">
                  <v>0.965346534653465</v>
                </pt>
                <pt idx="54">
                  <v>0.941144114411441</v>
                </pt>
                <pt idx="55">
                  <v>0.952695269526953</v>
                </pt>
                <pt idx="56">
                  <v>0.953795379537954</v>
                </pt>
                <pt idx="57">
                  <v>0.981298129812981</v>
                </pt>
                <pt idx="58">
                  <v>0.958195819581958</v>
                </pt>
                <pt idx="59">
                  <v>0.955445544554456</v>
                </pt>
                <pt idx="60">
                  <v>1.003300330033</v>
                </pt>
                <pt idx="61">
                  <v>1.02640264026403</v>
                </pt>
                <pt idx="62">
                  <v>1.0016501650165</v>
                </pt>
                <pt idx="63">
                  <v>1.0049504950495</v>
                </pt>
                <pt idx="64">
                  <v>1.04015401540154</v>
                </pt>
                <pt idx="65">
                  <v>0.947744774477448</v>
                </pt>
                <pt idx="66">
                  <v>0.890539053905391</v>
                </pt>
                <pt idx="67">
                  <v>0.904290429042904</v>
                </pt>
                <pt idx="68">
                  <v>0.882288228822882</v>
                </pt>
                <pt idx="69">
                  <v>0.8575357535753571</v>
                </pt>
                <pt idx="70">
                  <v>0.742574257425743</v>
                </pt>
                <pt idx="71">
                  <v>0.822882288228823</v>
                </pt>
                <pt idx="72">
                  <v>0.826182618261826</v>
                </pt>
                <pt idx="73">
                  <v>0.873487348734874</v>
                </pt>
                <pt idx="74">
                  <v>0.8960396039603959</v>
                </pt>
                <pt idx="75">
                  <v>0.975797579757976</v>
                </pt>
                <pt idx="76">
                  <v>0.966996699669967</v>
                </pt>
                <pt idx="77">
                  <v>0.975797579757976</v>
                </pt>
                <pt idx="78">
                  <v>0.94004400440044</v>
                </pt>
                <pt idx="79">
                  <v>0.963696369636964</v>
                </pt>
                <pt idx="80">
                  <v>0.965346534653465</v>
                </pt>
                <pt idx="81">
                  <v>0.990649064906491</v>
                </pt>
                <pt idx="82">
                  <v>1.01705170517052</v>
                </pt>
                <pt idx="83">
                  <v>1.07535753575358</v>
                </pt>
                <pt idx="84">
                  <v>1.17546754675468</v>
                </pt>
                <pt idx="85">
                  <v>1.14081408140814</v>
                </pt>
                <pt idx="86">
                  <v>1.13586358635864</v>
                </pt>
                <pt idx="87">
                  <v>1.0968096809681</v>
                </pt>
                <pt idx="88">
                  <v>1.11221122112211</v>
                </pt>
                <pt idx="89">
                  <v>1.15731573157316</v>
                </pt>
                <pt idx="90">
                  <v>1.17876787678768</v>
                </pt>
                <pt idx="91">
                  <v>1.23047304730473</v>
                </pt>
                <pt idx="92">
                  <v>1.21727172717272</v>
                </pt>
                <pt idx="93">
                  <v>1.24257425742574</v>
                </pt>
                <pt idx="94">
                  <v>1.25962596259626</v>
                </pt>
                <pt idx="95">
                  <v>1.28107810781078</v>
                </pt>
                <pt idx="96">
                  <v>1.09295934209205</v>
                </pt>
                <pt idx="97">
                  <v>1.02860290225189</v>
                </pt>
                <pt idx="98">
                  <v>1.02860290225189</v>
                </pt>
              </numCache>
            </numRef>
          </val>
          <smooth val="0"/>
        </ser>
        <ser>
          <idx val="14"/>
          <order val="14"/>
          <tx>
            <strRef>
              <f>'运动服饰 Normalized'!$P$2</f>
              <strCache>
                <ptCount val="1"/>
                <pt idx="0">
                  <v>KTB.N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Normalized'!$P$3:$P$101</f>
              <numCache>
                <formatCode>General</formatCode>
                <ptCount val="99"/>
                <pt idx="0">
                  <v>1.253193</v>
                </pt>
                <pt idx="1">
                  <v>1.169106</v>
                </pt>
                <pt idx="2">
                  <v>1.19678</v>
                </pt>
                <pt idx="3">
                  <v>1.151809</v>
                </pt>
                <pt idx="4">
                  <v>1.133715</v>
                </pt>
                <pt idx="5">
                  <v>1.15487</v>
                </pt>
                <pt idx="6">
                  <v>1.121607</v>
                </pt>
                <pt idx="7">
                  <v>1.143959</v>
                </pt>
                <pt idx="8">
                  <v>1.2186</v>
                </pt>
                <pt idx="9">
                  <v>1.151011</v>
                </pt>
                <pt idx="10">
                  <v>1.122006</v>
                </pt>
                <pt idx="11">
                  <v>1.114023</v>
                </pt>
                <pt idx="12">
                  <v>1.146487</v>
                </pt>
                <pt idx="13">
                  <v>0.840074</v>
                </pt>
                <pt idx="14">
                  <v>0.789915</v>
                </pt>
                <pt idx="15">
                  <v>0.842336</v>
                </pt>
                <pt idx="16">
                  <v>0.863757</v>
                </pt>
                <pt idx="17">
                  <v>0.8532459999999999</v>
                </pt>
                <pt idx="18">
                  <v>0.746142</v>
                </pt>
                <pt idx="19">
                  <v>0.745609</v>
                </pt>
                <pt idx="20">
                  <v>0.762773</v>
                </pt>
                <pt idx="21">
                  <v>0.810937</v>
                </pt>
                <pt idx="22">
                  <v>0.844199</v>
                </pt>
                <pt idx="23">
                  <v>0.966738</v>
                </pt>
                <pt idx="24">
                  <v>0.97645</v>
                </pt>
                <pt idx="25">
                  <v>0.926291</v>
                </pt>
                <pt idx="26">
                  <v>0.925625</v>
                </pt>
                <pt idx="27">
                  <v>0.9083290000000001</v>
                </pt>
                <pt idx="28">
                  <v>0.856706</v>
                </pt>
                <pt idx="29">
                  <v>0.8595</v>
                </pt>
                <pt idx="30">
                  <v>0.877727</v>
                </pt>
                <pt idx="31">
                  <v>0.943188</v>
                </pt>
                <pt idx="32">
                  <v>0.885045</v>
                </pt>
                <pt idx="33">
                  <v>0.838611</v>
                </pt>
                <pt idx="34">
                  <v>0.8249069999999999</v>
                </pt>
                <pt idx="35">
                  <v>0.755322</v>
                </pt>
                <pt idx="36">
                  <v>0.894891</v>
                </pt>
                <pt idx="37">
                  <v>0.952368</v>
                </pt>
                <pt idx="38">
                  <v>1.015567</v>
                </pt>
                <pt idx="39">
                  <v>1.027807</v>
                </pt>
                <pt idx="40">
                  <v>1.062001</v>
                </pt>
                <pt idx="41">
                  <v>1.091139</v>
                </pt>
                <pt idx="42">
                  <v>1.053885</v>
                </pt>
                <pt idx="43">
                  <v>1.046966</v>
                </pt>
                <pt idx="44">
                  <v>1.090474</v>
                </pt>
                <pt idx="45">
                  <v>1.045104</v>
                </pt>
                <pt idx="46">
                  <v>1.1248</v>
                </pt>
                <pt idx="47">
                  <v>1.144492</v>
                </pt>
                <pt idx="48">
                  <v>0.977248</v>
                </pt>
                <pt idx="49">
                  <v>0.957025</v>
                </pt>
                <pt idx="50">
                  <v>0.93108</v>
                </pt>
                <pt idx="51">
                  <v>0.939329</v>
                </pt>
                <pt idx="52">
                  <v>1</v>
                </pt>
                <pt idx="53">
                  <v>0.932901581908908</v>
                </pt>
                <pt idx="54">
                  <v>0.954984605584457</v>
                </pt>
                <pt idx="55">
                  <v>0.919099692111689</v>
                </pt>
                <pt idx="56">
                  <v>0.904660792016138</v>
                </pt>
                <pt idx="57">
                  <v>0.921541564921966</v>
                </pt>
                <pt idx="58">
                  <v>0.894999469158085</v>
                </pt>
                <pt idx="59">
                  <v>0.912835757511413</v>
                </pt>
                <pt idx="60">
                  <v>0.9723962204055629</v>
                </pt>
                <pt idx="61">
                  <v>0.918462681813356</v>
                </pt>
                <pt idx="62">
                  <v>0.895317974307251</v>
                </pt>
                <pt idx="63">
                  <v>0.8889478713239199</v>
                </pt>
                <pt idx="64">
                  <v>0.914852956789468</v>
                </pt>
                <pt idx="65">
                  <v>0.670347170612592</v>
                </pt>
                <pt idx="66">
                  <v>0.630321690200658</v>
                </pt>
                <pt idx="67">
                  <v>0.672152033124536</v>
                </pt>
                <pt idx="68">
                  <v>0.689245142796475</v>
                </pt>
                <pt idx="69">
                  <v>0.680857840535089</v>
                </pt>
                <pt idx="70">
                  <v>0.59539229217539</v>
                </pt>
                <pt idx="71">
                  <v>0.5949676186431681</v>
                </pt>
                <pt idx="72">
                  <v>0.608663340057331</v>
                </pt>
                <pt idx="73">
                  <v>0.647096294723431</v>
                </pt>
                <pt idx="74">
                  <v>0.673638390487313</v>
                </pt>
                <pt idx="75">
                  <v>0.7714194712814521</v>
                </pt>
                <pt idx="76">
                  <v>0.779169763244506</v>
                </pt>
                <pt idx="77">
                  <v>0.7391442828325721</v>
                </pt>
                <pt idx="78">
                  <v>0.738613440917295</v>
                </pt>
                <pt idx="79">
                  <v>0.724811551120076</v>
                </pt>
                <pt idx="80">
                  <v>0.683618218494532</v>
                </pt>
                <pt idx="81">
                  <v>0.685847754538698</v>
                </pt>
                <pt idx="82">
                  <v>0.700392823017305</v>
                </pt>
                <pt idx="83">
                  <v>0.752627667480624</v>
                </pt>
                <pt idx="84">
                  <v>0.706232084085359</v>
                </pt>
                <pt idx="85">
                  <v>0.669179318398981</v>
                </pt>
                <pt idx="86">
                  <v>0.658243974944262</v>
                </pt>
                <pt idx="87">
                  <v>0.602717910606221</v>
                </pt>
                <pt idx="88">
                  <v>0.714088544431468</v>
                </pt>
                <pt idx="89">
                  <v>0.7599532859114559</v>
                </pt>
                <pt idx="90">
                  <v>0.81038326786283</v>
                </pt>
                <pt idx="91">
                  <v>0.820150759103939</v>
                </pt>
                <pt idx="92">
                  <v>0.847436033549209</v>
                </pt>
                <pt idx="93">
                  <v>0.870686909438369</v>
                </pt>
                <pt idx="94">
                  <v>0.840959762182822</v>
                </pt>
                <pt idx="95">
                  <v>0.835439006263935</v>
                </pt>
                <pt idx="96">
                  <v>0.687015597032303</v>
                </pt>
                <pt idx="97">
                  <v>0.6966769587703791</v>
                </pt>
                <pt idx="98">
                  <v>0.6966769587703791</v>
                </pt>
              </numCache>
            </numRef>
          </val>
          <smooth val="0"/>
        </ser>
        <ser>
          <idx val="15"/>
          <order val="15"/>
          <tx>
            <strRef>
              <f>'运动服饰 Normalized'!$Q$2</f>
              <strCache>
                <ptCount val="1"/>
                <pt idx="0">
                  <v>HBI.N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Normalized'!$Q$3:$Q$101</f>
              <numCache>
                <formatCode>General</formatCode>
                <ptCount val="99"/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</numCache>
            </numRef>
          </val>
          <smooth val="0"/>
        </ser>
        <ser>
          <idx val="16"/>
          <order val="16"/>
          <tx>
            <strRef>
              <f>'运动服饰 Normalized'!$R$2</f>
              <strCache>
                <ptCount val="1"/>
                <pt idx="0">
                  <v>GIL.N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Normalized'!$R$3:$R$101</f>
              <numCache>
                <formatCode>General</formatCode>
                <ptCount val="99"/>
                <pt idx="0">
                  <v>0.869965</v>
                </pt>
                <pt idx="1">
                  <v>0.830556</v>
                </pt>
                <pt idx="2">
                  <v>0.844444</v>
                </pt>
                <pt idx="3">
                  <v>0.811632</v>
                </pt>
                <pt idx="4">
                  <v>0.803472</v>
                </pt>
                <pt idx="5">
                  <v>0.817708</v>
                </pt>
                <pt idx="6">
                  <v>0.832813</v>
                </pt>
                <pt idx="7">
                  <v>0.863715</v>
                </pt>
                <pt idx="8">
                  <v>0.8878470000000001</v>
                </pt>
                <pt idx="9">
                  <v>0.886979</v>
                </pt>
                <pt idx="10">
                  <v>0.880035</v>
                </pt>
                <pt idx="11">
                  <v>0.884549</v>
                </pt>
                <pt idx="12">
                  <v>0.9395829999999999</v>
                </pt>
                <pt idx="13">
                  <v>0.91875</v>
                </pt>
                <pt idx="14">
                  <v>0.854861</v>
                </pt>
                <pt idx="15">
                  <v>0.812847</v>
                </pt>
                <pt idx="16">
                  <v>0.790799</v>
                </pt>
                <pt idx="17">
                  <v>0.7677079999999999</v>
                </pt>
                <pt idx="18">
                  <v>0.679688</v>
                </pt>
                <pt idx="19">
                  <v>0.721007</v>
                </pt>
                <pt idx="20">
                  <v>0.708681</v>
                </pt>
                <pt idx="21">
                  <v>0.740625</v>
                </pt>
                <pt idx="22">
                  <v>0.829514</v>
                </pt>
                <pt idx="23">
                  <v>0.840625</v>
                </pt>
                <pt idx="24">
                  <v>0.869965</v>
                </pt>
                <pt idx="25">
                  <v>0.850868</v>
                </pt>
                <pt idx="26">
                  <v>0.810069</v>
                </pt>
                <pt idx="27">
                  <v>0.831076</v>
                </pt>
                <pt idx="28">
                  <v>0.8309029999999999</v>
                </pt>
                <pt idx="29">
                  <v>0.819792</v>
                </pt>
                <pt idx="30">
                  <v>0.854861</v>
                </pt>
                <pt idx="31">
                  <v>0.883333</v>
                </pt>
                <pt idx="32">
                  <v>0.884201</v>
                </pt>
                <pt idx="33">
                  <v>0.896007</v>
                </pt>
                <pt idx="34">
                  <v>0.912326</v>
                </pt>
                <pt idx="35">
                  <v>0.9041670000000001</v>
                </pt>
                <pt idx="36">
                  <v>0.884375</v>
                </pt>
                <pt idx="37">
                  <v>0.980903</v>
                </pt>
                <pt idx="38">
                  <v>0.949132</v>
                </pt>
                <pt idx="39">
                  <v>0.947917</v>
                </pt>
                <pt idx="40">
                  <v>0.968229</v>
                </pt>
                <pt idx="41">
                  <v>0.953299</v>
                </pt>
                <pt idx="42">
                  <v>0.977778</v>
                </pt>
                <pt idx="43">
                  <v>0.9979170000000001</v>
                </pt>
                <pt idx="44">
                  <v>1.060069</v>
                </pt>
                <pt idx="45">
                  <v>1.05</v>
                </pt>
                <pt idx="46">
                  <v>1.040104</v>
                </pt>
                <pt idx="47">
                  <v>1.059375</v>
                </pt>
                <pt idx="48">
                  <v>1.00625</v>
                </pt>
                <pt idx="49">
                  <v>0.966493</v>
                </pt>
                <pt idx="50">
                  <v>0.986111</v>
                </pt>
                <pt idx="51">
                  <v>0.9875</v>
                </pt>
                <pt idx="52">
                  <v>1</v>
                </pt>
                <pt idx="53">
                  <v>0.954699660746358</v>
                </pt>
                <pt idx="54">
                  <v>0.970664538016364</v>
                </pt>
                <pt idx="55">
                  <v>0.932947515465975</v>
                </pt>
                <pt idx="56">
                  <v>0.923568150069846</v>
                </pt>
                <pt idx="57">
                  <v>0.939932149271603</v>
                </pt>
                <pt idx="58">
                  <v>0.957293953302734</v>
                </pt>
                <pt idx="59">
                  <v>0.992815805228497</v>
                </pt>
                <pt idx="60">
                  <v>1.02055477948513</v>
                </pt>
                <pt idx="61">
                  <v>1.01955697465576</v>
                </pt>
                <pt idx="62">
                  <v>1.01157453602075</v>
                </pt>
                <pt idx="63">
                  <v>1.01676312113351</v>
                </pt>
                <pt idx="64">
                  <v>1.08002394731591</v>
                </pt>
                <pt idx="65">
                  <v>1.0560766314109</v>
                </pt>
                <pt idx="66">
                  <v>0.982638195968869</v>
                </pt>
                <pt idx="67">
                  <v>0.9343444422271</v>
                </pt>
                <pt idx="68">
                  <v>0.909000199560966</v>
                </pt>
                <pt idx="69">
                  <v>0.882458591099581</v>
                </pt>
                <pt idx="70">
                  <v>0.781281181400918</v>
                </pt>
                <pt idx="71">
                  <v>0.828776691279186</v>
                </pt>
                <pt idx="72">
                  <v>0.814607862702056</v>
                </pt>
                <pt idx="73">
                  <v>0.851327080423069</v>
                </pt>
                <pt idx="74">
                  <v>0.9535022949511081</v>
                </pt>
                <pt idx="75">
                  <v>0.966274196767112</v>
                </pt>
                <pt idx="76">
                  <v>1</v>
                </pt>
                <pt idx="77">
                  <v>0.978048293753742</v>
                </pt>
                <pt idx="78">
                  <v>0.931151466773099</v>
                </pt>
                <pt idx="79">
                  <v>0.955298343643983</v>
                </pt>
                <pt idx="80">
                  <v>0.955098782678108</v>
                </pt>
                <pt idx="81">
                  <v>0.942326880862103</v>
                </pt>
                <pt idx="82">
                  <v>0.982638195968869</v>
                </pt>
                <pt idx="83">
                  <v>1.01536619437238</v>
                </pt>
                <pt idx="84">
                  <v>1.01636399920176</v>
                </pt>
                <pt idx="85">
                  <v>1.02993414488126</v>
                </pt>
                <pt idx="86">
                  <v>1.04869287567352</v>
                </pt>
                <pt idx="87">
                  <v>1.03931351027739</v>
                </pt>
                <pt idx="88">
                  <v>1.01656356016763</v>
                </pt>
                <pt idx="89">
                  <v>1.12751945719417</v>
                </pt>
                <pt idx="90">
                  <v>1.09099980043903</v>
                </pt>
                <pt idx="91">
                  <v>1.08960287367791</v>
                </pt>
                <pt idx="92">
                  <v>1.11295150668529</v>
                </pt>
                <pt idx="93">
                  <v>1.09578926362004</v>
                </pt>
                <pt idx="94">
                  <v>1.12392735980842</v>
                </pt>
                <pt idx="95">
                  <v>1.14707643184993</v>
                </pt>
                <pt idx="96">
                  <v>0.818199960087807</v>
                </pt>
                <pt idx="97">
                  <v>0.837557398138158</v>
                </pt>
                <pt idx="98">
                  <v>0.837557398138158</v>
                </pt>
              </numCache>
            </numRef>
          </val>
          <smooth val="0"/>
        </ser>
        <ser>
          <idx val="17"/>
          <order val="17"/>
          <tx>
            <strRef>
              <f>'运动服饰 Normalized'!$S$2</f>
              <strCache>
                <ptCount val="1"/>
                <pt idx="0">
                  <v>GAP.N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Normalized'!$S$3:$S$101</f>
              <numCache>
                <formatCode>General</formatCode>
                <ptCount val="99"/>
                <pt idx="0">
                  <v>0.938545</v>
                </pt>
                <pt idx="1">
                  <v>0.924</v>
                </pt>
                <pt idx="2">
                  <v>0.903273</v>
                </pt>
                <pt idx="3">
                  <v>0.873091</v>
                </pt>
                <pt idx="4">
                  <v>0.856364</v>
                </pt>
                <pt idx="5">
                  <v>0.875636</v>
                </pt>
                <pt idx="6">
                  <v>0.838545</v>
                </pt>
                <pt idx="7">
                  <v>0.853091</v>
                </pt>
                <pt idx="8">
                  <v>0.880364</v>
                </pt>
                <pt idx="9">
                  <v>0.840364</v>
                </pt>
                <pt idx="10">
                  <v>0.821818</v>
                </pt>
                <pt idx="11">
                  <v>0.828364</v>
                </pt>
                <pt idx="12">
                  <v>0.826909</v>
                </pt>
                <pt idx="13">
                  <v>0.7763640000000001</v>
                </pt>
                <pt idx="14">
                  <v>0.813091</v>
                </pt>
                <pt idx="15">
                  <v>0.730909</v>
                </pt>
                <pt idx="16">
                  <v>0.788</v>
                </pt>
                <pt idx="17">
                  <v>0.749455</v>
                </pt>
                <pt idx="18">
                  <v>0.68</v>
                </pt>
                <pt idx="19">
                  <v>0.7</v>
                </pt>
                <pt idx="20">
                  <v>0.694182</v>
                </pt>
                <pt idx="21">
                  <v>0.7807269999999999</v>
                </pt>
                <pt idx="22">
                  <v>0.831636</v>
                </pt>
                <pt idx="23">
                  <v>0.901818</v>
                </pt>
                <pt idx="24">
                  <v>1.016727</v>
                </pt>
                <pt idx="25">
                  <v>1.034909</v>
                </pt>
                <pt idx="26">
                  <v>0.815636</v>
                </pt>
                <pt idx="27">
                  <v>0.809091</v>
                </pt>
                <pt idx="28">
                  <v>0.769455</v>
                </pt>
                <pt idx="29">
                  <v>0.779273</v>
                </pt>
                <pt idx="30">
                  <v>0.793091</v>
                </pt>
                <pt idx="31">
                  <v>0.824</v>
                </pt>
                <pt idx="32">
                  <v>0.779273</v>
                </pt>
                <pt idx="33">
                  <v>0.750182</v>
                </pt>
                <pt idx="34">
                  <v>0.741818</v>
                </pt>
                <pt idx="35">
                  <v>0.7098179999999999</v>
                </pt>
                <pt idx="36">
                  <v>0.716364</v>
                </pt>
                <pt idx="37">
                  <v>0.760364</v>
                </pt>
                <pt idx="38">
                  <v>0.781818</v>
                </pt>
                <pt idx="39">
                  <v>0.800364</v>
                </pt>
                <pt idx="40">
                  <v>0.877818</v>
                </pt>
                <pt idx="41">
                  <v>0.869818</v>
                </pt>
                <pt idx="42">
                  <v>0.822182</v>
                </pt>
                <pt idx="43">
                  <v>0.776</v>
                </pt>
                <pt idx="44">
                  <v>0.782182</v>
                </pt>
                <pt idx="45">
                  <v>0.749455</v>
                </pt>
                <pt idx="46">
                  <v>0.799273</v>
                </pt>
                <pt idx="47">
                  <v>0.868</v>
                </pt>
                <pt idx="48">
                  <v>0.8294550000000001</v>
                </pt>
                <pt idx="49">
                  <v>0.876</v>
                </pt>
                <pt idx="50">
                  <v>0.864364</v>
                </pt>
                <pt idx="51">
                  <v>0.9</v>
                </pt>
                <pt idx="52">
                  <v>1</v>
                </pt>
                <pt idx="53">
                  <v>0.984502130956993</v>
                </pt>
                <pt idx="54">
                  <v>0.962417667570709</v>
                </pt>
                <pt idx="55">
                  <v>0.93025958930647</v>
                </pt>
                <pt idx="56">
                  <v>0.912437039907013</v>
                </pt>
                <pt idx="57">
                  <v>0.932971716388996</v>
                </pt>
                <pt idx="58">
                  <v>0.89345215032933</v>
                </pt>
                <pt idx="59">
                  <v>0.908950019372336</v>
                </pt>
                <pt idx="60">
                  <v>0.938008523827974</v>
                </pt>
                <pt idx="61">
                  <v>0.895389383959706</v>
                </pt>
                <pt idx="62">
                  <v>0.875629600929872</v>
                </pt>
                <pt idx="63">
                  <v>0.882603641999225</v>
                </pt>
                <pt idx="64">
                  <v>0.881053855094924</v>
                </pt>
                <pt idx="65">
                  <v>0.827198760170477</v>
                </pt>
                <pt idx="66">
                  <v>0.866330879504068</v>
                </pt>
                <pt idx="67">
                  <v>0.778767919411081</v>
                </pt>
                <pt idx="68">
                  <v>0.8395970554048821</v>
                </pt>
                <pt idx="69">
                  <v>0.798527702440914</v>
                </pt>
                <pt idx="70">
                  <v>0.724525377760558</v>
                </pt>
                <pt idx="71">
                  <v>0.7458349476946921</v>
                </pt>
                <pt idx="72">
                  <v>0.739635800077489</v>
                </pt>
                <pt idx="73">
                  <v>0.831848120883379</v>
                </pt>
                <pt idx="74">
                  <v>0.886090662533902</v>
                </pt>
                <pt idx="75">
                  <v>0.960867880666408</v>
                </pt>
                <pt idx="76">
                  <v>1.08330104610616</v>
                </pt>
                <pt idx="77">
                  <v>1.10267338240992</v>
                </pt>
                <pt idx="78">
                  <v>0.8690430065865939</v>
                </pt>
                <pt idx="79">
                  <v>0.862068965517241</v>
                </pt>
                <pt idx="80">
                  <v>0.819837272375048</v>
                </pt>
                <pt idx="81">
                  <v>0.830298333979078</v>
                </pt>
                <pt idx="82">
                  <v>0.845021309569934</v>
                </pt>
                <pt idx="83">
                  <v>0.877954281286323</v>
                </pt>
                <pt idx="84">
                  <v>0.830298333979078</v>
                </pt>
                <pt idx="85">
                  <v>0.799302595893065</v>
                </pt>
                <pt idx="86">
                  <v>0.790391321193336</v>
                </pt>
                <pt idx="87">
                  <v>0.756296009298721</v>
                </pt>
                <pt idx="88">
                  <v>0.763270050368074</v>
                </pt>
                <pt idx="89">
                  <v>0.810151104223169</v>
                </pt>
                <pt idx="90">
                  <v>0.833010461061604</v>
                </pt>
                <pt idx="91">
                  <v>0.852770244091438</v>
                </pt>
                <pt idx="92">
                  <v>0.935296396745448</v>
                </pt>
                <pt idx="93">
                  <v>0.926772568771794</v>
                </pt>
                <pt idx="94">
                  <v>0.876017047655947</v>
                </pt>
                <pt idx="95">
                  <v>0.826811313444401</v>
                </pt>
                <pt idx="96">
                  <v>0.872142589263148</v>
                </pt>
                <pt idx="97">
                  <v>0.9000387269367039</v>
                </pt>
                <pt idx="98">
                  <v>0.9000387269367039</v>
                </pt>
              </numCache>
            </numRef>
          </val>
          <smooth val="0"/>
        </ser>
        <ser>
          <idx val="18"/>
          <order val="18"/>
          <tx>
            <strRef>
              <f>'运动服饰 Normalized'!$T$2</f>
              <strCache>
                <ptCount val="1"/>
                <pt idx="0">
                  <v>DECK.N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1">
                  <a:tint val="90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Normalized'!$T$3:$T$101</f>
              <numCache>
                <formatCode>General</formatCode>
                <ptCount val="99"/>
                <pt idx="0">
                  <v>2.194088</v>
                </pt>
                <pt idx="1">
                  <v>2.190285</v>
                </pt>
                <pt idx="2">
                  <v>2.294284</v>
                </pt>
                <pt idx="3">
                  <v>2.256575</v>
                </pt>
                <pt idx="4">
                  <v>2.236036</v>
                </pt>
                <pt idx="5">
                  <v>2.265486</v>
                </pt>
                <pt idx="6">
                  <v>2.223321</v>
                </pt>
                <pt idx="7">
                  <v>2.281135</v>
                </pt>
                <pt idx="8">
                  <v>2.30276</v>
                </pt>
                <pt idx="9">
                  <v>1.854271</v>
                </pt>
                <pt idx="10">
                  <v>1.756683</v>
                </pt>
                <pt idx="11">
                  <v>1.685177</v>
                </pt>
                <pt idx="12">
                  <v>1.522604</v>
                </pt>
                <pt idx="13">
                  <v>1.491415</v>
                </pt>
                <pt idx="14">
                  <v>1.316127</v>
                </pt>
                <pt idx="15">
                  <v>1.276679</v>
                </pt>
                <pt idx="16">
                  <v>1.354923</v>
                </pt>
                <pt idx="17">
                  <v>1.215062</v>
                </pt>
                <pt idx="18">
                  <v>1.153336</v>
                </pt>
                <pt idx="19">
                  <v>1.164421</v>
                </pt>
                <pt idx="20">
                  <v>1.125299</v>
                </pt>
                <pt idx="21">
                  <v>1.186155</v>
                </pt>
                <pt idx="22">
                  <v>1.285916</v>
                </pt>
                <pt idx="23">
                  <v>1.370137</v>
                </pt>
                <pt idx="24">
                  <v>1.38459</v>
                </pt>
                <pt idx="25">
                  <v>1.098131</v>
                </pt>
                <pt idx="26">
                  <v>1.141165</v>
                </pt>
                <pt idx="27">
                  <v>1.205282</v>
                </pt>
                <pt idx="28">
                  <v>1.126168</v>
                </pt>
                <pt idx="29">
                  <v>1.091502</v>
                </pt>
                <pt idx="30">
                  <v>1.120083</v>
                </pt>
                <pt idx="31">
                  <v>1.149207</v>
                </pt>
                <pt idx="32">
                  <v>1.069115</v>
                </pt>
                <pt idx="33">
                  <v>1.142143</v>
                </pt>
                <pt idx="34">
                  <v>1.221365</v>
                </pt>
                <pt idx="35">
                  <v>1.142469</v>
                </pt>
                <pt idx="36">
                  <v>1.091828</v>
                </pt>
                <pt idx="37">
                  <v>1.147359</v>
                </pt>
                <pt idx="38">
                  <v>1.22832</v>
                </pt>
                <pt idx="39">
                  <v>1.300044</v>
                </pt>
                <pt idx="40">
                  <v>1.27331</v>
                </pt>
                <pt idx="41">
                  <v>1.289502</v>
                </pt>
                <pt idx="42">
                  <v>1.230385</v>
                </pt>
                <pt idx="43">
                  <v>1.122365</v>
                </pt>
                <pt idx="44">
                  <v>1.108889</v>
                </pt>
                <pt idx="45">
                  <v>1.068355</v>
                </pt>
                <pt idx="46">
                  <v>1.088785</v>
                </pt>
                <pt idx="47">
                  <v>0.983156</v>
                </pt>
                <pt idx="48">
                  <v>0.881548</v>
                </pt>
                <pt idx="49">
                  <v>0.867638</v>
                </pt>
                <pt idx="50">
                  <v>0.877201</v>
                </pt>
                <pt idx="51">
                  <v>0.9033910000000001</v>
                </pt>
                <pt idx="52">
                  <v>1</v>
                </pt>
                <pt idx="53">
                  <v>0.998266468548787</v>
                </pt>
                <pt idx="54">
                  <v>1.04566617137197</v>
                </pt>
                <pt idx="55">
                  <v>1.02847944526994</v>
                </pt>
                <pt idx="56">
                  <v>1.01911837543338</v>
                </pt>
                <pt idx="57">
                  <v>1.03254086181278</v>
                </pt>
                <pt idx="58">
                  <v>1.01332342743933</v>
                </pt>
                <pt idx="59">
                  <v>1.03967310549777</v>
                </pt>
                <pt idx="60">
                  <v>1.04952947003467</v>
                </pt>
                <pt idx="61">
                  <v>0.845121347201585</v>
                </pt>
                <pt idx="62">
                  <v>0.800643883110451</v>
                </pt>
                <pt idx="63">
                  <v>0.768053491827637</v>
                </pt>
                <pt idx="64">
                  <v>0.69395740465577</v>
                </pt>
                <pt idx="65">
                  <v>0.67974244675582</v>
                </pt>
                <pt idx="66">
                  <v>0.599851411589896</v>
                </pt>
                <pt idx="67">
                  <v>0.581872213967311</v>
                </pt>
                <pt idx="68">
                  <v>0.617533432392273</v>
                </pt>
                <pt idx="69">
                  <v>0.553789004457652</v>
                </pt>
                <pt idx="70">
                  <v>0.525656265477959</v>
                </pt>
                <pt idx="71">
                  <v>0.530708271421496</v>
                </pt>
                <pt idx="72">
                  <v>0.512877662209014</v>
                </pt>
                <pt idx="73">
                  <v>0.54061416542843</v>
                </pt>
                <pt idx="74">
                  <v>0.586082218920258</v>
                </pt>
                <pt idx="75">
                  <v>0.624467558197127</v>
                </pt>
                <pt idx="76">
                  <v>0.631054977711738</v>
                </pt>
                <pt idx="77">
                  <v>0.500495294700347</v>
                </pt>
                <pt idx="78">
                  <v>0.520108964834076</v>
                </pt>
                <pt idx="79">
                  <v>0.549331352154532</v>
                </pt>
                <pt idx="80">
                  <v>0.513273897969292</v>
                </pt>
                <pt idx="81">
                  <v>0.497473997028232</v>
                </pt>
                <pt idx="82">
                  <v>0.51050024764735</v>
                </pt>
                <pt idx="83">
                  <v>0.523774145616642</v>
                </pt>
                <pt idx="84">
                  <v>0.48727092620109</v>
                </pt>
                <pt idx="85">
                  <v>0.520554730064388</v>
                </pt>
                <pt idx="86">
                  <v>0.556661713719663</v>
                </pt>
                <pt idx="87">
                  <v>0.520703318474492</v>
                </pt>
                <pt idx="88">
                  <v>0.497622585438336</v>
                </pt>
                <pt idx="89">
                  <v>0.522932144626053</v>
                </pt>
                <pt idx="90">
                  <v>0.559831599801882</v>
                </pt>
                <pt idx="91">
                  <v>0.592521050024765</v>
                </pt>
                <pt idx="92">
                  <v>0.580336800396236</v>
                </pt>
                <pt idx="93">
                  <v>0.587716691431402</v>
                </pt>
                <pt idx="94">
                  <v>0.560772659732541</v>
                </pt>
                <pt idx="95">
                  <v>0.511540366518078</v>
                </pt>
                <pt idx="96">
                  <v>0.391877180517989</v>
                </pt>
                <pt idx="97">
                  <v>0.410549774094346</v>
                </pt>
                <pt idx="98">
                  <v>0.410549774094346</v>
                </pt>
              </numCache>
            </numRef>
          </val>
          <smooth val="0"/>
        </ser>
        <ser>
          <idx val="19"/>
          <order val="19"/>
          <tx>
            <strRef>
              <f>'运动服饰 Normalized'!$U$2</f>
              <strCache>
                <ptCount val="1"/>
                <pt idx="0">
                  <v>CROX.O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2">
                  <a:tint val="90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Normalized'!$U$3:$U$101</f>
              <numCache>
                <formatCode>General</formatCode>
                <ptCount val="99"/>
                <pt idx="0">
                  <v>1.266074</v>
                </pt>
                <pt idx="1">
                  <v>1.276579</v>
                </pt>
                <pt idx="2">
                  <v>1.257763</v>
                </pt>
                <pt idx="3">
                  <v>1.307515</v>
                </pt>
                <pt idx="4">
                  <v>1.254877</v>
                </pt>
                <pt idx="5">
                  <v>1.293663</v>
                </pt>
                <pt idx="6">
                  <v>1.22094</v>
                </pt>
                <pt idx="7">
                  <v>1.153988</v>
                </pt>
                <pt idx="8">
                  <v>1.182269</v>
                </pt>
                <pt idx="9">
                  <v>1.116703</v>
                </pt>
                <pt idx="10">
                  <v>1.047674</v>
                </pt>
                <pt idx="11">
                  <v>1.251645</v>
                </pt>
                <pt idx="12">
                  <v>1.224749</v>
                </pt>
                <pt idx="13">
                  <v>1.158721</v>
                </pt>
                <pt idx="14">
                  <v>1.167032</v>
                </pt>
                <pt idx="15">
                  <v>1.199007</v>
                </pt>
                <pt idx="16">
                  <v>1.280388</v>
                </pt>
                <pt idx="17">
                  <v>1.225903</v>
                </pt>
                <pt idx="18">
                  <v>1.106199</v>
                </pt>
                <pt idx="19">
                  <v>1.048136</v>
                </pt>
                <pt idx="20">
                  <v>1.032668</v>
                </pt>
                <pt idx="21">
                  <v>1.110816</v>
                </pt>
                <pt idx="22">
                  <v>1.163454</v>
                </pt>
                <pt idx="23">
                  <v>1.371927</v>
                </pt>
                <pt idx="24">
                  <v>1.324368</v>
                </pt>
                <pt idx="25">
                  <v>1.250029</v>
                </pt>
                <pt idx="26">
                  <v>1.170726</v>
                </pt>
                <pt idx="27">
                  <v>1.180192</v>
                </pt>
                <pt idx="28">
                  <v>1.180192</v>
                </pt>
                <pt idx="29">
                  <v>1.123976</v>
                </pt>
                <pt idx="30">
                  <v>1.16911</v>
                </pt>
                <pt idx="31">
                  <v>1.227635</v>
                </pt>
                <pt idx="32">
                  <v>1.177537</v>
                </pt>
                <pt idx="33">
                  <v>1.196352</v>
                </pt>
                <pt idx="34">
                  <v>1.219439</v>
                </pt>
                <pt idx="35">
                  <v>1.15849</v>
                </pt>
                <pt idx="36">
                  <v>0.883759</v>
                </pt>
                <pt idx="37">
                  <v>0.956712</v>
                </pt>
                <pt idx="38">
                  <v>0.996075</v>
                </pt>
                <pt idx="39">
                  <v>1.00658</v>
                </pt>
                <pt idx="40">
                  <v>1.006464</v>
                </pt>
                <pt idx="41">
                  <v>0.895533</v>
                </pt>
                <pt idx="42">
                  <v>0.890454</v>
                </pt>
                <pt idx="43">
                  <v>0.966871</v>
                </pt>
                <pt idx="44">
                  <v>0.930855</v>
                </pt>
                <pt idx="45">
                  <v>0.940667</v>
                </pt>
                <pt idx="46">
                  <v>0.950479</v>
                </pt>
                <pt idx="47">
                  <v>1.007619</v>
                </pt>
                <pt idx="48">
                  <v>0.936858</v>
                </pt>
                <pt idx="49">
                  <v>0.855246</v>
                </pt>
                <pt idx="50">
                  <v>0.8905690000000001</v>
                </pt>
                <pt idx="51">
                  <v>0.927277</v>
                </pt>
                <pt idx="52">
                  <v>1</v>
                </pt>
                <pt idx="53">
                  <v>1.00829686360321</v>
                </pt>
                <pt idx="54">
                  <v>0.99343544857768</v>
                </pt>
                <pt idx="55">
                  <v>1.03273158278629</v>
                </pt>
                <pt idx="56">
                  <v>0.991156090444931</v>
                </pt>
                <pt idx="57">
                  <v>1.02179066374909</v>
                </pt>
                <pt idx="58">
                  <v>0.964350838803793</v>
                </pt>
                <pt idx="59">
                  <v>0.911469730123997</v>
                </pt>
                <pt idx="60">
                  <v>0.933807439824945</v>
                </pt>
                <pt idx="61">
                  <v>0.882020423048869</v>
                </pt>
                <pt idx="62">
                  <v>0.827498176513494</v>
                </pt>
                <pt idx="63">
                  <v>0.988603209336251</v>
                </pt>
                <pt idx="64">
                  <v>0.967359591539023</v>
                </pt>
                <pt idx="65">
                  <v>0.915207877461707</v>
                </pt>
                <pt idx="66">
                  <v>0.921772428884026</v>
                </pt>
                <pt idx="67">
                  <v>0.947027716994894</v>
                </pt>
                <pt idx="68">
                  <v>1.01130561633844</v>
                </pt>
                <pt idx="69">
                  <v>0.968271334792122</v>
                </pt>
                <pt idx="70">
                  <v>0.87372355944566</v>
                </pt>
                <pt idx="71">
                  <v>0.827862873814734</v>
                </pt>
                <pt idx="72">
                  <v>0.815645514223195</v>
                </pt>
                <pt idx="73">
                  <v>0.87737053245806</v>
                </pt>
                <pt idx="74">
                  <v>0.918946024799416</v>
                </pt>
                <pt idx="75">
                  <v>1.08360685630926</v>
                </pt>
                <pt idx="76">
                  <v>1.04604303428155</v>
                </pt>
                <pt idx="77">
                  <v>0.9873267687819109</v>
                </pt>
                <pt idx="78">
                  <v>0.924690007293946</v>
                </pt>
                <pt idx="79">
                  <v>0.932166301969365</v>
                </pt>
                <pt idx="80">
                  <v>0.932166301969365</v>
                </pt>
                <pt idx="81">
                  <v>0.887764405543399</v>
                </pt>
                <pt idx="82">
                  <v>0.923413566739606</v>
                </pt>
                <pt idx="83">
                  <v>0.969638949671772</v>
                </pt>
                <pt idx="84">
                  <v>0.930069292487236</v>
                </pt>
                <pt idx="85">
                  <v>0.944930707512764</v>
                </pt>
                <pt idx="86">
                  <v>0.963165572574763</v>
                </pt>
                <pt idx="87">
                  <v>0.915025528811087</v>
                </pt>
                <pt idx="88">
                  <v>0.6980306345733041</v>
                </pt>
                <pt idx="89">
                  <v>0.755652808169219</v>
                </pt>
                <pt idx="90">
                  <v>0.786743253099927</v>
                </pt>
                <pt idx="91">
                  <v>0.795040116703136</v>
                </pt>
                <pt idx="92">
                  <v>0.794948942377826</v>
                </pt>
                <pt idx="93">
                  <v>0.7073304157549229</v>
                </pt>
                <pt idx="94">
                  <v>0.703318745441284</v>
                </pt>
                <pt idx="95">
                  <v>0.763676148796499</v>
                </pt>
                <pt idx="96">
                  <v>1.07667757419667</v>
                </pt>
                <pt idx="97">
                  <v>1.04832242302091</v>
                </pt>
                <pt idx="98">
                  <v>1.04832242302091</v>
                </pt>
              </numCache>
            </numRef>
          </val>
          <smooth val="0"/>
        </ser>
        <ser>
          <idx val="20"/>
          <order val="20"/>
          <tx>
            <strRef>
              <f>'运动服饰 Normalized'!$V$2</f>
              <strCache>
                <ptCount val="1"/>
                <pt idx="0">
                  <v>COLM.O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3">
                  <a:tint val="90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Normalized'!$V$3:$V$101</f>
              <numCache>
                <formatCode>General</formatCode>
                <ptCount val="99"/>
                <pt idx="0">
                  <v>1.592265</v>
                </pt>
                <pt idx="1">
                  <v>1.638352</v>
                </pt>
                <pt idx="2">
                  <v>1.623893</v>
                </pt>
                <pt idx="3">
                  <v>1.576541</v>
                </pt>
                <pt idx="4">
                  <v>1.508585</v>
                </pt>
                <pt idx="5">
                  <v>1.501898</v>
                </pt>
                <pt idx="6">
                  <v>1.503705</v>
                </pt>
                <pt idx="7">
                  <v>1.511296</v>
                </pt>
                <pt idx="8">
                  <v>1.619013</v>
                </pt>
                <pt idx="9">
                  <v>1.539671</v>
                </pt>
                <pt idx="10">
                  <v>1.409723</v>
                </pt>
                <pt idx="11">
                  <v>1.528646</v>
                </pt>
                <pt idx="12">
                  <v>1.664197</v>
                </pt>
                <pt idx="13">
                  <v>1.521055</v>
                </pt>
                <pt idx="14">
                  <v>1.540575</v>
                </pt>
                <pt idx="15">
                  <v>1.437556</v>
                </pt>
                <pt idx="16">
                  <v>1.409181</v>
                </pt>
                <pt idx="17">
                  <v>1.367974</v>
                </pt>
                <pt idx="18">
                  <v>1.18471</v>
                </pt>
                <pt idx="19">
                  <v>1.220857</v>
                </pt>
                <pt idx="20">
                  <v>1.140069</v>
                </pt>
                <pt idx="21">
                  <v>1.156696</v>
                </pt>
                <pt idx="22">
                  <v>1.12308</v>
                </pt>
                <pt idx="23">
                  <v>1.257726</v>
                </pt>
                <pt idx="24">
                  <v>1.186517</v>
                </pt>
                <pt idx="25">
                  <v>1.153081</v>
                </pt>
                <pt idx="26">
                  <v>1.107356</v>
                </pt>
                <pt idx="27">
                  <v>1.125068</v>
                </pt>
                <pt idx="28">
                  <v>1.114585</v>
                </pt>
                <pt idx="29">
                  <v>1.089282</v>
                </pt>
                <pt idx="30">
                  <v>1.103922</v>
                </pt>
                <pt idx="31">
                  <v>1.137719</v>
                </pt>
                <pt idx="32">
                  <v>1.092355</v>
                </pt>
                <pt idx="33">
                  <v>1.082234</v>
                </pt>
                <pt idx="34">
                  <v>1.09109</v>
                </pt>
                <pt idx="35">
                  <v>0.923188</v>
                </pt>
                <pt idx="36">
                  <v>0.893186</v>
                </pt>
                <pt idx="37">
                  <v>0.9725279999999999</v>
                </pt>
                <pt idx="38">
                  <v>1.001265</v>
                </pt>
                <pt idx="39">
                  <v>1.007049</v>
                </pt>
                <pt idx="40">
                  <v>1.022049</v>
                </pt>
                <pt idx="41">
                  <v>0.97795</v>
                </pt>
                <pt idx="42">
                  <v>0.958612</v>
                </pt>
                <pt idx="43">
                  <v>0.93349</v>
                </pt>
                <pt idx="44">
                  <v>0.966022</v>
                </pt>
                <pt idx="45">
                  <v>0.916682</v>
                </pt>
                <pt idx="46">
                  <v>0.949395</v>
                </pt>
                <pt idx="47">
                  <v>0.992048</v>
                </pt>
                <pt idx="48">
                  <v>0.910537</v>
                </pt>
                <pt idx="49">
                  <v>0.922827</v>
                </pt>
                <pt idx="50">
                  <v>0.929875</v>
                </pt>
                <pt idx="51">
                  <v>0.945418</v>
                </pt>
                <pt idx="52">
                  <v>1</v>
                </pt>
                <pt idx="53">
                  <v>1.02894438138479</v>
                </pt>
                <pt idx="54">
                  <v>1.01986379114642</v>
                </pt>
                <pt idx="55">
                  <v>0.990124858115778</v>
                </pt>
                <pt idx="56">
                  <v>0.94744608399546</v>
                </pt>
                <pt idx="57">
                  <v>0.9432463110102161</v>
                </pt>
                <pt idx="58">
                  <v>0.944381384790011</v>
                </pt>
                <pt idx="59">
                  <v>0.9491486946651529</v>
                </pt>
                <pt idx="60">
                  <v>1.01679909194098</v>
                </pt>
                <pt idx="61">
                  <v>0.966969353007946</v>
                </pt>
                <pt idx="62">
                  <v>0.8853575482406359</v>
                </pt>
                <pt idx="63">
                  <v>0.960045402951192</v>
                </pt>
                <pt idx="64">
                  <v>1.04517593643587</v>
                </pt>
                <pt idx="65">
                  <v>0.95527809307605</v>
                </pt>
                <pt idx="66">
                  <v>0.967536889897843</v>
                </pt>
                <pt idx="67">
                  <v>0.902837684449489</v>
                </pt>
                <pt idx="68">
                  <v>0.885017026106697</v>
                </pt>
                <pt idx="69">
                  <v>0.859137343927355</v>
                </pt>
                <pt idx="70">
                  <v>0.7440408626560731</v>
                </pt>
                <pt idx="71">
                  <v>0.766742338251986</v>
                </pt>
                <pt idx="72">
                  <v>0.716004540295119</v>
                </pt>
                <pt idx="73">
                  <v>0.72644721906924</v>
                </pt>
                <pt idx="74">
                  <v>0.70533484676504</v>
                </pt>
                <pt idx="75">
                  <v>0.7898978433598181</v>
                </pt>
                <pt idx="76">
                  <v>0.745175936435868</v>
                </pt>
                <pt idx="77">
                  <v>0.7241770715096481</v>
                </pt>
                <pt idx="78">
                  <v>0.695459704880817</v>
                </pt>
                <pt idx="79">
                  <v>0.706583427922815</v>
                </pt>
                <pt idx="80">
                  <v>0.7</v>
                </pt>
                <pt idx="81">
                  <v>0.684108967082861</v>
                </pt>
                <pt idx="82">
                  <v>0.693303064699205</v>
                </pt>
                <pt idx="83">
                  <v>0.714528944381385</v>
                </pt>
                <pt idx="84">
                  <v>0.686038592508513</v>
                </pt>
                <pt idx="85">
                  <v>0.679682179341657</v>
                </pt>
                <pt idx="86">
                  <v>0.685244040862656</v>
                </pt>
                <pt idx="87">
                  <v>0.579795686719637</v>
                </pt>
                <pt idx="88">
                  <v>0.560953461975028</v>
                </pt>
                <pt idx="89">
                  <v>0.610783200908059</v>
                </pt>
                <pt idx="90">
                  <v>0.62883087400681</v>
                </pt>
                <pt idx="91">
                  <v>0.6324631101021569</v>
                </pt>
                <pt idx="92">
                  <v>0.641884222474461</v>
                </pt>
                <pt idx="93">
                  <v>0.614188422247446</v>
                </pt>
                <pt idx="94">
                  <v>0.602043132803632</v>
                </pt>
                <pt idx="95">
                  <v>0.586265607264472</v>
                </pt>
                <pt idx="96">
                  <v>0.650056758884945</v>
                </pt>
                <pt idx="97">
                  <v>0.64744609438737</v>
                </pt>
                <pt idx="98">
                  <v>0.64744609438737</v>
                </pt>
              </numCache>
            </numRef>
          </val>
          <smooth val="0"/>
        </ser>
        <ser>
          <idx val="21"/>
          <order val="21"/>
          <tx>
            <strRef>
              <f>'运动服饰 Normalized'!$W$2</f>
              <strCache>
                <ptCount val="1"/>
                <pt idx="0">
                  <v>BZUN.O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4">
                  <a:tint val="90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Normalized'!$W$3:$W$101</f>
              <numCache>
                <formatCode>General</formatCode>
                <ptCount val="99"/>
                <pt idx="0">
                  <v>0.958477</v>
                </pt>
                <pt idx="1">
                  <v>1.00346</v>
                </pt>
                <pt idx="2">
                  <v>1.280277</v>
                </pt>
                <pt idx="3">
                  <v>1.058823</v>
                </pt>
                <pt idx="4">
                  <v>0.955017</v>
                </pt>
                <pt idx="5">
                  <v>1.027682</v>
                </pt>
                <pt idx="6">
                  <v>0.937716</v>
                </pt>
                <pt idx="7">
                  <v>0.99654</v>
                </pt>
                <pt idx="8">
                  <v>1.058823</v>
                </pt>
                <pt idx="9">
                  <v>1.072664</v>
                </pt>
                <pt idx="10">
                  <v>1.217993</v>
                </pt>
                <pt idx="11">
                  <v>1.297578</v>
                </pt>
                <pt idx="12">
                  <v>1.148789</v>
                </pt>
                <pt idx="13">
                  <v>1.058823</v>
                </pt>
                <pt idx="14">
                  <v>1.117647</v>
                </pt>
                <pt idx="15">
                  <v>1.207612</v>
                </pt>
                <pt idx="16">
                  <v>1.044983</v>
                </pt>
                <pt idx="17">
                  <v>0.9446369999999999</v>
                </pt>
                <pt idx="18">
                  <v>0.809689</v>
                </pt>
                <pt idx="19">
                  <v>0.785467</v>
                </pt>
                <pt idx="20">
                  <v>0.761246</v>
                </pt>
                <pt idx="21">
                  <v>0.823529</v>
                </pt>
                <pt idx="22">
                  <v>0.986159</v>
                </pt>
                <pt idx="23">
                  <v>1.346021</v>
                </pt>
                <pt idx="24">
                  <v>1.148789</v>
                </pt>
                <pt idx="25">
                  <v>1.055363</v>
                </pt>
                <pt idx="26">
                  <v>0.99308</v>
                </pt>
                <pt idx="27">
                  <v>0.968858</v>
                </pt>
                <pt idx="28">
                  <v>1.044983</v>
                </pt>
                <pt idx="29">
                  <v>0.878893</v>
                </pt>
                <pt idx="30">
                  <v>0.865052</v>
                </pt>
                <pt idx="31">
                  <v>0.885813</v>
                </pt>
                <pt idx="32">
                  <v>0.896194</v>
                </pt>
                <pt idx="33">
                  <v>1.062284</v>
                </pt>
                <pt idx="34">
                  <v>0.961938</v>
                </pt>
                <pt idx="35">
                  <v>0.923875</v>
                </pt>
                <pt idx="36">
                  <v>0.910035</v>
                </pt>
                <pt idx="37">
                  <v>0.982699</v>
                </pt>
                <pt idx="38">
                  <v>1.055363</v>
                </pt>
                <pt idx="39">
                  <v>1.17301</v>
                </pt>
                <pt idx="40">
                  <v>1.356401</v>
                </pt>
                <pt idx="41">
                  <v>1.591695</v>
                </pt>
                <pt idx="42">
                  <v>1.50519</v>
                </pt>
                <pt idx="43">
                  <v>1.397924</v>
                </pt>
                <pt idx="44">
                  <v>1.32872</v>
                </pt>
                <pt idx="45">
                  <v>1.224913</v>
                </pt>
                <pt idx="46">
                  <v>1.266436</v>
                </pt>
                <pt idx="47">
                  <v>1.266436</v>
                </pt>
                <pt idx="48">
                  <v>1.148789</v>
                </pt>
                <pt idx="49">
                  <v>1.093426</v>
                </pt>
                <pt idx="50">
                  <v>1.00692</v>
                </pt>
                <pt idx="51">
                  <v>1.010381</v>
                </pt>
                <pt idx="52">
                  <v>1</v>
                </pt>
                <pt idx="53">
                  <v>1.04693140794224</v>
                </pt>
                <pt idx="54">
                  <v>1.33574007220217</v>
                </pt>
                <pt idx="55">
                  <v>1.10469314079422</v>
                </pt>
                <pt idx="56">
                  <v>0.996389891696751</v>
                </pt>
                <pt idx="57">
                  <v>1.07220216606498</v>
                </pt>
                <pt idx="58">
                  <v>0.978339350180505</v>
                </pt>
                <pt idx="59">
                  <v>1.03971119133574</v>
                </pt>
                <pt idx="60">
                  <v>1.10469314079422</v>
                </pt>
                <pt idx="61">
                  <v>1.11913357400722</v>
                </pt>
                <pt idx="62">
                  <v>1.27075812274368</v>
                </pt>
                <pt idx="63">
                  <v>1.35379061371841</v>
                </pt>
                <pt idx="64">
                  <v>1.1985559566787</v>
                </pt>
                <pt idx="65">
                  <v>1.10469314079422</v>
                </pt>
                <pt idx="66">
                  <v>1.16606498194946</v>
                </pt>
                <pt idx="67">
                  <v>1.25992779783394</v>
                </pt>
                <pt idx="68">
                  <v>1.09025270758123</v>
                </pt>
                <pt idx="69">
                  <v>0.985559566787004</v>
                </pt>
                <pt idx="70">
                  <v>0.844765342960289</v>
                </pt>
                <pt idx="71">
                  <v>0.819494584837545</v>
                </pt>
                <pt idx="72">
                  <v>0.794223826714802</v>
                </pt>
                <pt idx="73">
                  <v>0.859205776173285</v>
                </pt>
                <pt idx="74">
                  <v>1.02888086642599</v>
                </pt>
                <pt idx="75">
                  <v>1.4043321299639</v>
                </pt>
                <pt idx="76">
                  <v>1.1985559566787</v>
                </pt>
                <pt idx="77">
                  <v>1.10108303249097</v>
                </pt>
                <pt idx="78">
                  <v>1.03610108303249</v>
                </pt>
                <pt idx="79">
                  <v>1.01083032490975</v>
                </pt>
                <pt idx="80">
                  <v>1.09025270758123</v>
                </pt>
                <pt idx="81">
                  <v>0.916967509025271</v>
                </pt>
                <pt idx="82">
                  <v>0.902527075812274</v>
                </pt>
                <pt idx="83">
                  <v>0.924187725631769</v>
                </pt>
                <pt idx="84">
                  <v>0.935018050541516</v>
                </pt>
                <pt idx="85">
                  <v>1.10830324909747</v>
                </pt>
                <pt idx="86">
                  <v>1.00361010830325</v>
                </pt>
                <pt idx="87">
                  <v>0.963898916967509</v>
                </pt>
                <pt idx="88">
                  <v>0.949458483754513</v>
                </pt>
                <pt idx="89">
                  <v>1.02527075812274</v>
                </pt>
                <pt idx="90">
                  <v>1.10108303249097</v>
                </pt>
                <pt idx="91">
                  <v>1.22382671480144</v>
                </pt>
                <pt idx="92">
                  <v>1.41516245487365</v>
                </pt>
                <pt idx="93">
                  <v>1.66064981949458</v>
                </pt>
                <pt idx="94">
                  <v>1.57039711191336</v>
                </pt>
                <pt idx="95">
                  <v>1.45848375451264</v>
                </pt>
                <pt idx="96">
                  <v>1.13898915934649</v>
                </pt>
                <pt idx="97">
                  <v>1.19494582771825</v>
                </pt>
                <pt idx="98">
                  <v>1.19494582771825</v>
                </pt>
              </numCache>
            </numRef>
          </val>
          <smooth val="0"/>
        </ser>
        <ser>
          <idx val="22"/>
          <order val="22"/>
          <tx>
            <strRef>
              <f>'运动服饰 Normalized'!$X$2</f>
              <strCache>
                <ptCount val="1"/>
                <pt idx="0">
                  <v>AS.N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5">
                  <a:tint val="90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Normalized'!$X$3:$X$101</f>
              <numCache>
                <formatCode>General</formatCode>
                <ptCount val="99"/>
                <pt idx="0">
                  <v>0.705644</v>
                </pt>
                <pt idx="1">
                  <v>0.696462</v>
                </pt>
                <pt idx="2">
                  <v>0.746692</v>
                </pt>
                <pt idx="3">
                  <v>0.771267</v>
                </pt>
                <pt idx="4">
                  <v>0.766946</v>
                </pt>
                <pt idx="5">
                  <v>0.806373</v>
                </pt>
                <pt idx="6">
                  <v>0.785849</v>
                </pt>
                <pt idx="7">
                  <v>0.803673</v>
                </pt>
                <pt idx="8">
                  <v>0.822036</v>
                </pt>
                <pt idx="9">
                  <v>0.835539</v>
                </pt>
                <pt idx="10">
                  <v>0.826627</v>
                </pt>
                <pt idx="11">
                  <v>0.836889</v>
                </pt>
                <pt idx="12">
                  <v>0.772347</v>
                </pt>
                <pt idx="13">
                  <v>0.8044829999999999</v>
                </pt>
                <pt idx="14">
                  <v>0.691331</v>
                </pt>
                <pt idx="15">
                  <v>0.7696460000000001</v>
                </pt>
                <pt idx="16">
                  <v>0.795841</v>
                </pt>
                <pt idx="17">
                  <v>0.721847</v>
                </pt>
                <pt idx="18">
                  <v>0.609506</v>
                </pt>
                <pt idx="19">
                  <v>0.614367</v>
                </pt>
                <pt idx="20">
                  <v>0.584931</v>
                </pt>
                <pt idx="21">
                  <v>0.6551439999999999</v>
                </pt>
                <pt idx="22">
                  <v>0.694572</v>
                </pt>
                <pt idx="23">
                  <v>0.811234</v>
                </pt>
                <pt idx="24">
                  <v>0.847691</v>
                </pt>
                <pt idx="25">
                  <v>1.00027</v>
                </pt>
                <pt idx="26">
                  <v>0.994059</v>
                </pt>
                <pt idx="27">
                  <v>1.017283</v>
                </pt>
                <pt idx="28">
                  <v>1.00243</v>
                </pt>
                <pt idx="29">
                  <v>1.00243</v>
                </pt>
                <pt idx="30">
                  <v>1.046719</v>
                </pt>
                <pt idx="31">
                  <v>1.034567</v>
                </pt>
                <pt idx="32">
                  <v>1.05347</v>
                </pt>
                <pt idx="33">
                  <v>1.031056</v>
                </pt>
                <pt idx="34">
                  <v>1.042398</v>
                </pt>
                <pt idx="35">
                  <v>1.045369</v>
                </pt>
                <pt idx="36">
                  <v>0.990278</v>
                </pt>
                <pt idx="37">
                  <v>1.012692</v>
                </pt>
                <pt idx="38">
                  <v>1.098839</v>
                </pt>
                <pt idx="39">
                  <v>1.061842</v>
                </pt>
                <pt idx="40">
                  <v>0.989468</v>
                </pt>
                <pt idx="41">
                  <v>1.005671</v>
                </pt>
                <pt idx="42">
                  <v>0.952471</v>
                </pt>
                <pt idx="43">
                  <v>0.934648</v>
                </pt>
                <pt idx="44">
                  <v>0.921415</v>
                </pt>
                <pt idx="45">
                  <v>0.835809</v>
                </pt>
                <pt idx="46">
                  <v>0.833378</v>
                </pt>
                <pt idx="47">
                  <v>0.879287</v>
                </pt>
                <pt idx="48">
                  <v>0.849851</v>
                </pt>
                <pt idx="49">
                  <v>0.813935</v>
                </pt>
                <pt idx="50">
                  <v>0.830678</v>
                </pt>
                <pt idx="51">
                  <v>0.973535</v>
                </pt>
                <pt idx="52">
                  <v>1</v>
                </pt>
                <pt idx="53">
                  <v>0.986988136241868</v>
                </pt>
                <pt idx="54">
                  <v>1.05817068503636</v>
                </pt>
                <pt idx="55">
                  <v>1.09299655568312</v>
                </pt>
                <pt idx="56">
                  <v>1.0868733256793</v>
                </pt>
                <pt idx="57">
                  <v>1.14274779946422</v>
                </pt>
                <pt idx="58">
                  <v>1.11366245694604</v>
                </pt>
                <pt idx="59">
                  <v>1.13892078071183</v>
                </pt>
                <pt idx="60">
                  <v>1.16494450822809</v>
                </pt>
                <pt idx="61">
                  <v>1.18407960199005</v>
                </pt>
                <pt idx="62">
                  <v>1.17145044010716</v>
                </pt>
                <pt idx="63">
                  <v>1.18599311136625</v>
                </pt>
                <pt idx="64">
                  <v>1.09452736318408</v>
                </pt>
                <pt idx="65">
                  <v>1.14006888633754</v>
                </pt>
                <pt idx="66">
                  <v>0.979716800612323</v>
                </pt>
                <pt idx="67">
                  <v>1.09070034443169</v>
                </pt>
                <pt idx="68">
                  <v>1.12782242632989</v>
                </pt>
                <pt idx="69">
                  <v>1.02296211251435</v>
                </pt>
                <pt idx="70">
                  <v>0.863758132414849</v>
                </pt>
                <pt idx="71">
                  <v>0.870646766169154</v>
                </pt>
                <pt idx="72">
                  <v>0.828932261768083</v>
                </pt>
                <pt idx="73">
                  <v>0.928434749330272</v>
                </pt>
                <pt idx="74">
                  <v>0.984309223115193</v>
                </pt>
                <pt idx="75">
                  <v>1.14963643321852</v>
                </pt>
                <pt idx="76">
                  <v>1.20130118637581</v>
                </pt>
                <pt idx="77">
                  <v>1.41752774588595</v>
                </pt>
                <pt idx="78">
                  <v>1.40872560275545</v>
                </pt>
                <pt idx="79">
                  <v>1.44163796402602</v>
                </pt>
                <pt idx="80">
                  <v>1.42058936088787</v>
                </pt>
                <pt idx="81">
                  <v>1.42058936088787</v>
                </pt>
                <pt idx="82">
                  <v>1.4833524684271</v>
                </pt>
                <pt idx="83">
                  <v>1.46613088404133</v>
                </pt>
                <pt idx="84">
                  <v>1.49292001530808</v>
                </pt>
                <pt idx="85">
                  <v>1.46115575966322</v>
                </pt>
                <pt idx="86">
                  <v>1.47722923842327</v>
                </pt>
                <pt idx="87">
                  <v>1.4814389590509</v>
                </pt>
                <pt idx="88">
                  <v>1.4033677765021</v>
                </pt>
                <pt idx="89">
                  <v>1.43513203214696</v>
                </pt>
                <pt idx="90">
                  <v>1.55721393034826</v>
                </pt>
                <pt idx="91">
                  <v>1.50478377344049</v>
                </pt>
                <pt idx="92">
                  <v>1.40221967087639</v>
                </pt>
                <pt idx="93">
                  <v>1.42518178339074</v>
                </pt>
                <pt idx="94">
                  <v>1.34978951396862</v>
                </pt>
                <pt idx="95">
                  <v>1.32453119020283</v>
                </pt>
                <pt idx="96">
                  <v>1.03980099794466</v>
                </pt>
                <pt idx="97">
                  <v>1.07692305356481</v>
                </pt>
                <pt idx="98">
                  <v>1.07692305356481</v>
                </pt>
              </numCache>
            </numRef>
          </val>
          <smooth val="0"/>
        </ser>
        <ser>
          <idx val="23"/>
          <order val="23"/>
          <tx>
            <strRef>
              <f>'运动服饰 Normalized'!$Y$2</f>
              <strCache>
                <ptCount val="1"/>
                <pt idx="0">
                  <v>ANF.N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6">
                  <a:tint val="90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Normalized'!$Y$3:$Y$101</f>
              <numCache>
                <formatCode>General</formatCode>
                <ptCount val="99"/>
                <pt idx="0">
                  <v>1.543768</v>
                </pt>
                <pt idx="1">
                  <v>1.374583</v>
                </pt>
                <pt idx="2">
                  <v>1.441119</v>
                </pt>
                <pt idx="3">
                  <v>1.501079</v>
                </pt>
                <pt idx="4">
                  <v>1.517664</v>
                </pt>
                <pt idx="5">
                  <v>1.533072</v>
                </pt>
                <pt idx="6">
                  <v>1.331894</v>
                </pt>
                <pt idx="7">
                  <v>1.279195</v>
                </pt>
                <pt idx="8">
                  <v>1.173013</v>
                </pt>
                <pt idx="9">
                  <v>1.133955</v>
                </pt>
                <pt idx="10">
                  <v>1.110795</v>
                </pt>
                <pt idx="11">
                  <v>1.099804</v>
                </pt>
                <pt idx="12">
                  <v>1.002453</v>
                </pt>
                <pt idx="13">
                  <v>0.949068</v>
                </pt>
                <pt idx="14">
                  <v>0.7671249999999999</v>
                </pt>
                <pt idx="15">
                  <v>0.810991</v>
                </pt>
                <pt idx="16">
                  <v>0.778606</v>
                </pt>
                <pt idx="17">
                  <v>0.74946</v>
                </pt>
                <pt idx="18">
                  <v>0.713543</v>
                </pt>
                <pt idx="19">
                  <v>0.714917</v>
                </pt>
                <pt idx="20">
                  <v>0.714131</v>
                </pt>
                <pt idx="21">
                  <v>0.693523</v>
                </pt>
                <pt idx="22">
                  <v>0.6814519999999999</v>
                </pt>
                <pt idx="23">
                  <v>0.7671249999999999</v>
                </pt>
                <pt idx="24">
                  <v>0.766045</v>
                </pt>
                <pt idx="25">
                  <v>0.7180569999999999</v>
                </pt>
                <pt idx="26">
                  <v>0.7687929999999999</v>
                </pt>
                <pt idx="27">
                  <v>0.804514</v>
                </pt>
                <pt idx="28">
                  <v>0.736016</v>
                </pt>
                <pt idx="29">
                  <v>0.753288</v>
                </pt>
                <pt idx="30">
                  <v>0.813052</v>
                </pt>
                <pt idx="31">
                  <v>0.871246</v>
                </pt>
                <pt idx="32">
                  <v>0.903827</v>
                </pt>
                <pt idx="33">
                  <v>0.935329</v>
                </pt>
                <pt idx="34">
                  <v>0.96791</v>
                </pt>
                <pt idx="35">
                  <v>0.97262</v>
                </pt>
                <pt idx="36">
                  <v>0.982532</v>
                </pt>
                <pt idx="37">
                  <v>0.9390579999999999</v>
                </pt>
                <pt idx="38">
                  <v>0.978999</v>
                </pt>
                <pt idx="39">
                  <v>0.917861</v>
                </pt>
                <pt idx="40">
                  <v>0.936114</v>
                </pt>
                <pt idx="41">
                  <v>0.859863</v>
                </pt>
                <pt idx="42">
                  <v>0.861335</v>
                </pt>
                <pt idx="43">
                  <v>0.831894</v>
                </pt>
                <pt idx="44">
                  <v>0.764279</v>
                </pt>
                <pt idx="45">
                  <v>0.715407</v>
                </pt>
                <pt idx="46">
                  <v>0.654073</v>
                </pt>
                <pt idx="47">
                  <v>0.725319</v>
                </pt>
                <pt idx="48">
                  <v>0.68842</v>
                </pt>
                <pt idx="49">
                  <v>0.703337</v>
                </pt>
                <pt idx="50">
                  <v>0.682826</v>
                </pt>
                <pt idx="51">
                  <v>0.643867</v>
                </pt>
                <pt idx="52">
                  <v>1</v>
                </pt>
                <pt idx="53">
                  <v>0.890407475684953</v>
                </pt>
                <pt idx="54">
                  <v>0.933507087915581</v>
                </pt>
                <pt idx="55">
                  <v>0.972347593922828</v>
                </pt>
                <pt idx="56">
                  <v>0.983090712605683</v>
                </pt>
                <pt idx="57">
                  <v>0.993071006293306</v>
                </pt>
                <pt idx="58">
                  <v>0.862755069607781</v>
                </pt>
                <pt idx="59">
                  <v>0.828618651071133</v>
                </pt>
                <pt idx="60">
                  <v>0.759837264001017</v>
                </pt>
                <pt idx="61">
                  <v>0.734536901659144</v>
                </pt>
                <pt idx="62">
                  <v>0.7195346767529081</v>
                </pt>
                <pt idx="63">
                  <v>0.712414976797406</v>
                </pt>
                <pt idx="64">
                  <v>0.649354777191533</v>
                </pt>
                <pt idx="65">
                  <v>0.614773377407666</v>
                </pt>
                <pt idx="66">
                  <v>0.496916915644269</v>
                </pt>
                <pt idx="67">
                  <v>0.5253321467166741</v>
                </pt>
                <pt idx="68">
                  <v>0.504354459347785</v>
                </pt>
                <pt idx="69">
                  <v>0.485474540715784</v>
                </pt>
                <pt idx="70">
                  <v>0.462208378361198</v>
                </pt>
                <pt idx="71">
                  <v>0.463098340855635</v>
                </pt>
                <pt idx="72">
                  <v>0.462589790858814</v>
                </pt>
                <pt idx="73">
                  <v>0.449240353442248</v>
                </pt>
                <pt idx="74">
                  <v>0.441421397241116</v>
                </pt>
                <pt idx="75">
                  <v>0.496916915644269</v>
                </pt>
                <pt idx="76">
                  <v>0.49621765939864</v>
                </pt>
                <pt idx="77">
                  <v>0.465132540842922</v>
                </pt>
                <pt idx="78">
                  <v>0.497997584387515</v>
                </pt>
                <pt idx="79">
                  <v>0.521136609242896</v>
                </pt>
                <pt idx="80">
                  <v>0.476765622020215</v>
                </pt>
                <pt idx="81">
                  <v>0.487953721950289</v>
                </pt>
                <pt idx="82">
                  <v>0.526667090458331</v>
                </pt>
                <pt idx="83">
                  <v>0.564363358972729</v>
                </pt>
                <pt idx="84">
                  <v>0.585468183840824</v>
                </pt>
                <pt idx="85">
                  <v>0.605873752463289</v>
                </pt>
                <pt idx="86">
                  <v>0.626978577331384</v>
                </pt>
                <pt idx="87">
                  <v>0.630029877312313</v>
                </pt>
                <pt idx="88">
                  <v>0.636450321022185</v>
                </pt>
                <pt idx="89">
                  <v>0.608289364948191</v>
                </pt>
                <pt idx="90">
                  <v>0.634161846036489</v>
                </pt>
                <pt idx="91">
                  <v>0.594558515034009</v>
                </pt>
                <pt idx="92">
                  <v>0.606382302460111</v>
                </pt>
                <pt idx="93">
                  <v>0.556989384018816</v>
                </pt>
                <pt idx="94">
                  <v>0.557942915262857</v>
                </pt>
                <pt idx="95">
                  <v>0.538872290382048</v>
                </pt>
                <pt idx="96">
                  <v>0.863962899129804</v>
                </pt>
                <pt idx="97">
                  <v>0.906363243475016</v>
                </pt>
                <pt idx="98">
                  <v>0.906363243475016</v>
                </pt>
              </numCache>
            </numRef>
          </val>
          <smooth val="0"/>
        </ser>
        <ser>
          <idx val="24"/>
          <order val="24"/>
          <tx>
            <strRef>
              <f>'运动服饰 Normalized'!$Z$2</f>
              <strCache>
                <ptCount val="1"/>
                <pt idx="0">
                  <v>9983.T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1">
                  <a:tint val="70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Normalized'!$Z$3:$Z$101</f>
              <numCache>
                <formatCode>General</formatCode>
                <ptCount val="99"/>
                <pt idx="0">
                  <v>0.90134</v>
                </pt>
                <pt idx="1">
                  <v>0.959249</v>
                </pt>
                <pt idx="2">
                  <v>0.943342</v>
                </pt>
                <pt idx="3">
                  <v>0.950492</v>
                </pt>
                <pt idx="4">
                  <v>0.96193</v>
                </pt>
                <pt idx="5">
                  <v>0.921358</v>
                </pt>
                <pt idx="6">
                  <v>0.87042</v>
                </pt>
                <pt idx="7">
                  <v>0.866845</v>
                </pt>
                <pt idx="8">
                  <v>0.893655</v>
                </pt>
                <pt idx="9">
                  <v>0.8793570000000001</v>
                </pt>
                <pt idx="10">
                  <v>0.862913</v>
                </pt>
                <pt idx="11">
                  <v>0.89008</v>
                </pt>
                <pt idx="12">
                  <v>0.839678</v>
                </pt>
                <pt idx="13">
                  <v>0.8395</v>
                </pt>
                <pt idx="14">
                  <v>0.816086</v>
                </pt>
                <pt idx="15">
                  <v>0.811796</v>
                </pt>
                <pt idx="16">
                  <v>0.809294</v>
                </pt>
                <pt idx="17">
                  <v>0.787489</v>
                </pt>
                <pt idx="18">
                  <v>0.744415</v>
                </pt>
                <pt idx="19">
                  <v>0.811618</v>
                </pt>
                <pt idx="20">
                  <v>0.826631</v>
                </pt>
                <pt idx="21">
                  <v>0.857194</v>
                </pt>
                <pt idx="22">
                  <v>0.85773</v>
                </pt>
                <pt idx="23">
                  <v>0.869705</v>
                </pt>
                <pt idx="24">
                  <v>0.866309</v>
                </pt>
                <pt idx="25">
                  <v>0.8428949999999999</v>
                </pt>
                <pt idx="26">
                  <v>0.854334</v>
                </pt>
                <pt idx="27">
                  <v>0.8745309999999999</v>
                </pt>
                <pt idx="28">
                  <v>0.838248</v>
                </pt>
                <pt idx="29">
                  <v>0.828597</v>
                </pt>
                <pt idx="30">
                  <v>0.885076</v>
                </pt>
                <pt idx="31">
                  <v>0.8500450000000001</v>
                </pt>
                <pt idx="32">
                  <v>0.788919</v>
                </pt>
                <pt idx="33">
                  <v>0.791957</v>
                </pt>
                <pt idx="34">
                  <v>0.840751</v>
                </pt>
                <pt idx="35">
                  <v>0.813584</v>
                </pt>
                <pt idx="36">
                  <v>0.827167</v>
                </pt>
                <pt idx="37">
                  <v>0.891332</v>
                </pt>
                <pt idx="38">
                  <v>0.867024</v>
                </pt>
                <pt idx="39">
                  <v>0.825916</v>
                </pt>
                <pt idx="40">
                  <v>0.878999</v>
                </pt>
                <pt idx="41">
                  <v>0.863628</v>
                </pt>
                <pt idx="42">
                  <v>0.832887</v>
                </pt>
                <pt idx="43">
                  <v>0.81126</v>
                </pt>
                <pt idx="44">
                  <v>0.852726</v>
                </pt>
                <pt idx="45">
                  <v>0.920465</v>
                </pt>
                <pt idx="46">
                  <v>0.957105</v>
                </pt>
                <pt idx="47">
                  <v>1.011975</v>
                </pt>
                <pt idx="48">
                  <v>1.01269</v>
                </pt>
                <pt idx="49">
                  <v>1.040751</v>
                </pt>
                <pt idx="50">
                  <v>0.95639</v>
                </pt>
                <pt idx="51">
                  <v>0.979446</v>
                </pt>
                <pt idx="52">
                  <v>1</v>
                </pt>
                <pt idx="53">
                  <v>1.06424747174301</v>
                </pt>
                <pt idx="54">
                  <v>1.04659924648027</v>
                </pt>
                <pt idx="55">
                  <v>1.05453103311521</v>
                </pt>
                <pt idx="56">
                  <v>1.06722189173111</v>
                </pt>
                <pt idx="57">
                  <v>1.02220900257783</v>
                </pt>
                <pt idx="58">
                  <v>0.965695022803887</v>
                </pt>
                <pt idx="59">
                  <v>0.961729129486417</v>
                </pt>
                <pt idx="60">
                  <v>0.99147332936744</v>
                </pt>
                <pt idx="61">
                  <v>0.975609756097561</v>
                </pt>
                <pt idx="62">
                  <v>0.9573666468372</v>
                </pt>
                <pt idx="63">
                  <v>0.98750743604997</v>
                </pt>
                <pt idx="64">
                  <v>0.931588340273647</v>
                </pt>
                <pt idx="65">
                  <v>0.9313900456077731</v>
                </pt>
                <pt idx="66">
                  <v>0.905413444378346</v>
                </pt>
                <pt idx="67">
                  <v>0.900654372397383</v>
                </pt>
                <pt idx="68">
                  <v>0.897878247075154</v>
                </pt>
                <pt idx="69">
                  <v>0.873686297838588</v>
                </pt>
                <pt idx="70">
                  <v>0.825897283363078</v>
                </pt>
                <pt idx="71">
                  <v>0.900456077731509</v>
                </pt>
                <pt idx="72">
                  <v>0.9171128296648819</v>
                </pt>
                <pt idx="73">
                  <v>0.951021217529249</v>
                </pt>
                <pt idx="74">
                  <v>0.951616101526869</v>
                </pt>
                <pt idx="75">
                  <v>0.964901844140393</v>
                </pt>
                <pt idx="76">
                  <v>0.961134245488796</v>
                </pt>
                <pt idx="77">
                  <v>0.935157644259369</v>
                </pt>
                <pt idx="78">
                  <v>0.947848502875273</v>
                </pt>
                <pt idx="79">
                  <v>0.9702558001189771</v>
                </pt>
                <pt idx="80">
                  <v>0.930001982946659</v>
                </pt>
                <pt idx="81">
                  <v>0.91929407098949</v>
                </pt>
                <pt idx="82">
                  <v>0.981955185405513</v>
                </pt>
                <pt idx="83">
                  <v>0.943089430894309</v>
                </pt>
                <pt idx="84">
                  <v>0.875272655165576</v>
                </pt>
                <pt idx="85">
                  <v>0.878643664485425</v>
                </pt>
                <pt idx="86">
                  <v>0.932778108268888</v>
                </pt>
                <pt idx="87">
                  <v>0.902637319056117</v>
                </pt>
                <pt idx="88">
                  <v>0.917707713662502</v>
                </pt>
                <pt idx="89">
                  <v>0.988895498711085</v>
                </pt>
                <pt idx="90">
                  <v>0.96192742415229</v>
                </pt>
                <pt idx="91">
                  <v>0.916319651001388</v>
                </pt>
                <pt idx="92">
                  <v>0.975213166765814</v>
                </pt>
                <pt idx="93">
                  <v>0.958159825500694</v>
                </pt>
                <pt idx="94">
                  <v>0.924053142970454</v>
                </pt>
                <pt idx="95">
                  <v>0.900059488399762</v>
                </pt>
                <pt idx="96">
                  <v>1.42316081697402</v>
                </pt>
                <pt idx="97">
                  <v>1.4233591116399</v>
                </pt>
                <pt idx="98">
                  <v>1.4233591116399</v>
                </pt>
              </numCache>
            </numRef>
          </val>
          <smooth val="0"/>
        </ser>
        <ser>
          <idx val="25"/>
          <order val="25"/>
          <tx>
            <strRef>
              <f>'运动服饰 Normalized'!$AA$2</f>
              <strCache>
                <ptCount val="1"/>
                <pt idx="0">
                  <v>8111.T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2">
                  <a:tint val="70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Normalized'!$AA$3:$AA$101</f>
              <numCache>
                <formatCode>General</formatCode>
                <ptCount val="99"/>
                <pt idx="0">
                  <v>1.012898</v>
                </pt>
                <pt idx="1">
                  <v>0.98584</v>
                </pt>
                <pt idx="2">
                  <v>0.945599</v>
                </pt>
                <pt idx="3">
                  <v>0.97644</v>
                </pt>
                <pt idx="4">
                  <v>1.014043</v>
                </pt>
                <pt idx="5">
                  <v>0.9887089999999999</v>
                </pt>
                <pt idx="6">
                  <v>0.978504</v>
                </pt>
                <pt idx="7">
                  <v>0.939181</v>
                </pt>
                <pt idx="8">
                  <v>0.92909</v>
                </pt>
                <pt idx="9">
                  <v>0.9210660000000001</v>
                </pt>
                <pt idx="10">
                  <v>0.892062</v>
                </pt>
                <pt idx="11">
                  <v>0.84196</v>
                </pt>
                <pt idx="12">
                  <v>0.826026</v>
                </pt>
                <pt idx="13">
                  <v>0.839095</v>
                </pt>
                <pt idx="14">
                  <v>0.818573</v>
                </pt>
                <pt idx="15">
                  <v>0.852279</v>
                </pt>
                <pt idx="16">
                  <v>0.913844</v>
                </pt>
                <pt idx="17">
                  <v>0.946862</v>
                </pt>
                <pt idx="18">
                  <v>0.867986</v>
                </pt>
                <pt idx="19">
                  <v>0.929551</v>
                </pt>
                <pt idx="20">
                  <v>0.929207</v>
                </pt>
                <pt idx="21">
                  <v>0.937575</v>
                </pt>
                <pt idx="22">
                  <v>0.933218</v>
                </pt>
                <pt idx="23">
                  <v>0.947549</v>
                </pt>
                <pt idx="24">
                  <v>0.985727</v>
                </pt>
                <pt idx="25">
                  <v>0.948237</v>
                </pt>
                <pt idx="26">
                  <v>0.943192</v>
                </pt>
                <pt idx="27">
                  <v>0.9887089999999999</v>
                </pt>
                <pt idx="28">
                  <v>0.938721</v>
                </pt>
                <pt idx="29">
                  <v>0.904444</v>
                </pt>
                <pt idx="30">
                  <v>0.930583</v>
                </pt>
                <pt idx="31">
                  <v>0.910291</v>
                </pt>
                <pt idx="32">
                  <v>0.920378</v>
                </pt>
                <pt idx="33">
                  <v>0.9045570000000001</v>
                </pt>
                <pt idx="34">
                  <v>0.910404</v>
                </pt>
                <pt idx="35">
                  <v>0.88908</v>
                </pt>
                <pt idx="36">
                  <v>0.823618</v>
                </pt>
                <pt idx="37">
                  <v>0.822012</v>
                </pt>
                <pt idx="38">
                  <v>0.8213240000000001</v>
                </pt>
                <pt idx="39">
                  <v>0.834968</v>
                </pt>
                <pt idx="40">
                  <v>0.8686739999999999</v>
                </pt>
                <pt idx="41">
                  <v>0.855604</v>
                </pt>
                <pt idx="42">
                  <v>0.859501</v>
                </pt>
                <pt idx="43">
                  <v>0.859501</v>
                </pt>
                <pt idx="44">
                  <v>0.853138</v>
                </pt>
                <pt idx="45">
                  <v>0.883749</v>
                </pt>
                <pt idx="46">
                  <v>0.877902</v>
                </pt>
                <pt idx="47">
                  <v>0.897334</v>
                </pt>
                <pt idx="48">
                  <v>0.877042</v>
                </pt>
                <pt idx="49">
                  <v>1.045572</v>
                </pt>
                <pt idx="50">
                  <v>1.025107</v>
                </pt>
                <pt idx="51">
                  <v>0.983835</v>
                </pt>
                <pt idx="52">
                  <v>1</v>
                </pt>
                <pt idx="53">
                  <v>0.973286926994907</v>
                </pt>
                <pt idx="54">
                  <v>0.93355857385399</v>
                </pt>
                <pt idx="55">
                  <v>0.964006791171477</v>
                </pt>
                <pt idx="56">
                  <v>1.00113073005093</v>
                </pt>
                <pt idx="57">
                  <v>0.976118845500849</v>
                </pt>
                <pt idx="58">
                  <v>0.966044142614601</v>
                </pt>
                <pt idx="59">
                  <v>0.927222410865874</v>
                </pt>
                <pt idx="60">
                  <v>0.917259762308998</v>
                </pt>
                <pt idx="61">
                  <v>0.909337860780985</v>
                </pt>
                <pt idx="62">
                  <v>0.880702886247878</v>
                </pt>
                <pt idx="63">
                  <v>0.831239388794567</v>
                </pt>
                <pt idx="64">
                  <v>0.815507640067912</v>
                </pt>
                <pt idx="65">
                  <v>0.828410865874363</v>
                </pt>
                <pt idx="66">
                  <v>0.8081494057724961</v>
                </pt>
                <pt idx="67">
                  <v>0.8414261460101869</v>
                </pt>
                <pt idx="68">
                  <v>0.902207130730051</v>
                </pt>
                <pt idx="69">
                  <v>0.934804753820034</v>
                </pt>
                <pt idx="70">
                  <v>0.856933786078098</v>
                </pt>
                <pt idx="71">
                  <v>0.917714770797963</v>
                </pt>
                <pt idx="72">
                  <v>0.917375212224109</v>
                </pt>
                <pt idx="73">
                  <v>0.925636672325976</v>
                </pt>
                <pt idx="74">
                  <v>0.921334465195246</v>
                </pt>
                <pt idx="75">
                  <v>0.935483870967742</v>
                </pt>
                <pt idx="76">
                  <v>0.973174872665535</v>
                </pt>
                <pt idx="77">
                  <v>0.93616298811545</v>
                </pt>
                <pt idx="78">
                  <v>0.931181663837012</v>
                </pt>
                <pt idx="79">
                  <v>0.976118845500849</v>
                </pt>
                <pt idx="80">
                  <v>0.92676740237691</v>
                </pt>
                <pt idx="81">
                  <v>0.892926994906621</v>
                </pt>
                <pt idx="82">
                  <v>0.918733446519525</v>
                </pt>
                <pt idx="83">
                  <v>0.8986994906621389</v>
                </pt>
                <pt idx="84">
                  <v>0.908658743633277</v>
                </pt>
                <pt idx="85">
                  <v>0.893039049235993</v>
                </pt>
                <pt idx="86">
                  <v>0.8988115449915109</v>
                </pt>
                <pt idx="87">
                  <v>0.877758913412564</v>
                </pt>
                <pt idx="88">
                  <v>0.8131307300509339</v>
                </pt>
                <pt idx="89">
                  <v>0.811544991511036</v>
                </pt>
                <pt idx="90">
                  <v>0.810865874363328</v>
                </pt>
                <pt idx="91">
                  <v>0.824336162988116</v>
                </pt>
                <pt idx="92">
                  <v>0.857612903225807</v>
                </pt>
                <pt idx="93">
                  <v>0.844709677419355</v>
                </pt>
                <pt idx="94">
                  <v>0.848556876061121</v>
                </pt>
                <pt idx="95">
                  <v>0.848556876061121</v>
                </pt>
                <pt idx="96">
                  <v>0.713752122241087</v>
                </pt>
                <pt idx="97">
                  <v>0.735823429541596</v>
                </pt>
                <pt idx="98">
                  <v>0.735823429541596</v>
                </pt>
              </numCache>
            </numRef>
          </val>
          <smooth val="0"/>
        </ser>
        <ser>
          <idx val="26"/>
          <order val="26"/>
          <tx>
            <strRef>
              <f>'运动服饰 Normalized'!$AB$2</f>
              <strCache>
                <ptCount val="1"/>
                <pt idx="0">
                  <v>7936.T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3">
                  <a:tint val="70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Normalized'!$AB$3:$AB$101</f>
              <numCache>
                <formatCode>General</formatCode>
                <ptCount val="99"/>
                <pt idx="0">
                  <v>0.846112</v>
                </pt>
                <pt idx="1">
                  <v>0.824244</v>
                </pt>
                <pt idx="2">
                  <v>0.817765</v>
                </pt>
                <pt idx="3">
                  <v>0.836933</v>
                </pt>
                <pt idx="4">
                  <v>0.839633</v>
                </pt>
                <pt idx="5">
                  <v>0.825864</v>
                </pt>
                <pt idx="6">
                  <v>0.8777</v>
                </pt>
                <pt idx="7">
                  <v>0.890929</v>
                </pt>
                <pt idx="8">
                  <v>0.958693</v>
                </pt>
                <pt idx="9">
                  <v>0.910097</v>
                </pt>
                <pt idx="10">
                  <v>0.889579</v>
                </pt>
                <pt idx="11">
                  <v>1.026728</v>
                </pt>
                <pt idx="12">
                  <v>0.953024</v>
                </pt>
                <pt idx="13">
                  <v>0.925756</v>
                </pt>
                <pt idx="14">
                  <v>0.811825</v>
                </pt>
                <pt idx="15">
                  <v>0.87257</v>
                </pt>
                <pt idx="16">
                  <v>0.906048</v>
                </pt>
                <pt idx="17">
                  <v>0.849082</v>
                </pt>
                <pt idx="18">
                  <v>0.7221919999999999</v>
                </pt>
                <pt idx="19">
                  <v>0.772003</v>
                </pt>
                <pt idx="20">
                  <v>0.75054</v>
                </pt>
                <pt idx="21">
                  <v>0.837473</v>
                </pt>
                <pt idx="22">
                  <v>0.87014</v>
                </pt>
                <pt idx="23">
                  <v>0.910367</v>
                </pt>
                <pt idx="24">
                  <v>0.87014</v>
                </pt>
                <pt idx="25">
                  <v>0.917927</v>
                </pt>
                <pt idx="26">
                  <v>0.9611229999999999</v>
                </pt>
                <pt idx="27">
                  <v>0.952214</v>
                </pt>
                <pt idx="28">
                  <v>0.917927</v>
                </pt>
                <pt idx="29">
                  <v>0.909287</v>
                </pt>
                <pt idx="30">
                  <v>0.993521</v>
                </pt>
                <pt idx="31">
                  <v>1.00135</v>
                </pt>
                <pt idx="32">
                  <v>0.977322</v>
                </pt>
                <pt idx="33">
                  <v>0.971382</v>
                </pt>
                <pt idx="34">
                  <v>0.970302</v>
                </pt>
                <pt idx="35">
                  <v>0.9395250000000001</v>
                </pt>
                <pt idx="36">
                  <v>0.942225</v>
                </pt>
                <pt idx="37">
                  <v>1.145518</v>
                </pt>
                <pt idx="38">
                  <v>1.12905</v>
                </pt>
                <pt idx="39">
                  <v>1.076134</v>
                </pt>
                <pt idx="40">
                  <v>1.110691</v>
                </pt>
                <pt idx="41">
                  <v>1.12338</v>
                </pt>
                <pt idx="42">
                  <v>1.038337</v>
                </pt>
                <pt idx="43">
                  <v>1.057775</v>
                </pt>
                <pt idx="44">
                  <v>1.073164</v>
                </pt>
                <pt idx="45">
                  <v>1.027268</v>
                </pt>
                <pt idx="46">
                  <v>1.00513</v>
                </pt>
                <pt idx="47">
                  <v>1.111231</v>
                </pt>
                <pt idx="48">
                  <v>1.064525</v>
                </pt>
                <pt idx="49">
                  <v>1.00243</v>
                </pt>
                <pt idx="50">
                  <v>0.9832610000000001</v>
                </pt>
                <pt idx="51">
                  <v>1.010799</v>
                </pt>
                <pt idx="52">
                  <v>1</v>
                </pt>
                <pt idx="53">
                  <v>0.974154435226548</v>
                </pt>
                <pt idx="54">
                  <v>0.966496490108488</v>
                </pt>
                <pt idx="55">
                  <v>0.989151244416082</v>
                </pt>
                <pt idx="56">
                  <v>0.99234205488194</v>
                </pt>
                <pt idx="57">
                  <v>0.9760689215060629</v>
                </pt>
                <pt idx="58">
                  <v>1.03733248245054</v>
                </pt>
                <pt idx="59">
                  <v>1.05296745373325</v>
                </pt>
                <pt idx="60">
                  <v>1.13305679642629</v>
                </pt>
                <pt idx="61">
                  <v>1.07562220804084</v>
                </pt>
                <pt idx="62">
                  <v>1.05137204850032</v>
                </pt>
                <pt idx="63">
                  <v>1.21346522016592</v>
                </pt>
                <pt idx="64">
                  <v>1.12635609444799</v>
                </pt>
                <pt idx="65">
                  <v>1.09412890874282</v>
                </pt>
                <pt idx="66">
                  <v>0.959476707083599</v>
                </pt>
                <pt idx="67">
                  <v>1.03126994256541</v>
                </pt>
                <pt idx="68">
                  <v>1.07083599234205</v>
                </pt>
                <pt idx="69">
                  <v>1.00350989151244</v>
                </pt>
                <pt idx="70">
                  <v>0.853541799617103</v>
                </pt>
                <pt idx="71">
                  <v>0.912412252712189</v>
                </pt>
                <pt idx="72">
                  <v>0.887045309508615</v>
                </pt>
                <pt idx="73">
                  <v>0.989789406509253</v>
                </pt>
                <pt idx="74">
                  <v>1.02839821314614</v>
                </pt>
                <pt idx="75">
                  <v>1.07594128908743</v>
                </pt>
                <pt idx="76">
                  <v>1.02839821314614</v>
                </pt>
                <pt idx="77">
                  <v>1.08487555839183</v>
                </pt>
                <pt idx="78">
                  <v>1.13592852584556</v>
                </pt>
                <pt idx="79">
                  <v>1.12539885130823</v>
                </pt>
                <pt idx="80">
                  <v>1.08487555839183</v>
                </pt>
                <pt idx="81">
                  <v>1.07466496490108</v>
                </pt>
                <pt idx="82">
                  <v>1.17421825143586</v>
                </pt>
                <pt idx="83">
                  <v>1.18347160178685</v>
                </pt>
                <pt idx="84">
                  <v>1.15507338864071</v>
                </pt>
                <pt idx="85">
                  <v>1.14805360561583</v>
                </pt>
                <pt idx="86">
                  <v>1.14677728142948</v>
                </pt>
                <pt idx="87">
                  <v>1.1104020421187</v>
                </pt>
                <pt idx="88">
                  <v>1.11359285258456</v>
                </pt>
                <pt idx="89">
                  <v>1.35386088066369</v>
                </pt>
                <pt idx="90">
                  <v>1.33439693682195</v>
                </pt>
                <pt idx="91">
                  <v>1.27185705169113</v>
                </pt>
                <pt idx="92">
                  <v>1.31269942565412</v>
                </pt>
                <pt idx="93">
                  <v>1.32769623484365</v>
                </pt>
                <pt idx="94">
                  <v>1.22718570516911</v>
                </pt>
                <pt idx="95">
                  <v>1.25015954052329</v>
                </pt>
                <pt idx="96">
                  <v>1.32131461391193</v>
                </pt>
                <pt idx="97">
                  <v>1.42756860242502</v>
                </pt>
                <pt idx="98">
                  <v>1.42756860242502</v>
                </pt>
              </numCache>
            </numRef>
          </val>
          <smooth val="0"/>
        </ser>
        <ser>
          <idx val="27"/>
          <order val="27"/>
          <tx>
            <strRef>
              <f>'运动服饰 Normalized'!$AC$2</f>
              <strCache>
                <ptCount val="1"/>
                <pt idx="0">
                  <v>3998.HK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4">
                  <a:tint val="70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Normalized'!$AC$3:$AC$101</f>
              <numCache>
                <formatCode>General</formatCode>
                <ptCount val="99"/>
                <pt idx="0">
                  <v>0.8243509999999999</v>
                </pt>
                <pt idx="1">
                  <v>0.802395</v>
                </pt>
                <pt idx="2">
                  <v>0.798403</v>
                </pt>
                <pt idx="3">
                  <v>0.8243509999999999</v>
                </pt>
                <pt idx="4">
                  <v>0.804391</v>
                </pt>
                <pt idx="5">
                  <v>0.7265470000000001</v>
                </pt>
                <pt idx="6">
                  <v>0.714571</v>
                </pt>
                <pt idx="7">
                  <v>0.734531</v>
                </pt>
                <pt idx="8">
                  <v>0.740519</v>
                </pt>
                <pt idx="9">
                  <v>0.736527</v>
                </pt>
                <pt idx="10">
                  <v>0.772455</v>
                </pt>
                <pt idx="11">
                  <v>0.768463</v>
                </pt>
                <pt idx="12">
                  <v>0.774451</v>
                </pt>
                <pt idx="13">
                  <v>0.738523</v>
                </pt>
                <pt idx="14">
                  <v>0.818363</v>
                </pt>
                <pt idx="15">
                  <v>0.858283</v>
                </pt>
                <pt idx="16">
                  <v>0.784431</v>
                </pt>
                <pt idx="17">
                  <v>0.796407</v>
                </pt>
                <pt idx="18">
                  <v>0.732535</v>
                </pt>
                <pt idx="19">
                  <v>0.794411</v>
                </pt>
                <pt idx="20">
                  <v>0.778443</v>
                </pt>
                <pt idx="21">
                  <v>0.8203589999999999</v>
                </pt>
                <pt idx="22">
                  <v>0.810379</v>
                </pt>
                <pt idx="23">
                  <v>0.816367</v>
                </pt>
                <pt idx="24">
                  <v>0.914172</v>
                </pt>
                <pt idx="25">
                  <v>0.884231</v>
                </pt>
                <pt idx="26">
                  <v>0.860279</v>
                </pt>
                <pt idx="27">
                  <v>0.902196</v>
                </pt>
                <pt idx="28">
                  <v>0.93014</v>
                </pt>
                <pt idx="29">
                  <v>0.934132</v>
                </pt>
                <pt idx="30">
                  <v>0.926148</v>
                </pt>
                <pt idx="31">
                  <v>0.896208</v>
                </pt>
                <pt idx="32">
                  <v>0.848303</v>
                </pt>
                <pt idx="33">
                  <v>0.880239</v>
                </pt>
                <pt idx="34">
                  <v>0.896208</v>
                </pt>
                <pt idx="35">
                  <v>0.878243</v>
                </pt>
                <pt idx="36">
                  <v>0.89022</v>
                </pt>
                <pt idx="37">
                  <v>0.97006</v>
                </pt>
                <pt idx="38">
                  <v>0.932136</v>
                </pt>
                <pt idx="39">
                  <v>0.878243</v>
                </pt>
                <pt idx="40">
                  <v>0.942116</v>
                </pt>
                <pt idx="41">
                  <v>0.908184</v>
                </pt>
                <pt idx="42">
                  <v>0.936128</v>
                </pt>
                <pt idx="43">
                  <v>0.922156</v>
                </pt>
                <pt idx="44">
                  <v>0.932136</v>
                </pt>
                <pt idx="45">
                  <v>0.902196</v>
                </pt>
                <pt idx="46">
                  <v>0.898204</v>
                </pt>
                <pt idx="47">
                  <v>0.982036</v>
                </pt>
                <pt idx="48">
                  <v>0.962076</v>
                </pt>
                <pt idx="49">
                  <v>0.992016</v>
                </pt>
                <pt idx="50">
                  <v>1.037924</v>
                </pt>
                <pt idx="51">
                  <v>1.01996</v>
                </pt>
                <pt idx="52">
                  <v>1</v>
                </pt>
                <pt idx="53">
                  <v>0.973365617433414</v>
                </pt>
                <pt idx="54">
                  <v>0.968523002421308</v>
                </pt>
                <pt idx="55">
                  <v>1</v>
                </pt>
                <pt idx="56">
                  <v>0.9757869249394669</v>
                </pt>
                <pt idx="57">
                  <v>0.88135593220339</v>
                </pt>
                <pt idx="58">
                  <v>0.86682808716707</v>
                </pt>
                <pt idx="59">
                  <v>0.891041162227603</v>
                </pt>
                <pt idx="60">
                  <v>0.898305084745763</v>
                </pt>
                <pt idx="61">
                  <v>0.893462469733656</v>
                </pt>
                <pt idx="62">
                  <v>0.937046004842615</v>
                </pt>
                <pt idx="63">
                  <v>0.932203389830509</v>
                </pt>
                <pt idx="64">
                  <v>0.939467312348668</v>
                </pt>
                <pt idx="65">
                  <v>0.895883777239709</v>
                </pt>
                <pt idx="66">
                  <v>0.99273607748184</v>
                </pt>
                <pt idx="67">
                  <v>1.04116222760291</v>
                </pt>
                <pt idx="68">
                  <v>0.951573849878935</v>
                </pt>
                <pt idx="69">
                  <v>0.966101694915254</v>
                </pt>
                <pt idx="70">
                  <v>0.88861985472155</v>
                </pt>
                <pt idx="71">
                  <v>0.963680387409201</v>
                </pt>
                <pt idx="72">
                  <v>0.944309927360775</v>
                </pt>
                <pt idx="73">
                  <v>0.995157384987894</v>
                </pt>
                <pt idx="74">
                  <v>0.9830508474576271</v>
                </pt>
                <pt idx="75">
                  <v>0.990314769975787</v>
                </pt>
                <pt idx="76">
                  <v>1.1089588377724</v>
                </pt>
                <pt idx="77">
                  <v>1.0726392251816</v>
                </pt>
                <pt idx="78">
                  <v>1.04358353510896</v>
                </pt>
                <pt idx="79">
                  <v>1.09443099273608</v>
                </pt>
                <pt idx="80">
                  <v>1.12832929782082</v>
                </pt>
                <pt idx="81">
                  <v>1.13317191283293</v>
                </pt>
                <pt idx="82">
                  <v>1.12348668280872</v>
                </pt>
                <pt idx="83">
                  <v>1.08716707021792</v>
                </pt>
                <pt idx="84">
                  <v>1.02905569007264</v>
                </pt>
                <pt idx="85">
                  <v>1.06779661016949</v>
                </pt>
                <pt idx="86">
                  <v>1.08716707021792</v>
                </pt>
                <pt idx="87">
                  <v>1.06537530266344</v>
                </pt>
                <pt idx="88">
                  <v>1.07990314769976</v>
                </pt>
                <pt idx="89">
                  <v>1.17675544794189</v>
                </pt>
                <pt idx="90">
                  <v>1.13075060532688</v>
                </pt>
                <pt idx="91">
                  <v>1.06537530266344</v>
                </pt>
                <pt idx="92">
                  <v>1.14285714285714</v>
                </pt>
                <pt idx="93">
                  <v>1.10169491525424</v>
                </pt>
                <pt idx="94">
                  <v>1.13559322033898</v>
                </pt>
                <pt idx="95">
                  <v>1.11864406779661</v>
                </pt>
                <pt idx="96">
                  <v>0.961259086830564</v>
                </pt>
                <pt idx="97">
                  <v>1.06658600721752</v>
                </pt>
                <pt idx="98">
                  <v>1.04237283979143</v>
                </pt>
              </numCache>
            </numRef>
          </val>
          <smooth val="0"/>
        </ser>
        <ser>
          <idx val="28"/>
          <order val="28"/>
          <tx>
            <strRef>
              <f>'运动服饰 Normalized'!$AD$2</f>
              <strCache>
                <ptCount val="1"/>
                <pt idx="0">
                  <v>2331.HK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5">
                  <a:tint val="70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Normalized'!$AD$3:$AD$101</f>
              <numCache>
                <formatCode>General</formatCode>
                <ptCount val="99"/>
                <pt idx="0">
                  <v>0.933638</v>
                </pt>
                <pt idx="1">
                  <v>0.997712</v>
                </pt>
                <pt idx="2">
                  <v>0.956522</v>
                </pt>
                <pt idx="3">
                  <v>0.947368</v>
                </pt>
                <pt idx="4">
                  <v>0.932494</v>
                </pt>
                <pt idx="5">
                  <v>0.90389</v>
                </pt>
                <pt idx="6">
                  <v>0.838673</v>
                </pt>
                <pt idx="7">
                  <v>0.89016</v>
                </pt>
                <pt idx="8">
                  <v>0.902746</v>
                </pt>
                <pt idx="9">
                  <v>0.89016</v>
                </pt>
                <pt idx="10">
                  <v>0.918764</v>
                </pt>
                <pt idx="11">
                  <v>0.9393590000000001</v>
                </pt>
                <pt idx="12">
                  <v>0.975973</v>
                </pt>
                <pt idx="13">
                  <v>0.98627</v>
                </pt>
                <pt idx="14">
                  <v>1.019451</v>
                </pt>
                <pt idx="15">
                  <v>1.085812</v>
                </pt>
                <pt idx="16">
                  <v>0.973684</v>
                </pt>
                <pt idx="17">
                  <v>0.910755</v>
                </pt>
                <pt idx="18">
                  <v>0.798627</v>
                </pt>
                <pt idx="19">
                  <v>0.885584</v>
                </pt>
                <pt idx="20">
                  <v>0.854691</v>
                </pt>
                <pt idx="21">
                  <v>0.858124</v>
                </pt>
                <pt idx="22">
                  <v>0.871854</v>
                </pt>
                <pt idx="23">
                  <v>0.894737</v>
                </pt>
                <pt idx="24">
                  <v>0.8627</v>
                </pt>
                <pt idx="25">
                  <v>0.861556</v>
                </pt>
                <pt idx="26">
                  <v>0.851259</v>
                </pt>
                <pt idx="27">
                  <v>0.897025</v>
                </pt>
                <pt idx="28">
                  <v>0.874142</v>
                </pt>
                <pt idx="29">
                  <v>0.90389</v>
                </pt>
                <pt idx="30">
                  <v>0.967963</v>
                </pt>
                <pt idx="31">
                  <v>0.9553779999999999</v>
                </pt>
                <pt idx="32">
                  <v>0.918764</v>
                </pt>
                <pt idx="33">
                  <v>0.950801</v>
                </pt>
                <pt idx="34">
                  <v>0.962243</v>
                </pt>
                <pt idx="35">
                  <v>0.937071</v>
                </pt>
                <pt idx="36">
                  <v>0.956522</v>
                </pt>
                <pt idx="37">
                  <v>1.03032</v>
                </pt>
                <pt idx="38">
                  <v>1.160183</v>
                </pt>
                <pt idx="39">
                  <v>1.073799</v>
                </pt>
                <pt idx="40">
                  <v>1.079519</v>
                </pt>
                <pt idx="41">
                  <v>1.033753</v>
                </pt>
                <pt idx="42">
                  <v>1.020595</v>
                </pt>
                <pt idx="43">
                  <v>0.982838</v>
                </pt>
                <pt idx="44">
                  <v>0.980549</v>
                </pt>
                <pt idx="45">
                  <v>0.967963</v>
                </pt>
                <pt idx="46">
                  <v>0.965103</v>
                </pt>
                <pt idx="47">
                  <v>1.008581</v>
                </pt>
                <pt idx="48">
                  <v>0.96968</v>
                </pt>
                <pt idx="49">
                  <v>1.001716</v>
                </pt>
                <pt idx="50">
                  <v>1.004577</v>
                </pt>
                <pt idx="51">
                  <v>1.013158</v>
                </pt>
                <pt idx="52">
                  <v>1</v>
                </pt>
                <pt idx="53">
                  <v>1.06862745098039</v>
                </pt>
                <pt idx="54">
                  <v>1.02450980392157</v>
                </pt>
                <pt idx="55">
                  <v>1.01470588235294</v>
                </pt>
                <pt idx="56">
                  <v>0.998774509803922</v>
                </pt>
                <pt idx="57">
                  <v>0.968137254901961</v>
                </pt>
                <pt idx="58">
                  <v>0.89828431372549</v>
                </pt>
                <pt idx="59">
                  <v>0.95343137254902</v>
                </pt>
                <pt idx="60">
                  <v>0.966911764705882</v>
                </pt>
                <pt idx="61">
                  <v>0.95343137254902</v>
                </pt>
                <pt idx="62">
                  <v>0.98406862745098</v>
                </pt>
                <pt idx="63">
                  <v>1.00612745098039</v>
                </pt>
                <pt idx="64">
                  <v>1.0453431372549</v>
                </pt>
                <pt idx="65">
                  <v>1.05637254901961</v>
                </pt>
                <pt idx="66">
                  <v>1.09191176470588</v>
                </pt>
                <pt idx="67">
                  <v>1.16299019607843</v>
                </pt>
                <pt idx="68">
                  <v>1.04289215686274</v>
                </pt>
                <pt idx="69">
                  <v>0.975490196078431</v>
                </pt>
                <pt idx="70">
                  <v>0.8553921568627449</v>
                </pt>
                <pt idx="71">
                  <v>0.948529411764706</v>
                </pt>
                <pt idx="72">
                  <v>0.915441176470588</v>
                </pt>
                <pt idx="73">
                  <v>0.919117647058823</v>
                </pt>
                <pt idx="74">
                  <v>0.9338235294117651</v>
                </pt>
                <pt idx="75">
                  <v>0.958333333333333</v>
                </pt>
                <pt idx="76">
                  <v>0.924019607843137</v>
                </pt>
                <pt idx="77">
                  <v>0.922794117647059</v>
                </pt>
                <pt idx="78">
                  <v>0.911764705882353</v>
                </pt>
                <pt idx="79">
                  <v>0.96078431372549</v>
                </pt>
                <pt idx="80">
                  <v>0.936274509803921</v>
                </pt>
                <pt idx="81">
                  <v>0.968137254901961</v>
                </pt>
                <pt idx="82">
                  <v>1.03676470588235</v>
                </pt>
                <pt idx="83">
                  <v>1.02328431372549</v>
                </pt>
                <pt idx="84">
                  <v>0.98406862745098</v>
                </pt>
                <pt idx="85">
                  <v>1.01838235294118</v>
                </pt>
                <pt idx="86">
                  <v>1.03063725490196</v>
                </pt>
                <pt idx="87">
                  <v>1.00367647058824</v>
                </pt>
                <pt idx="88">
                  <v>1.02450980392157</v>
                </pt>
                <pt idx="89">
                  <v>1.10355392156863</v>
                </pt>
                <pt idx="90">
                  <v>1.24264705882353</v>
                </pt>
                <pt idx="91">
                  <v>1.15012254901961</v>
                </pt>
                <pt idx="92">
                  <v>1.15625</v>
                </pt>
                <pt idx="93">
                  <v>1.10723039215686</v>
                </pt>
                <pt idx="94">
                  <v>1.09313725490196</v>
                </pt>
                <pt idx="95">
                  <v>1.05269607843137</v>
                </pt>
                <pt idx="96">
                  <v>0.752450964030097</v>
                </pt>
                <pt idx="97">
                  <v>0.781862759122662</v>
                </pt>
                <pt idx="98">
                  <v>0.775122525645237</v>
                </pt>
              </numCache>
            </numRef>
          </val>
          <smooth val="0"/>
        </ser>
        <ser>
          <idx val="29"/>
          <order val="29"/>
          <tx>
            <strRef>
              <f>'运动服饰 Normalized'!$AE$2</f>
              <strCache>
                <ptCount val="1"/>
                <pt idx="0">
                  <v>2020.HK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6">
                  <a:tint val="70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Normalized'!$AE$3:$AE$101</f>
              <numCache>
                <formatCode>General</formatCode>
                <ptCount val="99"/>
                <pt idx="0">
                  <v>0.929845</v>
                </pt>
                <pt idx="1">
                  <v>0.995838</v>
                </pt>
                <pt idx="2">
                  <v>0.967301</v>
                </pt>
                <pt idx="3">
                  <v>0.951249</v>
                </pt>
                <pt idx="4">
                  <v>0.927467</v>
                </pt>
                <pt idx="5">
                  <v>0.893579</v>
                </pt>
                <pt idx="6">
                  <v>0.927467</v>
                </pt>
                <pt idx="7">
                  <v>0.963734</v>
                </pt>
                <pt idx="8">
                  <v>0.976813</v>
                </pt>
                <pt idx="9">
                  <v>0.979191</v>
                </pt>
                <pt idx="10">
                  <v>1.030916</v>
                </pt>
                <pt idx="11">
                  <v>1.012485</v>
                </pt>
                <pt idx="12">
                  <v>1.029727</v>
                </pt>
                <pt idx="13">
                  <v>1.071344</v>
                </pt>
                <pt idx="14">
                  <v>1.143282</v>
                </pt>
                <pt idx="15">
                  <v>1.178954</v>
                </pt>
                <pt idx="16">
                  <v>1.060642</v>
                </pt>
                <pt idx="17">
                  <v>1.015458</v>
                </pt>
                <pt idx="18">
                  <v>0.897741</v>
                </pt>
                <pt idx="19">
                  <v>1.017836</v>
                </pt>
                <pt idx="20">
                  <v>1.068966</v>
                </pt>
                <pt idx="21">
                  <v>1.087396</v>
                </pt>
                <pt idx="22">
                  <v>1.104637</v>
                </pt>
                <pt idx="23">
                  <v>1.12604</v>
                </pt>
                <pt idx="24">
                  <v>1.073127</v>
                </pt>
                <pt idx="25">
                  <v>1.096908</v>
                </pt>
                <pt idx="26">
                  <v>1.12069</v>
                </pt>
                <pt idx="27">
                  <v>1.149822</v>
                </pt>
                <pt idx="28">
                  <v>1.121879</v>
                </pt>
                <pt idx="29">
                  <v>1.081451</v>
                </pt>
                <pt idx="30">
                  <v>1.123662</v>
                </pt>
                <pt idx="31">
                  <v>1.082045</v>
                </pt>
                <pt idx="32">
                  <v>1.054697</v>
                </pt>
                <pt idx="33">
                  <v>1.103448</v>
                </pt>
                <pt idx="34">
                  <v>1.084423</v>
                </pt>
                <pt idx="35">
                  <v>1.082045</v>
                </pt>
                <pt idx="36">
                  <v>1.058859</v>
                </pt>
                <pt idx="37">
                  <v>1.108205</v>
                </pt>
                <pt idx="38">
                  <v>1.241379</v>
                </pt>
                <pt idx="39">
                  <v>1.127824</v>
                </pt>
                <pt idx="40">
                  <v>1.133769</v>
                </pt>
                <pt idx="41">
                  <v>1.116528</v>
                </pt>
                <pt idx="42">
                  <v>1.125446</v>
                </pt>
                <pt idx="43">
                  <v>1.089774</v>
                </pt>
                <pt idx="44">
                  <v>1.087396</v>
                </pt>
                <pt idx="45">
                  <v>1.030916</v>
                </pt>
                <pt idx="46">
                  <v>1.019025</v>
                </pt>
                <pt idx="47">
                  <v>1.043995</v>
                </pt>
                <pt idx="48">
                  <v>0.967301</v>
                </pt>
                <pt idx="49">
                  <v>0.985137</v>
                </pt>
                <pt idx="50">
                  <v>0.960761</v>
                </pt>
                <pt idx="51">
                  <v>0.994055</v>
                </pt>
                <pt idx="52">
                  <v>1</v>
                </pt>
                <pt idx="53">
                  <v>1.07097186700767</v>
                </pt>
                <pt idx="54">
                  <v>1.04028132992327</v>
                </pt>
                <pt idx="55">
                  <v>1.0230179028133</v>
                </pt>
                <pt idx="56">
                  <v>0.997442455242967</v>
                </pt>
                <pt idx="57">
                  <v>0.960997442455243</v>
                </pt>
                <pt idx="58">
                  <v>0.997442455242967</v>
                </pt>
                <pt idx="59">
                  <v>1.03644501278772</v>
                </pt>
                <pt idx="60">
                  <v>1.05051150895141</v>
                </pt>
                <pt idx="61">
                  <v>1.05306905370844</v>
                </pt>
                <pt idx="62">
                  <v>1.10869565217391</v>
                </pt>
                <pt idx="63">
                  <v>1.08887468030691</v>
                </pt>
                <pt idx="64">
                  <v>1.1074168797954</v>
                </pt>
                <pt idx="65">
                  <v>1.15217391304348</v>
                </pt>
                <pt idx="66">
                  <v>1.22953964194373</v>
                </pt>
                <pt idx="67">
                  <v>1.26790281329923</v>
                </pt>
                <pt idx="68">
                  <v>1.14066496163683</v>
                </pt>
                <pt idx="69">
                  <v>1.0920716112532</v>
                </pt>
                <pt idx="70">
                  <v>0.9654731457800509</v>
                </pt>
                <pt idx="71">
                  <v>1.09462915601023</v>
                </pt>
                <pt idx="72">
                  <v>1.14961636828645</v>
                </pt>
                <pt idx="73">
                  <v>1.16943734015345</v>
                </pt>
                <pt idx="74">
                  <v>1.18797953964194</v>
                </pt>
                <pt idx="75">
                  <v>1.21099744245524</v>
                </pt>
                <pt idx="76">
                  <v>1.15409207161125</v>
                </pt>
                <pt idx="77">
                  <v>1.17966751918159</v>
                </pt>
                <pt idx="78">
                  <v>1.20524296675192</v>
                </pt>
                <pt idx="79">
                  <v>1.23657289002558</v>
                </pt>
                <pt idx="80">
                  <v>1.20652173913043</v>
                </pt>
                <pt idx="81">
                  <v>1.16304347826087</v>
                </pt>
                <pt idx="82">
                  <v>1.20843989769821</v>
                </pt>
                <pt idx="83">
                  <v>1.16368286445013</v>
                </pt>
                <pt idx="84">
                  <v>1.13427109974425</v>
                </pt>
                <pt idx="85">
                  <v>1.18670076726343</v>
                </pt>
                <pt idx="86">
                  <v>1.16624040920716</v>
                </pt>
                <pt idx="87">
                  <v>1.16368286445013</v>
                </pt>
                <pt idx="88">
                  <v>1.13874680306905</v>
                </pt>
                <pt idx="89">
                  <v>1.19181585677749</v>
                </pt>
                <pt idx="90">
                  <v>1.33503836317136</v>
                </pt>
                <pt idx="91">
                  <v>1.21291560102302</v>
                </pt>
                <pt idx="92">
                  <v>1.2193094629156</v>
                </pt>
                <pt idx="93">
                  <v>1.20076726342711</v>
                </pt>
                <pt idx="94">
                  <v>1.21035805626598</v>
                </pt>
                <pt idx="95">
                  <v>1.17199488491049</v>
                </pt>
                <pt idx="96">
                  <v>0.948209738182595</v>
                </pt>
                <pt idx="97">
                  <v>0.9290281525048451</v>
                </pt>
                <pt idx="98">
                  <v>0.913682825425092</v>
                </pt>
              </numCache>
            </numRef>
          </val>
          <smooth val="0"/>
        </ser>
        <ser>
          <idx val="30"/>
          <order val="30"/>
          <tx>
            <strRef>
              <f>'运动服饰 Normalized'!$AF$2</f>
              <strCache>
                <ptCount val="1"/>
                <pt idx="0">
                  <v>1836.HK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1">
                  <a:tint val="50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Normalized'!$AF$3:$AF$101</f>
              <numCache>
                <formatCode>General</formatCode>
                <ptCount val="99"/>
                <pt idx="0">
                  <v>0.853317</v>
                </pt>
                <pt idx="1">
                  <v>0.900791</v>
                </pt>
                <pt idx="2">
                  <v>0.894705</v>
                </pt>
                <pt idx="3">
                  <v>0.971394</v>
                </pt>
                <pt idx="4">
                  <v>0.992088</v>
                </pt>
                <pt idx="5">
                  <v>0.978697</v>
                </pt>
                <pt idx="6">
                  <v>1.060256</v>
                </pt>
                <pt idx="7">
                  <v>1.063907</v>
                </pt>
                <pt idx="8">
                  <v>1.083384</v>
                </pt>
                <pt idx="9">
                  <v>1.099209</v>
                </pt>
                <pt idx="10">
                  <v>1.046865</v>
                </pt>
                <pt idx="11">
                  <v>1.06269</v>
                </pt>
                <pt idx="12">
                  <v>1.039562</v>
                </pt>
                <pt idx="13">
                  <v>1.016433</v>
                </pt>
                <pt idx="14">
                  <v>1.116251</v>
                </pt>
                <pt idx="15">
                  <v>1.074863</v>
                </pt>
                <pt idx="16">
                  <v>1.096774</v>
                </pt>
                <pt idx="17">
                  <v>1.054169</v>
                </pt>
                <pt idx="18">
                  <v>0.8423620000000001</v>
                </pt>
                <pt idx="19">
                  <v>0.856969</v>
                </pt>
                <pt idx="20">
                  <v>0.819233</v>
                </pt>
                <pt idx="21">
                  <v>0.854534</v>
                </pt>
                <pt idx="22">
                  <v>0.855752</v>
                </pt>
                <pt idx="23">
                  <v>1.005478</v>
                </pt>
                <pt idx="24">
                  <v>1.005478</v>
                </pt>
                <pt idx="25">
                  <v>0.8849669999999999</v>
                </pt>
                <pt idx="26">
                  <v>0.872794</v>
                </pt>
                <pt idx="27">
                  <v>0.858186</v>
                </pt>
                <pt idx="28">
                  <v>0.853317</v>
                </pt>
                <pt idx="29">
                  <v>0.839927</v>
                </pt>
                <pt idx="30">
                  <v>0.882532</v>
                </pt>
                <pt idx="31">
                  <v>0.908095</v>
                </pt>
                <pt idx="32">
                  <v>0.880097</v>
                </pt>
                <pt idx="33">
                  <v>0.904443</v>
                </pt>
                <pt idx="34">
                  <v>0.976263</v>
                </pt>
                <pt idx="35">
                  <v>0.944613</v>
                </pt>
                <pt idx="36">
                  <v>0.961655</v>
                </pt>
                <pt idx="37">
                  <v>0.99087</v>
                </pt>
                <pt idx="38">
                  <v>1.041996</v>
                </pt>
                <pt idx="39">
                  <v>1.015825</v>
                </pt>
                <pt idx="40">
                  <v>0.930006</v>
                </pt>
                <pt idx="41">
                  <v>0.906269</v>
                </pt>
                <pt idx="42">
                  <v>0.93731</v>
                </pt>
                <pt idx="43">
                  <v>0.940962</v>
                </pt>
                <pt idx="44">
                  <v>0.931223</v>
                </pt>
                <pt idx="45">
                  <v>0.956178</v>
                </pt>
                <pt idx="46">
                  <v>0.940962</v>
                </pt>
                <pt idx="47">
                  <v>1.00426</v>
                </pt>
                <pt idx="48">
                  <v>1.016433</v>
                </pt>
                <pt idx="49">
                  <v>0.971394</v>
                </pt>
                <pt idx="50">
                  <v>0.968351</v>
                </pt>
                <pt idx="51">
                  <v>0.978697</v>
                </pt>
                <pt idx="52">
                  <v>1</v>
                </pt>
                <pt idx="53">
                  <v>1.05563480741797</v>
                </pt>
                <pt idx="54">
                  <v>1.04850213980029</v>
                </pt>
                <pt idx="55">
                  <v>1.13837375178317</v>
                </pt>
                <pt idx="56">
                  <v>1.16262482168331</v>
                </pt>
                <pt idx="57">
                  <v>1.14693295292439</v>
                </pt>
                <pt idx="58">
                  <v>1.24251069900143</v>
                </pt>
                <pt idx="59">
                  <v>1.24679029957204</v>
                </pt>
                <pt idx="60">
                  <v>1.26961483594864</v>
                </pt>
                <pt idx="61">
                  <v>1.28815977175464</v>
                </pt>
                <pt idx="62">
                  <v>1.22681883024251</v>
                </pt>
                <pt idx="63">
                  <v>1.2453637660485</v>
                </pt>
                <pt idx="64">
                  <v>1.21825962910128</v>
                </pt>
                <pt idx="65">
                  <v>1.19115549215407</v>
                </pt>
                <pt idx="66">
                  <v>1.30813124108417</v>
                </pt>
                <pt idx="67">
                  <v>1.25962910128388</v>
                </pt>
                <pt idx="68">
                  <v>1.28530670470756</v>
                </pt>
                <pt idx="69">
                  <v>1.23537803138374</v>
                </pt>
                <pt idx="70">
                  <v>0.98716119828816</v>
                </pt>
                <pt idx="71">
                  <v>1.00427960057061</v>
                </pt>
                <pt idx="72">
                  <v>0.960057061340942</v>
                </pt>
                <pt idx="73">
                  <v>1.00142653352354</v>
                </pt>
                <pt idx="74">
                  <v>1.00285306704708</v>
                </pt>
                <pt idx="75">
                  <v>1.17831669044223</v>
                </pt>
                <pt idx="76">
                  <v>1.17831669044223</v>
                </pt>
                <pt idx="77">
                  <v>1.03708987161198</v>
                </pt>
                <pt idx="78">
                  <v>1.0228245363766</v>
                </pt>
                <pt idx="79">
                  <v>1.00570613409415</v>
                </pt>
                <pt idx="80">
                  <v>1</v>
                </pt>
                <pt idx="81">
                  <v>0.984308131241084</v>
                </pt>
                <pt idx="82">
                  <v>1.03423680456491</v>
                </pt>
                <pt idx="83">
                  <v>1.0641940085592</v>
                </pt>
                <pt idx="84">
                  <v>1.03138373751783</v>
                </pt>
                <pt idx="85">
                  <v>1.05991440798859</v>
                </pt>
                <pt idx="86">
                  <v>1.14407988587732</v>
                </pt>
                <pt idx="87">
                  <v>1.10699001426534</v>
                </pt>
                <pt idx="88">
                  <v>1.12696148359486</v>
                </pt>
                <pt idx="89">
                  <v>1.16119828815977</v>
                </pt>
                <pt idx="90">
                  <v>1.22111269614836</v>
                </pt>
                <pt idx="91">
                  <v>1.1904422253923</v>
                </pt>
                <pt idx="92">
                  <v>1.08987161198288</v>
                </pt>
                <pt idx="93">
                  <v>1.06205420827389</v>
                </pt>
                <pt idx="94">
                  <v>1.09843081312411</v>
                </pt>
                <pt idx="95">
                  <v>1.10271041369472</v>
                </pt>
                <pt idx="96">
                  <v>0.858059895361711</v>
                </pt>
                <pt idx="97">
                  <v>0.8737517831669041</v>
                </pt>
                <pt idx="98">
                  <v>0.879457911819262</v>
                </pt>
              </numCache>
            </numRef>
          </val>
          <smooth val="0"/>
        </ser>
        <ser>
          <idx val="31"/>
          <order val="31"/>
          <tx>
            <strRef>
              <f>'运动服饰 Normalized'!$AG$2</f>
              <strCache>
                <ptCount val="1"/>
                <pt idx="0">
                  <v>1368.HK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2">
                  <a:tint val="50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Normalized'!$AG$3:$AG$101</f>
              <numCache>
                <formatCode>General</formatCode>
                <ptCount val="99"/>
                <pt idx="0">
                  <v>0.95</v>
                </pt>
                <pt idx="1">
                  <v>0.998214</v>
                </pt>
                <pt idx="2">
                  <v>1.041071</v>
                </pt>
                <pt idx="3">
                  <v>1.016071</v>
                </pt>
                <pt idx="4">
                  <v>1.028571</v>
                </pt>
                <pt idx="5">
                  <v>0.980357</v>
                </pt>
                <pt idx="6">
                  <v>0.9839290000000001</v>
                </pt>
                <pt idx="7">
                  <v>1.025</v>
                </pt>
                <pt idx="8">
                  <v>1.064286</v>
                </pt>
                <pt idx="9">
                  <v>1.0625</v>
                </pt>
                <pt idx="10">
                  <v>0.989286</v>
                </pt>
                <pt idx="11">
                  <v>0.973214</v>
                </pt>
                <pt idx="12">
                  <v>0.944643</v>
                </pt>
                <pt idx="13">
                  <v>0.930357</v>
                </pt>
                <pt idx="14">
                  <v>0.966071</v>
                </pt>
                <pt idx="15">
                  <v>1.016071</v>
                </pt>
                <pt idx="16">
                  <v>0.941071</v>
                </pt>
                <pt idx="17">
                  <v>0.905357</v>
                </pt>
                <pt idx="18">
                  <v>0.801786</v>
                </pt>
                <pt idx="19">
                  <v>0.8696430000000001</v>
                </pt>
                <pt idx="20">
                  <v>0.875</v>
                </pt>
                <pt idx="21">
                  <v>0.935714</v>
                </pt>
                <pt idx="22">
                  <v>0.9375</v>
                </pt>
                <pt idx="23">
                  <v>0.998214</v>
                </pt>
                <pt idx="24">
                  <v>1</v>
                </pt>
                <pt idx="25">
                  <v>1.035714</v>
                </pt>
                <pt idx="26">
                  <v>1.042857</v>
                </pt>
                <pt idx="27">
                  <v>1.016071</v>
                </pt>
                <pt idx="28">
                  <v>0.991071</v>
                </pt>
                <pt idx="29">
                  <v>0.982143</v>
                </pt>
                <pt idx="30">
                  <v>1.005357</v>
                </pt>
                <pt idx="31">
                  <v>0.971429</v>
                </pt>
                <pt idx="32">
                  <v>0.955357</v>
                </pt>
                <pt idx="33">
                  <v>0.991071</v>
                </pt>
                <pt idx="34">
                  <v>1.014286</v>
                </pt>
                <pt idx="35">
                  <v>1.010714</v>
                </pt>
                <pt idx="36">
                  <v>1.030357</v>
                </pt>
                <pt idx="37">
                  <v>1.098214</v>
                </pt>
                <pt idx="38">
                  <v>1.1875</v>
                </pt>
                <pt idx="39">
                  <v>1.164286</v>
                </pt>
                <pt idx="40">
                  <v>1.15</v>
                </pt>
                <pt idx="41">
                  <v>1.123214</v>
                </pt>
                <pt idx="42">
                  <v>1.067857</v>
                </pt>
                <pt idx="43">
                  <v>1.030357</v>
                </pt>
                <pt idx="44">
                  <v>1.030357</v>
                </pt>
                <pt idx="45">
                  <v>1.041071</v>
                </pt>
                <pt idx="46">
                  <v>1.021429</v>
                </pt>
                <pt idx="47">
                  <v>1.010714</v>
                </pt>
                <pt idx="48">
                  <v>1.003571</v>
                </pt>
                <pt idx="49">
                  <v>1.030357</v>
                </pt>
                <pt idx="50">
                  <v>1.0625</v>
                </pt>
                <pt idx="51">
                  <v>0.998214</v>
                </pt>
                <pt idx="52">
                  <v>1</v>
                </pt>
                <pt idx="53">
                  <v>1.05075187969925</v>
                </pt>
                <pt idx="54">
                  <v>1.09586466165414</v>
                </pt>
                <pt idx="55">
                  <v>1.06954887218045</v>
                </pt>
                <pt idx="56">
                  <v>1.08270676691729</v>
                </pt>
                <pt idx="57">
                  <v>1.03195488721805</v>
                </pt>
                <pt idx="58">
                  <v>1.03571428571429</v>
                </pt>
                <pt idx="59">
                  <v>1.07894736842105</v>
                </pt>
                <pt idx="60">
                  <v>1.1203007518797</v>
                </pt>
                <pt idx="61">
                  <v>1.11842105263158</v>
                </pt>
                <pt idx="62">
                  <v>1.04135338345865</v>
                </pt>
                <pt idx="63">
                  <v>1.02443609022556</v>
                </pt>
                <pt idx="64">
                  <v>0.994360902255639</v>
                </pt>
                <pt idx="65">
                  <v>0.979323308270677</v>
                </pt>
                <pt idx="66">
                  <v>1.01691729323308</v>
                </pt>
                <pt idx="67">
                  <v>1.06954887218045</v>
                </pt>
                <pt idx="68">
                  <v>0.990601503759398</v>
                </pt>
                <pt idx="69">
                  <v>0.953007518796993</v>
                </pt>
                <pt idx="70">
                  <v>0.8439849624060149</v>
                </pt>
                <pt idx="71">
                  <v>0.915413533834586</v>
                </pt>
                <pt idx="72">
                  <v>0.921052631578947</v>
                </pt>
                <pt idx="73">
                  <v>0.984962406015038</v>
                </pt>
                <pt idx="74">
                  <v>0.986842105263158</v>
                </pt>
                <pt idx="75">
                  <v>1.05075187969925</v>
                </pt>
                <pt idx="76">
                  <v>1.05263157894737</v>
                </pt>
                <pt idx="77">
                  <v>1.09022556390977</v>
                </pt>
                <pt idx="78">
                  <v>1.09774436090226</v>
                </pt>
                <pt idx="79">
                  <v>1.06954887218045</v>
                </pt>
                <pt idx="80">
                  <v>1.04323308270677</v>
                </pt>
                <pt idx="81">
                  <v>1.03383458646617</v>
                </pt>
                <pt idx="82">
                  <v>1.05827067669173</v>
                </pt>
                <pt idx="83">
                  <v>1.02255639097744</v>
                </pt>
                <pt idx="84">
                  <v>1.00563909774436</v>
                </pt>
                <pt idx="85">
                  <v>1.04323308270677</v>
                </pt>
                <pt idx="86">
                  <v>1.06766917293233</v>
                </pt>
                <pt idx="87">
                  <v>1.06390977443609</v>
                </pt>
                <pt idx="88">
                  <v>1.08458646616541</v>
                </pt>
                <pt idx="89">
                  <v>1.15601503759399</v>
                </pt>
                <pt idx="90">
                  <v>1.25</v>
                </pt>
                <pt idx="91">
                  <v>1.22556390977444</v>
                </pt>
                <pt idx="92">
                  <v>1.21052631578947</v>
                </pt>
                <pt idx="93">
                  <v>1.18233082706767</v>
                </pt>
                <pt idx="94">
                  <v>1.12406015037594</v>
                </pt>
                <pt idx="95">
                  <v>1.08458646616541</v>
                </pt>
                <pt idx="96">
                  <v>0.651315773340096</v>
                </pt>
                <pt idx="97">
                  <v>0.663533829208603</v>
                </pt>
                <pt idx="98">
                  <v>0.666353397799614</v>
                </pt>
              </numCache>
            </numRef>
          </val>
          <smooth val="0"/>
        </ser>
        <ser>
          <idx val="32"/>
          <order val="32"/>
          <tx>
            <strRef>
              <f>'运动服饰 Normalized'!$AH$2</f>
              <strCache>
                <ptCount val="1"/>
                <pt idx="0">
                  <v>1361.HK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3">
                  <a:tint val="50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Normalized'!$AH$3:$AH$101</f>
              <numCache>
                <formatCode>General</formatCode>
                <ptCount val="99"/>
                <pt idx="0">
                  <v>0.659967</v>
                </pt>
                <pt idx="1">
                  <v>0.713568</v>
                </pt>
                <pt idx="2">
                  <v>0.711893</v>
                </pt>
                <pt idx="3">
                  <v>0.708543</v>
                </pt>
                <pt idx="4">
                  <v>0.7068680000000001</v>
                </pt>
                <pt idx="5">
                  <v>0.6834170000000001</v>
                </pt>
                <pt idx="6">
                  <v>0.648241</v>
                </pt>
                <pt idx="7">
                  <v>0.678392</v>
                </pt>
                <pt idx="8">
                  <v>0.6934669999999999</v>
                </pt>
                <pt idx="9">
                  <v>0.686767</v>
                </pt>
                <pt idx="10">
                  <v>0.678392</v>
                </pt>
                <pt idx="11">
                  <v>0.664992</v>
                </pt>
                <pt idx="12">
                  <v>0.668342</v>
                </pt>
                <pt idx="13">
                  <v>0.685092</v>
                </pt>
                <pt idx="14">
                  <v>0.743719</v>
                </pt>
                <pt idx="15">
                  <v>0.80737</v>
                </pt>
                <pt idx="16">
                  <v>0.757119</v>
                </pt>
                <pt idx="17">
                  <v>0.742044</v>
                </pt>
                <pt idx="18">
                  <v>0.6834170000000001</v>
                </pt>
                <pt idx="19">
                  <v>0.715243</v>
                </pt>
                <pt idx="20">
                  <v>0.705193</v>
                </pt>
                <pt idx="21">
                  <v>0.715243</v>
                </pt>
                <pt idx="22">
                  <v>0.695142</v>
                </pt>
                <pt idx="23">
                  <v>0.730318</v>
                </pt>
                <pt idx="24">
                  <v>0.7169180000000001</v>
                </pt>
                <pt idx="25">
                  <v>0.711893</v>
                </pt>
                <pt idx="26">
                  <v>0.7269679999999999</v>
                </pt>
                <pt idx="27">
                  <v>0.757119</v>
                </pt>
                <pt idx="28">
                  <v>0.765494</v>
                </pt>
                <pt idx="29">
                  <v>0.775544</v>
                </pt>
                <pt idx="30">
                  <v>0.835846</v>
                </pt>
                <pt idx="31">
                  <v>0.8626470000000001</v>
                </pt>
                <pt idx="32">
                  <v>0.827471</v>
                </pt>
                <pt idx="33">
                  <v>0.896147</v>
                </pt>
                <pt idx="34">
                  <v>0.9715240000000001</v>
                </pt>
                <pt idx="35">
                  <v>1.075377</v>
                </pt>
                <pt idx="36">
                  <v>1.050251</v>
                </pt>
                <pt idx="37">
                  <v>1.020101</v>
                </pt>
                <pt idx="38">
                  <v>1.01675</v>
                </pt>
                <pt idx="39">
                  <v>1.063652</v>
                </pt>
                <pt idx="40">
                  <v>1.035176</v>
                </pt>
                <pt idx="41">
                  <v>0.9933</v>
                </pt>
                <pt idx="42">
                  <v>0.946399</v>
                </pt>
                <pt idx="43">
                  <v>0.9849250000000001</v>
                </pt>
                <pt idx="44">
                  <v>1.011725</v>
                </pt>
                <pt idx="45">
                  <v>0.9949750000000001</v>
                </pt>
                <pt idx="46">
                  <v>0.99665</v>
                </pt>
                <pt idx="47">
                  <v>1.031826</v>
                </pt>
                <pt idx="48">
                  <v>0.988275</v>
                </pt>
                <pt idx="49">
                  <v>1.015075</v>
                </pt>
                <pt idx="50">
                  <v>1.025126</v>
                </pt>
                <pt idx="51">
                  <v>0.998325</v>
                </pt>
                <pt idx="52">
                  <v>1</v>
                </pt>
                <pt idx="53">
                  <v>1.08121827411168</v>
                </pt>
                <pt idx="54">
                  <v>1.07868020304569</v>
                </pt>
                <pt idx="55">
                  <v>1.07360406091371</v>
                </pt>
                <pt idx="56">
                  <v>1.07106598984772</v>
                </pt>
                <pt idx="57">
                  <v>1.03553299492386</v>
                </pt>
                <pt idx="58">
                  <v>0.982233502538071</v>
                </pt>
                <pt idx="59">
                  <v>1.02791878172589</v>
                </pt>
                <pt idx="60">
                  <v>1.0507614213198</v>
                </pt>
                <pt idx="61">
                  <v>1.04060913705584</v>
                </pt>
                <pt idx="62">
                  <v>1.02791878172589</v>
                </pt>
                <pt idx="63">
                  <v>1.00761421319797</v>
                </pt>
                <pt idx="64">
                  <v>1.01269035532995</v>
                </pt>
                <pt idx="65">
                  <v>1.03807106598985</v>
                </pt>
                <pt idx="66">
                  <v>1.12690355329949</v>
                </pt>
                <pt idx="67">
                  <v>1.22335025380711</v>
                </pt>
                <pt idx="68">
                  <v>1.14720812182741</v>
                </pt>
                <pt idx="69">
                  <v>1.1243654822335</v>
                </pt>
                <pt idx="70">
                  <v>1.03553299492386</v>
                </pt>
                <pt idx="71">
                  <v>1.08375634517766</v>
                </pt>
                <pt idx="72">
                  <v>1.06852791878173</v>
                </pt>
                <pt idx="73">
                  <v>1.08375634517766</v>
                </pt>
                <pt idx="74">
                  <v>1.05329949238579</v>
                </pt>
                <pt idx="75">
                  <v>1.10659898477157</v>
                </pt>
                <pt idx="76">
                  <v>1.08629441624365</v>
                </pt>
                <pt idx="77">
                  <v>1.07868020304569</v>
                </pt>
                <pt idx="78">
                  <v>1.10152284263959</v>
                </pt>
                <pt idx="79">
                  <v>1.14720812182741</v>
                </pt>
                <pt idx="80">
                  <v>1.15989847715736</v>
                </pt>
                <pt idx="81">
                  <v>1.1751269035533</v>
                </pt>
                <pt idx="82">
                  <v>1.26649746192893</v>
                </pt>
                <pt idx="83">
                  <v>1.30710659898477</v>
                </pt>
                <pt idx="84">
                  <v>1.25380710659898</v>
                </pt>
                <pt idx="85">
                  <v>1.35786802030457</v>
                </pt>
                <pt idx="86">
                  <v>1.47208121827411</v>
                </pt>
                <pt idx="87">
                  <v>1.62944162436548</v>
                </pt>
                <pt idx="88">
                  <v>1.59137055837563</v>
                </pt>
                <pt idx="89">
                  <v>1.54568527918782</v>
                </pt>
                <pt idx="90">
                  <v>1.54060913705584</v>
                </pt>
                <pt idx="91">
                  <v>1.61167512690355</v>
                </pt>
                <pt idx="92">
                  <v>1.56852791878173</v>
                </pt>
                <pt idx="93">
                  <v>1.50507614213198</v>
                </pt>
                <pt idx="94">
                  <v>1.43401015228426</v>
                </pt>
                <pt idx="95">
                  <v>1.49238578680203</v>
                </pt>
                <pt idx="96">
                  <v>1.10913702679165</v>
                </pt>
                <pt idx="97">
                  <v>1.15736039156841</v>
                </pt>
                <pt idx="98">
                  <v>1.1624365288594</v>
                </pt>
              </numCache>
            </numRef>
          </val>
          <smooth val="0"/>
        </ser>
        <ser>
          <idx val="33"/>
          <order val="33"/>
          <tx>
            <strRef>
              <f>'运动服饰 Normalized'!$AI$2</f>
              <strCache>
                <ptCount val="1"/>
                <pt idx="0">
                  <v>002832.SZ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4">
                  <a:tint val="50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'运动服饰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'运动服饰 Normalized'!$AI$3:$AI$101</f>
              <numCache>
                <formatCode>General</formatCode>
                <ptCount val="99"/>
                <pt idx="0">
                  <v>1.249045</v>
                </pt>
                <pt idx="1">
                  <v>1.219745</v>
                </pt>
                <pt idx="2">
                  <v>1.427389</v>
                </pt>
                <pt idx="3">
                  <v>1.308917</v>
                </pt>
                <pt idx="4">
                  <v>1.309554</v>
                </pt>
                <pt idx="5">
                  <v>1.247134</v>
                </pt>
                <pt idx="6">
                  <v>1.167516</v>
                </pt>
                <pt idx="7">
                  <v>1.231847</v>
                </pt>
                <pt idx="8">
                  <v>1.211465</v>
                </pt>
                <pt idx="9">
                  <v>1.211465</v>
                </pt>
                <pt idx="10">
                  <v>1.211465</v>
                </pt>
                <pt idx="11">
                  <v>1.192994</v>
                </pt>
                <pt idx="12">
                  <v>1.19172</v>
                </pt>
                <pt idx="13">
                  <v>1.171975</v>
                </pt>
                <pt idx="14">
                  <v>1.176433</v>
                </pt>
                <pt idx="15">
                  <v>1.222293</v>
                </pt>
                <pt idx="16">
                  <v>1.196815</v>
                </pt>
                <pt idx="17">
                  <v>1.176433</v>
                </pt>
                <pt idx="18">
                  <v>1.073248</v>
                </pt>
                <pt idx="19">
                  <v>1.129299</v>
                </pt>
                <pt idx="20">
                  <v>1.108917</v>
                </pt>
                <pt idx="21">
                  <v>1.090446</v>
                </pt>
                <pt idx="22">
                  <v>1.049682</v>
                </pt>
                <pt idx="23">
                  <v>1.06242</v>
                </pt>
                <pt idx="24">
                  <v>1.045223</v>
                </pt>
                <pt idx="25">
                  <v>1.034395</v>
                </pt>
                <pt idx="26">
                  <v>1.038854</v>
                </pt>
                <pt idx="27">
                  <v>1.072611</v>
                </pt>
                <pt idx="28">
                  <v>1.038854</v>
                </pt>
                <pt idx="29">
                  <v>0.994268</v>
                </pt>
                <pt idx="30">
                  <v>1.022293</v>
                </pt>
                <pt idx="31">
                  <v>1.012739</v>
                </pt>
                <pt idx="32">
                  <v>1.026752</v>
                </pt>
                <pt idx="33">
                  <v>1.040127</v>
                </pt>
                <pt idx="34">
                  <v>1.046497</v>
                </pt>
                <pt idx="35">
                  <v>1.05414</v>
                </pt>
                <pt idx="36">
                  <v>1.026752</v>
                </pt>
                <pt idx="37">
                  <v>1.02293</v>
                </pt>
                <pt idx="38">
                  <v>1.056688</v>
                </pt>
                <pt idx="39">
                  <v>1.067516</v>
                </pt>
                <pt idx="40">
                  <v>1.077707</v>
                </pt>
                <pt idx="41">
                  <v>1.050955</v>
                </pt>
                <pt idx="42">
                  <v>1.019108</v>
                </pt>
                <pt idx="43">
                  <v>1.012739</v>
                </pt>
                <pt idx="44">
                  <v>1.00828</v>
                </pt>
                <pt idx="45">
                  <v>0.996815</v>
                </pt>
                <pt idx="46">
                  <v>1.010191</v>
                </pt>
                <pt idx="47">
                  <v>1.018471</v>
                </pt>
                <pt idx="48">
                  <v>1.019745</v>
                </pt>
                <pt idx="49">
                  <v>1.044586</v>
                </pt>
                <pt idx="50">
                  <v>1.043312</v>
                </pt>
                <pt idx="51">
                  <v>0.995541</v>
                </pt>
                <pt idx="52">
                  <v>1</v>
                </pt>
                <pt idx="53">
                  <v>0.976542580316165</v>
                </pt>
                <pt idx="54">
                  <v>1.14278429372769</v>
                </pt>
                <pt idx="55">
                  <v>1.04793472718001</v>
                </pt>
                <pt idx="56">
                  <v>1.04844467108618</v>
                </pt>
                <pt idx="57">
                  <v>0.998470168281489</v>
                </pt>
                <pt idx="58">
                  <v>0.9347271800101991</v>
                </pt>
                <pt idx="59">
                  <v>0.986231514533401</v>
                </pt>
                <pt idx="60">
                  <v>0.969913309535951</v>
                </pt>
                <pt idx="61">
                  <v>0.969913309535951</v>
                </pt>
                <pt idx="62">
                  <v>0.969913309535951</v>
                </pt>
                <pt idx="63">
                  <v>0.955124936257012</v>
                </pt>
                <pt idx="64">
                  <v>0.954105048444671</v>
                </pt>
                <pt idx="65">
                  <v>0.9382967873533909</v>
                </pt>
                <pt idx="66">
                  <v>0.941866394696583</v>
                </pt>
                <pt idx="67">
                  <v>0.978582355940847</v>
                </pt>
                <pt idx="68">
                  <v>0.958184599694034</v>
                </pt>
                <pt idx="69">
                  <v>0.941866394696583</v>
                </pt>
                <pt idx="70">
                  <v>0.859255481896991</v>
                </pt>
                <pt idx="71">
                  <v>0.90413054563998</v>
                </pt>
                <pt idx="72">
                  <v>0.887812340642529</v>
                </pt>
                <pt idx="73">
                  <v>0.87302396736359</v>
                </pt>
                <pt idx="74">
                  <v>0.84038755736869</v>
                </pt>
                <pt idx="75">
                  <v>0.850586435492096</v>
                </pt>
                <pt idx="76">
                  <v>0.836817950025497</v>
                </pt>
                <pt idx="77">
                  <v>0.828148903620602</v>
                </pt>
                <pt idx="78">
                  <v>0.831718510963794</v>
                </pt>
                <pt idx="79">
                  <v>0.858745537990821</v>
                </pt>
                <pt idx="80">
                  <v>0.831718510963794</v>
                </pt>
                <pt idx="81">
                  <v>0.796022437531872</v>
                </pt>
                <pt idx="82">
                  <v>0.818459969403366</v>
                </pt>
                <pt idx="83">
                  <v>0.810810810810811</v>
                </pt>
                <pt idx="84">
                  <v>0.822029576746558</v>
                </pt>
                <pt idx="85">
                  <v>0.832738398776135</v>
                </pt>
                <pt idx="86">
                  <v>0.8378378378378381</v>
                </pt>
                <pt idx="87">
                  <v>0.843957164711882</v>
                </pt>
                <pt idx="88">
                  <v>0.822029576746558</v>
                </pt>
                <pt idx="89">
                  <v>0.8189699133095359</v>
                </pt>
                <pt idx="90">
                  <v>0.845996940336563</v>
                </pt>
                <pt idx="91">
                  <v>0.854665986741459</v>
                </pt>
                <pt idx="92">
                  <v>0.862825089240184</v>
                </pt>
                <pt idx="93">
                  <v>0.8414074451810299</v>
                </pt>
                <pt idx="94">
                  <v>0.815910249872514</v>
                </pt>
                <pt idx="95">
                  <v>0.810810810810811</v>
                </pt>
                <pt idx="96">
                  <v>1.3222845642619</v>
                </pt>
                <pt idx="97">
                  <v>1.41458438404478</v>
                </pt>
                <pt idx="98">
                  <v>1.36460990458347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0"/>
        <smooth val="0"/>
        <axId val="10"/>
        <axId val="100"/>
      </lineChart>
      <dateAx>
        <axId val="10"/>
        <scaling>
          <orientation val="minMax"/>
        </scaling>
        <delete val="0"/>
        <axPos val="b"/>
        <numFmt formatCode="mm\-dd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0"/>
        <crosses val="autoZero"/>
        <lblOffset val="100"/>
        <baseTimeUnit val="days"/>
      </date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归一化</a:t>
                </a:r>
              </a:p>
            </rich>
          </tx>
          <layout/>
          <overlay val="0"/>
        </title>
        <numFmt formatCode="0.00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between"/>
      </valAx>
    </plotArea>
    <legend>
      <legendPos val="b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奢侈品走势（2025-12-01 = 1）</a:t>
            </a:r>
          </a:p>
        </rich>
      </tx>
      <layout/>
      <overlay val="0"/>
    </title>
    <plotArea>
      <layout/>
      <lineChart>
        <grouping val="standard"/>
        <varyColors val="0"/>
        <ser>
          <idx val="0"/>
          <order val="0"/>
          <tx>
            <strRef>
              <f>'奢侈品 Normalized'!$B$2</f>
              <strCache>
                <ptCount val="1"/>
                <pt idx="0">
                  <v>VFC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Normalized'!$B$3:$B$101</f>
              <numCache>
                <formatCode>General</formatCode>
                <ptCount val="99"/>
                <pt idx="0">
                  <v>1.150496</v>
                </pt>
                <pt idx="1">
                  <v>1.176406</v>
                </pt>
                <pt idx="2">
                  <v>1.191841</v>
                </pt>
                <pt idx="3">
                  <v>1.214443</v>
                </pt>
                <pt idx="4">
                  <v>1.180265</v>
                </pt>
                <pt idx="5">
                  <v>1.186329</v>
                </pt>
                <pt idx="6">
                  <v>1.268468</v>
                </pt>
                <pt idx="7">
                  <v>1.304851</v>
                </pt>
                <pt idx="8">
                  <v>1.432745</v>
                </pt>
                <pt idx="9">
                  <v>1.357222</v>
                </pt>
                <pt idx="10">
                  <v>1.304851</v>
                </pt>
                <pt idx="11">
                  <v>1.410695</v>
                </pt>
                <pt idx="12">
                  <v>1.391952</v>
                </pt>
                <pt idx="13">
                  <v>1.341786</v>
                </pt>
                <pt idx="14">
                  <v>0.959206</v>
                </pt>
                <pt idx="15">
                  <v>0.906284</v>
                </pt>
                <pt idx="16">
                  <v>0.937155</v>
                </pt>
                <pt idx="17">
                  <v>0.855568</v>
                </pt>
                <pt idx="18">
                  <v>0.6207279999999999</v>
                </pt>
                <pt idx="19">
                  <v>0.621279</v>
                </pt>
                <pt idx="20">
                  <v>0.577178</v>
                </pt>
                <pt idx="21">
                  <v>0.637817</v>
                </pt>
                <pt idx="22">
                  <v>0.692944</v>
                </pt>
                <pt idx="23">
                  <v>0.796031</v>
                </pt>
                <pt idx="24">
                  <v>0.789416</v>
                </pt>
                <pt idx="25">
                  <v>0.6615220000000001</v>
                </pt>
                <pt idx="26">
                  <v>0.6742010000000001</v>
                </pt>
                <pt idx="27">
                  <v>0.717751</v>
                </pt>
                <pt idx="28">
                  <v>0.684124</v>
                </pt>
                <pt idx="29">
                  <v>0.632856</v>
                </pt>
                <pt idx="30">
                  <v>0.64774</v>
                </pt>
                <pt idx="31">
                  <v>0.688534</v>
                </pt>
                <pt idx="32">
                  <v>0.675303</v>
                </pt>
                <pt idx="33">
                  <v>0.686329</v>
                </pt>
                <pt idx="34">
                  <v>0.690187</v>
                </pt>
                <pt idx="35">
                  <v>0.693495</v>
                </pt>
                <pt idx="36">
                  <v>0.649945</v>
                </pt>
                <pt idx="37">
                  <v>0.723815</v>
                </pt>
                <pt idx="38">
                  <v>0.753583</v>
                </pt>
                <pt idx="39">
                  <v>0.834068</v>
                </pt>
                <pt idx="40">
                  <v>0.857773</v>
                </pt>
                <pt idx="41">
                  <v>0.8109150000000001</v>
                </pt>
                <pt idx="42">
                  <v>0.789967</v>
                </pt>
                <pt idx="43">
                  <v>0.796582</v>
                </pt>
                <pt idx="44">
                  <v>0.799339</v>
                </pt>
                <pt idx="45">
                  <v>0.774531</v>
                </pt>
                <pt idx="46">
                  <v>0.79548</v>
                </pt>
                <pt idx="47">
                  <v>0.915656</v>
                </pt>
                <pt idx="48">
                  <v>0.781147</v>
                </pt>
                <pt idx="49">
                  <v>0.806505</v>
                </pt>
                <pt idx="50">
                  <v>0.7855569999999999</v>
                </pt>
                <pt idx="51">
                  <v>0.902426</v>
                </pt>
                <pt idx="52">
                  <v>1</v>
                </pt>
                <pt idx="53">
                  <v>1.02252036415908</v>
                </pt>
                <pt idx="54">
                  <v>1.03593675131768</v>
                </pt>
                <pt idx="55">
                  <v>1.05558217537135</v>
                </pt>
                <pt idx="56">
                  <v>1.02587446094873</v>
                </pt>
                <pt idx="57">
                  <v>1.03114518447532</v>
                </pt>
                <pt idx="58">
                  <v>1.10253953042645</v>
                </pt>
                <pt idx="59">
                  <v>1.13416387158601</v>
                </pt>
                <pt idx="60">
                  <v>1.2453282223287</v>
                </pt>
                <pt idx="61">
                  <v>1.1796837565884</v>
                </pt>
                <pt idx="62">
                  <v>1.13416387158601</v>
                </pt>
                <pt idx="63">
                  <v>1.22616195495927</v>
                </pt>
                <pt idx="64">
                  <v>1.20987062769526</v>
                </pt>
                <pt idx="65">
                  <v>1.1662673694298</v>
                </pt>
                <pt idx="66">
                  <v>0.833732630570196</v>
                </pt>
                <pt idx="67">
                  <v>0.787733588883565</v>
                </pt>
                <pt idx="68">
                  <v>0.814566363200767</v>
                </pt>
                <pt idx="69">
                  <v>0.743651173933876</v>
                </pt>
                <pt idx="70">
                  <v>0.539530426449449</v>
                </pt>
                <pt idx="71">
                  <v>0.540009583133685</v>
                </pt>
                <pt idx="72">
                  <v>0.501677048394825</v>
                </pt>
                <pt idx="73">
                  <v>0.554384283660757</v>
                </pt>
                <pt idx="74">
                  <v>0.602299952084332</v>
                </pt>
                <pt idx="75">
                  <v>0.691902252036416</v>
                </pt>
                <pt idx="76">
                  <v>0.686152371825587</v>
                </pt>
                <pt idx="77">
                  <v>0.574988021082894</v>
                </pt>
                <pt idx="78">
                  <v>0.586008624820316</v>
                </pt>
                <pt idx="79">
                  <v>0.62386200287494</v>
                </pt>
                <pt idx="80">
                  <v>0.59463344513656</v>
                </pt>
                <pt idx="81">
                  <v>0.550071873502635</v>
                </pt>
                <pt idx="82">
                  <v>0.563009103977</v>
                </pt>
                <pt idx="83">
                  <v>0.598466698610446</v>
                </pt>
                <pt idx="84">
                  <v>0.586966938188788</v>
                </pt>
                <pt idx="85">
                  <v>0.596550071873503</v>
                </pt>
                <pt idx="86">
                  <v>0.599904168663153</v>
                </pt>
                <pt idx="87">
                  <v>0.602779108768567</v>
                </pt>
                <pt idx="88">
                  <v>0.564925730713943</v>
                </pt>
                <pt idx="89">
                  <v>0.6291327264015329</v>
                </pt>
                <pt idx="90">
                  <v>0.655007187350264</v>
                </pt>
                <pt idx="91">
                  <v>0.724964063248682</v>
                </pt>
                <pt idx="92">
                  <v>0.745567800670819</v>
                </pt>
                <pt idx="93">
                  <v>0.704839482510781</v>
                </pt>
                <pt idx="94">
                  <v>0.686631528509823</v>
                </pt>
                <pt idx="95">
                  <v>0.692381408720652</v>
                </pt>
                <pt idx="96">
                  <v>0.686631524854147</v>
                </pt>
                <pt idx="97">
                  <v>0.718735026353618</v>
                </pt>
                <pt idx="98">
                  <v>0.718735026353618</v>
                </pt>
              </numCache>
            </numRef>
          </val>
          <smooth val="0"/>
        </ser>
        <ser>
          <idx val="1"/>
          <order val="1"/>
          <tx>
            <strRef>
              <f>'奢侈品 Normalized'!$C$2</f>
              <strCache>
                <ptCount val="1"/>
                <pt idx="0">
                  <v>CFR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Normalized'!$C$3:$C$101</f>
              <numCache>
                <formatCode>General</formatCode>
                <ptCount val="99"/>
                <pt idx="0">
                  <v>0.724942</v>
                </pt>
                <pt idx="1">
                  <v>0.771889</v>
                </pt>
                <pt idx="2">
                  <v>0.780242</v>
                </pt>
                <pt idx="3">
                  <v>0.783986</v>
                </pt>
                <pt idx="4">
                  <v>0.794355</v>
                </pt>
                <pt idx="5">
                  <v>0.800979</v>
                </pt>
                <pt idx="6">
                  <v>0.797523</v>
                </pt>
                <pt idx="7">
                  <v>0.9449880000000001</v>
                </pt>
                <pt idx="8">
                  <v>0.9928</v>
                </pt>
                <pt idx="9">
                  <v>1.012385</v>
                </pt>
                <pt idx="10">
                  <v>1.013249</v>
                </pt>
                <pt idx="11">
                  <v>1.053571</v>
                </pt>
                <pt idx="12">
                  <v>1.025922</v>
                </pt>
                <pt idx="13">
                  <v>1.064804</v>
                </pt>
                <pt idx="14">
                  <v>0.91273</v>
                </pt>
                <pt idx="15">
                  <v>0.9447</v>
                </pt>
                <pt idx="16">
                  <v>0.933756</v>
                </pt>
                <pt idx="17">
                  <v>0.8810480000000001</v>
                </pt>
                <pt idx="18">
                  <v>0.743088</v>
                </pt>
                <pt idx="19">
                  <v>0.78917</v>
                </pt>
                <pt idx="20">
                  <v>0.788594</v>
                </pt>
                <pt idx="21">
                  <v>0.848214</v>
                </pt>
                <pt idx="22">
                  <v>0.837558</v>
                </pt>
                <pt idx="23">
                  <v>0.889401</v>
                </pt>
                <pt idx="24">
                  <v>0.953917</v>
                </pt>
                <pt idx="25">
                  <v>0.910714</v>
                </pt>
                <pt idx="26">
                  <v>0.8822</v>
                </pt>
                <pt idx="27">
                  <v>0.872984</v>
                </pt>
                <pt idx="28">
                  <v>0.8781679999999999</v>
                </pt>
                <pt idx="29">
                  <v>0.84879</v>
                </pt>
                <pt idx="30">
                  <v>0.860887</v>
                </pt>
                <pt idx="31">
                  <v>0.868664</v>
                </pt>
                <pt idx="32">
                  <v>0.849654</v>
                </pt>
                <pt idx="33">
                  <v>0.80674</v>
                </pt>
                <pt idx="34">
                  <v>0.793203</v>
                </pt>
                <pt idx="35">
                  <v>0.758641</v>
                </pt>
                <pt idx="36">
                  <v>0.749424</v>
                </pt>
                <pt idx="37">
                  <v>0.759217</v>
                </pt>
                <pt idx="38">
                  <v>0.778514</v>
                </pt>
                <pt idx="39">
                  <v>0.799827</v>
                </pt>
                <pt idx="40">
                  <v>0.829205</v>
                </pt>
                <pt idx="41">
                  <v>0.87932</v>
                </pt>
                <pt idx="42">
                  <v>0.856279</v>
                </pt>
                <pt idx="43">
                  <v>0.87068</v>
                </pt>
                <pt idx="44">
                  <v>0.8796079999999999</v>
                </pt>
                <pt idx="45">
                  <v>0.8796079999999999</v>
                </pt>
                <pt idx="46">
                  <v>0.924827</v>
                </pt>
                <pt idx="47">
                  <v>0.929435</v>
                </pt>
                <pt idx="48">
                  <v>0.932028</v>
                </pt>
                <pt idx="49">
                  <v>0.910714</v>
                </pt>
                <pt idx="50">
                  <v>0.976958</v>
                </pt>
                <pt idx="51">
                  <v>0.959101</v>
                </pt>
                <pt idx="52">
                  <v>1</v>
                </pt>
                <pt idx="53">
                  <v>1.0647596344855</v>
                </pt>
                <pt idx="54">
                  <v>1.07628128724672</v>
                </pt>
                <pt idx="55">
                  <v>1.08144616607072</v>
                </pt>
                <pt idx="56">
                  <v>1.09574890742948</v>
                </pt>
                <pt idx="57">
                  <v>1.10488676996424</v>
                </pt>
                <pt idx="58">
                  <v>1.10011918951132</v>
                </pt>
                <pt idx="59">
                  <v>1.30353595550258</v>
                </pt>
                <pt idx="60">
                  <v>1.36948748510131</v>
                </pt>
                <pt idx="61">
                  <v>1.39650377433453</v>
                </pt>
                <pt idx="62">
                  <v>1.39769566944776</v>
                </pt>
                <pt idx="63">
                  <v>1.45331744139849</v>
                </pt>
                <pt idx="64">
                  <v>1.41517679777513</v>
                </pt>
                <pt idx="65">
                  <v>1.46881207787048</v>
                </pt>
                <pt idx="66">
                  <v>1.25903853794199</v>
                </pt>
                <pt idx="67">
                  <v>1.30313865713151</v>
                </pt>
                <pt idx="68">
                  <v>1.28804131903059</v>
                </pt>
                <pt idx="69">
                  <v>1.21533571712356</v>
                </pt>
                <pt idx="70">
                  <v>1.02502979737783</v>
                </pt>
                <pt idx="71">
                  <v>1.0885975367501</v>
                </pt>
                <pt idx="72">
                  <v>1.08780294000795</v>
                </pt>
                <pt idx="73">
                  <v>1.17004370282082</v>
                </pt>
                <pt idx="74">
                  <v>1.15534366309098</v>
                </pt>
                <pt idx="75">
                  <v>1.22685736988478</v>
                </pt>
                <pt idx="76">
                  <v>1.31585220500596</v>
                </pt>
                <pt idx="77">
                  <v>1.25625744934446</v>
                </pt>
                <pt idx="78">
                  <v>1.21692491060787</v>
                </pt>
                <pt idx="79">
                  <v>1.20421136273341</v>
                </pt>
                <pt idx="80">
                  <v>1.21136273341279</v>
                </pt>
                <pt idx="81">
                  <v>1.17083829956297</v>
                </pt>
                <pt idx="82">
                  <v>1.18752483114819</v>
                </pt>
                <pt idx="83">
                  <v>1.19825188716726</v>
                </pt>
                <pt idx="84">
                  <v>1.1720301946762</v>
                </pt>
                <pt idx="85">
                  <v>1.11283273738578</v>
                </pt>
                <pt idx="86">
                  <v>1.09415971394517</v>
                </pt>
                <pt idx="87">
                  <v>1.04648390941597</v>
                </pt>
                <pt idx="88">
                  <v>1.03377036154152</v>
                </pt>
                <pt idx="89">
                  <v>1.04727850615812</v>
                </pt>
                <pt idx="90">
                  <v>1.07389749702026</v>
                </pt>
                <pt idx="91">
                  <v>1.10329757647994</v>
                </pt>
                <pt idx="92">
                  <v>1.14382201032976</v>
                </pt>
                <pt idx="93">
                  <v>1.2129519268971</v>
                </pt>
                <pt idx="94">
                  <v>1.18116805721097</v>
                </pt>
                <pt idx="95">
                  <v>1.2010329757648</v>
                </pt>
                <pt idx="96">
                  <v>1.37346051731041</v>
                </pt>
                <pt idx="97">
                  <v>1.35319827613634</v>
                </pt>
                <pt idx="98">
                  <v>1.35399280013098</v>
                </pt>
              </numCache>
            </numRef>
          </val>
          <smooth val="0"/>
        </ser>
        <ser>
          <idx val="2"/>
          <order val="2"/>
          <tx>
            <strRef>
              <f>'奢侈品 Normalized'!$D$2</f>
              <strCache>
                <ptCount val="1"/>
                <pt idx="0">
                  <v>1913.HK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Normalized'!$D$3:$D$101</f>
              <numCache>
                <formatCode>General</formatCode>
                <ptCount val="99"/>
                <pt idx="0">
                  <v>1.20749</v>
                </pt>
                <pt idx="1">
                  <v>1.310805</v>
                </pt>
                <pt idx="2">
                  <v>1.335557</v>
                </pt>
                <pt idx="3">
                  <v>1.371072</v>
                </pt>
                <pt idx="4">
                  <v>1.366767</v>
                </pt>
                <pt idx="5">
                  <v>1.304348</v>
                </pt>
                <pt idx="6">
                  <v>1.322643</v>
                </pt>
                <pt idx="7">
                  <v>1.338786</v>
                </pt>
                <pt idx="8">
                  <v>1.371072</v>
                </pt>
                <pt idx="9">
                  <v>1.332329</v>
                </pt>
                <pt idx="10">
                  <v>1.373224</v>
                </pt>
                <pt idx="11">
                  <v>1.485149</v>
                </pt>
                <pt idx="12">
                  <v>1.458244</v>
                </pt>
                <pt idx="13">
                  <v>1.474387</v>
                </pt>
                <pt idx="14">
                  <v>1.353853</v>
                </pt>
                <pt idx="15">
                  <v>1.23009</v>
                </pt>
                <pt idx="16">
                  <v>1.179509</v>
                </pt>
                <pt idx="17">
                  <v>1.165519</v>
                </pt>
                <pt idx="18">
                  <v>0.961042</v>
                </pt>
                <pt idx="19">
                  <v>1.054671</v>
                </pt>
                <pt idx="20">
                  <v>1.006242</v>
                </pt>
                <pt idx="21">
                  <v>1.054671</v>
                </pt>
                <pt idx="22">
                  <v>1.035299</v>
                </pt>
                <pt idx="23">
                  <v>1.120319</v>
                </pt>
                <pt idx="24">
                  <v>1.128928</v>
                </pt>
                <pt idx="25">
                  <v>1.097718</v>
                </pt>
                <pt idx="26">
                  <v>1.097718</v>
                </pt>
                <pt idx="27">
                  <v>1.079423</v>
                </pt>
                <pt idx="28">
                  <v>1.025613</v>
                </pt>
                <pt idx="29">
                  <v>1.028842</v>
                </pt>
                <pt idx="30">
                  <v>1.048214</v>
                </pt>
                <pt idx="31">
                  <v>1.065433</v>
                </pt>
                <pt idx="32">
                  <v>1.06328</v>
                </pt>
                <pt idx="33">
                  <v>1.056823</v>
                </pt>
                <pt idx="34">
                  <v>1.033147</v>
                </pt>
                <pt idx="35">
                  <v>0.894533</v>
                </pt>
                <pt idx="36">
                  <v>0.870426</v>
                </pt>
                <pt idx="37">
                  <v>0.893672</v>
                </pt>
                <pt idx="38">
                  <v>0.867843</v>
                </pt>
                <pt idx="39">
                  <v>0.974171</v>
                </pt>
                <pt idx="40">
                  <v>0.947912</v>
                </pt>
                <pt idx="41">
                  <v>0.968575</v>
                </pt>
                <pt idx="42">
                  <v>1.003444</v>
                </pt>
                <pt idx="43">
                  <v>0.998709</v>
                </pt>
                <pt idx="44">
                  <v>1.005596</v>
                </pt>
                <pt idx="45">
                  <v>0.955661</v>
                </pt>
                <pt idx="46">
                  <v>1.013775</v>
                </pt>
                <pt idx="47">
                  <v>1.081576</v>
                </pt>
                <pt idx="48">
                  <v>0.995695</v>
                </pt>
                <pt idx="49">
                  <v>0.996987</v>
                </pt>
                <pt idx="50">
                  <v>1.012484</v>
                </pt>
                <pt idx="51">
                  <v>0.96427</v>
                </pt>
                <pt idx="52">
                  <v>1</v>
                </pt>
                <pt idx="53">
                  <v>1.0855614973262</v>
                </pt>
                <pt idx="54">
                  <v>1.10606060606061</v>
                </pt>
                <pt idx="55">
                  <v>1.13547237076649</v>
                </pt>
                <pt idx="56">
                  <v>1.1319073083779</v>
                </pt>
                <pt idx="57">
                  <v>1.08021390374332</v>
                </pt>
                <pt idx="58">
                  <v>1.09536541889483</v>
                </pt>
                <pt idx="59">
                  <v>1.10873440285205</v>
                </pt>
                <pt idx="60">
                  <v>1.13547237076649</v>
                </pt>
                <pt idx="61">
                  <v>1.10338680926916</v>
                </pt>
                <pt idx="62">
                  <v>1.13725490196078</v>
                </pt>
                <pt idx="63">
                  <v>1.22994652406417</v>
                </pt>
                <pt idx="64">
                  <v>1.20766488413547</v>
                </pt>
                <pt idx="65">
                  <v>1.22103386809269</v>
                </pt>
                <pt idx="66">
                  <v>1.12121212121212</v>
                </pt>
                <pt idx="67">
                  <v>1.01871657754011</v>
                </pt>
                <pt idx="68">
                  <v>0.9768270944741529</v>
                </pt>
                <pt idx="69">
                  <v>0.96524064171123</v>
                </pt>
                <pt idx="70">
                  <v>0.795900178253119</v>
                </pt>
                <pt idx="71">
                  <v>0.873440285204991</v>
                </pt>
                <pt idx="72">
                  <v>0.833333333333333</v>
                </pt>
                <pt idx="73">
                  <v>0.873440285204991</v>
                </pt>
                <pt idx="74">
                  <v>0.857397504456328</v>
                </pt>
                <pt idx="75">
                  <v>0.927807486631016</v>
                </pt>
                <pt idx="76">
                  <v>0.9349376114082</v>
                </pt>
                <pt idx="77">
                  <v>0.9090909090909089</v>
                </pt>
                <pt idx="78">
                  <v>0.9090909090909089</v>
                </pt>
                <pt idx="79">
                  <v>0.893939393939394</v>
                </pt>
                <pt idx="80">
                  <v>0.849376114081996</v>
                </pt>
                <pt idx="81">
                  <v>0.85204991087344</v>
                </pt>
                <pt idx="82">
                  <v>0.868092691622103</v>
                </pt>
                <pt idx="83">
                  <v>0.882352941176471</v>
                </pt>
                <pt idx="84">
                  <v>0.880570409982175</v>
                </pt>
                <pt idx="85">
                  <v>0.875222816399287</v>
                </pt>
                <pt idx="86">
                  <v>0.855614973262032</v>
                </pt>
                <pt idx="87">
                  <v>0.740819964349376</v>
                </pt>
                <pt idx="88">
                  <v>0.720855614973262</v>
                </pt>
                <pt idx="89">
                  <v>0.740106951871658</v>
                </pt>
                <pt idx="90">
                  <v>0.718716577540107</v>
                </pt>
                <pt idx="91">
                  <v>0.806773618538324</v>
                </pt>
                <pt idx="92">
                  <v>0.785026737967914</v>
                </pt>
                <pt idx="93">
                  <v>0.802139037433155</v>
                </pt>
                <pt idx="94">
                  <v>0.831016042780749</v>
                </pt>
                <pt idx="95">
                  <v>0.827094474153298</v>
                </pt>
                <pt idx="96">
                  <v>0.6527629043116711</v>
                </pt>
                <pt idx="97">
                  <v>0.663458132276348</v>
                </pt>
                <pt idx="98">
                  <v>0.657754037894455</v>
                </pt>
              </numCache>
            </numRef>
          </val>
          <smooth val="0"/>
        </ser>
        <ser>
          <idx val="3"/>
          <order val="3"/>
          <tx>
            <strRef>
              <f>'奢侈品 Normalized'!$E$2</f>
              <strCache>
                <ptCount val="1"/>
                <pt idx="0">
                  <v>MONC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Normalized'!$E$3:$E$101</f>
              <numCache>
                <formatCode>General</formatCode>
                <ptCount val="99"/>
                <pt idx="0">
                  <v>0.801789</v>
                </pt>
                <pt idx="1">
                  <v>0.890571</v>
                </pt>
                <pt idx="2">
                  <v>0.884377</v>
                </pt>
                <pt idx="3">
                  <v>0.858741</v>
                </pt>
                <pt idx="4">
                  <v>0.877151</v>
                </pt>
                <pt idx="5">
                  <v>0.8836889999999999</v>
                </pt>
                <pt idx="6">
                  <v>0.919133</v>
                </pt>
                <pt idx="7">
                  <v>0.991053</v>
                </pt>
                <pt idx="8">
                  <v>1.057467</v>
                </pt>
                <pt idx="9">
                  <v>1.049553</v>
                </pt>
                <pt idx="10">
                  <v>1.047832</v>
                </pt>
                <pt idx="11">
                  <v>1.129732</v>
                </pt>
                <pt idx="12">
                  <v>1.139711</v>
                </pt>
                <pt idx="13">
                  <v>1.131108</v>
                </pt>
                <pt idx="14">
                  <v>1.079147</v>
                </pt>
                <pt idx="15">
                  <v>1.048176</v>
                </pt>
                <pt idx="16">
                  <v>1.033035</v>
                </pt>
                <pt idx="17">
                  <v>0.973847</v>
                </pt>
                <pt idx="18">
                  <v>0.844288</v>
                </pt>
                <pt idx="19">
                  <v>0.9415</v>
                </pt>
                <pt idx="20">
                  <v>0.92395</v>
                </pt>
                <pt idx="21">
                  <v>0.939436</v>
                </pt>
                <pt idx="22">
                  <v>0.951824</v>
                </pt>
                <pt idx="23">
                  <v>0.983138</v>
                </pt>
                <pt idx="24">
                  <v>0.965933</v>
                </pt>
                <pt idx="25">
                  <v>0.938747</v>
                </pt>
                <pt idx="26">
                  <v>0.9421890000000001</v>
                </pt>
                <pt idx="27">
                  <v>0.924639</v>
                </pt>
                <pt idx="28">
                  <v>0.881624</v>
                </pt>
                <pt idx="29">
                  <v>0.82691</v>
                </pt>
                <pt idx="30">
                  <v>0.832588</v>
                </pt>
                <pt idx="31">
                  <v>0.885754</v>
                </pt>
                <pt idx="32">
                  <v>0.865451</v>
                </pt>
                <pt idx="33">
                  <v>0.85788</v>
                </pt>
                <pt idx="34">
                  <v>0.828114</v>
                </pt>
                <pt idx="35">
                  <v>0.807295</v>
                </pt>
                <pt idx="36">
                  <v>0.79095</v>
                </pt>
                <pt idx="37">
                  <v>0.792326</v>
                </pt>
                <pt idx="38">
                  <v>0.823641</v>
                </pt>
                <pt idx="39">
                  <v>0.849966</v>
                </pt>
                <pt idx="40">
                  <v>0.806435</v>
                </pt>
                <pt idx="41">
                  <v>0.877495</v>
                </pt>
                <pt idx="42">
                  <v>0.868892</v>
                </pt>
                <pt idx="43">
                  <v>0.86786</v>
                </pt>
                <pt idx="44">
                  <v>0.864418</v>
                </pt>
                <pt idx="45">
                  <v>0.8568480000000001</v>
                </pt>
                <pt idx="46">
                  <v>0.917068</v>
                </pt>
                <pt idx="47">
                  <v>0.925671</v>
                </pt>
                <pt idx="48">
                  <v>0.906401</v>
                </pt>
                <pt idx="49">
                  <v>0.97075</v>
                </pt>
                <pt idx="50">
                  <v>0.964212</v>
                </pt>
                <pt idx="51">
                  <v>0.970406</v>
                </pt>
                <pt idx="52">
                  <v>1</v>
                </pt>
                <pt idx="53">
                  <v>1.11072961373391</v>
                </pt>
                <pt idx="54">
                  <v>1.10300429184549</v>
                </pt>
                <pt idx="55">
                  <v>1.07103004291845</v>
                </pt>
                <pt idx="56">
                  <v>1.09399141630901</v>
                </pt>
                <pt idx="57">
                  <v>1.10214592274678</v>
                </pt>
                <pt idx="58">
                  <v>1.14635193133047</v>
                </pt>
                <pt idx="59">
                  <v>1.23605150214592</v>
                </pt>
                <pt idx="60">
                  <v>1.31888412017167</v>
                </pt>
                <pt idx="61">
                  <v>1.30901287553648</v>
                </pt>
                <pt idx="62">
                  <v>1.3068669527897</v>
                </pt>
                <pt idx="63">
                  <v>1.40901287553648</v>
                </pt>
                <pt idx="64">
                  <v>1.42145922746781</v>
                </pt>
                <pt idx="65">
                  <v>1.41072961373391</v>
                </pt>
                <pt idx="66">
                  <v>1.34592274678112</v>
                </pt>
                <pt idx="67">
                  <v>1.30729613733906</v>
                </pt>
                <pt idx="68">
                  <v>1.28841201716738</v>
                </pt>
                <pt idx="69">
                  <v>1.21459227467811</v>
                </pt>
                <pt idx="70">
                  <v>1.05300429184549</v>
                </pt>
                <pt idx="71">
                  <v>1.17424892703863</v>
                </pt>
                <pt idx="72">
                  <v>1.15236051502146</v>
                </pt>
                <pt idx="73">
                  <v>1.17167381974249</v>
                </pt>
                <pt idx="74">
                  <v>1.18712446351931</v>
                </pt>
                <pt idx="75">
                  <v>1.22618025751073</v>
                </pt>
                <pt idx="76">
                  <v>1.20472103004292</v>
                </pt>
                <pt idx="77">
                  <v>1.17081545064378</v>
                </pt>
                <pt idx="78">
                  <v>1.17510729613734</v>
                </pt>
                <pt idx="79">
                  <v>1.15321888412017</v>
                </pt>
                <pt idx="80">
                  <v>1.09957081545064</v>
                </pt>
                <pt idx="81">
                  <v>1.031330472103</v>
                </pt>
                <pt idx="82">
                  <v>1.03841201716738</v>
                </pt>
                <pt idx="83">
                  <v>1.10472103004292</v>
                </pt>
                <pt idx="84">
                  <v>1.0793991416309</v>
                </pt>
                <pt idx="85">
                  <v>1.06995708154506</v>
                </pt>
                <pt idx="86">
                  <v>1.03283261802575</v>
                </pt>
                <pt idx="87">
                  <v>1.0068669527897</v>
                </pt>
                <pt idx="88">
                  <v>0.986480686695279</v>
                </pt>
                <pt idx="89">
                  <v>0.988197424892704</v>
                </pt>
                <pt idx="90">
                  <v>1.02725321888412</v>
                </pt>
                <pt idx="91">
                  <v>1.06008583690987</v>
                </pt>
                <pt idx="92">
                  <v>1.00579399141631</v>
                </pt>
                <pt idx="93">
                  <v>1.09442060085837</v>
                </pt>
                <pt idx="94">
                  <v>1.08369098712446</v>
                </pt>
                <pt idx="95">
                  <v>1.08240343347639</v>
                </pt>
                <pt idx="96">
                  <v>0.937768256715439</v>
                </pt>
                <pt idx="97">
                  <v>0.933905589222396</v>
                </pt>
                <pt idx="98">
                  <v>0.93669531171414</v>
                </pt>
              </numCache>
            </numRef>
          </val>
          <smooth val="0"/>
        </ser>
        <ser>
          <idx val="4"/>
          <order val="4"/>
          <tx>
            <strRef>
              <f>'奢侈品 Normalized'!$F$2</f>
              <strCache>
                <ptCount val="1"/>
                <pt idx="0">
                  <v>KER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Normalized'!$F$3:$F$101</f>
              <numCache>
                <formatCode>General</formatCode>
                <ptCount val="99"/>
                <pt idx="0">
                  <v>0.743406</v>
                </pt>
                <pt idx="1">
                  <v>0.823038</v>
                </pt>
                <pt idx="2">
                  <v>0.800167</v>
                </pt>
                <pt idx="3">
                  <v>0.786644</v>
                </pt>
                <pt idx="4">
                  <v>0.7916530000000001</v>
                </pt>
                <pt idx="5">
                  <v>0.767446</v>
                </pt>
                <pt idx="6">
                  <v>0.759265</v>
                </pt>
                <pt idx="7">
                  <v>0.8265439999999999</v>
                </pt>
                <pt idx="8">
                  <v>0.876628</v>
                </pt>
                <pt idx="9">
                  <v>0.814524</v>
                </pt>
                <pt idx="10">
                  <v>0.8153589999999999</v>
                </pt>
                <pt idx="11">
                  <v>0.935225</v>
                </pt>
                <pt idx="12">
                  <v>0.914524</v>
                </pt>
                <pt idx="13">
                  <v>0.896828</v>
                </pt>
                <pt idx="14">
                  <v>0.851419</v>
                </pt>
                <pt idx="15">
                  <v>0.725876</v>
                </pt>
                <pt idx="16">
                  <v>0.675793</v>
                </pt>
                <pt idx="17">
                  <v>0.637462</v>
                </pt>
                <pt idx="18">
                  <v>0.54798</v>
                </pt>
                <pt idx="19">
                  <v>0.570952</v>
                </pt>
                <pt idx="20">
                  <v>0.5491819999999999</v>
                </pt>
                <pt idx="21">
                  <v>0.595993</v>
                </pt>
                <pt idx="22">
                  <v>0.588114</v>
                </pt>
                <pt idx="23">
                  <v>0.628848</v>
                </pt>
                <pt idx="24">
                  <v>0.586377</v>
                </pt>
                <pt idx="25">
                  <v>0.585109</v>
                </pt>
                <pt idx="26">
                  <v>0.572354</v>
                </pt>
                <pt idx="27">
                  <v>0.593456</v>
                </pt>
                <pt idx="28">
                  <v>0.644007</v>
                </pt>
                <pt idx="29">
                  <v>0.585977</v>
                </pt>
                <pt idx="30">
                  <v>0.616227</v>
                </pt>
                <pt idx="31">
                  <v>0.652421</v>
                </pt>
                <pt idx="32">
                  <v>0.6576959999999999</v>
                </pt>
                <pt idx="33">
                  <v>0.658898</v>
                </pt>
                <pt idx="34">
                  <v>0.720868</v>
                </pt>
                <pt idx="35">
                  <v>0.7180299999999999</v>
                </pt>
                <pt idx="36">
                  <v>0.711519</v>
                </pt>
                <pt idx="37">
                  <v>0.702003</v>
                </pt>
                <pt idx="38">
                  <v>0.748748</v>
                </pt>
                <pt idx="39">
                  <v>0.767279</v>
                </pt>
                <pt idx="40">
                  <v>0.797663</v>
                </pt>
                <pt idx="41">
                  <v>0.852588</v>
                </pt>
                <pt idx="42">
                  <v>0.884808</v>
                </pt>
                <pt idx="43">
                  <v>0.961436</v>
                </pt>
                <pt idx="44">
                  <v>0.976294</v>
                </pt>
                <pt idx="45">
                  <v>1.01419</v>
                </pt>
                <pt idx="46">
                  <v>1.083472</v>
                </pt>
                <pt idx="47">
                  <v>1.094825</v>
                </pt>
                <pt idx="48">
                  <v>1.017028</v>
                </pt>
                <pt idx="49">
                  <v>1.036561</v>
                </pt>
                <pt idx="50">
                  <v>1.046578</v>
                </pt>
                <pt idx="51">
                  <v>0.9871450000000001</v>
                </pt>
                <pt idx="52">
                  <v>1</v>
                </pt>
                <pt idx="53">
                  <v>1.10711879631709</v>
                </pt>
                <pt idx="54">
                  <v>1.07635302043566</v>
                </pt>
                <pt idx="55">
                  <v>1.0581630361554</v>
                </pt>
                <pt idx="56">
                  <v>1.06490006737031</v>
                </pt>
                <pt idx="57">
                  <v>1.03233774983157</v>
                </pt>
                <pt idx="58">
                  <v>1.02133393218055</v>
                </pt>
                <pt idx="59">
                  <v>1.11183471816753</v>
                </pt>
                <pt idx="60">
                  <v>1.17920503031664</v>
                </pt>
                <pt idx="61">
                  <v>1.09566584325174</v>
                </pt>
                <pt idx="62">
                  <v>1.09678868178756</v>
                </pt>
                <pt idx="63">
                  <v>1.2580282955311</v>
                </pt>
                <pt idx="64">
                  <v>1.2301818998428</v>
                </pt>
                <pt idx="65">
                  <v>1.20637772288345</v>
                </pt>
                <pt idx="66">
                  <v>1.14529530653492</v>
                </pt>
                <pt idx="67">
                  <v>0.976420390747811</v>
                </pt>
                <pt idx="68">
                  <v>0.909050078598697</v>
                </pt>
                <pt idx="69">
                  <v>0.85748933303391</v>
                </pt>
                <pt idx="70">
                  <v>0.737121041994161</v>
                </pt>
                <pt idx="71">
                  <v>0.768021558499888</v>
                </pt>
                <pt idx="72">
                  <v>0.73873792948574</v>
                </pt>
                <pt idx="73">
                  <v>0.801706714574444</v>
                </pt>
                <pt idx="74">
                  <v>0.791107118796317</v>
                </pt>
                <pt idx="75">
                  <v>0.845901639344262</v>
                </pt>
                <pt idx="76">
                  <v>0.788771614641815</v>
                </pt>
                <pt idx="77">
                  <v>0.78706490006737</v>
                </pt>
                <pt idx="78">
                  <v>0.769907927240063</v>
                </pt>
                <pt idx="79">
                  <v>0.798293285425556</v>
                </pt>
                <pt idx="80">
                  <v>0.866292387154727</v>
                </pt>
                <pt idx="81">
                  <v>0.788232652144622</v>
                </pt>
                <pt idx="82">
                  <v>0.828924320682686</v>
                </pt>
                <pt idx="83">
                  <v>0.877610599595778</v>
                </pt>
                <pt idx="84">
                  <v>0.884706939142151</v>
                </pt>
                <pt idx="85">
                  <v>0.88632382663373</v>
                </pt>
                <pt idx="86">
                  <v>0.969683359532899</v>
                </pt>
                <pt idx="87">
                  <v>0.965865708511116</v>
                </pt>
                <pt idx="88">
                  <v>0.957107567931731</v>
                </pt>
                <pt idx="89">
                  <v>0.9443072086234</v>
                </pt>
                <pt idx="90">
                  <v>1.00718616662924</v>
                </pt>
                <pt idx="91">
                  <v>1.03211318212441</v>
                </pt>
                <pt idx="92">
                  <v>1.07298450482821</v>
                </pt>
                <pt idx="93">
                  <v>1.14686728048507</v>
                </pt>
                <pt idx="94">
                  <v>1.19020884796766</v>
                </pt>
                <pt idx="95">
                  <v>1.29328542555581</v>
                </pt>
                <pt idx="96">
                  <v>0.944531790037089</v>
                </pt>
                <pt idx="97">
                  <v>0.949472238475115</v>
                </pt>
                <pt idx="98">
                  <v>0.964293720854445</v>
                </pt>
              </numCache>
            </numRef>
          </val>
          <smooth val="0"/>
        </ser>
        <ser>
          <idx val="5"/>
          <order val="5"/>
          <tx>
            <strRef>
              <f>'奢侈品 Normalized'!$G$2</f>
              <strCache>
                <ptCount val="1"/>
                <pt idx="0">
                  <v>SFER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Normalized'!$G$3:$G$101</f>
              <numCache>
                <formatCode>General</formatCode>
                <ptCount val="99"/>
                <pt idx="0">
                  <v>0.708798</v>
                </pt>
                <pt idx="1">
                  <v>0.83891</v>
                </pt>
                <pt idx="2">
                  <v>0.845105</v>
                </pt>
                <pt idx="3">
                  <v>0.827757</v>
                </pt>
                <pt idx="4">
                  <v>0.83891</v>
                </pt>
                <pt idx="5">
                  <v>0.83767</v>
                </pt>
                <pt idx="6">
                  <v>0.842627</v>
                </pt>
                <pt idx="7">
                  <v>0.827757</v>
                </pt>
                <pt idx="8">
                  <v>0.89715</v>
                </pt>
                <pt idx="9">
                  <v>0.947955</v>
                </pt>
                <pt idx="10">
                  <v>0.877323</v>
                </pt>
                <pt idx="11">
                  <v>0.9863690000000001</v>
                </pt>
                <pt idx="12">
                  <v>0.954151</v>
                </pt>
                <pt idx="13">
                  <v>0.97026</v>
                </pt>
                <pt idx="14">
                  <v>0.843866</v>
                </pt>
                <pt idx="15">
                  <v>0.847584</v>
                </pt>
                <pt idx="16">
                  <v>0.817844</v>
                </pt>
                <pt idx="17">
                  <v>0.768278</v>
                </pt>
                <pt idx="18">
                  <v>0.639405</v>
                </pt>
                <pt idx="19">
                  <v>0.643123</v>
                </pt>
                <pt idx="20">
                  <v>0.593556</v>
                </pt>
                <pt idx="21">
                  <v>0.684015</v>
                </pt>
                <pt idx="22">
                  <v>0.692689</v>
                </pt>
                <pt idx="23">
                  <v>0.752169</v>
                </pt>
                <pt idx="24">
                  <v>0.728625</v>
                </pt>
                <pt idx="25">
                  <v>0.701363</v>
                </pt>
                <pt idx="26">
                  <v>0.693928</v>
                </pt>
                <pt idx="27">
                  <v>0.664188</v>
                </pt>
                <pt idx="28">
                  <v>0.656753</v>
                </pt>
                <pt idx="29">
                  <v>0.610905</v>
                </pt>
                <pt idx="30">
                  <v>0.619579</v>
                </pt>
                <pt idx="31">
                  <v>0.639405</v>
                </pt>
                <pt idx="32">
                  <v>0.638166</v>
                </pt>
                <pt idx="33">
                  <v>0.634449</v>
                </pt>
                <pt idx="34">
                  <v>0.650558</v>
                </pt>
                <pt idx="35">
                  <v>0.591078</v>
                </pt>
                <pt idx="36">
                  <v>0.550186</v>
                </pt>
                <pt idx="37">
                  <v>0.55886</v>
                </pt>
                <pt idx="38">
                  <v>0.6009910000000001</v>
                </pt>
                <pt idx="39">
                  <v>0.57373</v>
                </pt>
                <pt idx="40">
                  <v>0.572491</v>
                </pt>
                <pt idx="41">
                  <v>0.577447</v>
                </pt>
                <pt idx="42">
                  <v>0.664188</v>
                </pt>
                <pt idx="43">
                  <v>0.669145</v>
                </pt>
                <pt idx="44">
                  <v>0.714994</v>
                </pt>
                <pt idx="45">
                  <v>0.705081</v>
                </pt>
                <pt idx="46">
                  <v>0.765799</v>
                </pt>
                <pt idx="47">
                  <v>0.898389</v>
                </pt>
                <pt idx="48">
                  <v>0.848823</v>
                </pt>
                <pt idx="49">
                  <v>0.938042</v>
                </pt>
                <pt idx="50">
                  <v>0.929368</v>
                </pt>
                <pt idx="51">
                  <v>0.947955</v>
                </pt>
                <pt idx="52">
                  <v>1</v>
                </pt>
                <pt idx="53">
                  <v>1.18356643356643</v>
                </pt>
                <pt idx="54">
                  <v>1.19230769230769</v>
                </pt>
                <pt idx="55">
                  <v>1.16783216783217</v>
                </pt>
                <pt idx="56">
                  <v>1.18356643356643</v>
                </pt>
                <pt idx="57">
                  <v>1.18181818181818</v>
                </pt>
                <pt idx="58">
                  <v>1.18881118881119</v>
                </pt>
                <pt idx="59">
                  <v>1.16783216783217</v>
                </pt>
                <pt idx="60">
                  <v>1.26573426573427</v>
                </pt>
                <pt idx="61">
                  <v>1.33741258741259</v>
                </pt>
                <pt idx="62">
                  <v>1.23776223776224</v>
                </pt>
                <pt idx="63">
                  <v>1.39160839160839</v>
                </pt>
                <pt idx="64">
                  <v>1.34615384615385</v>
                </pt>
                <pt idx="65">
                  <v>1.36888111888112</v>
                </pt>
                <pt idx="66">
                  <v>1.19055944055944</v>
                </pt>
                <pt idx="67">
                  <v>1.1958041958042</v>
                </pt>
                <pt idx="68">
                  <v>1.15384615384615</v>
                </pt>
                <pt idx="69">
                  <v>1.08391608391608</v>
                </pt>
                <pt idx="70">
                  <v>0.902097902097902</v>
                </pt>
                <pt idx="71">
                  <v>0.907342657342657</v>
                </pt>
                <pt idx="72">
                  <v>0.8374125874125879</v>
                </pt>
                <pt idx="73">
                  <v>0.965034965034965</v>
                </pt>
                <pt idx="74">
                  <v>0.977272727272727</v>
                </pt>
                <pt idx="75">
                  <v>1.06118881118881</v>
                </pt>
                <pt idx="76">
                  <v>1.02797202797203</v>
                </pt>
                <pt idx="77">
                  <v>0.98951048951049</v>
                </pt>
                <pt idx="78">
                  <v>0.979020979020979</v>
                </pt>
                <pt idx="79">
                  <v>0.937062937062937</v>
                </pt>
                <pt idx="80">
                  <v>0.926573426573427</v>
                </pt>
                <pt idx="81">
                  <v>0.861888111888112</v>
                </pt>
                <pt idx="82">
                  <v>0.8741258741258739</v>
                </pt>
                <pt idx="83">
                  <v>0.902097902097902</v>
                </pt>
                <pt idx="84">
                  <v>0.90034965034965</v>
                </pt>
                <pt idx="85">
                  <v>0.895104895104895</v>
                </pt>
                <pt idx="86">
                  <v>0.917832167832168</v>
                </pt>
                <pt idx="87">
                  <v>0.833916083916084</v>
                </pt>
                <pt idx="88">
                  <v>0.776223776223776</v>
                </pt>
                <pt idx="89">
                  <v>0.788461538461538</v>
                </pt>
                <pt idx="90">
                  <v>0.847902097902098</v>
                </pt>
                <pt idx="91">
                  <v>0.809440559440559</v>
                </pt>
                <pt idx="92">
                  <v>0.807692307692308</v>
                </pt>
                <pt idx="93">
                  <v>0.814685314685315</v>
                </pt>
                <pt idx="94">
                  <v>0.937062937062937</v>
                </pt>
                <pt idx="95">
                  <v>0.944055944055944</v>
                </pt>
                <pt idx="96">
                  <v>1.22814686981948</v>
                </pt>
                <pt idx="97">
                  <v>1.19405593071784</v>
                </pt>
                <pt idx="98">
                  <v>1.21153843152773</v>
                </pt>
              </numCache>
            </numRef>
          </val>
          <smooth val="0"/>
        </ser>
        <ser>
          <idx val="6"/>
          <order val="6"/>
          <tx>
            <strRef>
              <f>'奢侈品 Normalized'!$H$2</f>
              <strCache>
                <ptCount val="1"/>
                <pt idx="0">
                  <v>RACE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Normalized'!$H$3:$H$101</f>
              <numCache>
                <formatCode>General</formatCode>
                <ptCount val="99"/>
                <pt idx="0">
                  <v>1.130437</v>
                </pt>
                <pt idx="1">
                  <v>1.159073</v>
                </pt>
                <pt idx="2">
                  <v>1.1293</v>
                </pt>
                <pt idx="3">
                  <v>1.1117</v>
                </pt>
                <pt idx="4">
                  <v>1.102964</v>
                </pt>
                <pt idx="5">
                  <v>1.102964</v>
                </pt>
                <pt idx="6">
                  <v>1.081255</v>
                </pt>
                <pt idx="7">
                  <v>1.126483</v>
                </pt>
                <pt idx="8">
                  <v>1.117308</v>
                </pt>
                <pt idx="9">
                  <v>1.108573</v>
                </pt>
                <pt idx="10">
                  <v>1.190913</v>
                </pt>
                <pt idx="11">
                  <v>1.302148</v>
                </pt>
                <pt idx="12">
                  <v>1.290208</v>
                </pt>
                <pt idx="13">
                  <v>1.1997</v>
                </pt>
                <pt idx="14">
                  <v>1.12961</v>
                </pt>
                <pt idx="15">
                  <v>1.173856</v>
                </pt>
                <pt idx="16">
                  <v>1.126379</v>
                </pt>
                <pt idx="17">
                  <v>1.105833</v>
                </pt>
                <pt idx="18">
                  <v>1.030419</v>
                </pt>
                <pt idx="19">
                  <v>1.110097</v>
                </pt>
                <pt idx="20">
                  <v>1.123614</v>
                </pt>
                <pt idx="21">
                  <v>1.184194</v>
                </pt>
                <pt idx="22">
                  <v>1.205541</v>
                </pt>
                <pt idx="23">
                  <v>1.258005</v>
                </pt>
                <pt idx="24">
                  <v>1.286098</v>
                </pt>
                <pt idx="25">
                  <v>1.230765</v>
                </pt>
                <pt idx="26">
                  <v>1.240741</v>
                </pt>
                <pt idx="27">
                  <v>1.23826</v>
                </pt>
                <pt idx="28">
                  <v>1.201277</v>
                </pt>
                <pt idx="29">
                  <v>1.191637</v>
                </pt>
                <pt idx="30">
                  <v>1.268291</v>
                </pt>
                <pt idx="31">
                  <v>1.256868</v>
                </pt>
                <pt idx="32">
                  <v>1.26196</v>
                </pt>
                <pt idx="33">
                  <v>1.311193</v>
                </pt>
                <pt idx="34">
                  <v>1.311116</v>
                </pt>
                <pt idx="35">
                  <v>1.132815</v>
                </pt>
                <pt idx="36">
                  <v>1.140646</v>
                </pt>
                <pt idx="37">
                  <v>1.197038</v>
                </pt>
                <pt idx="38">
                  <v>1.208332</v>
                </pt>
                <pt idx="39">
                  <v>1.233324</v>
                </pt>
                <pt idx="40">
                  <v>1.237873</v>
                </pt>
                <pt idx="41">
                  <v>1.237795</v>
                </pt>
                <pt idx="42">
                  <v>1.234694</v>
                </pt>
                <pt idx="43">
                  <v>1.245807</v>
                </pt>
                <pt idx="44">
                  <v>1.270333</v>
                </pt>
                <pt idx="45">
                  <v>0.978782</v>
                </pt>
                <pt idx="46">
                  <v>1.029411</v>
                </pt>
                <pt idx="47">
                  <v>1.053059</v>
                </pt>
                <pt idx="48">
                  <v>1.013181</v>
                </pt>
                <pt idx="49">
                  <v>1.063241</v>
                </pt>
                <pt idx="50">
                  <v>1.047683</v>
                </pt>
                <pt idx="51">
                  <v>0.986173</v>
                </pt>
                <pt idx="52">
                  <v>1</v>
                </pt>
                <pt idx="53">
                  <v>1.02533150434385</v>
                </pt>
                <pt idx="54">
                  <v>0.998994055784179</v>
                </pt>
                <pt idx="55">
                  <v>0.983424782807499</v>
                </pt>
                <pt idx="56">
                  <v>0.975697302240512</v>
                </pt>
                <pt idx="57">
                  <v>0.975697302240512</v>
                </pt>
                <pt idx="58">
                  <v>0.956492912665752</v>
                </pt>
                <pt idx="59">
                  <v>0.996502057613169</v>
                </pt>
                <pt idx="60">
                  <v>0.988385916780979</v>
                </pt>
                <pt idx="61">
                  <v>0.980658436213992</v>
                </pt>
                <pt idx="62">
                  <v>1.05349794238683</v>
                </pt>
                <pt idx="63">
                  <v>1.15189757658893</v>
                </pt>
                <pt idx="64">
                  <v>1.14133516232282</v>
                </pt>
                <pt idx="65">
                  <v>1.0612711476909</v>
                </pt>
                <pt idx="66">
                  <v>0.999268404206676</v>
                </pt>
                <pt idx="67">
                  <v>1.03840877914952</v>
                </pt>
                <pt idx="68">
                  <v>0.996410608139003</v>
                </pt>
                <pt idx="69">
                  <v>0.9782350251486051</v>
                </pt>
                <pt idx="70">
                  <v>0.911522633744856</v>
                </pt>
                <pt idx="71">
                  <v>0.982007315957933</v>
                </pt>
                <pt idx="72">
                  <v>0.9939643347050759</v>
                </pt>
                <pt idx="73">
                  <v>1.04755372656607</v>
                </pt>
                <pt idx="74">
                  <v>1.06643804298125</v>
                </pt>
                <pt idx="75">
                  <v>1.11284865112026</v>
                </pt>
                <pt idx="76">
                  <v>1.13770004572474</v>
                </pt>
                <pt idx="77">
                  <v>1.08875171467764</v>
                </pt>
                <pt idx="78">
                  <v>1.09757658893461</v>
                </pt>
                <pt idx="79">
                  <v>1.09538180155464</v>
                </pt>
                <pt idx="80">
                  <v>1.06266575217193</v>
                </pt>
                <pt idx="81">
                  <v>1.05413808870599</v>
                </pt>
                <pt idx="82">
                  <v>1.12194787379973</v>
                </pt>
                <pt idx="83">
                  <v>1.11184270690444</v>
                </pt>
                <pt idx="84">
                  <v>1.11634659350709</v>
                </pt>
                <pt idx="85">
                  <v>1.15989940557842</v>
                </pt>
                <pt idx="86">
                  <v>1.15983081847279</v>
                </pt>
                <pt idx="87">
                  <v>1.00210333790581</v>
                </pt>
                <pt idx="88">
                  <v>1.00903063557385</v>
                </pt>
                <pt idx="89">
                  <v>1.05891632373114</v>
                </pt>
                <pt idx="90">
                  <v>1.06890717878372</v>
                </pt>
                <pt idx="91">
                  <v>1.09101508916324</v>
                </pt>
                <pt idx="92">
                  <v>1.09503886602652</v>
                </pt>
                <pt idx="93">
                  <v>1.0949702789209</v>
                </pt>
                <pt idx="94">
                  <v>1.09222679469593</v>
                </pt>
                <pt idx="95">
                  <v>1.10205761316872</v>
                </pt>
                <pt idx="96">
                  <v>0.887814326868463</v>
                </pt>
                <pt idx="97">
                  <v>0.891426620169432</v>
                </pt>
                <pt idx="98">
                  <v>0.891426620169432</v>
                </pt>
              </numCache>
            </numRef>
          </val>
          <smooth val="0"/>
        </ser>
        <ser>
          <idx val="7"/>
          <order val="7"/>
          <tx>
            <strRef>
              <f>'奢侈品 Normalized'!$I$2</f>
              <strCache>
                <ptCount val="1"/>
                <pt idx="0">
                  <v>RMS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Normalized'!$I$3:$I$101</f>
              <numCache>
                <formatCode>General</formatCode>
                <ptCount val="99"/>
                <pt idx="0">
                  <v>1.007452</v>
                </pt>
                <pt idx="1">
                  <v>1.061015</v>
                </pt>
                <pt idx="2">
                  <v>1.056823</v>
                </pt>
                <pt idx="3">
                  <v>1.072194</v>
                </pt>
                <pt idx="4">
                  <v>1.073591</v>
                </pt>
                <pt idx="5">
                  <v>1.088961</v>
                </pt>
                <pt idx="6">
                  <v>1.095948</v>
                </pt>
                <pt idx="7">
                  <v>1.163484</v>
                </pt>
                <pt idx="8">
                  <v>1.23987</v>
                </pt>
                <pt idx="9">
                  <v>1.266884</v>
                </pt>
                <pt idx="10">
                  <v>1.280857</v>
                </pt>
                <pt idx="11">
                  <v>1.308337</v>
                </pt>
                <pt idx="12">
                  <v>1.254774</v>
                </pt>
                <pt idx="13">
                  <v>1.273871</v>
                </pt>
                <pt idx="14">
                  <v>1.162087</v>
                </pt>
                <pt idx="15">
                  <v>1.157895</v>
                </pt>
                <pt idx="16">
                  <v>1.163484</v>
                </pt>
                <pt idx="17">
                  <v>1.122962</v>
                </pt>
                <pt idx="18">
                  <v>0.994411</v>
                </pt>
                <pt idx="19">
                  <v>1.094551</v>
                </pt>
                <pt idx="20">
                  <v>1.065207</v>
                </pt>
                <pt idx="21">
                  <v>1.11551</v>
                </pt>
                <pt idx="22">
                  <v>1.149045</v>
                </pt>
                <pt idx="23">
                  <v>1.18258</v>
                </pt>
                <pt idx="24">
                  <v>1.191896</v>
                </pt>
                <pt idx="25">
                  <v>1.112715</v>
                </pt>
                <pt idx="26">
                  <v>1.11551</v>
                </pt>
                <pt idx="27">
                  <v>1.082906</v>
                </pt>
                <pt idx="28">
                  <v>1.074057</v>
                </pt>
                <pt idx="29">
                  <v>1.054495</v>
                </pt>
                <pt idx="30">
                  <v>1.070796</v>
                </pt>
                <pt idx="31">
                  <v>1.117839</v>
                </pt>
                <pt idx="32">
                  <v>1.122031</v>
                </pt>
                <pt idx="33">
                  <v>1.084769</v>
                </pt>
                <pt idx="34">
                  <v>1.11225</v>
                </pt>
                <pt idx="35">
                  <v>0.976712</v>
                </pt>
                <pt idx="36">
                  <v>0.948766</v>
                </pt>
                <pt idx="37">
                  <v>0.965533</v>
                </pt>
                <pt idx="38">
                  <v>0.969259</v>
                </pt>
                <pt idx="39">
                  <v>0.960876</v>
                </pt>
                <pt idx="40">
                  <v>0.952026</v>
                </pt>
                <pt idx="41">
                  <v>0.98789</v>
                </pt>
                <pt idx="42">
                  <v>0.98463</v>
                </pt>
                <pt idx="43">
                  <v>0.986959</v>
                </pt>
                <pt idx="44">
                  <v>0.981835</v>
                </pt>
                <pt idx="45">
                  <v>0.951095</v>
                </pt>
                <pt idx="46">
                  <v>1.033069</v>
                </pt>
                <pt idx="47">
                  <v>1.027946</v>
                </pt>
                <pt idx="48">
                  <v>0.985561</v>
                </pt>
                <pt idx="49">
                  <v>0.971588</v>
                </pt>
                <pt idx="50">
                  <v>0.989753</v>
                </pt>
                <pt idx="51">
                  <v>0.9827669999999999</v>
                </pt>
                <pt idx="52">
                  <v>1</v>
                </pt>
                <pt idx="53">
                  <v>1.05316689782709</v>
                </pt>
                <pt idx="54">
                  <v>1.04900601017106</v>
                </pt>
                <pt idx="55">
                  <v>1.06426259824318</v>
                </pt>
                <pt idx="56">
                  <v>1.06564956079519</v>
                </pt>
                <pt idx="57">
                  <v>1.08090614886731</v>
                </pt>
                <pt idx="58">
                  <v>1.08784096162737</v>
                </pt>
                <pt idx="59">
                  <v>1.15487748497457</v>
                </pt>
                <pt idx="60">
                  <v>1.23069810448451</v>
                </pt>
                <pt idx="61">
                  <v>1.25751271382339</v>
                </pt>
                <pt idx="62">
                  <v>1.2713823393435</v>
                </pt>
                <pt idx="63">
                  <v>1.29865926953306</v>
                </pt>
                <pt idx="64">
                  <v>1.24549237170596</v>
                </pt>
                <pt idx="65">
                  <v>1.26444752658345</v>
                </pt>
                <pt idx="66">
                  <v>1.15349052242256</v>
                </pt>
                <pt idx="67">
                  <v>1.14932963476653</v>
                </pt>
                <pt idx="68">
                  <v>1.15487748497457</v>
                </pt>
                <pt idx="69">
                  <v>1.11465557096625</v>
                </pt>
                <pt idx="70">
                  <v>0.98705501618123</v>
                </pt>
                <pt idx="71">
                  <v>1.08645399907536</v>
                </pt>
                <pt idx="72">
                  <v>1.05732778548313</v>
                </pt>
                <pt idx="73">
                  <v>1.10725843735552</v>
                </pt>
                <pt idx="74">
                  <v>1.14054553860379</v>
                </pt>
                <pt idx="75">
                  <v>1.17383263985206</v>
                </pt>
                <pt idx="76">
                  <v>1.18307905686546</v>
                </pt>
                <pt idx="77">
                  <v>1.1044845122515</v>
                </pt>
                <pt idx="78">
                  <v>1.10725843735552</v>
                </pt>
                <pt idx="79">
                  <v>1.0748959778086</v>
                </pt>
                <pt idx="80">
                  <v>1.06611188164586</v>
                </pt>
                <pt idx="81">
                  <v>1.04669440591771</v>
                </pt>
                <pt idx="82">
                  <v>1.06287563569117</v>
                </pt>
                <pt idx="83">
                  <v>1.10957004160888</v>
                </pt>
                <pt idx="84">
                  <v>1.11373092926491</v>
                </pt>
                <pt idx="85">
                  <v>1.07674526121128</v>
                </pt>
                <pt idx="86">
                  <v>1.10402219140083</v>
                </pt>
                <pt idx="87">
                  <v>0.969486823855756</v>
                </pt>
                <pt idx="88">
                  <v>0.941747572815534</v>
                </pt>
                <pt idx="89">
                  <v>0.958391123439667</v>
                </pt>
                <pt idx="90">
                  <v>0.96208969024503</v>
                </pt>
                <pt idx="91">
                  <v>0.953767914932963</v>
                </pt>
                <pt idx="92">
                  <v>0.944983818770227</v>
                </pt>
                <pt idx="93">
                  <v>0.980582524271845</v>
                </pt>
                <pt idx="94">
                  <v>0.977346278317152</v>
                </pt>
                <pt idx="95">
                  <v>0.979657882570504</v>
                </pt>
                <pt idx="96">
                  <v>0.6007859454461399</v>
                </pt>
                <pt idx="97">
                  <v>0.593157651410079</v>
                </pt>
                <pt idx="98">
                  <v>0.605177993527508</v>
                </pt>
              </numCache>
            </numRef>
          </val>
          <smooth val="0"/>
        </ser>
        <ser>
          <idx val="8"/>
          <order val="8"/>
          <tx>
            <strRef>
              <f>'奢侈品 Normalized'!$J$2</f>
              <strCache>
                <ptCount val="1"/>
                <pt idx="0">
                  <v>MC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Normalized'!$J$3:$J$101</f>
              <numCache>
                <formatCode>General</formatCode>
                <ptCount val="99"/>
                <pt idx="0">
                  <v>0.943053</v>
                </pt>
                <pt idx="1">
                  <v>1.015404</v>
                </pt>
                <pt idx="2">
                  <v>0.982107</v>
                </pt>
                <pt idx="3">
                  <v>0.9789949999999999</v>
                </pt>
                <pt idx="4">
                  <v>0.97915</v>
                </pt>
                <pt idx="5">
                  <v>0.987397</v>
                </pt>
                <pt idx="6">
                  <v>1.005757</v>
                </pt>
                <pt idx="7">
                  <v>1.06286</v>
                </pt>
                <pt idx="8">
                  <v>1.17442</v>
                </pt>
                <pt idx="9">
                  <v>1.073751</v>
                </pt>
                <pt idx="10">
                  <v>1.066283</v>
                </pt>
                <pt idx="11">
                  <v>1.091489</v>
                </pt>
                <pt idx="12">
                  <v>1.076863</v>
                </pt>
                <pt idx="13">
                  <v>1.07484</v>
                </pt>
                <pt idx="14">
                  <v>0.980706</v>
                </pt>
                <pt idx="15">
                  <v>0.948654</v>
                </pt>
                <pt idx="16">
                  <v>0.927805</v>
                </pt>
                <pt idx="17">
                  <v>0.889529</v>
                </pt>
                <pt idx="18">
                  <v>0.789793</v>
                </pt>
                <pt idx="19">
                  <v>0.824802</v>
                </pt>
                <pt idx="20">
                  <v>0.755562</v>
                </pt>
                <pt idx="21">
                  <v>0.78108</v>
                </pt>
                <pt idx="22">
                  <v>0.765909</v>
                </pt>
                <pt idx="23">
                  <v>0.825424</v>
                </pt>
                <pt idx="24">
                  <v>0.77579</v>
                </pt>
                <pt idx="25">
                  <v>0.752217</v>
                </pt>
                <pt idx="26">
                  <v>0.742493</v>
                </pt>
                <pt idx="27">
                  <v>0.733702</v>
                </pt>
                <pt idx="28">
                  <v>0.727167</v>
                </pt>
                <pt idx="29">
                  <v>0.69986</v>
                </pt>
                <pt idx="30">
                  <v>0.691769</v>
                </pt>
                <pt idx="31">
                  <v>0.739614</v>
                </pt>
                <pt idx="32">
                  <v>0.746149</v>
                </pt>
                <pt idx="33">
                  <v>0.729423</v>
                </pt>
                <pt idx="34">
                  <v>0.761164</v>
                </pt>
                <pt idx="35">
                  <v>0.719309</v>
                </pt>
                <pt idx="36">
                  <v>0.712619</v>
                </pt>
                <pt idx="37">
                  <v>0.7403920000000001</v>
                </pt>
                <pt idx="38">
                  <v>0.759374</v>
                </pt>
                <pt idx="39">
                  <v>0.783725</v>
                </pt>
                <pt idx="40">
                  <v>0.7719780000000001</v>
                </pt>
                <pt idx="41">
                  <v>0.784503</v>
                </pt>
                <pt idx="42">
                  <v>0.788859</v>
                </pt>
                <pt idx="43">
                  <v>0.81391</v>
                </pt>
                <pt idx="44">
                  <v>0.840828</v>
                </pt>
                <pt idx="45">
                  <v>0.840828</v>
                </pt>
                <pt idx="46">
                  <v>0.952388</v>
                </pt>
                <pt idx="47">
                  <v>0.9514550000000001</v>
                </pt>
                <pt idx="48">
                  <v>0.959701</v>
                </pt>
                <pt idx="49">
                  <v>0.961413</v>
                </pt>
                <pt idx="50">
                  <v>0.970904</v>
                </pt>
                <pt idx="51">
                  <v>0.967325</v>
                </pt>
                <pt idx="52">
                  <v>1</v>
                </pt>
                <pt idx="53">
                  <v>1.07672001319914</v>
                </pt>
                <pt idx="54">
                  <v>1.04141230819997</v>
                </pt>
                <pt idx="55">
                  <v>1.03811252268603</v>
                </pt>
                <pt idx="56">
                  <v>1.03827751196172</v>
                </pt>
                <pt idx="57">
                  <v>1.04702194357367</v>
                </pt>
                <pt idx="58">
                  <v>1.06649067810592</v>
                </pt>
                <pt idx="59">
                  <v>1.12704174228675</v>
                </pt>
                <pt idx="60">
                  <v>1.24533905296156</v>
                </pt>
                <pt idx="61">
                  <v>1.13859099158555</v>
                </pt>
                <pt idx="62">
                  <v>1.13067150635209</v>
                </pt>
                <pt idx="63">
                  <v>1.15739976901501</v>
                </pt>
                <pt idx="64">
                  <v>1.14189077709949</v>
                </pt>
                <pt idx="65">
                  <v>1.13974591651543</v>
                </pt>
                <pt idx="66">
                  <v>1.03992740471869</v>
                </pt>
                <pt idx="67">
                  <v>1.00593961392509</v>
                </pt>
                <pt idx="68">
                  <v>0.983831050981686</v>
                </pt>
                <pt idx="69">
                  <v>0.943243689160205</v>
                </pt>
                <pt idx="70">
                  <v>0.837485563438377</v>
                </pt>
                <pt idx="71">
                  <v>0.874608150470219</v>
                </pt>
                <pt idx="72">
                  <v>0.801187922785019</v>
                </pt>
                <pt idx="73">
                  <v>0.82824616399934</v>
                </pt>
                <pt idx="74">
                  <v>0.812159709618875</v>
                </pt>
                <pt idx="75">
                  <v>0.875268107573008</v>
                </pt>
                <pt idx="76">
                  <v>0.822636528625639</v>
                </pt>
                <pt idx="77">
                  <v>0.797640653357532</v>
                </pt>
                <pt idx="78">
                  <v>0.7873288236264639</v>
                </pt>
                <pt idx="79">
                  <v>0.778006929549579</v>
                </pt>
                <pt idx="80">
                  <v>0.771077379970302</v>
                </pt>
                <pt idx="81">
                  <v>0.742121762085464</v>
                </pt>
                <pt idx="82">
                  <v>0.733542319749216</v>
                </pt>
                <pt idx="83">
                  <v>0.784276522026068</v>
                </pt>
                <pt idx="84">
                  <v>0.791206071605346</v>
                </pt>
                <pt idx="85">
                  <v>0.77346972446791</v>
                </pt>
                <pt idx="86">
                  <v>0.8071275367101139</v>
                </pt>
                <pt idx="87">
                  <v>0.7627454215475989</v>
                </pt>
                <pt idx="88">
                  <v>0.755650882692625</v>
                </pt>
                <pt idx="89">
                  <v>0.785101468404554</v>
                </pt>
                <pt idx="90">
                  <v>0.805230160039597</v>
                </pt>
                <pt idx="91">
                  <v>0.83105098168619</v>
                </pt>
                <pt idx="92">
                  <v>0.818594291371061</v>
                </pt>
                <pt idx="93">
                  <v>0.831875928064676</v>
                </pt>
                <pt idx="94">
                  <v>0.836495627784194</v>
                </pt>
                <pt idx="95">
                  <v>0.863058901171424</v>
                </pt>
                <pt idx="96">
                  <v>0.624566883011003</v>
                </pt>
                <pt idx="97">
                  <v>0.626959247648903</v>
                </pt>
                <pt idx="98">
                  <v>0.634053766363585</v>
                </pt>
              </numCache>
            </numRef>
          </val>
          <smooth val="0"/>
        </ser>
        <ser>
          <idx val="9"/>
          <order val="9"/>
          <tx>
            <strRef>
              <f>'奢侈品 Normalized'!$K$2</f>
              <strCache>
                <ptCount val="1"/>
                <pt idx="0">
                  <v>BRBY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Normalized'!$K$3:$K$101</f>
              <numCache>
                <formatCode>General</formatCode>
                <ptCount val="99"/>
                <pt idx="0">
                  <v>0.782847</v>
                </pt>
                <pt idx="1">
                  <v>0.831904</v>
                </pt>
                <pt idx="2">
                  <v>0.817153</v>
                </pt>
                <pt idx="3">
                  <v>0.832075</v>
                </pt>
                <pt idx="4">
                  <v>0.825386</v>
                </pt>
                <pt idx="5">
                  <v>0.817839</v>
                </pt>
                <pt idx="6">
                  <v>0.830189</v>
                </pt>
                <pt idx="7">
                  <v>0.834305</v>
                </pt>
                <pt idx="8">
                  <v>0.971698</v>
                </pt>
                <pt idx="9">
                  <v>1.021441</v>
                </pt>
                <pt idx="10">
                  <v>1.015866</v>
                </pt>
                <pt idx="11">
                  <v>0.9905659999999999</v>
                </pt>
                <pt idx="12">
                  <v>0.876501</v>
                </pt>
                <pt idx="13">
                  <v>0.950257</v>
                </pt>
                <pt idx="14">
                  <v>0.861492</v>
                </pt>
                <pt idx="15">
                  <v>0.778559</v>
                </pt>
                <pt idx="16">
                  <v>0.716981</v>
                </pt>
                <pt idx="17">
                  <v>0.661921</v>
                </pt>
                <pt idx="18">
                  <v>0.548027</v>
                </pt>
                <pt idx="19">
                  <v>0.588679</v>
                </pt>
                <pt idx="20">
                  <v>0.561063</v>
                </pt>
                <pt idx="21">
                  <v>0.624185</v>
                </pt>
                <pt idx="22">
                  <v>0.623328</v>
                </pt>
                <pt idx="23">
                  <v>0.6835329999999999</v>
                </pt>
                <pt idx="24">
                  <v>0.867067</v>
                </pt>
                <pt idx="25">
                  <v>0.824871</v>
                </pt>
                <pt idx="26">
                  <v>0.896226</v>
                </pt>
                <pt idx="27">
                  <v>0.922813</v>
                </pt>
                <pt idx="28">
                  <v>0.95283</v>
                </pt>
                <pt idx="29">
                  <v>0.857633</v>
                </pt>
                <pt idx="30">
                  <v>1.013722</v>
                </pt>
                <pt idx="31">
                  <v>1.077187</v>
                </pt>
                <pt idx="32">
                  <v>1.059605</v>
                </pt>
                <pt idx="33">
                  <v>1.120069</v>
                </pt>
                <pt idx="34">
                  <v>1.176244</v>
                </pt>
                <pt idx="35">
                  <v>1.104202</v>
                </pt>
                <pt idx="36">
                  <v>0.981132</v>
                </pt>
                <pt idx="37">
                  <v>0.954974</v>
                </pt>
                <pt idx="38">
                  <v>1.048885</v>
                </pt>
                <pt idx="39">
                  <v>1.070326</v>
                </pt>
                <pt idx="40">
                  <v>1.090909</v>
                </pt>
                <pt idx="41">
                  <v>0.919383</v>
                </pt>
                <pt idx="42">
                  <v>0.961835</v>
                </pt>
                <pt idx="43">
                  <v>1.005575</v>
                </pt>
                <pt idx="44">
                  <v>1.030875</v>
                </pt>
                <pt idx="45">
                  <v>1.014151</v>
                </pt>
                <pt idx="46">
                  <v>1.05789</v>
                </pt>
                <pt idx="47">
                  <v>1.136792</v>
                </pt>
                <pt idx="48">
                  <v>1.042024</v>
                </pt>
                <pt idx="49">
                  <v>1.014151</v>
                </pt>
                <pt idx="50">
                  <v>0.986707</v>
                </pt>
                <pt idx="51">
                  <v>0.957118</v>
                </pt>
                <pt idx="52">
                  <v>1</v>
                </pt>
                <pt idx="53">
                  <v>1.0626643295355</v>
                </pt>
                <pt idx="54">
                  <v>1.04382120946538</v>
                </pt>
                <pt idx="55">
                  <v>1.06288343558282</v>
                </pt>
                <pt idx="56">
                  <v>1.05433829973707</v>
                </pt>
                <pt idx="57">
                  <v>1.04469763365469</v>
                </pt>
                <pt idx="58">
                  <v>1.06047326906223</v>
                </pt>
                <pt idx="59">
                  <v>1.06573181419807</v>
                </pt>
                <pt idx="60">
                  <v>1.24123575810692</v>
                </pt>
                <pt idx="61">
                  <v>1.30477651183173</v>
                </pt>
                <pt idx="62">
                  <v>1.2976555652936</v>
                </pt>
                <pt idx="63">
                  <v>1.26533742331288</v>
                </pt>
                <pt idx="64">
                  <v>1.11963190184049</v>
                </pt>
                <pt idx="65">
                  <v>1.21384750219106</v>
                </pt>
                <pt idx="66">
                  <v>1.10046012269939</v>
                </pt>
                <pt idx="67">
                  <v>0.994522348816827</v>
                </pt>
                <pt idx="68">
                  <v>0.915863277826468</v>
                </pt>
                <pt idx="69">
                  <v>0.845530236634531</v>
                </pt>
                <pt idx="70">
                  <v>0.700043821209465</v>
                </pt>
                <pt idx="71">
                  <v>0.751971954425942</v>
                </pt>
                <pt idx="72">
                  <v>0.71669588080631</v>
                </pt>
                <pt idx="73">
                  <v>0.797326906222612</v>
                </pt>
                <pt idx="74">
                  <v>0.796231375985977</v>
                </pt>
                <pt idx="75">
                  <v>0.873137598597721</v>
                </pt>
                <pt idx="76">
                  <v>1.10758106923751</v>
                </pt>
                <pt idx="77">
                  <v>1.05368098159509</v>
                </pt>
                <pt idx="78">
                  <v>1.14482909728309</v>
                </pt>
                <pt idx="79">
                  <v>1.17879053461876</v>
                </pt>
                <pt idx="80">
                  <v>1.21713409290096</v>
                </pt>
                <pt idx="81">
                  <v>1.09553023663453</v>
                </pt>
                <pt idx="82">
                  <v>1.29491673970202</v>
                </pt>
                <pt idx="83">
                  <v>1.37598597721297</v>
                </pt>
                <pt idx="84">
                  <v>1.35352760736196</v>
                </pt>
                <pt idx="85">
                  <v>1.4307624890447</v>
                </pt>
                <pt idx="86">
                  <v>1.50251971954426</v>
                </pt>
                <pt idx="87">
                  <v>1.41049517966696</v>
                </pt>
                <pt idx="88">
                  <v>1.2532865907099</v>
                </pt>
                <pt idx="89">
                  <v>1.21987291849255</v>
                </pt>
                <pt idx="90">
                  <v>1.33983347940403</v>
                </pt>
                <pt idx="91">
                  <v>1.36722173531989</v>
                </pt>
                <pt idx="92">
                  <v>1.39351446099912</v>
                </pt>
                <pt idx="93">
                  <v>1.17440841367222</v>
                </pt>
                <pt idx="94">
                  <v>1.22863716038563</v>
                </pt>
                <pt idx="95">
                  <v>1.28450920245399</v>
                </pt>
                <pt idx="96">
                  <v>1.10703330411919</v>
                </pt>
                <pt idx="97">
                  <v>1.12237072743208</v>
                </pt>
                <pt idx="98">
                  <v>1.13551709027169</v>
                </pt>
              </numCache>
            </numRef>
          </val>
          <smooth val="0"/>
        </ser>
        <ser>
          <idx val="10"/>
          <order val="10"/>
          <tx>
            <strRef>
              <f>'奢侈品 Normalized'!$L$2</f>
              <strCache>
                <ptCount val="1"/>
                <pt idx="0">
                  <v>CPRI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Normalized'!$L$3:$L$101</f>
              <numCache>
                <formatCode>General</formatCode>
                <ptCount val="99"/>
                <pt idx="0">
                  <v>0.927778</v>
                </pt>
                <pt idx="1">
                  <v>0.884921</v>
                </pt>
                <pt idx="2">
                  <v>0.878968</v>
                </pt>
                <pt idx="3">
                  <v>0.847222</v>
                </pt>
                <pt idx="4">
                  <v>0.814286</v>
                </pt>
                <pt idx="5">
                  <v>0.868651</v>
                </pt>
                <pt idx="6">
                  <v>0.943651</v>
                </pt>
                <pt idx="7">
                  <v>0.945238</v>
                </pt>
                <pt idx="8">
                  <v>1.005556</v>
                </pt>
                <pt idx="9">
                  <v>0.950397</v>
                </pt>
                <pt idx="10">
                  <v>0.8722220000000001</v>
                </pt>
                <pt idx="11">
                  <v>0.89127</v>
                </pt>
                <pt idx="12">
                  <v>0.842063</v>
                </pt>
                <pt idx="13">
                  <v>0.905952</v>
                </pt>
                <pt idx="14">
                  <v>0.754762</v>
                </pt>
                <pt idx="15">
                  <v>0.846429</v>
                </pt>
                <pt idx="16">
                  <v>0.844048</v>
                </pt>
                <pt idx="17">
                  <v>0.782936</v>
                </pt>
                <pt idx="18">
                  <v>0.551984</v>
                </pt>
                <pt idx="19">
                  <v>0.571429</v>
                </pt>
                <pt idx="20">
                  <v>0.542063</v>
                </pt>
                <pt idx="21">
                  <v>0.6023810000000001</v>
                </pt>
                <pt idx="22">
                  <v>0.6115080000000001</v>
                </pt>
                <pt idx="23">
                  <v>0.732143</v>
                </pt>
                <pt idx="24">
                  <v>0.723016</v>
                </pt>
                <pt idx="25">
                  <v>0.666667</v>
                </pt>
                <pt idx="26">
                  <v>0.690476</v>
                </pt>
                <pt idx="27">
                  <v>0.690873</v>
                </pt>
                <pt idx="28">
                  <v>0.690476</v>
                </pt>
                <pt idx="29">
                  <v>0.665873</v>
                </pt>
                <pt idx="30">
                  <v>0.702381</v>
                </pt>
                <pt idx="31">
                  <v>0.734127</v>
                </pt>
                <pt idx="32">
                  <v>0.761111</v>
                </pt>
                <pt idx="33">
                  <v>0.770238</v>
                </pt>
                <pt idx="34">
                  <v>0.7833329999999999</v>
                </pt>
                <pt idx="35">
                  <v>0.726587</v>
                </pt>
                <pt idx="36">
                  <v>0.770635</v>
                </pt>
                <pt idx="37">
                  <v>0.813492</v>
                </pt>
                <pt idx="38">
                  <v>0.846429</v>
                </pt>
                <pt idx="39">
                  <v>0.817063</v>
                </pt>
                <pt idx="40">
                  <v>0.812302</v>
                </pt>
                <pt idx="41">
                  <v>0.859921</v>
                </pt>
                <pt idx="42">
                  <v>0.795635</v>
                </pt>
                <pt idx="43">
                  <v>0.781349</v>
                </pt>
                <pt idx="44">
                  <v>0.840476</v>
                </pt>
                <pt idx="45">
                  <v>0.792857</v>
                </pt>
                <pt idx="46">
                  <v>0.850397</v>
                </pt>
                <pt idx="47">
                  <v>0.894444</v>
                </pt>
                <pt idx="48">
                  <v>0.822222</v>
                </pt>
                <pt idx="49">
                  <v>0.857936</v>
                </pt>
                <pt idx="50">
                  <v>0.861111</v>
                </pt>
                <pt idx="51">
                  <v>0.952381</v>
                </pt>
                <pt idx="52">
                  <v>1</v>
                </pt>
                <pt idx="53">
                  <v>0.953806672369547</v>
                </pt>
                <pt idx="54">
                  <v>0.947390932420872</v>
                </pt>
                <pt idx="55">
                  <v>0.913173652694611</v>
                </pt>
                <pt idx="56">
                  <v>0.877673224978614</v>
                </pt>
                <pt idx="57">
                  <v>0.9362703165098371</v>
                </pt>
                <pt idx="58">
                  <v>1.01710863986313</v>
                </pt>
                <pt idx="59">
                  <v>1.01881950384944</v>
                </pt>
                <pt idx="60">
                  <v>1.08383233532934</v>
                </pt>
                <pt idx="61">
                  <v>1.02437981180496</v>
                </pt>
                <pt idx="62">
                  <v>0.940119760479042</v>
                </pt>
                <pt idx="63">
                  <v>0.960650128314799</v>
                </pt>
                <pt idx="64">
                  <v>0.9076133447390931</v>
                </pt>
                <pt idx="65">
                  <v>0.976475620188195</v>
                </pt>
                <pt idx="66">
                  <v>0.813515825491873</v>
                </pt>
                <pt idx="67">
                  <v>0.912318220701454</v>
                </pt>
                <pt idx="68">
                  <v>0.909751924721985</v>
                </pt>
                <pt idx="69">
                  <v>0.843883661248931</v>
                </pt>
                <pt idx="70">
                  <v>0.5949529512403759</v>
                </pt>
                <pt idx="71">
                  <v>0.6159110350727121</v>
                </pt>
                <pt idx="72">
                  <v>0.58426005132592</v>
                </pt>
                <pt idx="73">
                  <v>0.649272882805817</v>
                </pt>
                <pt idx="74">
                  <v>0.659110350727117</v>
                </pt>
                <pt idx="75">
                  <v>0.789136013686912</v>
                </pt>
                <pt idx="76">
                  <v>0.779298545765612</v>
                </pt>
                <pt idx="77">
                  <v>0.718562874251497</v>
                </pt>
                <pt idx="78">
                  <v>0.744225834046193</v>
                </pt>
                <pt idx="79">
                  <v>0.744653550042772</v>
                </pt>
                <pt idx="80">
                  <v>0.744225834046193</v>
                </pt>
                <pt idx="81">
                  <v>0.71770744225834</v>
                </pt>
                <pt idx="82">
                  <v>0.757057313943541</v>
                </pt>
                <pt idx="83">
                  <v>0.791274593669803</v>
                </pt>
                <pt idx="84">
                  <v>0.820359281437126</v>
                </pt>
                <pt idx="85">
                  <v>0.830196749358426</v>
                </pt>
                <pt idx="86">
                  <v>0.844311377245509</v>
                </pt>
                <pt idx="87">
                  <v>0.783147989734816</v>
                </pt>
                <pt idx="88">
                  <v>0.830624465355004</v>
                </pt>
                <pt idx="89">
                  <v>0.876817792985458</v>
                </pt>
                <pt idx="90">
                  <v>0.912318220701454</v>
                </pt>
                <pt idx="91">
                  <v>0.880667236954662</v>
                </pt>
                <pt idx="92">
                  <v>0.875534644995723</v>
                </pt>
                <pt idx="93">
                  <v>0.926860564585116</v>
                </pt>
                <pt idx="94">
                  <v>0.857570573139436</v>
                </pt>
                <pt idx="95">
                  <v>0.842172797262618</v>
                </pt>
                <pt idx="96">
                  <v>0.617621881111347</v>
                </pt>
                <pt idx="97">
                  <v>0.639435406726482</v>
                </pt>
                <pt idx="98">
                  <v>0.639435406726482</v>
                </pt>
              </numCache>
            </numRef>
          </val>
          <smooth val="0"/>
        </ser>
        <ser>
          <idx val="11"/>
          <order val="11"/>
          <tx>
            <strRef>
              <f>'奢侈品 Normalized'!$M$2</f>
              <strCache>
                <ptCount val="1"/>
                <pt idx="0">
                  <v>PVH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Normalized'!$M$3:$M$101</f>
              <numCache>
                <formatCode>General</formatCode>
                <ptCount val="99"/>
                <pt idx="0">
                  <v>1.304047</v>
                </pt>
                <pt idx="1">
                  <v>1.267683</v>
                </pt>
                <pt idx="2">
                  <v>1.293138</v>
                </pt>
                <pt idx="3">
                  <v>1.260293</v>
                </pt>
                <pt idx="4">
                  <v>1.24</v>
                </pt>
                <pt idx="5">
                  <v>1.264282</v>
                </pt>
                <pt idx="6">
                  <v>1.144985</v>
                </pt>
                <pt idx="7">
                  <v>1.088328</v>
                </pt>
                <pt idx="8">
                  <v>1.060293</v>
                </pt>
                <pt idx="9">
                  <v>0.977361</v>
                </pt>
                <pt idx="10">
                  <v>0.907918</v>
                </pt>
                <pt idx="11">
                  <v>0.911554</v>
                </pt>
                <pt idx="12">
                  <v>0.9212900000000001</v>
                </pt>
                <pt idx="13">
                  <v>0.835777</v>
                </pt>
                <pt idx="14">
                  <v>0.821818</v>
                </pt>
                <pt idx="15">
                  <v>0.766804</v>
                </pt>
                <pt idx="16">
                  <v>0.812903</v>
                </pt>
                <pt idx="17">
                  <v>0.75824</v>
                </pt>
                <pt idx="18">
                  <v>0.773959</v>
                </pt>
                <pt idx="19">
                  <v>0.824516</v>
                </pt>
                <pt idx="20">
                  <v>0.814076</v>
                </pt>
                <pt idx="21">
                  <v>0.834135</v>
                </pt>
                <pt idx="22">
                  <v>0.839765</v>
                </pt>
                <pt idx="23">
                  <v>0.925982</v>
                </pt>
                <pt idx="24">
                  <v>0.993666</v>
                </pt>
                <pt idx="25">
                  <v>0.9617599999999999</v>
                </pt>
                <pt idx="26">
                  <v>0.963402</v>
                </pt>
                <pt idx="27">
                  <v>0.766217</v>
                </pt>
                <pt idx="28">
                  <v>0.764223</v>
                </pt>
                <pt idx="29">
                  <v>0.742405</v>
                </pt>
                <pt idx="30">
                  <v>0.804692</v>
                </pt>
                <pt idx="31">
                  <v>0.85654</v>
                </pt>
                <pt idx="32">
                  <v>0.84868</v>
                </pt>
                <pt idx="33">
                  <v>0.859472</v>
                </pt>
                <pt idx="34">
                  <v>0.902405</v>
                </pt>
                <pt idx="35">
                  <v>0.873548</v>
                </pt>
                <pt idx="36">
                  <v>0.8426979999999999</v>
                </pt>
                <pt idx="37">
                  <v>0.894311</v>
                </pt>
                <pt idx="38">
                  <v>0.957185</v>
                </pt>
                <pt idx="39">
                  <v>0.9890910000000001</v>
                </pt>
                <pt idx="40">
                  <v>0.99261</v>
                </pt>
                <pt idx="41">
                  <v>0.985572</v>
                </pt>
                <pt idx="42">
                  <v>0.9980059999999999</v>
                </pt>
                <pt idx="43">
                  <v>0.99566</v>
                </pt>
                <pt idx="44">
                  <v>0.998358</v>
                </pt>
                <pt idx="45">
                  <v>0.9393550000000001</v>
                </pt>
                <pt idx="46">
                  <v>0.96305</v>
                </pt>
                <pt idx="47">
                  <v>1.002815</v>
                </pt>
                <pt idx="48">
                  <v>0.899472</v>
                </pt>
                <pt idx="49">
                  <v>0.897713</v>
                </pt>
                <pt idx="50">
                  <v>0.8924339999999999</v>
                </pt>
                <pt idx="51">
                  <v>0.913314</v>
                </pt>
                <pt idx="52">
                  <v>1</v>
                </pt>
                <pt idx="53">
                  <v>0.972114779167041</v>
                </pt>
                <pt idx="54">
                  <v>0.991634433750112</v>
                </pt>
                <pt idx="55">
                  <v>0.9664477826751821</v>
                </pt>
                <pt idx="56">
                  <v>0.950886030403886</v>
                </pt>
                <pt idx="57">
                  <v>0.9695061617342809</v>
                </pt>
                <pt idx="58">
                  <v>0.878024646937123</v>
                </pt>
                <pt idx="59">
                  <v>0.834577673832869</v>
                </pt>
                <pt idx="60">
                  <v>0.81307906809391</v>
                </pt>
                <pt idx="61">
                  <v>0.749482774129711</v>
                </pt>
                <pt idx="62">
                  <v>0.696230997571287</v>
                </pt>
                <pt idx="63">
                  <v>0.699019519654583</v>
                </pt>
                <pt idx="64">
                  <v>0.706485562651795</v>
                </pt>
                <pt idx="65">
                  <v>0.640910317531708</v>
                </pt>
                <pt idx="66">
                  <v>0.6302059908248629</v>
                </pt>
                <pt idx="67">
                  <v>0.588018350274355</v>
                </pt>
                <pt idx="68">
                  <v>0.623369614104525</v>
                </pt>
                <pt idx="69">
                  <v>0.581451830529819</v>
                </pt>
                <pt idx="70">
                  <v>0.593505442115679</v>
                </pt>
                <pt idx="71">
                  <v>0.632274894306018</v>
                </pt>
                <pt idx="72">
                  <v>0.624269137357201</v>
                </pt>
                <pt idx="73">
                  <v>0.639650984977962</v>
                </pt>
                <pt idx="74">
                  <v>0.643968696590807</v>
                </pt>
                <pt idx="75">
                  <v>0.710083655662499</v>
                </pt>
                <pt idx="76">
                  <v>0.7619861473419089</v>
                </pt>
                <pt idx="77">
                  <v>0.737519114869119</v>
                </pt>
                <pt idx="78">
                  <v>0.738778447422866</v>
                </pt>
                <pt idx="79">
                  <v>0.587568588648017</v>
                </pt>
                <pt idx="80">
                  <v>0.586039399118467</v>
                </pt>
                <pt idx="81">
                  <v>0.569308266618692</v>
                </pt>
                <pt idx="82">
                  <v>0.617072951335792</v>
                </pt>
                <pt idx="83">
                  <v>0.656831879104075</v>
                </pt>
                <pt idx="84">
                  <v>0.650805073311145</v>
                </pt>
                <pt idx="85">
                  <v>0.659080687235765</v>
                </pt>
                <pt idx="86">
                  <v>0.69200323828371</v>
                </pt>
                <pt idx="87">
                  <v>0.669874966267878</v>
                </pt>
                <pt idx="88">
                  <v>0.6462175047224969</v>
                </pt>
                <pt idx="89">
                  <v>0.685796527840245</v>
                </pt>
                <pt idx="90">
                  <v>0.734010974183683</v>
                </pt>
                <pt idx="91">
                  <v>0.758478006656472</v>
                </pt>
                <pt idx="92">
                  <v>0.7611765764145</v>
                </pt>
                <pt idx="93">
                  <v>0.755779436898444</v>
                </pt>
                <pt idx="94">
                  <v>0.76531438337681</v>
                </pt>
                <pt idx="95">
                  <v>0.763515336871458</v>
                </pt>
                <pt idx="96">
                  <v>0.679409901765736</v>
                </pt>
                <pt idx="97">
                  <v>0.731762152326357</v>
                </pt>
                <pt idx="98">
                  <v>0.731762152326357</v>
                </pt>
              </numCache>
            </numRef>
          </val>
          <smooth val="0"/>
        </ser>
        <ser>
          <idx val="12"/>
          <order val="12"/>
          <tx>
            <strRef>
              <f>'奢侈品 Normalized'!$N$2</f>
              <strCache>
                <ptCount val="1"/>
                <pt idx="0">
                  <v>TPR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1">
                  <a:tint val="65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Normalized'!$N$3:$N$101</f>
              <numCache>
                <formatCode>General</formatCode>
                <ptCount val="99"/>
                <pt idx="0">
                  <v>0.576093</v>
                </pt>
                <pt idx="1">
                  <v>0.555486</v>
                </pt>
                <pt idx="2">
                  <v>0.572703</v>
                </pt>
                <pt idx="3">
                  <v>0.577431</v>
                </pt>
                <pt idx="4">
                  <v>0.587154</v>
                </pt>
                <pt idx="5">
                  <v>0.603568</v>
                </pt>
                <pt idx="6">
                  <v>0.59545</v>
                </pt>
                <pt idx="7">
                  <v>0.636842</v>
                </pt>
                <pt idx="8">
                  <v>0.646833</v>
                </pt>
                <pt idx="9">
                  <v>0.655932</v>
                </pt>
                <pt idx="10">
                  <v>0.705174</v>
                </pt>
                <pt idx="11">
                  <v>0.7823369999999999</v>
                </pt>
                <pt idx="12">
                  <v>0.75281</v>
                </pt>
                <pt idx="13">
                  <v>0.750134</v>
                </pt>
                <pt idx="14">
                  <v>0.630687</v>
                </pt>
                <pt idx="15">
                  <v>0.6353259999999999</v>
                </pt>
                <pt idx="16">
                  <v>0.675468</v>
                </pt>
                <pt idx="17">
                  <v>0.6281</v>
                </pt>
                <pt idx="18">
                  <v>0.561909</v>
                </pt>
                <pt idx="19">
                  <v>0.568956</v>
                </pt>
                <pt idx="20">
                  <v>0.563604</v>
                </pt>
                <pt idx="21">
                  <v>0.617841</v>
                </pt>
                <pt idx="22">
                  <v>0.653791</v>
                </pt>
                <pt idx="23">
                  <v>0.7373769999999999</v>
                </pt>
                <pt idx="24">
                  <v>0.7347900000000001</v>
                </pt>
                <pt idx="25">
                  <v>0.685727</v>
                </pt>
                <pt idx="26">
                  <v>0.700803</v>
                </pt>
                <pt idx="27">
                  <v>0.707047</v>
                </pt>
                <pt idx="28">
                  <v>0.75165</v>
                </pt>
                <pt idx="29">
                  <v>0.764942</v>
                </pt>
                <pt idx="30">
                  <v>0.783318</v>
                </pt>
                <pt idx="31">
                  <v>0.824889</v>
                </pt>
                <pt idx="32">
                  <v>0.905888</v>
                </pt>
                <pt idx="33">
                  <v>0.949242</v>
                </pt>
                <pt idx="34">
                  <v>0.985013</v>
                </pt>
                <pt idx="35">
                  <v>0.998127</v>
                </pt>
                <pt idx="36">
                  <v>0.963069</v>
                </pt>
                <pt idx="37">
                  <v>0.891258</v>
                </pt>
                <pt idx="38">
                  <v>0.878412</v>
                </pt>
                <pt idx="39">
                  <v>0.908296</v>
                </pt>
                <pt idx="40">
                  <v>0.9350579999999999</v>
                </pt>
                <pt idx="41">
                  <v>0.982783</v>
                </pt>
                <pt idx="42">
                  <v>1.015879</v>
                </pt>
                <pt idx="43">
                  <v>0.994291</v>
                </pt>
                <pt idx="44">
                  <v>1.030241</v>
                </pt>
                <pt idx="45">
                  <v>1.017484</v>
                </pt>
                <pt idx="46">
                  <v>1.037823</v>
                </pt>
                <pt idx="47">
                  <v>1.025602</v>
                </pt>
                <pt idx="48">
                  <v>0.948528</v>
                </pt>
                <pt idx="49">
                  <v>0.946298</v>
                </pt>
                <pt idx="50">
                  <v>0.907583</v>
                </pt>
                <pt idx="51">
                  <v>0.942819</v>
                </pt>
                <pt idx="52">
                  <v>1</v>
                </pt>
                <pt idx="53">
                  <v>0.964230411892227</v>
                </pt>
                <pt idx="54">
                  <v>0.994115825332921</v>
                </pt>
                <pt idx="55">
                  <v>1.00232270052648</v>
                </pt>
                <pt idx="56">
                  <v>1.01920099101889</v>
                </pt>
                <pt idx="57">
                  <v>1.0476927841437</v>
                </pt>
                <pt idx="58">
                  <v>1.03360173428306</v>
                </pt>
                <pt idx="59">
                  <v>1.10545060390214</v>
                </pt>
                <pt idx="60">
                  <v>1.12279343449985</v>
                </pt>
                <pt idx="61">
                  <v>1.1385877980799</v>
                </pt>
                <pt idx="62">
                  <v>1.22406317745432</v>
                </pt>
                <pt idx="63">
                  <v>1.35800557448126</v>
                </pt>
                <pt idx="64">
                  <v>1.30675131619697</v>
                </pt>
                <pt idx="65">
                  <v>1.30210591514401</v>
                </pt>
                <pt idx="66">
                  <v>1.09476618148033</v>
                </pt>
                <pt idx="67">
                  <v>1.10281820997213</v>
                </pt>
                <pt idx="68">
                  <v>1.17249922576649</v>
                </pt>
                <pt idx="69">
                  <v>1.09027562712914</v>
                </pt>
                <pt idx="70">
                  <v>0.975379374419325</v>
                </pt>
                <pt idx="71">
                  <v>0.98761226385878</v>
                </pt>
                <pt idx="72">
                  <v>0.9783214617528651</v>
                </pt>
                <pt idx="73">
                  <v>1.07246825642614</v>
                </pt>
                <pt idx="74">
                  <v>1.13487147723754</v>
                </pt>
                <pt idx="75">
                  <v>1.27996283679158</v>
                </pt>
                <pt idx="76">
                  <v>1.27547228244038</v>
                </pt>
                <pt idx="77">
                  <v>1.1903065964695</v>
                </pt>
                <pt idx="78">
                  <v>1.21647568906782</v>
                </pt>
                <pt idx="79">
                  <v>1.22731495819139</v>
                </pt>
                <pt idx="80">
                  <v>1.30473830907402</v>
                </pt>
                <pt idx="81">
                  <v>1.32781046763704</v>
                </pt>
                <pt idx="82">
                  <v>1.35970888820068</v>
                </pt>
                <pt idx="83">
                  <v>1.43186745122329</v>
                </pt>
                <pt idx="84">
                  <v>1.57246825642614</v>
                </pt>
                <pt idx="85">
                  <v>1.64772375348405</v>
                </pt>
                <pt idx="86">
                  <v>1.70981728089192</v>
                </pt>
                <pt idx="87">
                  <v>1.73257974605141</v>
                </pt>
                <pt idx="88">
                  <v>1.67172499225766</v>
                </pt>
                <pt idx="89">
                  <v>1.54707339733664</v>
                </pt>
                <pt idx="90">
                  <v>1.52477547228244</v>
                </pt>
                <pt idx="91">
                  <v>1.5766491173738</v>
                </pt>
                <pt idx="92">
                  <v>1.62310312790338</v>
                </pt>
                <pt idx="93">
                  <v>1.70594611334779</v>
                </pt>
                <pt idx="94">
                  <v>1.76339423970269</v>
                </pt>
                <pt idx="95">
                  <v>1.7259213378755</v>
                </pt>
                <pt idx="96">
                  <v>1.82904928378108</v>
                </pt>
                <pt idx="97">
                  <v>1.79993802824047</v>
                </pt>
                <pt idx="98">
                  <v>1.79993802824047</v>
                </pt>
              </numCache>
            </numRef>
          </val>
          <smooth val="0"/>
        </ser>
        <ser>
          <idx val="13"/>
          <order val="13"/>
          <tx>
            <strRef>
              <f>'奢侈品 Normalized'!$O$2</f>
              <strCache>
                <ptCount val="1"/>
                <pt idx="0">
                  <v>GOOS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2">
                  <a:tint val="65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Normalized'!$O$3:$O$101</f>
              <numCache>
                <formatCode>General</formatCode>
                <ptCount val="99"/>
                <pt idx="0">
                  <v>0.672302</v>
                </pt>
                <pt idx="1">
                  <v>0.6996520000000001</v>
                </pt>
                <pt idx="2">
                  <v>0.710094</v>
                </pt>
                <pt idx="3">
                  <v>0.721034</v>
                </pt>
                <pt idx="4">
                  <v>0.7041269999999999</v>
                </pt>
                <pt idx="5">
                  <v>0.743411</v>
                </pt>
                <pt idx="6">
                  <v>0.706614</v>
                </pt>
                <pt idx="7">
                  <v>0.740428</v>
                </pt>
                <pt idx="8">
                  <v>0.770761</v>
                </pt>
                <pt idx="9">
                  <v>0.757832</v>
                </pt>
                <pt idx="10">
                  <v>0.700646</v>
                </pt>
                <pt idx="11">
                  <v>0.711089</v>
                </pt>
                <pt idx="12">
                  <v>0.823471</v>
                </pt>
                <pt idx="13">
                  <v>0.703133</v>
                </pt>
                <pt idx="14">
                  <v>0.669319</v>
                </pt>
                <pt idx="15">
                  <v>0.606166</v>
                </pt>
                <pt idx="16">
                  <v>0.613128</v>
                </pt>
                <pt idx="17">
                  <v>0.567379</v>
                </pt>
                <pt idx="18">
                  <v>0.517653</v>
                </pt>
                <pt idx="19">
                  <v>0.54003</v>
                </pt>
                <pt idx="20">
                  <v>0.561909</v>
                </pt>
                <pt idx="21">
                  <v>0.571855</v>
                </pt>
                <pt idx="22">
                  <v>0.57633</v>
                </pt>
                <pt idx="23">
                  <v>0.62904</v>
                </pt>
                <pt idx="24">
                  <v>0.633516</v>
                </pt>
                <pt idx="25">
                  <v>0.820487</v>
                </pt>
                <pt idx="26">
                  <v>0.7821979999999999</v>
                </pt>
                <pt idx="27">
                  <v>0.79811</v>
                </pt>
                <pt idx="28">
                  <v>0.783192</v>
                </pt>
                <pt idx="29">
                  <v>0.772253</v>
                </pt>
                <pt idx="30">
                  <v>0.757335</v>
                </pt>
                <pt idx="31">
                  <v>0.853307</v>
                </pt>
                <pt idx="32">
                  <v>0.938836</v>
                </pt>
                <pt idx="33">
                  <v>0.965191</v>
                </pt>
                <pt idx="34">
                  <v>0.935853</v>
                </pt>
                <pt idx="35">
                  <v>0.773247</v>
                </pt>
                <pt idx="36">
                  <v>0.758329</v>
                </pt>
                <pt idx="37">
                  <v>0.775236</v>
                </pt>
                <pt idx="38">
                  <v>0.812034</v>
                </pt>
                <pt idx="39">
                  <v>0.885132</v>
                </pt>
                <pt idx="40">
                  <v>1.036798</v>
                </pt>
                <pt idx="41">
                  <v>0.976131</v>
                </pt>
                <pt idx="42">
                  <v>0.941323</v>
                </pt>
                <pt idx="43">
                  <v>0.950273</v>
                </pt>
                <pt idx="44">
                  <v>0.990055</v>
                </pt>
                <pt idx="45">
                  <v>0.897563</v>
                </pt>
                <pt idx="46">
                  <v>0.917951</v>
                </pt>
                <pt idx="47">
                  <v>0.973645</v>
                </pt>
                <pt idx="48">
                  <v>0.986574</v>
                </pt>
                <pt idx="49">
                  <v>0.906514</v>
                </pt>
                <pt idx="50">
                  <v>0.887121</v>
                </pt>
                <pt idx="51">
                  <v>0.903531</v>
                </pt>
                <pt idx="52">
                  <v>1</v>
                </pt>
                <pt idx="53">
                  <v>1.04068047337278</v>
                </pt>
                <pt idx="54">
                  <v>1.05621301775148</v>
                </pt>
                <pt idx="55">
                  <v>1.07248520710059</v>
                </pt>
                <pt idx="56">
                  <v>1.04733727810651</v>
                </pt>
                <pt idx="57">
                  <v>1.10576923076923</v>
                </pt>
                <pt idx="58">
                  <v>1.05103550295858</v>
                </pt>
                <pt idx="59">
                  <v>1.10133136094675</v>
                </pt>
                <pt idx="60">
                  <v>1.14644970414201</v>
                </pt>
                <pt idx="61">
                  <v>1.12721893491124</v>
                </pt>
                <pt idx="62">
                  <v>1.04215976331361</v>
                </pt>
                <pt idx="63">
                  <v>1.05769230769231</v>
                </pt>
                <pt idx="64">
                  <v>1.22485207100592</v>
                </pt>
                <pt idx="65">
                  <v>1.04585798816568</v>
                </pt>
                <pt idx="66">
                  <v>0.995562130177515</v>
                </pt>
                <pt idx="67">
                  <v>0.901627218934911</v>
                </pt>
                <pt idx="68">
                  <v>0.91198224852071</v>
                </pt>
                <pt idx="69">
                  <v>0.843934911242604</v>
                </pt>
                <pt idx="70">
                  <v>0.769970414201184</v>
                </pt>
                <pt idx="71">
                  <v>0.803254437869822</v>
                </pt>
                <pt idx="72">
                  <v>0.835798816568047</v>
                </pt>
                <pt idx="73">
                  <v>0.850591715976331</v>
                </pt>
                <pt idx="74">
                  <v>0.857248520710059</v>
                </pt>
                <pt idx="75">
                  <v>0.935650887573965</v>
                </pt>
                <pt idx="76">
                  <v>0.942307692307692</v>
                </pt>
                <pt idx="77">
                  <v>1.22041420118343</v>
                </pt>
                <pt idx="78">
                  <v>1.16346153846154</v>
                </pt>
                <pt idx="79">
                  <v>1.18713017751479</v>
                </pt>
                <pt idx="80">
                  <v>1.16494082840237</v>
                </pt>
                <pt idx="81">
                  <v>1.14866863905325</v>
                </pt>
                <pt idx="82">
                  <v>1.12647928994083</v>
                </pt>
                <pt idx="83">
                  <v>1.26923076923077</v>
                </pt>
                <pt idx="84">
                  <v>1.39644970414201</v>
                </pt>
                <pt idx="85">
                  <v>1.43565088757396</v>
                </pt>
                <pt idx="86">
                  <v>1.39201183431953</v>
                </pt>
                <pt idx="87">
                  <v>1.15014792899408</v>
                </pt>
                <pt idx="88">
                  <v>1.12795857988166</v>
                </pt>
                <pt idx="89">
                  <v>1.15310650887574</v>
                </pt>
                <pt idx="90">
                  <v>1.20784023668639</v>
                </pt>
                <pt idx="91">
                  <v>1.31656804733728</v>
                </pt>
                <pt idx="92">
                  <v>1.54215976331361</v>
                </pt>
                <pt idx="93">
                  <v>1.45192307692308</v>
                </pt>
                <pt idx="94">
                  <v>1.40014792899408</v>
                </pt>
                <pt idx="95">
                  <v>1.41346153846154</v>
                </pt>
                <pt idx="96">
                  <v>0.806952651435807</v>
                </pt>
                <pt idx="97">
                  <v>0.8335799155150641</v>
                </pt>
                <pt idx="98">
                  <v>0.8335799155150641</v>
                </pt>
              </numCache>
            </numRef>
          </val>
          <smooth val="0"/>
        </ser>
        <ser>
          <idx val="14"/>
          <order val="14"/>
          <tx>
            <strRef>
              <f>'奢侈品 Normalized'!$P$2</f>
              <strCache>
                <ptCount val="1"/>
                <pt idx="0">
                  <v>ZGN</v>
                </pt>
              </strCache>
            </strRef>
          </tx>
          <spPr>
            <a:ln xmlns:a="http://schemas.openxmlformats.org/drawingml/2006/main" w="15000" cap="rnd" cmpd="sng" algn="ctr">
              <a:solidFill>
                <a:schemeClr val="accent3">
                  <a:tint val="65000"/>
                  <a:shade val="95000"/>
                  <a:satMod val="10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cat>
            <numRef>
              <f>'奢侈品 Normalized'!$A$3:$A$101</f>
              <numCache>
                <formatCode>yyyy\-mm\-dd\ h:mm:ss</formatCode>
                <ptCount val="99"/>
                <pt idx="0">
                  <v>45628</v>
                </pt>
                <pt idx="1">
                  <v>45635</v>
                </pt>
                <pt idx="2">
                  <v>45642</v>
                </pt>
                <pt idx="3">
                  <v>45649</v>
                </pt>
                <pt idx="4">
                  <v>45656</v>
                </pt>
                <pt idx="5">
                  <v>45663</v>
                </pt>
                <pt idx="6">
                  <v>45670</v>
                </pt>
                <pt idx="7">
                  <v>45677</v>
                </pt>
                <pt idx="8">
                  <v>45684</v>
                </pt>
                <pt idx="9">
                  <v>45691</v>
                </pt>
                <pt idx="10">
                  <v>45698</v>
                </pt>
                <pt idx="11">
                  <v>45705</v>
                </pt>
                <pt idx="12">
                  <v>45712</v>
                </pt>
                <pt idx="13">
                  <v>45719</v>
                </pt>
                <pt idx="14">
                  <v>45726</v>
                </pt>
                <pt idx="15">
                  <v>45733</v>
                </pt>
                <pt idx="16">
                  <v>45740</v>
                </pt>
                <pt idx="17">
                  <v>45747</v>
                </pt>
                <pt idx="18">
                  <v>45754</v>
                </pt>
                <pt idx="19">
                  <v>45761</v>
                </pt>
                <pt idx="20">
                  <v>45768</v>
                </pt>
                <pt idx="21">
                  <v>45775</v>
                </pt>
                <pt idx="22">
                  <v>45782</v>
                </pt>
                <pt idx="23">
                  <v>45789</v>
                </pt>
                <pt idx="24">
                  <v>45796</v>
                </pt>
                <pt idx="25">
                  <v>45803</v>
                </pt>
                <pt idx="26">
                  <v>45810</v>
                </pt>
                <pt idx="27">
                  <v>45817</v>
                </pt>
                <pt idx="28">
                  <v>45824</v>
                </pt>
                <pt idx="29">
                  <v>45831</v>
                </pt>
                <pt idx="30">
                  <v>45838</v>
                </pt>
                <pt idx="31">
                  <v>45845</v>
                </pt>
                <pt idx="32">
                  <v>45852</v>
                </pt>
                <pt idx="33">
                  <v>45859</v>
                </pt>
                <pt idx="34">
                  <v>45866</v>
                </pt>
                <pt idx="35">
                  <v>45873</v>
                </pt>
                <pt idx="36">
                  <v>45880</v>
                </pt>
                <pt idx="37">
                  <v>45887</v>
                </pt>
                <pt idx="38">
                  <v>45894</v>
                </pt>
                <pt idx="39">
                  <v>45901</v>
                </pt>
                <pt idx="40">
                  <v>45908</v>
                </pt>
                <pt idx="41">
                  <v>45915</v>
                </pt>
                <pt idx="42">
                  <v>45922</v>
                </pt>
                <pt idx="43">
                  <v>45929</v>
                </pt>
                <pt idx="44">
                  <v>45936</v>
                </pt>
                <pt idx="45">
                  <v>45943</v>
                </pt>
                <pt idx="46">
                  <v>45950</v>
                </pt>
                <pt idx="47">
                  <v>45957</v>
                </pt>
                <pt idx="48">
                  <v>45964</v>
                </pt>
                <pt idx="49">
                  <v>45971</v>
                </pt>
                <pt idx="50">
                  <v>45978</v>
                </pt>
                <pt idx="51">
                  <v>45985</v>
                </pt>
                <pt idx="52">
                  <v>45992</v>
                </pt>
                <pt idx="53">
                  <v>45996</v>
                </pt>
                <pt idx="54">
                  <v>46003</v>
                </pt>
                <pt idx="55">
                  <v>46010</v>
                </pt>
                <pt idx="56">
                  <v>46017</v>
                </pt>
                <pt idx="57">
                  <v>46024</v>
                </pt>
                <pt idx="58">
                  <v>46031</v>
                </pt>
                <pt idx="59">
                  <v>46038</v>
                </pt>
                <pt idx="60">
                  <v>46045</v>
                </pt>
                <pt idx="61">
                  <v>46052</v>
                </pt>
                <pt idx="62">
                  <v>46059</v>
                </pt>
                <pt idx="63">
                  <v>46066</v>
                </pt>
                <pt idx="64">
                  <v>46073</v>
                </pt>
                <pt idx="65">
                  <v>46080</v>
                </pt>
                <pt idx="66">
                  <v>46087</v>
                </pt>
                <pt idx="67">
                  <v>46094</v>
                </pt>
                <pt idx="68">
                  <v>46101</v>
                </pt>
                <pt idx="69">
                  <v>46108</v>
                </pt>
                <pt idx="70">
                  <v>46115</v>
                </pt>
                <pt idx="71">
                  <v>46122</v>
                </pt>
                <pt idx="72">
                  <v>46129</v>
                </pt>
                <pt idx="73">
                  <v>46136</v>
                </pt>
                <pt idx="74">
                  <v>46143</v>
                </pt>
                <pt idx="75">
                  <v>46150</v>
                </pt>
                <pt idx="76">
                  <v>46157</v>
                </pt>
                <pt idx="77">
                  <v>46164</v>
                </pt>
                <pt idx="78">
                  <v>46171</v>
                </pt>
                <pt idx="79">
                  <v>46178</v>
                </pt>
                <pt idx="80">
                  <v>46185</v>
                </pt>
                <pt idx="81">
                  <v>46192</v>
                </pt>
                <pt idx="82">
                  <v>46199</v>
                </pt>
                <pt idx="83">
                  <v>46206</v>
                </pt>
                <pt idx="84">
                  <v>46213</v>
                </pt>
                <pt idx="85">
                  <v>46220</v>
                </pt>
                <pt idx="86">
                  <v>46227</v>
                </pt>
                <pt idx="87">
                  <v>46234</v>
                </pt>
                <pt idx="88">
                  <v>46241</v>
                </pt>
                <pt idx="89">
                  <v>46248</v>
                </pt>
                <pt idx="90">
                  <v>46255</v>
                </pt>
                <pt idx="91">
                  <v>46262</v>
                </pt>
                <pt idx="92">
                  <v>46269</v>
                </pt>
                <pt idx="93">
                  <v>46276</v>
                </pt>
                <pt idx="94">
                  <v>46283</v>
                </pt>
                <pt idx="95">
                  <v>46290</v>
                </pt>
                <pt idx="96">
                  <v>46297</v>
                </pt>
                <pt idx="97">
                  <v>46304</v>
                </pt>
                <pt idx="98">
                  <v>46311</v>
                </pt>
              </numCache>
            </numRef>
          </cat>
          <val>
            <numRef>
              <f>'奢侈品 Normalized'!$P$3:$P$101</f>
              <numCache>
                <formatCode>General</formatCode>
                <ptCount val="99"/>
                <pt idx="0">
                  <v>0.777251</v>
                </pt>
                <pt idx="1">
                  <v>0.804739</v>
                </pt>
                <pt idx="2">
                  <v>0.840758</v>
                </pt>
                <pt idx="3">
                  <v>0.806635</v>
                </pt>
                <pt idx="4">
                  <v>0.781991</v>
                </pt>
                <pt idx="5">
                  <v>0.758294</v>
                </pt>
                <pt idx="6">
                  <v>0.7232229999999999</v>
                </pt>
                <pt idx="7">
                  <v>0.787678</v>
                </pt>
                <pt idx="8">
                  <v>0.90237</v>
                </pt>
                <pt idx="9">
                  <v>0.837915</v>
                </pt>
                <pt idx="10">
                  <v>0.8322270000000001</v>
                </pt>
                <pt idx="11">
                  <v>0.845498</v>
                </pt>
                <pt idx="12">
                  <v>0.81327</v>
                </pt>
                <pt idx="13">
                  <v>0.790521</v>
                </pt>
                <pt idx="14">
                  <v>0.7156400000000001</v>
                </pt>
                <pt idx="15">
                  <v>0.701422</v>
                </pt>
                <pt idx="16">
                  <v>0.692891</v>
                </pt>
                <pt idx="17">
                  <v>0.701422</v>
                </pt>
                <pt idx="18">
                  <v>0.614218</v>
                </pt>
                <pt idx="19">
                  <v>0.649289</v>
                </pt>
                <pt idx="20">
                  <v>0.664455</v>
                </pt>
                <pt idx="21">
                  <v>0.746919</v>
                </pt>
                <pt idx="22">
                  <v>0.76872</v>
                </pt>
                <pt idx="23">
                  <v>0.8094789999999999</v>
                </pt>
                <pt idx="24">
                  <v>0.81327</v>
                </pt>
                <pt idx="25">
                  <v>0.797156</v>
                </pt>
                <pt idx="26">
                  <v>0.806635</v>
                </pt>
                <pt idx="27">
                  <v>0.818957</v>
                </pt>
                <pt idx="28">
                  <v>0.856872</v>
                </pt>
                <pt idx="29">
                  <v>0.828436</v>
                </pt>
                <pt idx="30">
                  <v>0.810427</v>
                </pt>
                <pt idx="31">
                  <v>0.852133</v>
                </pt>
                <pt idx="32">
                  <v>0.8341229999999999</v>
                </pt>
                <pt idx="33">
                  <v>0.848341</v>
                </pt>
                <pt idx="34">
                  <v>0.85782</v>
                </pt>
                <pt idx="35">
                  <v>0.745024</v>
                </pt>
                <pt idx="36">
                  <v>0.730806</v>
                </pt>
                <pt idx="37">
                  <v>0.758294</v>
                </pt>
                <pt idx="38">
                  <v>0.777251</v>
                </pt>
                <pt idx="39">
                  <v>0.8</v>
                </pt>
                <pt idx="40">
                  <v>0.854976</v>
                </pt>
                <pt idx="41">
                  <v>0.890995</v>
                </pt>
                <pt idx="42">
                  <v>0.894787</v>
                </pt>
                <pt idx="43">
                  <v>0.867299</v>
                </pt>
                <pt idx="44">
                  <v>0.967772</v>
                </pt>
                <pt idx="45">
                  <v>0.830332</v>
                </pt>
                <pt idx="46">
                  <v>0.997156</v>
                </pt>
                <pt idx="47">
                  <v>0.9933650000000001</v>
                </pt>
                <pt idx="48">
                  <v>0.944076</v>
                </pt>
                <pt idx="49">
                  <v>0.945972</v>
                </pt>
                <pt idx="50">
                  <v>0.919431</v>
                </pt>
                <pt idx="51">
                  <v>0.978199</v>
                </pt>
                <pt idx="52">
                  <v>1</v>
                </pt>
                <pt idx="53">
                  <v>1.03536585365854</v>
                </pt>
                <pt idx="54">
                  <v>1.08170731707317</v>
                </pt>
                <pt idx="55">
                  <v>1.03780487804878</v>
                </pt>
                <pt idx="56">
                  <v>1.00609756097561</v>
                </pt>
                <pt idx="57">
                  <v>0.975609756097561</v>
                </pt>
                <pt idx="58">
                  <v>0.9304878048780491</v>
                </pt>
                <pt idx="59">
                  <v>1.01341463414634</v>
                </pt>
                <pt idx="60">
                  <v>1.1609756097561</v>
                </pt>
                <pt idx="61">
                  <v>1.0780487804878</v>
                </pt>
                <pt idx="62">
                  <v>1.07073170731707</v>
                </pt>
                <pt idx="63">
                  <v>1.08780487804878</v>
                </pt>
                <pt idx="64">
                  <v>1.04634146341463</v>
                </pt>
                <pt idx="65">
                  <v>1.01707317073171</v>
                </pt>
                <pt idx="66">
                  <v>0.920731707317073</v>
                </pt>
                <pt idx="67">
                  <v>0.902439024390244</v>
                </pt>
                <pt idx="68">
                  <v>0.891463414634146</v>
                </pt>
                <pt idx="69">
                  <v>0.902439024390244</v>
                </pt>
                <pt idx="70">
                  <v>0.790243902439025</v>
                </pt>
                <pt idx="71">
                  <v>0.835365853658537</v>
                </pt>
                <pt idx="72">
                  <v>0.854878048780488</v>
                </pt>
                <pt idx="73">
                  <v>0.960975609756098</v>
                </pt>
                <pt idx="74">
                  <v>0.989024390243902</v>
                </pt>
                <pt idx="75">
                  <v>1.04146341463415</v>
                </pt>
                <pt idx="76">
                  <v>1.04634146341463</v>
                </pt>
                <pt idx="77">
                  <v>1.02560975609756</v>
                </pt>
                <pt idx="78">
                  <v>1.03780487804878</v>
                </pt>
                <pt idx="79">
                  <v>1.05365853658537</v>
                </pt>
                <pt idx="80">
                  <v>1.10243902439024</v>
                </pt>
                <pt idx="81">
                  <v>1.06585365853659</v>
                </pt>
                <pt idx="82">
                  <v>1.04268292682927</v>
                </pt>
                <pt idx="83">
                  <v>1.09634146341463</v>
                </pt>
                <pt idx="84">
                  <v>1.07317073170732</v>
                </pt>
                <pt idx="85">
                  <v>1.09146341463415</v>
                </pt>
                <pt idx="86">
                  <v>1.10365853658537</v>
                </pt>
                <pt idx="87">
                  <v>0.958536585365854</v>
                </pt>
                <pt idx="88">
                  <v>0.940243902439024</v>
                </pt>
                <pt idx="89">
                  <v>0.975609756097561</v>
                </pt>
                <pt idx="90">
                  <v>1</v>
                </pt>
                <pt idx="91">
                  <v>1.02926829268293</v>
                </pt>
                <pt idx="92">
                  <v>1.1</v>
                </pt>
                <pt idx="93">
                  <v>1.14634146341463</v>
                </pt>
                <pt idx="94">
                  <v>1.15121951219512</v>
                </pt>
                <pt idx="95">
                  <v>1.11585365853659</v>
                </pt>
                <pt idx="96">
                  <v>1.52682932411752</v>
                </pt>
                <pt idx="97">
                  <v>1.54634150063119</v>
                </pt>
                <pt idx="98">
                  <v>1.54634150063119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0"/>
        <smooth val="0"/>
        <axId val="10"/>
        <axId val="100"/>
      </lineChart>
      <dateAx>
        <axId val="10"/>
        <scaling>
          <orientation val="minMax"/>
        </scaling>
        <delete val="0"/>
        <axPos val="b"/>
        <numFmt formatCode="mm\-dd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0"/>
        <crosses val="autoZero"/>
        <lblOffset val="100"/>
        <baseTimeUnit val="days"/>
      </date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归一化</a:t>
                </a:r>
              </a:p>
            </rich>
          </tx>
          <layout/>
          <overlay val="0"/>
        </title>
        <numFmt formatCode="0.00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between"/>
      </valAx>
    </plotArea>
    <legend>
      <legendPos val="b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twoCellAnchor>
    <from>
      <col>30</col>
      <colOff>495300</colOff>
      <row>73</row>
      <rowOff>19685</rowOff>
    </from>
    <to>
      <col>37</col>
      <colOff>388620</colOff>
      <row>88</row>
      <rowOff>194945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37</col>
      <colOff>490855</colOff>
      <row>73</row>
      <rowOff>40005</rowOff>
    </from>
    <to>
      <col>44</col>
      <colOff>509270</colOff>
      <row>88</row>
      <rowOff>204470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19</col>
      <colOff>427990</colOff>
      <row>4</row>
      <rowOff>76835</rowOff>
    </from>
    <to>
      <col>32</col>
      <colOff>173355</colOff>
      <row>53</row>
      <rowOff>133350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oneCellAnchor>
    <from>
      <col>8</col>
      <colOff>372110</colOff>
      <row>8</row>
      <rowOff>43180</rowOff>
    </from>
    <ext cx="8640000" cy="482292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1</row>
      <rowOff>0</rowOff>
    </from>
    <ext cx="8640000" cy="482292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482292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482292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360000" cy="4417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22</row>
      <rowOff>0</rowOff>
    </from>
    <ext cx="9360000" cy="44172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9360000" cy="44172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66</row>
      <rowOff>0</rowOff>
    </from>
    <ext cx="9360000" cy="44172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14400000" cy="1007442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14400000" cy="1007442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tabColor theme="1"/>
    <outlinePr summaryBelow="1" summaryRight="1"/>
    <pageSetUpPr/>
  </sheetPr>
  <dimension ref="A1:AU72"/>
  <sheetViews>
    <sheetView zoomScale="82" zoomScaleNormal="82" workbookViewId="0">
      <pane xSplit="1" ySplit="2" topLeftCell="B32" activePane="bottomRight" state="frozen"/>
      <selection activeCell="A1" sqref="A1"/>
      <selection pane="topRight" activeCell="A1" sqref="A1"/>
      <selection pane="bottomLeft" activeCell="A1" sqref="A1"/>
      <selection pane="bottomRight" activeCell="AA13" sqref="AA13"/>
    </sheetView>
  </sheetViews>
  <sheetFormatPr baseColWidth="8" defaultColWidth="9" defaultRowHeight="16.8"/>
  <cols>
    <col width="14" customWidth="1" min="1" max="1"/>
    <col outlineLevel="1" width="13" customWidth="1" min="2" max="32"/>
    <col width="13" customWidth="1" min="33" max="47"/>
  </cols>
  <sheetData>
    <row r="1">
      <c r="A1" s="26" t="inlineStr">
        <is>
          <t>周涨跌幅</t>
        </is>
      </c>
    </row>
    <row r="2">
      <c r="A2" s="22" t="inlineStr">
        <is>
          <t>Ticker</t>
        </is>
      </c>
      <c r="B2" s="22" t="inlineStr">
        <is>
          <t>251201-1207</t>
        </is>
      </c>
      <c r="C2" s="22" t="inlineStr">
        <is>
          <t>251208-1214</t>
        </is>
      </c>
      <c r="D2" s="22" t="inlineStr">
        <is>
          <t>251215-1221</t>
        </is>
      </c>
      <c r="E2" s="22" t="inlineStr">
        <is>
          <t>251222-1228</t>
        </is>
      </c>
      <c r="F2" s="22" t="inlineStr">
        <is>
          <t>251229-0104</t>
        </is>
      </c>
      <c r="G2" s="22" t="inlineStr">
        <is>
          <t>260105-0111</t>
        </is>
      </c>
      <c r="H2" s="22" t="inlineStr">
        <is>
          <t>260112-0118</t>
        </is>
      </c>
      <c r="I2" s="22" t="inlineStr">
        <is>
          <t>260119-0125</t>
        </is>
      </c>
      <c r="J2" s="22" t="inlineStr">
        <is>
          <t>260126-0201</t>
        </is>
      </c>
      <c r="K2" s="22" t="inlineStr">
        <is>
          <t>260202-0208</t>
        </is>
      </c>
      <c r="L2" s="22" t="inlineStr">
        <is>
          <t>260209-0215</t>
        </is>
      </c>
      <c r="M2" s="22" t="inlineStr">
        <is>
          <t>260216-0222</t>
        </is>
      </c>
      <c r="N2" s="22" t="inlineStr">
        <is>
          <t>260223-0301</t>
        </is>
      </c>
      <c r="O2" s="22" t="inlineStr">
        <is>
          <t>260302-0308</t>
        </is>
      </c>
      <c r="P2" s="22" t="inlineStr">
        <is>
          <t>260309-0315</t>
        </is>
      </c>
      <c r="Q2" s="22" t="inlineStr">
        <is>
          <t>260316-0322</t>
        </is>
      </c>
      <c r="R2" s="22" t="inlineStr">
        <is>
          <t>260323-0329</t>
        </is>
      </c>
      <c r="S2" s="22" t="inlineStr">
        <is>
          <t>260330-0405</t>
        </is>
      </c>
      <c r="T2" s="22" t="inlineStr">
        <is>
          <t>260406-0412</t>
        </is>
      </c>
      <c r="U2" s="22" t="inlineStr">
        <is>
          <t>260413-0419</t>
        </is>
      </c>
      <c r="V2" s="22" t="inlineStr">
        <is>
          <t>260420-0426</t>
        </is>
      </c>
      <c r="W2" s="22" t="inlineStr">
        <is>
          <t>260427-0503</t>
        </is>
      </c>
      <c r="X2" s="22" t="inlineStr">
        <is>
          <t>260504-0510</t>
        </is>
      </c>
      <c r="Y2" s="22" t="inlineStr">
        <is>
          <t>260511-0517</t>
        </is>
      </c>
      <c r="Z2" s="22" t="inlineStr">
        <is>
          <t>260518-0524</t>
        </is>
      </c>
      <c r="AA2" s="22" t="inlineStr">
        <is>
          <t>260525-0531</t>
        </is>
      </c>
      <c r="AB2" s="22" t="inlineStr">
        <is>
          <t>260601-0607</t>
        </is>
      </c>
      <c r="AC2" s="22" t="inlineStr">
        <is>
          <t>260608-0614</t>
        </is>
      </c>
      <c r="AD2" s="22" t="inlineStr">
        <is>
          <t>260615-0621</t>
        </is>
      </c>
      <c r="AE2" s="22" t="inlineStr">
        <is>
          <t>260622-0628</t>
        </is>
      </c>
      <c r="AF2" s="22" t="inlineStr">
        <is>
          <t>260629-0705</t>
        </is>
      </c>
      <c r="AG2" s="22" t="inlineStr">
        <is>
          <t>260706-0712</t>
        </is>
      </c>
      <c r="AH2" s="22" t="inlineStr">
        <is>
          <t>260713-0719</t>
        </is>
      </c>
      <c r="AI2" s="22" t="inlineStr">
        <is>
          <t>260720-0726</t>
        </is>
      </c>
      <c r="AJ2" s="22" t="inlineStr">
        <is>
          <t>260727-0802</t>
        </is>
      </c>
      <c r="AK2" s="22" t="inlineStr">
        <is>
          <t>260803-0809</t>
        </is>
      </c>
      <c r="AL2" s="22" t="inlineStr">
        <is>
          <t>260810-0816</t>
        </is>
      </c>
      <c r="AM2" s="22" t="inlineStr">
        <is>
          <t>260817-0823</t>
        </is>
      </c>
      <c r="AN2" s="22" t="inlineStr">
        <is>
          <t>260824-0830</t>
        </is>
      </c>
      <c r="AO2" s="22" t="inlineStr">
        <is>
          <t>260831-0906</t>
        </is>
      </c>
      <c r="AP2" s="22" t="inlineStr">
        <is>
          <t>260907-0913</t>
        </is>
      </c>
      <c r="AQ2" s="22" t="inlineStr">
        <is>
          <t>260914-0920</t>
        </is>
      </c>
      <c r="AR2" s="22" t="inlineStr">
        <is>
          <t>260921-0927</t>
        </is>
      </c>
      <c r="AS2" s="22" t="inlineStr">
        <is>
          <t>260928-0930</t>
        </is>
      </c>
      <c r="AT2" s="22" t="inlineStr">
        <is>
          <t>261001-1004</t>
        </is>
      </c>
      <c r="AU2" s="22" t="inlineStr">
        <is>
          <t>261005-1011</t>
        </is>
      </c>
    </row>
    <row r="3">
      <c r="A3" s="27" t="inlineStr">
        <is>
          <t>运动服饰</t>
        </is>
      </c>
    </row>
    <row r="4">
      <c r="A4" s="28" t="inlineStr">
        <is>
          <t>NKE.N</t>
        </is>
      </c>
      <c r="B4" s="42" t="n">
        <v>0.0072</v>
      </c>
      <c r="C4" s="42" t="n">
        <v>0.0244</v>
      </c>
      <c r="D4" s="43" t="n">
        <v>-0.1298</v>
      </c>
      <c r="E4" s="42" t="n">
        <v>0.0378</v>
      </c>
      <c r="F4" s="42" t="n">
        <v>0.0386</v>
      </c>
      <c r="G4" s="42" t="n">
        <v>0.0417</v>
      </c>
      <c r="H4" s="42" t="n">
        <v>-0.0234</v>
      </c>
      <c r="I4" s="42" t="n">
        <v>0.0103</v>
      </c>
      <c r="J4" s="42" t="n">
        <v>-0.0497</v>
      </c>
      <c r="K4" s="42" t="n">
        <v>0.0341</v>
      </c>
      <c r="L4" s="42" t="n">
        <v>-0.0124</v>
      </c>
      <c r="M4" s="42" t="n">
        <v>0.036</v>
      </c>
      <c r="N4" s="42" t="n">
        <v>-0.0492</v>
      </c>
      <c r="O4" s="43" t="n">
        <v>-0.08309999999999999</v>
      </c>
      <c r="P4" s="43" t="n">
        <v>-0.0531</v>
      </c>
      <c r="Q4" s="42" t="n">
        <v>-0.0298</v>
      </c>
      <c r="R4" s="42" t="n">
        <v>-0.0191</v>
      </c>
      <c r="S4" s="43" t="n">
        <v>-0.1398</v>
      </c>
      <c r="T4" s="42" t="n">
        <v>-0.0355</v>
      </c>
      <c r="U4" s="44" t="n">
        <v>0.08</v>
      </c>
      <c r="V4" s="42" t="n">
        <v>-0.0291</v>
      </c>
      <c r="W4" s="42" t="n">
        <v>-0.0065</v>
      </c>
      <c r="X4" s="42" t="n">
        <v>-0.0059</v>
      </c>
      <c r="Y4" s="43" t="n">
        <v>-0.0512</v>
      </c>
      <c r="Z4" s="44" t="n">
        <v>0.06660000000000001</v>
      </c>
      <c r="AA4" s="42" t="n">
        <v>0.0349</v>
      </c>
      <c r="AB4" s="43" t="n">
        <v>-0.0703</v>
      </c>
      <c r="AC4" s="42" t="n">
        <v>0.0454</v>
      </c>
      <c r="AD4" s="42" t="n">
        <v>0.006</v>
      </c>
      <c r="AE4" s="43" t="n">
        <v>-0.0985</v>
      </c>
      <c r="AF4" s="44" t="n">
        <v>0.082</v>
      </c>
      <c r="AG4" s="42" t="n">
        <v>0.0064</v>
      </c>
      <c r="AH4" s="42" t="n">
        <v>-0.0137</v>
      </c>
      <c r="AI4" s="42" t="n">
        <v>-0.0471</v>
      </c>
      <c r="AJ4" s="42" t="n">
        <v>0.0002</v>
      </c>
      <c r="AK4" s="42" t="n">
        <v>-0.0002</v>
      </c>
      <c r="AL4" s="42" t="n">
        <v>-0.0233</v>
      </c>
      <c r="AM4" s="42" t="n">
        <v>0.0007</v>
      </c>
      <c r="AN4" s="42" t="n">
        <v>-0.0285</v>
      </c>
      <c r="AO4" s="42" t="n">
        <v>-0.0303</v>
      </c>
      <c r="AP4" s="42" t="n">
        <v>-0.0417</v>
      </c>
      <c r="AQ4" s="42" t="n">
        <v>-0.0351</v>
      </c>
      <c r="AR4" s="42" t="n">
        <v>0.0166</v>
      </c>
      <c r="AS4" s="42" t="n">
        <v>-0.0151</v>
      </c>
      <c r="AT4" s="42" t="n">
        <v>-0.0432</v>
      </c>
      <c r="AU4" s="42" t="n">
        <v>0.0248</v>
      </c>
    </row>
    <row r="5">
      <c r="A5" s="28" t="inlineStr">
        <is>
          <t>ADDY</t>
        </is>
      </c>
      <c r="B5" s="42" t="n">
        <v>0.0195</v>
      </c>
      <c r="C5" s="42" t="n">
        <v>0.0195</v>
      </c>
      <c r="D5" s="42" t="n">
        <v>-0.0143</v>
      </c>
      <c r="E5" s="42" t="n">
        <v>-0.0042</v>
      </c>
      <c r="F5" s="42" t="n">
        <v>0.0182</v>
      </c>
      <c r="G5" s="42" t="n">
        <v>-0.0045</v>
      </c>
      <c r="H5" s="42" t="n">
        <v>-0.0408</v>
      </c>
      <c r="I5" s="43" t="n">
        <v>-0.1007</v>
      </c>
      <c r="J5" s="42" t="n">
        <v>0.0376</v>
      </c>
      <c r="K5" s="42" t="n">
        <v>0.0248</v>
      </c>
      <c r="L5" s="42" t="n">
        <v>0.0137</v>
      </c>
      <c r="M5" s="42" t="n">
        <v>0.0242</v>
      </c>
      <c r="N5" s="42" t="n">
        <v>-0.0032</v>
      </c>
      <c r="O5" s="43" t="n">
        <v>-0.098</v>
      </c>
      <c r="P5" s="42" t="n">
        <v>-0.0266</v>
      </c>
      <c r="Q5" s="42" t="n">
        <v>-0.0389</v>
      </c>
      <c r="R5" s="42" t="n">
        <v>-0.0109</v>
      </c>
      <c r="S5" s="42" t="n">
        <v>0.0216</v>
      </c>
      <c r="T5" s="42" t="n">
        <v>0.0215</v>
      </c>
      <c r="U5" s="44" t="n">
        <v>0.0624</v>
      </c>
      <c r="V5" s="43" t="n">
        <v>-0.0693</v>
      </c>
      <c r="W5" s="44" t="n">
        <v>0.0818</v>
      </c>
      <c r="X5" s="42" t="n">
        <v>-0.0037</v>
      </c>
      <c r="Y5" s="42" t="n">
        <v>-0.0078</v>
      </c>
      <c r="Z5" s="44" t="n">
        <v>0.0604</v>
      </c>
      <c r="AA5" s="44" t="n">
        <v>0.07829999999999999</v>
      </c>
      <c r="AB5" s="42" t="n">
        <v>-0.0309</v>
      </c>
      <c r="AC5" s="44" t="n">
        <v>0.09229999999999999</v>
      </c>
      <c r="AD5" s="42" t="n">
        <v>-0.008200000000000001</v>
      </c>
      <c r="AE5" s="42" t="n">
        <v>0.0389</v>
      </c>
      <c r="AF5" s="42" t="n">
        <v>0.0198</v>
      </c>
      <c r="AG5" s="42" t="n">
        <v>-0.0186</v>
      </c>
      <c r="AH5" s="42" t="n">
        <v>-0.0041</v>
      </c>
      <c r="AI5" s="42" t="n">
        <v>-0.0414</v>
      </c>
      <c r="AJ5" s="43" t="n">
        <v>-0.0818</v>
      </c>
      <c r="AK5" s="42" t="n">
        <v>0.0292</v>
      </c>
      <c r="AL5" s="42" t="n">
        <v>-0.0396</v>
      </c>
      <c r="AM5" s="42" t="n">
        <v>-0.0197</v>
      </c>
      <c r="AN5" s="42" t="n">
        <v>-0.0016</v>
      </c>
      <c r="AO5" s="42" t="n">
        <v>-0.0327</v>
      </c>
      <c r="AP5" s="42" t="n">
        <v>-0.0429</v>
      </c>
      <c r="AQ5" s="42" t="n">
        <v>-0.0035</v>
      </c>
      <c r="AR5" s="42" t="n">
        <v>0</v>
      </c>
      <c r="AS5" s="42" t="n">
        <v>-0.0142</v>
      </c>
      <c r="AT5" s="42" t="n">
        <v>-0.0086</v>
      </c>
      <c r="AU5" s="42" t="n">
        <v>0.0403</v>
      </c>
    </row>
    <row r="6">
      <c r="A6" s="28" t="inlineStr">
        <is>
          <t>WWW.N</t>
        </is>
      </c>
      <c r="B6" s="42" t="n">
        <v>0.0229</v>
      </c>
      <c r="C6" s="42" t="n">
        <v>0.0408</v>
      </c>
      <c r="D6" s="42" t="n">
        <v>0.009900000000000001</v>
      </c>
      <c r="E6" s="42" t="n">
        <v>-0.0197</v>
      </c>
      <c r="F6" s="42" t="n">
        <v>0.0151</v>
      </c>
      <c r="G6" s="42" t="n">
        <v>0.045</v>
      </c>
      <c r="H6" s="42" t="n">
        <v>0.0142</v>
      </c>
      <c r="I6" s="43" t="n">
        <v>-0.0663</v>
      </c>
      <c r="J6" s="42" t="n">
        <v>-0.0166</v>
      </c>
      <c r="K6" s="42" t="n">
        <v>0.0491</v>
      </c>
      <c r="L6" s="43" t="n">
        <v>-0.0527</v>
      </c>
      <c r="M6" s="42" t="n">
        <v>0.0312</v>
      </c>
      <c r="N6" s="42" t="n">
        <v>-0.027</v>
      </c>
      <c r="O6" s="43" t="n">
        <v>-0.0713</v>
      </c>
      <c r="P6" s="42" t="n">
        <v>-0.0262</v>
      </c>
      <c r="Q6" s="42" t="n">
        <v>-0.0056</v>
      </c>
      <c r="R6" s="42" t="n">
        <v>-0.0069</v>
      </c>
      <c r="S6" s="42" t="n">
        <v>0.0108</v>
      </c>
      <c r="T6" s="44" t="n">
        <v>0.06519999999999999</v>
      </c>
      <c r="U6" s="44" t="n">
        <v>0.0624</v>
      </c>
      <c r="V6" s="42" t="n">
        <v>-0.0172</v>
      </c>
      <c r="W6" s="42" t="n">
        <v>-0.0231</v>
      </c>
      <c r="X6" s="42" t="n">
        <v>-0.0364</v>
      </c>
      <c r="Y6" s="43" t="n">
        <v>-0.0808</v>
      </c>
      <c r="Z6" s="44" t="n">
        <v>0.06909999999999999</v>
      </c>
      <c r="AA6" s="44" t="n">
        <v>0.06950000000000001</v>
      </c>
      <c r="AB6" s="43" t="n">
        <v>-0.094</v>
      </c>
      <c r="AC6" s="44" t="n">
        <v>0.1333</v>
      </c>
      <c r="AD6" s="42" t="n">
        <v>-0.0233</v>
      </c>
      <c r="AE6" s="42" t="n">
        <v>-0.0261</v>
      </c>
      <c r="AF6" s="42" t="n">
        <v>-0.0356</v>
      </c>
      <c r="AG6" s="44" t="n">
        <v>0.07140000000000001</v>
      </c>
      <c r="AH6" s="42" t="n">
        <v>0.0373</v>
      </c>
      <c r="AI6" s="42" t="n">
        <v>0.0229</v>
      </c>
      <c r="AJ6" s="42" t="n">
        <v>0.0474</v>
      </c>
      <c r="AK6" s="42" t="n">
        <v>-0.0381</v>
      </c>
      <c r="AL6" s="44" t="n">
        <v>0.1109</v>
      </c>
      <c r="AM6" s="42" t="n">
        <v>-0.0033</v>
      </c>
      <c r="AN6" s="42" t="n">
        <v>-0.0296</v>
      </c>
      <c r="AO6" s="42" t="n">
        <v>0.0206</v>
      </c>
      <c r="AP6" s="42" t="n">
        <v>-0.04</v>
      </c>
      <c r="AQ6" s="43" t="n">
        <v>-0.0502</v>
      </c>
      <c r="AR6" s="42" t="n">
        <v>0.0291</v>
      </c>
      <c r="AS6" s="42" t="n">
        <v>0.0058</v>
      </c>
      <c r="AT6" s="42" t="n">
        <v>0.0047</v>
      </c>
      <c r="AU6" s="42" t="n">
        <v>0.012</v>
      </c>
    </row>
    <row r="7">
      <c r="A7" s="28" t="inlineStr">
        <is>
          <t>VSCO.N</t>
        </is>
      </c>
      <c r="B7" s="44" t="n">
        <v>0.1117</v>
      </c>
      <c r="C7" s="44" t="n">
        <v>0.1109</v>
      </c>
      <c r="D7" s="42" t="n">
        <v>0.0406</v>
      </c>
      <c r="E7" s="43" t="n">
        <v>-0.051</v>
      </c>
      <c r="F7" s="42" t="n">
        <v>-0.008399999999999999</v>
      </c>
      <c r="G7" s="44" t="n">
        <v>0.235</v>
      </c>
      <c r="H7" s="43" t="n">
        <v>-0.0917</v>
      </c>
      <c r="I7" s="42" t="n">
        <v>-0.0018</v>
      </c>
      <c r="J7" s="43" t="n">
        <v>-0.0877</v>
      </c>
      <c r="K7" s="44" t="n">
        <v>0.1455</v>
      </c>
      <c r="L7" s="43" t="n">
        <v>-0.0625</v>
      </c>
      <c r="M7" s="44" t="n">
        <v>0.09959999999999999</v>
      </c>
      <c r="N7" s="42" t="n">
        <v>-0.0259</v>
      </c>
      <c r="O7" s="43" t="n">
        <v>-0.2547</v>
      </c>
      <c r="P7" s="42" t="n">
        <v>-0.04</v>
      </c>
      <c r="Q7" s="42" t="n">
        <v>0</v>
      </c>
      <c r="R7" s="43" t="n">
        <v>-0.0533</v>
      </c>
      <c r="S7" s="44" t="n">
        <v>0.08309999999999999</v>
      </c>
      <c r="T7" s="44" t="n">
        <v>0.095</v>
      </c>
      <c r="U7" s="44" t="n">
        <v>0.0864</v>
      </c>
      <c r="V7" s="42" t="n">
        <v>-0.0355</v>
      </c>
      <c r="W7" s="42" t="n">
        <v>-0.008</v>
      </c>
      <c r="X7" s="43" t="n">
        <v>-0.0825</v>
      </c>
      <c r="Y7" s="42" t="n">
        <v>-0.0433</v>
      </c>
      <c r="Z7" s="44" t="n">
        <v>0.1412</v>
      </c>
      <c r="AA7" s="42" t="n">
        <v>0.0486</v>
      </c>
      <c r="AB7" s="44" t="n">
        <v>0.4556</v>
      </c>
      <c r="AC7" s="42" t="n">
        <v>0</v>
      </c>
      <c r="AD7" s="42" t="n">
        <v>0</v>
      </c>
      <c r="AE7" s="42" t="n">
        <v>0</v>
      </c>
      <c r="AF7" s="42" t="n">
        <v>0</v>
      </c>
      <c r="AG7" s="42" t="n">
        <v>0</v>
      </c>
      <c r="AH7" s="42" t="n">
        <v>0</v>
      </c>
      <c r="AI7" s="42" t="n">
        <v>0</v>
      </c>
      <c r="AJ7" s="42" t="n">
        <v>0</v>
      </c>
      <c r="AK7" s="42" t="n">
        <v>0</v>
      </c>
      <c r="AL7" s="42" t="n">
        <v>0</v>
      </c>
      <c r="AM7" s="42" t="n">
        <v>0</v>
      </c>
      <c r="AN7" s="42" t="n">
        <v>0</v>
      </c>
      <c r="AO7" s="42" t="n">
        <v>0</v>
      </c>
      <c r="AP7" s="42" t="n">
        <v>0</v>
      </c>
      <c r="AQ7" s="42" t="n">
        <v>0</v>
      </c>
      <c r="AR7" s="42" t="n">
        <v>0</v>
      </c>
      <c r="AS7" s="42" t="n">
        <v>0</v>
      </c>
      <c r="AT7" s="42" t="n"/>
      <c r="AU7" s="42" t="n"/>
    </row>
    <row r="8">
      <c r="A8" s="28" t="inlineStr">
        <is>
          <t>UAA.N</t>
        </is>
      </c>
      <c r="B8" s="42" t="n">
        <v>-0.0066</v>
      </c>
      <c r="C8" s="42" t="n">
        <v>-0.0484</v>
      </c>
      <c r="D8" s="42" t="n">
        <v>0.0462</v>
      </c>
      <c r="E8" s="42" t="n">
        <v>0.0265</v>
      </c>
      <c r="F8" s="44" t="n">
        <v>0.1376</v>
      </c>
      <c r="G8" s="44" t="n">
        <v>0.06619999999999999</v>
      </c>
      <c r="H8" s="42" t="n">
        <v>0.0248</v>
      </c>
      <c r="I8" s="44" t="n">
        <v>0.09859999999999999</v>
      </c>
      <c r="J8" s="42" t="n">
        <v>-0.0283</v>
      </c>
      <c r="K8" s="44" t="n">
        <v>0.2253</v>
      </c>
      <c r="L8" s="42" t="n">
        <v>-0.0489</v>
      </c>
      <c r="M8" s="44" t="n">
        <v>0.1321</v>
      </c>
      <c r="N8" s="43" t="n">
        <v>-0.0885</v>
      </c>
      <c r="O8" s="43" t="n">
        <v>-0.1119</v>
      </c>
      <c r="P8" s="42" t="n">
        <v>-0.0152</v>
      </c>
      <c r="Q8" s="43" t="n">
        <v>-0.09859999999999999</v>
      </c>
      <c r="R8" s="42" t="n">
        <v>-0.0188</v>
      </c>
      <c r="S8" s="42" t="n">
        <v>-0.0209</v>
      </c>
      <c r="T8" s="44" t="n">
        <v>0.089</v>
      </c>
      <c r="U8" s="44" t="n">
        <v>0.0605</v>
      </c>
      <c r="V8" s="42" t="n">
        <v>-0.0447</v>
      </c>
      <c r="W8" s="42" t="n">
        <v>0.0145</v>
      </c>
      <c r="X8" s="42" t="n">
        <v>0.0223</v>
      </c>
      <c r="Y8" s="43" t="n">
        <v>-0.2037</v>
      </c>
      <c r="Z8" s="44" t="n">
        <v>0.0742</v>
      </c>
      <c r="AA8" s="44" t="n">
        <v>0.0673</v>
      </c>
      <c r="AB8" s="43" t="n">
        <v>-0.0528</v>
      </c>
      <c r="AC8" s="44" t="n">
        <v>0.0881</v>
      </c>
      <c r="AD8" s="42" t="n">
        <v>0.0017</v>
      </c>
      <c r="AE8" s="42" t="n">
        <v>0.0396</v>
      </c>
      <c r="AF8" s="44" t="n">
        <v>0.0524</v>
      </c>
      <c r="AG8" s="42" t="n">
        <v>0.0241</v>
      </c>
      <c r="AH8" s="44" t="n">
        <v>0.09429999999999999</v>
      </c>
      <c r="AI8" s="43" t="n">
        <v>-0.0538</v>
      </c>
      <c r="AJ8" s="43" t="n">
        <v>-0.0541</v>
      </c>
      <c r="AK8" s="43" t="n">
        <v>-0.08119999999999999</v>
      </c>
      <c r="AL8" s="43" t="n">
        <v>-0.1227</v>
      </c>
      <c r="AM8" s="42" t="n">
        <v>0.0056</v>
      </c>
      <c r="AN8" s="43" t="n">
        <v>-0.0575</v>
      </c>
      <c r="AO8" s="42" t="n">
        <v>0.0335</v>
      </c>
      <c r="AP8" s="42" t="n">
        <v>-0.0267</v>
      </c>
      <c r="AQ8" s="42" t="n">
        <v>-0.045</v>
      </c>
      <c r="AR8" s="42" t="n">
        <v>-0.0225</v>
      </c>
      <c r="AS8" s="42" t="n">
        <v>-0.0023</v>
      </c>
      <c r="AT8" s="42" t="n">
        <v>0.0561</v>
      </c>
      <c r="AU8" s="42" t="n">
        <v>0.0467</v>
      </c>
    </row>
    <row r="9">
      <c r="A9" s="28" t="inlineStr">
        <is>
          <t>SKX.N</t>
        </is>
      </c>
    </row>
    <row r="10">
      <c r="A10" s="28" t="inlineStr">
        <is>
          <t>SHOO.O</t>
        </is>
      </c>
      <c r="B10" s="42" t="n">
        <v>0.0221</v>
      </c>
      <c r="C10" s="42" t="n">
        <v>-0.0062</v>
      </c>
      <c r="D10" s="42" t="n">
        <v>-0.0128</v>
      </c>
      <c r="E10" s="42" t="n">
        <v>-0.0002</v>
      </c>
      <c r="F10" s="42" t="n">
        <v>-0.0195</v>
      </c>
      <c r="G10" s="44" t="n">
        <v>0.0675</v>
      </c>
      <c r="H10" s="42" t="n">
        <v>0.0122</v>
      </c>
      <c r="I10" s="42" t="n">
        <v>-0.0024</v>
      </c>
      <c r="J10" s="42" t="n">
        <v>-0.0354</v>
      </c>
      <c r="K10" s="43" t="n">
        <v>-0.1862</v>
      </c>
      <c r="L10" s="44" t="n">
        <v>0.0975</v>
      </c>
      <c r="M10" s="42" t="n">
        <v>0.0179</v>
      </c>
      <c r="N10" s="43" t="n">
        <v>-0.095</v>
      </c>
      <c r="O10" s="43" t="n">
        <v>-0.0615</v>
      </c>
      <c r="P10" s="43" t="n">
        <v>-0.0741</v>
      </c>
      <c r="Q10" s="42" t="n">
        <v>0.0147</v>
      </c>
      <c r="R10" s="42" t="n">
        <v>0.0402</v>
      </c>
      <c r="S10" s="42" t="n">
        <v>0.0266</v>
      </c>
      <c r="T10" s="44" t="n">
        <v>0.1168</v>
      </c>
      <c r="U10" s="42" t="n">
        <v>0.0485</v>
      </c>
      <c r="V10" s="42" t="n">
        <v>-0.0307</v>
      </c>
      <c r="W10" s="42" t="n">
        <v>-0.028</v>
      </c>
      <c r="X10" s="44" t="n">
        <v>0.0829</v>
      </c>
      <c r="Y10" s="42" t="n">
        <v>-0.0448</v>
      </c>
      <c r="Z10" s="44" t="n">
        <v>0.0809</v>
      </c>
      <c r="AA10" s="42" t="n">
        <v>0.036</v>
      </c>
      <c r="AB10" s="42" t="n">
        <v>0.0136</v>
      </c>
      <c r="AC10" s="42" t="n">
        <v>0.0481</v>
      </c>
      <c r="AD10" s="42" t="n">
        <v>-0.0425</v>
      </c>
      <c r="AE10" s="42" t="n">
        <v>-0.022</v>
      </c>
      <c r="AF10" s="43" t="n">
        <v>-0.0764</v>
      </c>
      <c r="AG10" s="44" t="n">
        <v>0.0524</v>
      </c>
      <c r="AH10" s="42" t="n">
        <v>0.0336</v>
      </c>
      <c r="AI10" s="42" t="n">
        <v>-0.0154</v>
      </c>
      <c r="AJ10" s="44" t="n">
        <v>0.0779</v>
      </c>
      <c r="AK10" s="44" t="n">
        <v>0.0543</v>
      </c>
      <c r="AL10" s="42" t="n">
        <v>-0.0296</v>
      </c>
      <c r="AM10" s="42" t="n">
        <v>-0.0225</v>
      </c>
      <c r="AN10" s="42" t="n">
        <v>-0.0399</v>
      </c>
      <c r="AO10" s="42" t="n">
        <v>-0.0127</v>
      </c>
      <c r="AP10" s="42" t="n">
        <v>-0.0172</v>
      </c>
      <c r="AQ10" s="42" t="n">
        <v>-0.0191</v>
      </c>
      <c r="AR10" s="42" t="n">
        <v>0.0171</v>
      </c>
      <c r="AS10" s="42" t="n">
        <v>0.0053</v>
      </c>
      <c r="AT10" s="42" t="n">
        <v>0.0268</v>
      </c>
      <c r="AU10" s="42" t="n">
        <v>-0.0363</v>
      </c>
    </row>
    <row r="11">
      <c r="A11" s="28" t="inlineStr">
        <is>
          <t>RL.N</t>
        </is>
      </c>
      <c r="B11" s="42" t="n">
        <v>0.0069</v>
      </c>
      <c r="C11" s="42" t="n">
        <v>0.0049</v>
      </c>
      <c r="D11" s="42" t="n">
        <v>-0.0208</v>
      </c>
      <c r="E11" s="42" t="n">
        <v>-0.0122</v>
      </c>
      <c r="F11" s="42" t="n">
        <v>0.0123</v>
      </c>
      <c r="G11" s="42" t="n">
        <v>0.0201</v>
      </c>
      <c r="H11" s="42" t="n">
        <v>-0.0183</v>
      </c>
      <c r="I11" s="42" t="n">
        <v>0.0119</v>
      </c>
      <c r="J11" s="42" t="n">
        <v>-0.038</v>
      </c>
      <c r="K11" s="42" t="n">
        <v>-0.0298</v>
      </c>
      <c r="L11" s="44" t="n">
        <v>0.0767</v>
      </c>
      <c r="M11" s="42" t="n">
        <v>0.0429</v>
      </c>
      <c r="N11" s="43" t="n">
        <v>-0.0583</v>
      </c>
      <c r="O11" s="43" t="n">
        <v>-0.0669</v>
      </c>
      <c r="P11" s="42" t="n">
        <v>-0.0225</v>
      </c>
      <c r="Q11" s="42" t="n">
        <v>-0.0026</v>
      </c>
      <c r="R11" s="42" t="n">
        <v>-0.0062</v>
      </c>
      <c r="S11" s="44" t="n">
        <v>0.0616</v>
      </c>
      <c r="T11" s="44" t="n">
        <v>0.0915</v>
      </c>
      <c r="U11" s="42" t="n">
        <v>0.0185</v>
      </c>
      <c r="V11" s="42" t="n">
        <v>-0.0404</v>
      </c>
      <c r="W11" s="42" t="n">
        <v>-0.0243</v>
      </c>
      <c r="X11" s="42" t="n">
        <v>-0.0104</v>
      </c>
      <c r="Y11" s="43" t="n">
        <v>-0.0883</v>
      </c>
      <c r="Z11" s="44" t="n">
        <v>0.156</v>
      </c>
      <c r="AA11" s="42" t="n">
        <v>-0.0367</v>
      </c>
      <c r="AB11" s="42" t="n">
        <v>0.0073</v>
      </c>
      <c r="AC11" s="44" t="n">
        <v>0.1021</v>
      </c>
      <c r="AD11" s="42" t="n">
        <v>0.0224</v>
      </c>
      <c r="AE11" s="42" t="n">
        <v>-0.0045</v>
      </c>
      <c r="AF11" s="42" t="n">
        <v>-0.0315</v>
      </c>
      <c r="AG11" s="42" t="n">
        <v>-0.0083</v>
      </c>
      <c r="AH11" s="42" t="n">
        <v>-0.0366</v>
      </c>
      <c r="AI11" s="42" t="n">
        <v>-0.0181</v>
      </c>
      <c r="AJ11" s="42" t="n">
        <v>0.0181</v>
      </c>
      <c r="AK11" s="42" t="n">
        <v>0.0399</v>
      </c>
      <c r="AL11" s="42" t="n">
        <v>-0.0167</v>
      </c>
      <c r="AM11" s="42" t="n">
        <v>-0.042</v>
      </c>
      <c r="AN11" s="42" t="n">
        <v>-0.0498</v>
      </c>
      <c r="AO11" s="42" t="n">
        <v>-0.008</v>
      </c>
      <c r="AP11" s="42" t="n">
        <v>-0.0345</v>
      </c>
      <c r="AQ11" s="42" t="n">
        <v>-0.0118</v>
      </c>
      <c r="AR11" s="42" t="n">
        <v>0.0141</v>
      </c>
      <c r="AS11" s="42" t="n">
        <v>-0.0035</v>
      </c>
      <c r="AT11" s="42" t="n">
        <v>0.0234</v>
      </c>
      <c r="AU11" s="42" t="n">
        <v>0.0218</v>
      </c>
    </row>
    <row r="12">
      <c r="A12" s="28" t="inlineStr">
        <is>
          <t>PUM.DF</t>
        </is>
      </c>
      <c r="B12" s="42" t="n">
        <v>0.0183</v>
      </c>
      <c r="C12" s="42" t="n">
        <v>0.0313</v>
      </c>
      <c r="D12" s="42" t="n">
        <v>0.0308</v>
      </c>
      <c r="E12" s="42" t="n">
        <v>-0.0388</v>
      </c>
      <c r="F12" s="42" t="n">
        <v>0.0394</v>
      </c>
      <c r="G12" s="44" t="n">
        <v>0.0692</v>
      </c>
      <c r="H12" s="43" t="n">
        <v>-0.0852</v>
      </c>
      <c r="I12" s="43" t="n">
        <v>-0.1556</v>
      </c>
      <c r="J12" s="44" t="n">
        <v>0.1697</v>
      </c>
      <c r="K12" s="42" t="n">
        <v>0.049</v>
      </c>
      <c r="L12" s="42" t="n">
        <v>0.033</v>
      </c>
      <c r="M12" s="42" t="n">
        <v>-0.008500000000000001</v>
      </c>
      <c r="N12" s="42" t="n">
        <v>0.0219</v>
      </c>
      <c r="O12" s="43" t="n">
        <v>-0.0572</v>
      </c>
      <c r="P12" s="42" t="n">
        <v>-0.0353</v>
      </c>
      <c r="Q12" s="43" t="n">
        <v>-0.0717</v>
      </c>
      <c r="R12" s="44" t="n">
        <v>0.0703</v>
      </c>
      <c r="S12" s="42" t="n">
        <v>0.027</v>
      </c>
      <c r="T12" s="44" t="n">
        <v>0.1224</v>
      </c>
      <c r="U12" s="42" t="n">
        <v>0.0428</v>
      </c>
      <c r="V12" s="42" t="n">
        <v>-0.0314</v>
      </c>
      <c r="W12" s="42" t="n">
        <v>0.0392</v>
      </c>
      <c r="X12" s="42" t="n">
        <v>-0.0312</v>
      </c>
      <c r="Y12" s="44" t="n">
        <v>0.0532</v>
      </c>
      <c r="Z12" s="44" t="n">
        <v>0.0856</v>
      </c>
      <c r="AA12" s="42" t="n">
        <v>0.0101</v>
      </c>
      <c r="AB12" s="43" t="n">
        <v>-0.08019999999999999</v>
      </c>
      <c r="AC12" s="42" t="n">
        <v>0.049</v>
      </c>
      <c r="AD12" s="42" t="n">
        <v>0.0064</v>
      </c>
      <c r="AE12" s="43" t="n">
        <v>-0.0507</v>
      </c>
      <c r="AF12" s="42" t="n">
        <v>0.0034</v>
      </c>
      <c r="AG12" s="42" t="n">
        <v>0.048</v>
      </c>
      <c r="AH12" s="42" t="n">
        <v>0.0177</v>
      </c>
      <c r="AI12" s="42" t="n">
        <v>-0.0241</v>
      </c>
      <c r="AJ12" s="42" t="n">
        <v>-0.0175</v>
      </c>
      <c r="AK12" s="42" t="n">
        <v>-0.0142</v>
      </c>
      <c r="AL12" s="42" t="n">
        <v>-0.0214</v>
      </c>
      <c r="AM12" s="43" t="n">
        <v>-0.0569</v>
      </c>
      <c r="AN12" s="42" t="n">
        <v>0.0244</v>
      </c>
      <c r="AO12" s="43" t="n">
        <v>-0.0702</v>
      </c>
      <c r="AP12" s="43" t="n">
        <v>-0.0898</v>
      </c>
      <c r="AQ12" s="42" t="n">
        <v>0.0138</v>
      </c>
      <c r="AR12" s="42" t="n">
        <v>0</v>
      </c>
      <c r="AS12" s="42" t="n">
        <v>-0.0149</v>
      </c>
      <c r="AT12" s="42" t="n">
        <v>-0.0281</v>
      </c>
      <c r="AU12" s="42" t="n">
        <v>0.037</v>
      </c>
    </row>
    <row r="13">
      <c r="A13" s="28" t="inlineStr">
        <is>
          <t>ONON.N</t>
        </is>
      </c>
      <c r="B13" s="44" t="n">
        <v>0.0774</v>
      </c>
      <c r="C13" s="42" t="n">
        <v>0.0129</v>
      </c>
      <c r="D13" s="42" t="n">
        <v>-0.0039</v>
      </c>
      <c r="E13" s="42" t="n">
        <v>-0.0369</v>
      </c>
      <c r="F13" s="42" t="n">
        <v>0.0036</v>
      </c>
      <c r="G13" s="42" t="n">
        <v>0.0462</v>
      </c>
      <c r="H13" s="43" t="n">
        <v>-0.0829</v>
      </c>
      <c r="I13" s="42" t="n">
        <v>0.0202</v>
      </c>
      <c r="J13" s="42" t="n">
        <v>-0.0154</v>
      </c>
      <c r="K13" s="42" t="n">
        <v>-0.0393</v>
      </c>
      <c r="L13" s="42" t="n">
        <v>0.0419</v>
      </c>
      <c r="M13" s="44" t="n">
        <v>0.0912</v>
      </c>
      <c r="N13" s="43" t="n">
        <v>-0.0595</v>
      </c>
      <c r="O13" s="43" t="n">
        <v>-0.108</v>
      </c>
      <c r="P13" s="43" t="n">
        <v>-0.0837</v>
      </c>
      <c r="Q13" s="42" t="n">
        <v>-0.008699999999999999</v>
      </c>
      <c r="R13" s="43" t="n">
        <v>-0.1399</v>
      </c>
      <c r="S13" s="42" t="n">
        <v>0.0198</v>
      </c>
      <c r="T13" s="42" t="n">
        <v>0.0157</v>
      </c>
      <c r="U13" s="44" t="n">
        <v>0.1013</v>
      </c>
      <c r="V13" s="42" t="n">
        <v>-0.0189</v>
      </c>
      <c r="W13" s="42" t="n">
        <v>-0.0472</v>
      </c>
      <c r="X13" s="42" t="n">
        <v>0.0203</v>
      </c>
      <c r="Y13" s="44" t="n">
        <v>0.0573</v>
      </c>
      <c r="Z13" s="44" t="n">
        <v>0.0684</v>
      </c>
      <c r="AA13" s="42" t="n">
        <v>0.0254</v>
      </c>
      <c r="AB13" s="43" t="n">
        <v>-0.0916</v>
      </c>
      <c r="AC13" s="42" t="n">
        <v>0.0405</v>
      </c>
      <c r="AD13" s="42" t="n">
        <v>0.0078</v>
      </c>
      <c r="AE13" s="42" t="n">
        <v>-0.0466</v>
      </c>
      <c r="AF13" s="42" t="n">
        <v>-0.0065</v>
      </c>
      <c r="AG13" s="42" t="n">
        <v>0.0464</v>
      </c>
      <c r="AH13" s="42" t="n">
        <v>-0.0348</v>
      </c>
      <c r="AI13" s="42" t="n">
        <v>-0.0371</v>
      </c>
      <c r="AJ13" s="42" t="n">
        <v>0.0117</v>
      </c>
      <c r="AK13" s="42" t="n">
        <v>0.0361</v>
      </c>
      <c r="AL13" s="43" t="n">
        <v>-0.1419</v>
      </c>
      <c r="AM13" s="43" t="n">
        <v>-0.0683</v>
      </c>
      <c r="AN13" s="42" t="n">
        <v>-0.039</v>
      </c>
      <c r="AO13" s="42" t="n">
        <v>-0.0298</v>
      </c>
      <c r="AP13" s="42" t="n">
        <v>-0.0207</v>
      </c>
      <c r="AQ13" s="42" t="n">
        <v>-0.0055</v>
      </c>
      <c r="AR13" s="42" t="n">
        <v>0.0022</v>
      </c>
      <c r="AS13" s="42" t="n">
        <v>-0.015</v>
      </c>
      <c r="AT13" s="42" t="n">
        <v>0.0419</v>
      </c>
      <c r="AU13" s="42" t="n">
        <v>0.1374</v>
      </c>
    </row>
    <row r="14">
      <c r="A14" s="28" t="inlineStr">
        <is>
          <t>NWL.O</t>
        </is>
      </c>
      <c r="B14" s="42" t="n">
        <v>-0.0236</v>
      </c>
      <c r="C14" s="42" t="n">
        <v>0.0242</v>
      </c>
      <c r="D14" s="42" t="n">
        <v>-0.0236</v>
      </c>
      <c r="E14" s="42" t="n">
        <v>0.0188</v>
      </c>
      <c r="F14" s="42" t="n">
        <v>-0.0185</v>
      </c>
      <c r="G14" s="44" t="n">
        <v>0.1317</v>
      </c>
      <c r="H14" s="42" t="n">
        <v>0.0024</v>
      </c>
      <c r="I14" s="42" t="n">
        <v>0.0237</v>
      </c>
      <c r="J14" s="42" t="n">
        <v>-0.0162</v>
      </c>
      <c r="K14" s="44" t="n">
        <v>0.08939999999999999</v>
      </c>
      <c r="L14" s="42" t="n">
        <v>0.0151</v>
      </c>
      <c r="M14" s="42" t="n">
        <v>0.0383</v>
      </c>
      <c r="N14" s="43" t="n">
        <v>-0.06759999999999999</v>
      </c>
      <c r="O14" s="43" t="n">
        <v>-0.06809999999999999</v>
      </c>
      <c r="P14" s="42" t="n">
        <v>-0.0472</v>
      </c>
      <c r="Q14" s="43" t="n">
        <v>-0.1683</v>
      </c>
      <c r="R14" s="42" t="n">
        <v>0.0119</v>
      </c>
      <c r="S14" s="42" t="n">
        <v>-0.0029</v>
      </c>
      <c r="T14" s="44" t="n">
        <v>0.1475</v>
      </c>
      <c r="U14" s="44" t="n">
        <v>0.1131</v>
      </c>
      <c r="V14" s="42" t="n">
        <v>-0.0231</v>
      </c>
      <c r="W14" s="44" t="n">
        <v>0.0757</v>
      </c>
      <c r="X14" s="42" t="n">
        <v>-0.0022</v>
      </c>
      <c r="Y14" s="43" t="n">
        <v>-0.1542</v>
      </c>
      <c r="Z14" s="43" t="n">
        <v>-0.0521</v>
      </c>
      <c r="AA14" s="43" t="n">
        <v>-0.0659</v>
      </c>
      <c r="AB14" s="44" t="n">
        <v>0.0941</v>
      </c>
      <c r="AC14" s="44" t="n">
        <v>0.3226</v>
      </c>
      <c r="AD14" s="42" t="n">
        <v>0</v>
      </c>
      <c r="AE14" s="44" t="n">
        <v>0.1829</v>
      </c>
      <c r="AF14" s="42" t="n">
        <v>0.0017</v>
      </c>
      <c r="AG14" s="43" t="n">
        <v>-0.1132</v>
      </c>
      <c r="AH14" s="42" t="n">
        <v>0.0116</v>
      </c>
      <c r="AI14" s="42" t="n">
        <v>-0.0287</v>
      </c>
      <c r="AJ14" s="44" t="n">
        <v>0.1024</v>
      </c>
      <c r="AK14" s="44" t="n">
        <v>0.0732</v>
      </c>
      <c r="AL14" s="42" t="n">
        <v>0.0383</v>
      </c>
      <c r="AM14" s="42" t="n">
        <v>-0.024</v>
      </c>
      <c r="AN14" s="42" t="n">
        <v>0.0131</v>
      </c>
      <c r="AO14" s="42" t="n">
        <v>-0.0097</v>
      </c>
      <c r="AP14" s="42" t="n">
        <v>-0.0426</v>
      </c>
      <c r="AQ14" s="43" t="n">
        <v>-0.06320000000000001</v>
      </c>
      <c r="AR14" s="42" t="n">
        <v>0.0219</v>
      </c>
      <c r="AS14" s="42" t="n">
        <v>-0.0221</v>
      </c>
      <c r="AT14" s="42" t="n">
        <v>0.0227</v>
      </c>
      <c r="AU14" s="42" t="n">
        <v>0.0444</v>
      </c>
    </row>
    <row r="15">
      <c r="A15" s="28" t="inlineStr">
        <is>
          <t>LULU.O</t>
        </is>
      </c>
      <c r="B15" s="42" t="n">
        <v>0.0417</v>
      </c>
      <c r="C15" s="44" t="n">
        <v>0.07870000000000001</v>
      </c>
      <c r="D15" s="42" t="n">
        <v>0.0219</v>
      </c>
      <c r="E15" s="42" t="n">
        <v>-0.0023</v>
      </c>
      <c r="F15" s="42" t="n">
        <v>0.008800000000000001</v>
      </c>
      <c r="G15" s="42" t="n">
        <v>-0.0328</v>
      </c>
      <c r="H15" s="42" t="n">
        <v>-0.01</v>
      </c>
      <c r="I15" s="43" t="n">
        <v>-0.0535</v>
      </c>
      <c r="J15" s="43" t="n">
        <v>-0.0867</v>
      </c>
      <c r="K15" s="42" t="n">
        <v>-0.0095</v>
      </c>
      <c r="L15" s="42" t="n">
        <v>0.0207</v>
      </c>
      <c r="M15" s="44" t="n">
        <v>0.0617</v>
      </c>
      <c r="N15" s="42" t="n">
        <v>-0.0114</v>
      </c>
      <c r="O15" s="43" t="n">
        <v>-0.08119999999999999</v>
      </c>
      <c r="P15" s="43" t="n">
        <v>-0.0726</v>
      </c>
      <c r="Q15" s="42" t="n">
        <v>0.0319</v>
      </c>
      <c r="R15" s="43" t="n">
        <v>-0.1042</v>
      </c>
      <c r="S15" s="44" t="n">
        <v>0.0677</v>
      </c>
      <c r="T15" s="44" t="n">
        <v>0.0523</v>
      </c>
      <c r="U15" s="42" t="n">
        <v>0.0209</v>
      </c>
      <c r="V15" s="43" t="n">
        <v>-0.1404</v>
      </c>
      <c r="W15" s="43" t="n">
        <v>-0.0711</v>
      </c>
      <c r="X15" s="42" t="n">
        <v>-0.018</v>
      </c>
      <c r="Y15" s="43" t="n">
        <v>-0.09180000000000001</v>
      </c>
      <c r="Z15" s="44" t="n">
        <v>0.0675</v>
      </c>
      <c r="AA15" s="42" t="n">
        <v>0.0315</v>
      </c>
      <c r="AB15" s="43" t="n">
        <v>-0.1292</v>
      </c>
      <c r="AC15" s="42" t="n">
        <v>0.0397</v>
      </c>
      <c r="AD15" s="43" t="n">
        <v>-0.0589</v>
      </c>
      <c r="AE15" s="44" t="n">
        <v>0.0519</v>
      </c>
      <c r="AF15" s="42" t="n">
        <v>0.0073</v>
      </c>
      <c r="AG15" s="42" t="n">
        <v>0.007</v>
      </c>
      <c r="AH15" s="42" t="n">
        <v>-0.0246</v>
      </c>
      <c r="AI15" s="42" t="n">
        <v>-0.0176</v>
      </c>
      <c r="AJ15" s="42" t="n">
        <v>0.0402</v>
      </c>
      <c r="AK15" s="44" t="n">
        <v>0.08169999999999999</v>
      </c>
      <c r="AL15" s="43" t="n">
        <v>-0.0702</v>
      </c>
      <c r="AM15" s="42" t="n">
        <v>0.0127</v>
      </c>
      <c r="AN15" s="42" t="n">
        <v>-0.0021</v>
      </c>
      <c r="AO15" s="43" t="n">
        <v>-0.1672</v>
      </c>
      <c r="AP15" s="42" t="n">
        <v>-0.0163</v>
      </c>
      <c r="AQ15" s="42" t="n">
        <v>-0.0092</v>
      </c>
      <c r="AR15" s="42" t="n">
        <v>0.033</v>
      </c>
      <c r="AS15" s="42" t="n">
        <v>-0.0369</v>
      </c>
      <c r="AT15" s="42" t="n">
        <v>-0.018</v>
      </c>
      <c r="AU15" s="42" t="n">
        <v>0.0004</v>
      </c>
    </row>
    <row r="16">
      <c r="A16" s="28" t="inlineStr">
        <is>
          <t>LEVI.N</t>
        </is>
      </c>
      <c r="B16" s="42" t="n">
        <v>-0.0009</v>
      </c>
      <c r="C16" s="42" t="n">
        <v>-0.0346</v>
      </c>
      <c r="D16" s="42" t="n">
        <v>0.0098</v>
      </c>
      <c r="E16" s="42" t="n">
        <v>-0.0276</v>
      </c>
      <c r="F16" s="42" t="n">
        <v>-0.0137</v>
      </c>
      <c r="G16" s="42" t="n">
        <v>0.0447</v>
      </c>
      <c r="H16" s="42" t="n">
        <v>0.0005</v>
      </c>
      <c r="I16" s="42" t="n">
        <v>-0.0239</v>
      </c>
      <c r="J16" s="43" t="n">
        <v>-0.064</v>
      </c>
      <c r="K16" s="42" t="n">
        <v>0.0337</v>
      </c>
      <c r="L16" s="44" t="n">
        <v>0.06619999999999999</v>
      </c>
      <c r="M16" s="42" t="n">
        <v>0.0443</v>
      </c>
      <c r="N16" s="42" t="n">
        <v>-0.0315</v>
      </c>
      <c r="O16" s="43" t="n">
        <v>-0.1155</v>
      </c>
      <c r="P16" s="43" t="n">
        <v>-0.0862</v>
      </c>
      <c r="Q16" s="42" t="n">
        <v>0.0011</v>
      </c>
      <c r="R16" s="42" t="n">
        <v>0.0184</v>
      </c>
      <c r="S16" s="42" t="n">
        <v>0.035</v>
      </c>
      <c r="T16" s="44" t="n">
        <v>0.2037</v>
      </c>
      <c r="U16" s="42" t="n">
        <v>0.0066</v>
      </c>
      <c r="V16" s="42" t="n">
        <v>-0.0258</v>
      </c>
      <c r="W16" s="42" t="n">
        <v>-0.0013</v>
      </c>
      <c r="X16" s="42" t="n">
        <v>0.0175</v>
      </c>
      <c r="Y16" s="43" t="n">
        <v>-0.0745</v>
      </c>
      <c r="Z16" s="42" t="n">
        <v>0.0496</v>
      </c>
      <c r="AA16" s="44" t="n">
        <v>0.0536</v>
      </c>
      <c r="AB16" s="42" t="n">
        <v>-0.0289</v>
      </c>
      <c r="AC16" s="44" t="n">
        <v>0.06569999999999999</v>
      </c>
      <c r="AD16" s="42" t="n">
        <v>-0.0129</v>
      </c>
      <c r="AE16" s="42" t="n">
        <v>0.0354</v>
      </c>
      <c r="AF16" s="42" t="n">
        <v>-0.0053</v>
      </c>
      <c r="AG16" s="42" t="n">
        <v>-0.0041</v>
      </c>
      <c r="AH16" s="42" t="n">
        <v>0.0021</v>
      </c>
      <c r="AI16" s="42" t="n">
        <v>0.0074</v>
      </c>
      <c r="AJ16" s="42" t="n">
        <v>-0.0008</v>
      </c>
      <c r="AK16" s="42" t="n">
        <v>-0.0045</v>
      </c>
      <c r="AL16" s="43" t="n">
        <v>-0.0762</v>
      </c>
      <c r="AM16" s="42" t="n">
        <v>-0.047</v>
      </c>
      <c r="AN16" s="42" t="n">
        <v>-0.009299999999999999</v>
      </c>
      <c r="AO16" s="42" t="n">
        <v>-0.0108</v>
      </c>
      <c r="AP16" s="42" t="n">
        <v>-0.0427</v>
      </c>
      <c r="AQ16" s="42" t="n">
        <v>-0.0169</v>
      </c>
      <c r="AR16" s="42" t="n">
        <v>0</v>
      </c>
      <c r="AS16" s="42" t="n">
        <v>-0.003</v>
      </c>
      <c r="AT16" s="42" t="n">
        <v>0.0086</v>
      </c>
      <c r="AU16" s="42" t="n">
        <v>-0.0589</v>
      </c>
    </row>
    <row r="17">
      <c r="A17" s="28" t="inlineStr">
        <is>
          <t>KTB.N</t>
        </is>
      </c>
      <c r="B17" s="42" t="n">
        <v>0.0138</v>
      </c>
      <c r="C17" s="43" t="n">
        <v>-0.1268</v>
      </c>
      <c r="D17" s="42" t="n">
        <v>-0.0365</v>
      </c>
      <c r="E17" s="42" t="n">
        <v>-0.0189</v>
      </c>
      <c r="F17" s="42" t="n">
        <v>-0.0223</v>
      </c>
      <c r="G17" s="42" t="n">
        <v>0.0054</v>
      </c>
      <c r="H17" s="42" t="n">
        <v>-0.039</v>
      </c>
      <c r="I17" s="42" t="n">
        <v>-0.0268</v>
      </c>
      <c r="J17" s="42" t="n">
        <v>0.0329</v>
      </c>
      <c r="K17" s="44" t="n">
        <v>0.1222</v>
      </c>
      <c r="L17" s="42" t="n">
        <v>0.0064</v>
      </c>
      <c r="M17" s="42" t="n">
        <v>0.0334</v>
      </c>
      <c r="N17" s="43" t="n">
        <v>-0.0646</v>
      </c>
      <c r="O17" s="44" t="n">
        <v>0.1696</v>
      </c>
      <c r="P17" s="43" t="n">
        <v>-0.1151</v>
      </c>
      <c r="Q17" s="42" t="n">
        <v>-0.0074</v>
      </c>
      <c r="R17" s="42" t="n">
        <v>-0.008399999999999999</v>
      </c>
      <c r="S17" s="42" t="n">
        <v>0.0388</v>
      </c>
      <c r="T17" s="42" t="n">
        <v>0.0422</v>
      </c>
      <c r="U17" s="44" t="n">
        <v>0.0747</v>
      </c>
      <c r="V17" s="43" t="n">
        <v>-0.0593</v>
      </c>
      <c r="W17" s="42" t="n">
        <v>-0.007</v>
      </c>
      <c r="X17" s="42" t="n">
        <v>0.0201</v>
      </c>
      <c r="Y17" s="43" t="n">
        <v>-0.1614</v>
      </c>
      <c r="Z17" s="44" t="n">
        <v>0.132</v>
      </c>
      <c r="AA17" s="42" t="n">
        <v>0.0266</v>
      </c>
      <c r="AB17" s="42" t="n">
        <v>-0.0237</v>
      </c>
      <c r="AC17" s="44" t="n">
        <v>0.1276</v>
      </c>
      <c r="AD17" s="42" t="n">
        <v>-0.0106</v>
      </c>
      <c r="AE17" s="44" t="n">
        <v>0.0655</v>
      </c>
      <c r="AF17" s="42" t="n">
        <v>0.0205</v>
      </c>
      <c r="AG17" s="42" t="n">
        <v>0.0078</v>
      </c>
      <c r="AH17" s="42" t="n">
        <v>-0.0011</v>
      </c>
      <c r="AI17" s="42" t="n">
        <v>-0.0237</v>
      </c>
      <c r="AJ17" s="42" t="n">
        <v>0.0024</v>
      </c>
      <c r="AK17" s="43" t="n">
        <v>-0.0799</v>
      </c>
      <c r="AL17" s="44" t="n">
        <v>0.1019</v>
      </c>
      <c r="AM17" s="42" t="n">
        <v>-0.034</v>
      </c>
      <c r="AN17" s="43" t="n">
        <v>-0.0612</v>
      </c>
      <c r="AO17" s="42" t="n">
        <v>-0.0442</v>
      </c>
      <c r="AP17" s="43" t="n">
        <v>-0.09470000000000001</v>
      </c>
      <c r="AQ17" s="42" t="n">
        <v>-0.0039</v>
      </c>
      <c r="AR17" s="42" t="n">
        <v>0.0008</v>
      </c>
      <c r="AS17" s="42" t="n">
        <v>-0.009900000000000001</v>
      </c>
      <c r="AT17" s="42" t="n">
        <v>0.0267</v>
      </c>
      <c r="AU17" s="42" t="n">
        <v>0.0141</v>
      </c>
    </row>
    <row r="18">
      <c r="A18" s="28" t="inlineStr">
        <is>
          <t>HBI.N</t>
        </is>
      </c>
    </row>
    <row r="19">
      <c r="A19" s="28" t="inlineStr">
        <is>
          <t>GIL.N</t>
        </is>
      </c>
      <c r="B19" s="42" t="n">
        <v>0.0207</v>
      </c>
      <c r="C19" s="42" t="n">
        <v>0.0294</v>
      </c>
      <c r="D19" s="42" t="n">
        <v>0.0474</v>
      </c>
      <c r="E19" s="42" t="n">
        <v>0.0025</v>
      </c>
      <c r="F19" s="42" t="n">
        <v>-0.0098</v>
      </c>
      <c r="G19" s="42" t="n">
        <v>0.0083</v>
      </c>
      <c r="H19" s="42" t="n">
        <v>-0.0036</v>
      </c>
      <c r="I19" s="44" t="n">
        <v>0.0584</v>
      </c>
      <c r="J19" s="42" t="n">
        <v>-0.0288</v>
      </c>
      <c r="K19" s="44" t="n">
        <v>0.09619999999999999</v>
      </c>
      <c r="L19" s="42" t="n">
        <v>0.019</v>
      </c>
      <c r="M19" s="42" t="n">
        <v>-0.0141</v>
      </c>
      <c r="N19" s="42" t="n">
        <v>-0.0485</v>
      </c>
      <c r="O19" s="43" t="n">
        <v>-0.08309999999999999</v>
      </c>
      <c r="P19" s="43" t="n">
        <v>-0.0604</v>
      </c>
      <c r="Q19" s="42" t="n">
        <v>-0.0455</v>
      </c>
      <c r="R19" s="42" t="n">
        <v>-0.0279</v>
      </c>
      <c r="S19" s="42" t="n">
        <v>0.0004</v>
      </c>
      <c r="T19" s="44" t="n">
        <v>0.0623</v>
      </c>
      <c r="U19" s="42" t="n">
        <v>0.0353</v>
      </c>
      <c r="V19" s="42" t="n">
        <v>-0.0219</v>
      </c>
      <c r="W19" s="44" t="n">
        <v>0.0502</v>
      </c>
      <c r="X19" s="42" t="n">
        <v>-0.0366</v>
      </c>
      <c r="Y19" s="42" t="n">
        <v>-0.0467</v>
      </c>
      <c r="Z19" s="42" t="n">
        <v>0.0299</v>
      </c>
      <c r="AA19" s="42" t="n">
        <v>0.0481</v>
      </c>
      <c r="AB19" s="43" t="n">
        <v>-0.0553</v>
      </c>
      <c r="AC19" s="44" t="n">
        <v>0.055</v>
      </c>
      <c r="AD19" s="43" t="n">
        <v>-0.1463</v>
      </c>
      <c r="AE19" s="42" t="n">
        <v>0.0179</v>
      </c>
      <c r="AF19" s="42" t="n">
        <v>-0.025</v>
      </c>
      <c r="AG19" s="42" t="n">
        <v>0.0194</v>
      </c>
      <c r="AH19" s="42" t="n">
        <v>0.0301</v>
      </c>
      <c r="AI19" s="43" t="n">
        <v>-0.0764</v>
      </c>
      <c r="AJ19" s="44" t="n">
        <v>0.1087</v>
      </c>
      <c r="AK19" s="42" t="n">
        <v>0.0383</v>
      </c>
      <c r="AL19" s="42" t="n">
        <v>-0.0136</v>
      </c>
      <c r="AM19" s="42" t="n">
        <v>-0.0097</v>
      </c>
      <c r="AN19" s="43" t="n">
        <v>-0.0543</v>
      </c>
      <c r="AO19" s="42" t="n">
        <v>0.0053</v>
      </c>
      <c r="AP19" s="43" t="n">
        <v>-0.0927</v>
      </c>
      <c r="AQ19" s="42" t="n">
        <v>-0.0326</v>
      </c>
      <c r="AR19" s="42" t="n">
        <v>-0.0151</v>
      </c>
      <c r="AS19" s="42" t="n">
        <v>0.004</v>
      </c>
      <c r="AT19" s="42" t="n">
        <v>-0.0382</v>
      </c>
      <c r="AU19" s="42" t="n">
        <v>0.0237</v>
      </c>
    </row>
    <row r="20">
      <c r="A20" s="28" t="inlineStr">
        <is>
          <t>GAP.N</t>
        </is>
      </c>
      <c r="B20" s="42" t="n">
        <v>-0.0342</v>
      </c>
      <c r="C20" s="42" t="n">
        <v>-0.0083</v>
      </c>
      <c r="D20" s="44" t="n">
        <v>0.0638</v>
      </c>
      <c r="E20" s="43" t="n">
        <v>-0.06569999999999999</v>
      </c>
      <c r="F20" s="42" t="n">
        <v>-0.0378</v>
      </c>
      <c r="G20" s="44" t="n">
        <v>0.1243</v>
      </c>
      <c r="H20" s="43" t="n">
        <v>-0.0561</v>
      </c>
      <c r="I20" s="42" t="n">
        <v>0.0138</v>
      </c>
      <c r="J20" s="42" t="n">
        <v>0.0325</v>
      </c>
      <c r="K20" s="42" t="n">
        <v>0.0411</v>
      </c>
      <c r="L20" s="43" t="n">
        <v>-0.0501</v>
      </c>
      <c r="M20" s="42" t="n">
        <v>0.0398</v>
      </c>
      <c r="N20" s="42" t="n">
        <v>-0.0254</v>
      </c>
      <c r="O20" s="43" t="n">
        <v>-0.1698</v>
      </c>
      <c r="P20" s="42" t="n">
        <v>-0.0017</v>
      </c>
      <c r="Q20" s="42" t="n">
        <v>0.0288</v>
      </c>
      <c r="R20" s="42" t="n">
        <v>0.0347</v>
      </c>
      <c r="S20" s="42" t="n">
        <v>-0.0053</v>
      </c>
      <c r="T20" s="44" t="n">
        <v>0.0687</v>
      </c>
      <c r="U20" s="42" t="n">
        <v>0.0274</v>
      </c>
      <c r="V20" s="43" t="n">
        <v>-0.0751</v>
      </c>
      <c r="W20" s="42" t="n">
        <v>-0.0124</v>
      </c>
      <c r="X20" s="43" t="n">
        <v>-0.0531</v>
      </c>
      <c r="Y20" s="43" t="n">
        <v>-0.0993</v>
      </c>
      <c r="Z20" s="44" t="n">
        <v>0.1112</v>
      </c>
      <c r="AA20" s="43" t="n">
        <v>-0.0958</v>
      </c>
      <c r="AB20" s="42" t="n">
        <v>0.0194</v>
      </c>
      <c r="AC20" s="42" t="n">
        <v>0.0153</v>
      </c>
      <c r="AD20" s="42" t="n">
        <v>-0.0338</v>
      </c>
      <c r="AE20" s="42" t="n">
        <v>-0.0444</v>
      </c>
      <c r="AF20" s="42" t="n">
        <v>-0.0475</v>
      </c>
      <c r="AG20" s="42" t="n">
        <v>0.0109</v>
      </c>
      <c r="AH20" s="42" t="n">
        <v>0.0457</v>
      </c>
      <c r="AI20" s="43" t="n">
        <v>-0.0658</v>
      </c>
      <c r="AJ20" s="44" t="n">
        <v>0.0568</v>
      </c>
      <c r="AK20" s="42" t="n">
        <v>0.0189</v>
      </c>
      <c r="AL20" s="42" t="n">
        <v>0.0064</v>
      </c>
      <c r="AM20" s="42" t="n">
        <v>-0.0388</v>
      </c>
      <c r="AN20" s="44" t="n">
        <v>0.1859</v>
      </c>
      <c r="AO20" s="42" t="n">
        <v>-0.0447</v>
      </c>
      <c r="AP20" s="42" t="n">
        <v>-0.041</v>
      </c>
      <c r="AQ20" s="42" t="n">
        <v>-0.0451</v>
      </c>
      <c r="AR20" s="42" t="n">
        <v>0.0346</v>
      </c>
      <c r="AS20" s="42" t="n">
        <v>0.0257</v>
      </c>
      <c r="AT20" s="42" t="n">
        <v>-0.0144</v>
      </c>
      <c r="AU20" s="42" t="n">
        <v>0.032</v>
      </c>
    </row>
    <row r="21">
      <c r="A21" s="28" t="inlineStr">
        <is>
          <t>DECK.N</t>
        </is>
      </c>
      <c r="B21" s="44" t="n">
        <v>0.0835</v>
      </c>
      <c r="C21" s="42" t="n">
        <v>0.0148</v>
      </c>
      <c r="D21" s="42" t="n">
        <v>-0.0169</v>
      </c>
      <c r="E21" s="42" t="n">
        <v>0.0364</v>
      </c>
      <c r="F21" s="42" t="n">
        <v>0.0359</v>
      </c>
      <c r="G21" s="42" t="n">
        <v>-0.0284</v>
      </c>
      <c r="H21" s="42" t="n">
        <v>-0.0296</v>
      </c>
      <c r="I21" s="42" t="n">
        <v>-0.0071</v>
      </c>
      <c r="J21" s="44" t="n">
        <v>0.1936</v>
      </c>
      <c r="K21" s="42" t="n">
        <v>-0.0326</v>
      </c>
      <c r="L21" s="42" t="n">
        <v>0.0024</v>
      </c>
      <c r="M21" s="42" t="n">
        <v>0.0256</v>
      </c>
      <c r="N21" s="42" t="n">
        <v>-0.012</v>
      </c>
      <c r="O21" s="43" t="n">
        <v>-0.111</v>
      </c>
      <c r="P21" s="42" t="n">
        <v>-0.0333</v>
      </c>
      <c r="Q21" s="42" t="n">
        <v>-0.0035</v>
      </c>
      <c r="R21" s="43" t="n">
        <v>-0.0635</v>
      </c>
      <c r="S21" s="42" t="n">
        <v>0.0453</v>
      </c>
      <c r="T21" s="44" t="n">
        <v>0.09710000000000001</v>
      </c>
      <c r="U21" s="42" t="n">
        <v>0.043</v>
      </c>
      <c r="V21" s="42" t="n">
        <v>-0.0353</v>
      </c>
      <c r="W21" s="43" t="n">
        <v>-0.07049999999999999</v>
      </c>
      <c r="X21" s="42" t="n">
        <v>-0.0046</v>
      </c>
      <c r="Y21" s="43" t="n">
        <v>-0.0683</v>
      </c>
      <c r="Z21" s="44" t="n">
        <v>0.1401</v>
      </c>
      <c r="AA21" s="44" t="n">
        <v>0.0673</v>
      </c>
      <c r="AB21" s="43" t="n">
        <v>-0.0502</v>
      </c>
      <c r="AC21" s="44" t="n">
        <v>0.0527</v>
      </c>
      <c r="AD21" s="42" t="n">
        <v>-0.0415</v>
      </c>
      <c r="AE21" s="42" t="n">
        <v>-0.0417</v>
      </c>
      <c r="AF21" s="42" t="n">
        <v>0.0012</v>
      </c>
      <c r="AG21" s="42" t="n">
        <v>0.0124</v>
      </c>
      <c r="AH21" s="42" t="n">
        <v>0.0047</v>
      </c>
      <c r="AI21" s="43" t="n">
        <v>-0.09810000000000001</v>
      </c>
      <c r="AJ21" s="42" t="n">
        <v>0.008699999999999999</v>
      </c>
      <c r="AK21" s="42" t="n">
        <v>0.006</v>
      </c>
      <c r="AL21" s="42" t="n">
        <v>-0.0448</v>
      </c>
      <c r="AM21" s="42" t="n">
        <v>-0.0151</v>
      </c>
      <c r="AN21" s="42" t="n">
        <v>-0.0428</v>
      </c>
      <c r="AO21" s="42" t="n">
        <v>-0.0222</v>
      </c>
      <c r="AP21" s="43" t="n">
        <v>-0.0529</v>
      </c>
      <c r="AQ21" s="42" t="n">
        <v>-0.0349</v>
      </c>
      <c r="AR21" s="42" t="n">
        <v>0.023</v>
      </c>
      <c r="AS21" s="42" t="n">
        <v>-0.008699999999999999</v>
      </c>
      <c r="AT21" s="42" t="n">
        <v>0.0125</v>
      </c>
      <c r="AU21" s="42" t="n">
        <v>0.0476</v>
      </c>
    </row>
    <row r="22">
      <c r="A22" s="28" t="inlineStr">
        <is>
          <t>CROX.O</t>
        </is>
      </c>
      <c r="B22" s="42" t="n">
        <v>0.0354</v>
      </c>
      <c r="C22" s="42" t="n">
        <v>0.0023</v>
      </c>
      <c r="D22" s="42" t="n">
        <v>-0.0067</v>
      </c>
      <c r="E22" s="42" t="n">
        <v>0.026</v>
      </c>
      <c r="F22" s="43" t="n">
        <v>-0.0511</v>
      </c>
      <c r="G22" s="42" t="n">
        <v>-0.0101</v>
      </c>
      <c r="H22" s="42" t="n">
        <v>-0.0349</v>
      </c>
      <c r="I22" s="42" t="n">
        <v>0.0332</v>
      </c>
      <c r="J22" s="42" t="n">
        <v>-0.0223</v>
      </c>
      <c r="K22" s="42" t="n">
        <v>0.0225</v>
      </c>
      <c r="L22" s="44" t="n">
        <v>0.129</v>
      </c>
      <c r="M22" s="42" t="n">
        <v>0.0326</v>
      </c>
      <c r="N22" s="43" t="n">
        <v>-0.09329999999999999</v>
      </c>
      <c r="O22" s="43" t="n">
        <v>-0.0519</v>
      </c>
      <c r="P22" s="43" t="n">
        <v>-0.0936</v>
      </c>
      <c r="Q22" s="42" t="n">
        <v>-0.0278</v>
      </c>
      <c r="R22" s="42" t="n">
        <v>0.0496</v>
      </c>
      <c r="S22" s="44" t="n">
        <v>0.0518</v>
      </c>
      <c r="T22" s="44" t="n">
        <v>0.1924</v>
      </c>
      <c r="U22" s="44" t="n">
        <v>0.0612</v>
      </c>
      <c r="V22" s="42" t="n">
        <v>-0.0335</v>
      </c>
      <c r="W22" s="42" t="n">
        <v>0.0152</v>
      </c>
      <c r="X22" s="42" t="n">
        <v>-0.0024</v>
      </c>
      <c r="Y22" s="43" t="n">
        <v>-0.0839</v>
      </c>
      <c r="Z22" s="44" t="n">
        <v>0.1633</v>
      </c>
      <c r="AA22" s="44" t="n">
        <v>0.0745</v>
      </c>
      <c r="AB22" s="42" t="n">
        <v>0.0057</v>
      </c>
      <c r="AC22" s="42" t="n">
        <v>0.0449</v>
      </c>
      <c r="AD22" s="42" t="n">
        <v>0.0027</v>
      </c>
      <c r="AE22" s="42" t="n">
        <v>0.0217</v>
      </c>
      <c r="AF22" s="42" t="n">
        <v>-0.0194</v>
      </c>
      <c r="AG22" s="44" t="n">
        <v>0.0599</v>
      </c>
      <c r="AH22" s="42" t="n">
        <v>0.0328</v>
      </c>
      <c r="AI22" s="42" t="n">
        <v>-0.0176</v>
      </c>
      <c r="AJ22" s="42" t="n">
        <v>-0.0498</v>
      </c>
      <c r="AK22" s="44" t="n">
        <v>0.0673</v>
      </c>
      <c r="AL22" s="42" t="n">
        <v>-0.0359</v>
      </c>
      <c r="AM22" s="43" t="n">
        <v>-0.073</v>
      </c>
      <c r="AN22" s="42" t="n">
        <v>0.001</v>
      </c>
      <c r="AO22" s="42" t="n">
        <v>-0.0385</v>
      </c>
      <c r="AP22" s="42" t="n">
        <v>-0.043</v>
      </c>
      <c r="AQ22" s="44" t="n">
        <v>0.0868</v>
      </c>
      <c r="AR22" s="42" t="n">
        <v>0.0119</v>
      </c>
      <c r="AS22" s="42" t="n">
        <v>0.0022</v>
      </c>
      <c r="AT22" s="42" t="n">
        <v>0.0066</v>
      </c>
      <c r="AU22" s="42" t="n">
        <v>-0.0263</v>
      </c>
    </row>
    <row r="23">
      <c r="A23" s="28" t="inlineStr">
        <is>
          <t>COLM.O</t>
        </is>
      </c>
      <c r="B23" s="42" t="n">
        <v>-0.004</v>
      </c>
      <c r="C23" s="42" t="n">
        <v>0.0376</v>
      </c>
      <c r="D23" s="42" t="n">
        <v>-0.0343</v>
      </c>
      <c r="E23" s="42" t="n">
        <v>0.0065</v>
      </c>
      <c r="F23" s="42" t="n">
        <v>0.0081</v>
      </c>
      <c r="G23" s="42" t="n">
        <v>-0.0007</v>
      </c>
      <c r="H23" s="42" t="n">
        <v>-0.0368</v>
      </c>
      <c r="I23" s="42" t="n">
        <v>-0.0193</v>
      </c>
      <c r="J23" s="42" t="n">
        <v>0.0452</v>
      </c>
      <c r="K23" s="44" t="n">
        <v>0.1409</v>
      </c>
      <c r="L23" s="42" t="n">
        <v>0.0035</v>
      </c>
      <c r="M23" s="42" t="n">
        <v>0.0149</v>
      </c>
      <c r="N23" s="42" t="n">
        <v>-0.0357</v>
      </c>
      <c r="O23" s="43" t="n">
        <v>-0.0584</v>
      </c>
      <c r="P23" s="43" t="n">
        <v>-0.0526</v>
      </c>
      <c r="Q23" s="42" t="n">
        <v>-0.0004</v>
      </c>
      <c r="R23" s="42" t="n">
        <v>-0.0112</v>
      </c>
      <c r="S23" s="42" t="n">
        <v>-0.0029</v>
      </c>
      <c r="T23" s="44" t="n">
        <v>0.0516</v>
      </c>
      <c r="U23" s="44" t="n">
        <v>0.0616</v>
      </c>
      <c r="V23" s="42" t="n">
        <v>-0.008699999999999999</v>
      </c>
      <c r="W23" s="42" t="n">
        <v>0.0347</v>
      </c>
      <c r="X23" s="42" t="n">
        <v>0.0111</v>
      </c>
      <c r="Y23" s="43" t="n">
        <v>-0.0839</v>
      </c>
      <c r="Z23" s="44" t="n">
        <v>0.0977</v>
      </c>
      <c r="AA23" s="42" t="n">
        <v>0.044</v>
      </c>
      <c r="AB23" s="42" t="n">
        <v>-0.0296</v>
      </c>
      <c r="AC23" s="42" t="n">
        <v>0.0431</v>
      </c>
      <c r="AD23" s="42" t="n">
        <v>-0.007900000000000001</v>
      </c>
      <c r="AE23" s="42" t="n">
        <v>-0.0293</v>
      </c>
      <c r="AF23" s="42" t="n">
        <v>-0.0184</v>
      </c>
      <c r="AG23" s="42" t="n">
        <v>-0.0055</v>
      </c>
      <c r="AH23" s="42" t="n">
        <v>0.008399999999999999</v>
      </c>
      <c r="AI23" s="42" t="n">
        <v>-0.0186</v>
      </c>
      <c r="AJ23" s="42" t="n">
        <v>-0.0472</v>
      </c>
      <c r="AK23" s="42" t="n">
        <v>-0.034</v>
      </c>
      <c r="AL23" s="42" t="n">
        <v>0.001</v>
      </c>
      <c r="AM23" s="44" t="n">
        <v>0.0507</v>
      </c>
      <c r="AN23" s="42" t="n">
        <v>-0.0385</v>
      </c>
      <c r="AO23" s="42" t="n">
        <v>-0.005</v>
      </c>
      <c r="AP23" s="42" t="n">
        <v>-0.0139</v>
      </c>
      <c r="AQ23" s="42" t="n">
        <v>-0.0014</v>
      </c>
      <c r="AR23" s="42" t="n">
        <v>-0.0019</v>
      </c>
      <c r="AS23" s="42" t="n">
        <v>-0.006</v>
      </c>
      <c r="AT23" s="42" t="n">
        <v>-0.0024</v>
      </c>
      <c r="AU23" s="42" t="n">
        <v>-0.004</v>
      </c>
    </row>
    <row r="24">
      <c r="A24" s="28" t="inlineStr">
        <is>
          <t>BZUN.O</t>
        </is>
      </c>
      <c r="B24" s="44" t="n">
        <v>0.0554</v>
      </c>
      <c r="C24" s="43" t="n">
        <v>-0.0951</v>
      </c>
      <c r="D24" s="42" t="n">
        <v>-0.0109</v>
      </c>
      <c r="E24" s="42" t="n">
        <v>-0.011</v>
      </c>
      <c r="F24" s="42" t="n">
        <v>0.0407</v>
      </c>
      <c r="G24" s="42" t="n">
        <v>0.0178</v>
      </c>
      <c r="H24" s="42" t="n">
        <v>-0.0245</v>
      </c>
      <c r="I24" s="42" t="n">
        <v>0.0036</v>
      </c>
      <c r="J24" s="42" t="n">
        <v>-0.0429</v>
      </c>
      <c r="K24" s="42" t="n">
        <v>0</v>
      </c>
      <c r="L24" s="42" t="n">
        <v>0</v>
      </c>
      <c r="M24" s="42" t="n">
        <v>0.0299</v>
      </c>
      <c r="N24" s="43" t="n">
        <v>-0.0906</v>
      </c>
      <c r="O24" s="43" t="n">
        <v>-0.0518</v>
      </c>
      <c r="P24" s="42" t="n">
        <v>0.008399999999999999</v>
      </c>
      <c r="Q24" s="43" t="n">
        <v>-0.1</v>
      </c>
      <c r="R24" s="42" t="n">
        <v>-0.0301</v>
      </c>
      <c r="S24" s="44" t="n">
        <v>0.2029</v>
      </c>
      <c r="T24" s="42" t="n">
        <v>-0.0397</v>
      </c>
      <c r="U24" s="44" t="n">
        <v>0.2975</v>
      </c>
      <c r="V24" s="43" t="n">
        <v>-0.1115</v>
      </c>
      <c r="W24" s="42" t="n">
        <v>-0.0179</v>
      </c>
      <c r="X24" s="42" t="n">
        <v>0.0036</v>
      </c>
      <c r="Y24" s="43" t="n">
        <v>-0.1055</v>
      </c>
      <c r="Z24" s="42" t="n">
        <v>0.0163</v>
      </c>
      <c r="AA24" s="42" t="n">
        <v>0.036</v>
      </c>
      <c r="AB24" s="42" t="n">
        <v>0.0232</v>
      </c>
      <c r="AC24" s="42" t="n">
        <v>0.0377</v>
      </c>
      <c r="AD24" s="42" t="n">
        <v>0.0145</v>
      </c>
      <c r="AE24" s="42" t="n">
        <v>-0.0072</v>
      </c>
      <c r="AF24" s="42" t="n">
        <v>0.0036</v>
      </c>
      <c r="AG24" s="42" t="n">
        <v>0.0216</v>
      </c>
      <c r="AH24" s="43" t="n">
        <v>-0.1162</v>
      </c>
      <c r="AI24" s="42" t="n">
        <v>-0.012</v>
      </c>
      <c r="AJ24" s="44" t="n">
        <v>0.1573</v>
      </c>
      <c r="AK24" s="42" t="n">
        <v>0.0314</v>
      </c>
      <c r="AL24" s="42" t="n">
        <v>-0.0439</v>
      </c>
      <c r="AM24" s="42" t="n">
        <v>0.0035</v>
      </c>
      <c r="AN24" s="44" t="n">
        <v>0.0634</v>
      </c>
      <c r="AO24" s="42" t="n">
        <v>-0.0497</v>
      </c>
      <c r="AP24" s="42" t="n">
        <v>-0.0488</v>
      </c>
      <c r="AQ24" s="42" t="n">
        <v>0.044</v>
      </c>
      <c r="AR24" s="42" t="n">
        <v>0.0298</v>
      </c>
      <c r="AS24" s="42" t="n">
        <v>-0.0129</v>
      </c>
      <c r="AT24" s="42" t="n">
        <v>0.0327</v>
      </c>
      <c r="AU24" s="42" t="n">
        <v>0.0475</v>
      </c>
    </row>
    <row r="25">
      <c r="A25" s="28" t="inlineStr">
        <is>
          <t>AS.N</t>
        </is>
      </c>
      <c r="B25" s="42" t="n">
        <v>-0.0329</v>
      </c>
      <c r="C25" s="44" t="n">
        <v>0.0712</v>
      </c>
      <c r="D25" s="42" t="n">
        <v>-0.0039</v>
      </c>
      <c r="E25" s="42" t="n">
        <v>0.0042</v>
      </c>
      <c r="F25" s="42" t="n">
        <v>-0.0227</v>
      </c>
      <c r="G25" s="42" t="n">
        <v>0.0275</v>
      </c>
      <c r="H25" s="42" t="n">
        <v>-0.0389</v>
      </c>
      <c r="I25" s="42" t="n">
        <v>0.0186</v>
      </c>
      <c r="J25" s="42" t="n">
        <v>-0.0289</v>
      </c>
      <c r="K25" s="42" t="n">
        <v>0.024</v>
      </c>
      <c r="L25" s="44" t="n">
        <v>0.0613</v>
      </c>
      <c r="M25" s="44" t="n">
        <v>0.054</v>
      </c>
      <c r="N25" s="43" t="n">
        <v>-0.0949</v>
      </c>
      <c r="O25" s="43" t="n">
        <v>-0.1053</v>
      </c>
      <c r="P25" s="42" t="n">
        <v>-0.0483</v>
      </c>
      <c r="Q25" s="42" t="n">
        <v>-0.0495</v>
      </c>
      <c r="R25" s="42" t="n">
        <v>0.0224</v>
      </c>
      <c r="S25" s="44" t="n">
        <v>0.06270000000000001</v>
      </c>
      <c r="T25" s="44" t="n">
        <v>0.0545</v>
      </c>
      <c r="U25" s="44" t="n">
        <v>0.0537</v>
      </c>
      <c r="V25" s="42" t="n">
        <v>-0.0342</v>
      </c>
      <c r="W25" s="42" t="n">
        <v>-0.0165</v>
      </c>
      <c r="X25" s="42" t="n">
        <v>0.0221</v>
      </c>
      <c r="Y25" s="43" t="n">
        <v>-0.0885</v>
      </c>
      <c r="Z25" s="44" t="n">
        <v>0.0737</v>
      </c>
      <c r="AA25" s="42" t="n">
        <v>0.0091</v>
      </c>
      <c r="AB25" s="42" t="n">
        <v>-0.0416</v>
      </c>
      <c r="AC25" s="42" t="n">
        <v>0.0399</v>
      </c>
      <c r="AD25" s="42" t="n">
        <v>0.0386</v>
      </c>
      <c r="AE25" s="43" t="n">
        <v>-0.0722</v>
      </c>
      <c r="AF25" s="42" t="n">
        <v>0.0258</v>
      </c>
      <c r="AG25" s="42" t="n">
        <v>-0.0071</v>
      </c>
      <c r="AH25" s="42" t="n">
        <v>0.0471</v>
      </c>
      <c r="AI25" s="43" t="n">
        <v>-0.0692</v>
      </c>
      <c r="AJ25" s="42" t="n">
        <v>0.0469</v>
      </c>
      <c r="AK25" s="42" t="n">
        <v>0.0375</v>
      </c>
      <c r="AL25" s="43" t="n">
        <v>-0.1078</v>
      </c>
      <c r="AM25" s="42" t="n">
        <v>-0.0073</v>
      </c>
      <c r="AN25" s="42" t="n">
        <v>-0.0484</v>
      </c>
      <c r="AO25" s="42" t="n">
        <v>-0.049</v>
      </c>
      <c r="AP25" s="42" t="n">
        <v>-0.0494</v>
      </c>
      <c r="AQ25" s="42" t="n">
        <v>-0.0477</v>
      </c>
      <c r="AR25" s="42" t="n">
        <v>0.0269</v>
      </c>
      <c r="AS25" s="42" t="n">
        <v>-0.0138</v>
      </c>
      <c r="AT25" s="42" t="n">
        <v>-0.0044</v>
      </c>
      <c r="AU25" s="42" t="n">
        <v>0.0357</v>
      </c>
    </row>
    <row r="26">
      <c r="A26" s="28" t="inlineStr">
        <is>
          <t>ANF.N</t>
        </is>
      </c>
      <c r="B26" s="43" t="n">
        <v>-0.06900000000000001</v>
      </c>
      <c r="C26" s="44" t="n">
        <v>0.1815</v>
      </c>
      <c r="D26" s="44" t="n">
        <v>0.08</v>
      </c>
      <c r="E26" s="42" t="n">
        <v>0.0477</v>
      </c>
      <c r="F26" s="42" t="n">
        <v>-0.0244</v>
      </c>
      <c r="G26" s="42" t="n">
        <v>0.0091</v>
      </c>
      <c r="H26" s="43" t="n">
        <v>-0.1661</v>
      </c>
      <c r="I26" s="43" t="n">
        <v>-0.0752</v>
      </c>
      <c r="J26" s="42" t="n">
        <v>0.0138</v>
      </c>
      <c r="K26" s="42" t="n">
        <v>0.0003</v>
      </c>
      <c r="L26" s="42" t="n">
        <v>-0.0405</v>
      </c>
      <c r="M26" s="42" t="n">
        <v>0.0289</v>
      </c>
      <c r="N26" s="42" t="n">
        <v>0.0144</v>
      </c>
      <c r="O26" s="43" t="n">
        <v>-0.1309</v>
      </c>
      <c r="P26" s="42" t="n">
        <v>-0.0369</v>
      </c>
      <c r="Q26" s="44" t="n">
        <v>0.07480000000000001</v>
      </c>
      <c r="R26" s="42" t="n">
        <v>0.0131</v>
      </c>
      <c r="S26" s="42" t="n">
        <v>0.035</v>
      </c>
      <c r="T26" s="44" t="n">
        <v>0.06660000000000001</v>
      </c>
      <c r="U26" s="42" t="n">
        <v>-0.041</v>
      </c>
      <c r="V26" s="43" t="n">
        <v>-0.0769</v>
      </c>
      <c r="W26" s="42" t="n">
        <v>-0.0294</v>
      </c>
      <c r="X26" s="43" t="n">
        <v>-0.0775</v>
      </c>
      <c r="Y26" s="43" t="n">
        <v>-0.0951</v>
      </c>
      <c r="Z26" s="44" t="n">
        <v>0.0948</v>
      </c>
      <c r="AA26" s="42" t="n">
        <v>-0.0005</v>
      </c>
      <c r="AB26" s="42" t="n">
        <v>-0.0243</v>
      </c>
      <c r="AC26" s="44" t="n">
        <v>0.2022</v>
      </c>
      <c r="AD26" s="42" t="n">
        <v>-0.0368</v>
      </c>
      <c r="AE26" s="42" t="n">
        <v>0.0489</v>
      </c>
      <c r="AF26" s="42" t="n">
        <v>0.009900000000000001</v>
      </c>
      <c r="AG26" s="42" t="n">
        <v>0.007</v>
      </c>
      <c r="AH26" s="42" t="n">
        <v>0.0233</v>
      </c>
      <c r="AI26" s="42" t="n">
        <v>-0.015</v>
      </c>
      <c r="AJ26" s="44" t="n">
        <v>0.0611</v>
      </c>
      <c r="AK26" s="44" t="n">
        <v>0.1314</v>
      </c>
      <c r="AL26" s="42" t="n">
        <v>-0.0399</v>
      </c>
      <c r="AM26" s="42" t="n">
        <v>0.0081</v>
      </c>
      <c r="AN26" s="44" t="n">
        <v>0.3615</v>
      </c>
      <c r="AO26" s="42" t="n">
        <v>0.008399999999999999</v>
      </c>
      <c r="AP26" s="42" t="n">
        <v>-0.0297</v>
      </c>
      <c r="AQ26" s="43" t="n">
        <v>-0.06519999999999999</v>
      </c>
      <c r="AR26" s="42" t="n">
        <v>0.0074</v>
      </c>
      <c r="AS26" s="42" t="n">
        <v>-0.0044</v>
      </c>
      <c r="AT26" s="42" t="n">
        <v>0.0091</v>
      </c>
      <c r="AU26" s="42" t="n">
        <v>0.0491</v>
      </c>
    </row>
    <row r="27">
      <c r="A27" s="28" t="inlineStr">
        <is>
          <t>9983.T</t>
        </is>
      </c>
      <c r="B27" s="42" t="n">
        <v>0.0141</v>
      </c>
      <c r="C27" s="42" t="n">
        <v>0.0067</v>
      </c>
      <c r="D27" s="42" t="n">
        <v>-0.0135</v>
      </c>
      <c r="E27" s="42" t="n">
        <v>0.0163</v>
      </c>
      <c r="F27" s="42" t="n">
        <v>-0.0058</v>
      </c>
      <c r="G27" s="44" t="n">
        <v>0.102</v>
      </c>
      <c r="H27" s="42" t="n">
        <v>-0.0016</v>
      </c>
      <c r="I27" s="42" t="n">
        <v>-0.0343</v>
      </c>
      <c r="J27" s="42" t="n">
        <v>-0.0281</v>
      </c>
      <c r="K27" s="44" t="n">
        <v>0.0799</v>
      </c>
      <c r="L27" s="44" t="n">
        <v>0.089</v>
      </c>
      <c r="M27" s="42" t="n">
        <v>-0.0317</v>
      </c>
      <c r="N27" s="42" t="n">
        <v>0.0309</v>
      </c>
      <c r="O27" s="43" t="n">
        <v>-0.0522</v>
      </c>
      <c r="P27" s="42" t="n">
        <v>-0.0066</v>
      </c>
      <c r="Q27" s="42" t="n">
        <v>-0.0242</v>
      </c>
      <c r="R27" s="42" t="n">
        <v>-0.026</v>
      </c>
      <c r="S27" s="42" t="n">
        <v>0.0408</v>
      </c>
      <c r="T27" s="44" t="n">
        <v>0.1748</v>
      </c>
      <c r="U27" s="42" t="n">
        <v>-0.0197</v>
      </c>
      <c r="V27" s="43" t="n">
        <v>-0.0535</v>
      </c>
      <c r="W27" s="42" t="n">
        <v>0.0399</v>
      </c>
      <c r="X27" s="42" t="n">
        <v>0.0289</v>
      </c>
      <c r="Y27" s="42" t="n">
        <v>-0.0449</v>
      </c>
      <c r="Z27" s="44" t="n">
        <v>0.0542</v>
      </c>
      <c r="AA27" s="44" t="n">
        <v>0.09030000000000001</v>
      </c>
      <c r="AB27" s="42" t="n">
        <v>-0.0441</v>
      </c>
      <c r="AC27" s="42" t="n">
        <v>0.0233</v>
      </c>
      <c r="AD27" s="42" t="n">
        <v>0.0319</v>
      </c>
      <c r="AE27" s="42" t="n">
        <v>0.0117</v>
      </c>
      <c r="AF27" s="42" t="n">
        <v>0.0051</v>
      </c>
      <c r="AG27" s="42" t="n">
        <v>-0.0283</v>
      </c>
      <c r="AH27" s="42" t="n">
        <v>-0.0398</v>
      </c>
      <c r="AI27" s="42" t="n">
        <v>-0.0332</v>
      </c>
      <c r="AJ27" s="42" t="n">
        <v>0.0258</v>
      </c>
      <c r="AK27" s="42" t="n">
        <v>0.0143</v>
      </c>
      <c r="AL27" s="42" t="n">
        <v>-0.0276</v>
      </c>
      <c r="AM27" s="42" t="n">
        <v>-0.0468</v>
      </c>
      <c r="AN27" s="42" t="n">
        <v>-0.0306</v>
      </c>
      <c r="AO27" s="42" t="n">
        <v>-0.0303</v>
      </c>
      <c r="AP27" s="42" t="n">
        <v>-0.0379</v>
      </c>
      <c r="AQ27" s="42" t="n">
        <v>0.0181</v>
      </c>
      <c r="AR27" s="42" t="n">
        <v>0</v>
      </c>
      <c r="AS27" s="42" t="n">
        <v>0.0255</v>
      </c>
      <c r="AT27" s="42" t="n">
        <v>0.0128</v>
      </c>
      <c r="AU27" s="42" t="n">
        <v>0.0001</v>
      </c>
    </row>
    <row r="28">
      <c r="A28" s="28" t="inlineStr">
        <is>
          <t>8111.T</t>
        </is>
      </c>
      <c r="B28" s="42" t="n">
        <v>-0.0019</v>
      </c>
      <c r="C28" s="42" t="n">
        <v>-0.0086</v>
      </c>
      <c r="D28" s="43" t="n">
        <v>-0.0567</v>
      </c>
      <c r="E28" s="43" t="n">
        <v>-0.054</v>
      </c>
      <c r="F28" s="42" t="n">
        <v>-0.0226</v>
      </c>
      <c r="G28" s="42" t="n">
        <v>0.0367</v>
      </c>
      <c r="H28" s="42" t="n">
        <v>0.0161</v>
      </c>
      <c r="I28" s="42" t="n">
        <v>-0.0216</v>
      </c>
      <c r="J28" s="42" t="n">
        <v>-0.0037</v>
      </c>
      <c r="K28" s="42" t="n">
        <v>-0.0444</v>
      </c>
      <c r="L28" s="42" t="n">
        <v>-0.0071</v>
      </c>
      <c r="M28" s="42" t="n">
        <v>-0.0102</v>
      </c>
      <c r="N28" s="42" t="n">
        <v>0.0194</v>
      </c>
      <c r="O28" s="42" t="n">
        <v>-0.0436</v>
      </c>
      <c r="P28" s="42" t="n">
        <v>-0.0125</v>
      </c>
      <c r="Q28" s="42" t="n">
        <v>0.0015</v>
      </c>
      <c r="R28" s="42" t="n">
        <v>-0.0219</v>
      </c>
      <c r="S28" s="42" t="n">
        <v>-0.0388</v>
      </c>
      <c r="T28" s="42" t="n">
        <v>0.0203</v>
      </c>
      <c r="U28" s="42" t="n">
        <v>0.0161</v>
      </c>
      <c r="V28" s="42" t="n">
        <v>-0.0415</v>
      </c>
      <c r="W28" s="42" t="n">
        <v>0.0147</v>
      </c>
      <c r="X28" s="42" t="n">
        <v>0.0016</v>
      </c>
      <c r="Y28" s="42" t="n">
        <v>-0.007900000000000001</v>
      </c>
      <c r="Z28" s="42" t="n">
        <v>-0.0184</v>
      </c>
      <c r="AA28" s="42" t="n">
        <v>-0.022</v>
      </c>
      <c r="AB28" s="42" t="n">
        <v>-0.008800000000000001</v>
      </c>
      <c r="AC28" s="42" t="n">
        <v>0.038</v>
      </c>
      <c r="AD28" s="42" t="n">
        <v>0.008800000000000001</v>
      </c>
      <c r="AE28" s="42" t="n">
        <v>-0.0199</v>
      </c>
      <c r="AF28" s="42" t="n">
        <v>0.0424</v>
      </c>
      <c r="AG28" s="42" t="n">
        <v>0.0018</v>
      </c>
      <c r="AH28" s="42" t="n">
        <v>0.0109</v>
      </c>
      <c r="AI28" s="42" t="n">
        <v>0.0154</v>
      </c>
      <c r="AJ28" s="42" t="n">
        <v>-0.0041</v>
      </c>
      <c r="AK28" s="43" t="n">
        <v>-0.0945</v>
      </c>
      <c r="AL28" s="42" t="n">
        <v>0.0282</v>
      </c>
      <c r="AM28" s="42" t="n">
        <v>0.0026</v>
      </c>
      <c r="AN28" s="42" t="n">
        <v>0.0238</v>
      </c>
      <c r="AO28" s="42" t="n">
        <v>-0.0352</v>
      </c>
      <c r="AP28" s="42" t="n">
        <v>-0.0109</v>
      </c>
      <c r="AQ28" s="42" t="n">
        <v>0.0175</v>
      </c>
      <c r="AR28" s="42" t="n">
        <v>0</v>
      </c>
      <c r="AS28" s="42" t="n">
        <v>-0.0377</v>
      </c>
      <c r="AT28" s="42" t="n">
        <v>-0.008</v>
      </c>
      <c r="AU28" s="42" t="n">
        <v>0.0309</v>
      </c>
    </row>
    <row r="29">
      <c r="A29" s="28" t="inlineStr">
        <is>
          <t>7936.T</t>
        </is>
      </c>
      <c r="B29" s="42" t="n">
        <v>0.0016</v>
      </c>
      <c r="C29" s="44" t="n">
        <v>0.0528</v>
      </c>
      <c r="D29" s="42" t="n">
        <v>-0.0205</v>
      </c>
      <c r="E29" s="42" t="n">
        <v>0.0146</v>
      </c>
      <c r="F29" s="42" t="n">
        <v>-0.0327</v>
      </c>
      <c r="G29" s="44" t="n">
        <v>0.1031</v>
      </c>
      <c r="H29" s="42" t="n">
        <v>0.0036</v>
      </c>
      <c r="I29" s="42" t="n">
        <v>-0.0404</v>
      </c>
      <c r="J29" s="43" t="n">
        <v>-0.0687</v>
      </c>
      <c r="K29" s="42" t="n">
        <v>0.0086</v>
      </c>
      <c r="L29" s="44" t="n">
        <v>0.1732</v>
      </c>
      <c r="M29" s="44" t="n">
        <v>0.09420000000000001</v>
      </c>
      <c r="N29" s="42" t="n">
        <v>-0.0033</v>
      </c>
      <c r="O29" s="42" t="n">
        <v>-0.039</v>
      </c>
      <c r="P29" s="42" t="n">
        <v>-0.0319</v>
      </c>
      <c r="Q29" s="42" t="n">
        <v>-0.0126</v>
      </c>
      <c r="R29" s="42" t="n">
        <v>-0.0223</v>
      </c>
      <c r="S29" s="42" t="n">
        <v>0</v>
      </c>
      <c r="T29" s="44" t="n">
        <v>0.0606</v>
      </c>
      <c r="U29" s="42" t="n">
        <v>0.0061</v>
      </c>
      <c r="V29" s="42" t="n">
        <v>-0.0394</v>
      </c>
      <c r="W29" s="42" t="n">
        <v>-0.0165</v>
      </c>
      <c r="X29" s="44" t="n">
        <v>0.0689</v>
      </c>
      <c r="Y29" s="42" t="n">
        <v>-0.0289</v>
      </c>
      <c r="Z29" s="42" t="n">
        <v>0.008699999999999999</v>
      </c>
      <c r="AA29" s="44" t="n">
        <v>0.06560000000000001</v>
      </c>
      <c r="AB29" s="43" t="n">
        <v>-0.08649999999999999</v>
      </c>
      <c r="AC29" s="42" t="n">
        <v>0.0059</v>
      </c>
      <c r="AD29" s="42" t="n">
        <v>-0.0196</v>
      </c>
      <c r="AE29" s="42" t="n">
        <v>0.0213</v>
      </c>
      <c r="AF29" s="42" t="n">
        <v>0.0377</v>
      </c>
      <c r="AG29" s="42" t="n">
        <v>-0.0097</v>
      </c>
      <c r="AH29" s="44" t="n">
        <v>0.06900000000000001</v>
      </c>
      <c r="AI29" s="42" t="n">
        <v>-0.0208</v>
      </c>
      <c r="AJ29" s="42" t="n">
        <v>-0.0081</v>
      </c>
      <c r="AK29" s="42" t="n">
        <v>0.0469</v>
      </c>
      <c r="AL29" s="44" t="n">
        <v>0.0611</v>
      </c>
      <c r="AM29" s="43" t="n">
        <v>-0.1121</v>
      </c>
      <c r="AN29" s="42" t="n">
        <v>-0.0188</v>
      </c>
      <c r="AO29" s="43" t="n">
        <v>-0.0728</v>
      </c>
      <c r="AP29" s="43" t="n">
        <v>-0.0649</v>
      </c>
      <c r="AQ29" s="42" t="n">
        <v>0.0193</v>
      </c>
      <c r="AR29" s="42" t="n">
        <v>0</v>
      </c>
      <c r="AS29" s="42" t="n">
        <v>0.0024</v>
      </c>
      <c r="AT29" s="42" t="n">
        <v>-0.0187</v>
      </c>
      <c r="AU29" s="42" t="n">
        <v>0.0804</v>
      </c>
    </row>
    <row r="30">
      <c r="A30" s="28" t="inlineStr">
        <is>
          <t>3998.HK</t>
        </is>
      </c>
      <c r="B30" s="42" t="n">
        <v>-0.014</v>
      </c>
      <c r="C30" s="42" t="n">
        <v>-0.0344</v>
      </c>
      <c r="D30" s="42" t="n">
        <v>-0.0356</v>
      </c>
      <c r="E30" s="42" t="n">
        <v>0</v>
      </c>
      <c r="F30" s="42" t="n">
        <v>-0.0174</v>
      </c>
      <c r="G30" s="42" t="n">
        <v>-0.008800000000000001</v>
      </c>
      <c r="H30" s="42" t="n">
        <v>0.0089</v>
      </c>
      <c r="I30" s="42" t="n">
        <v>0.0243</v>
      </c>
      <c r="J30" s="42" t="n">
        <v>0.0302</v>
      </c>
      <c r="K30" s="42" t="n">
        <v>0.0398</v>
      </c>
      <c r="L30" s="42" t="n">
        <v>-0.0282</v>
      </c>
      <c r="M30" s="42" t="n">
        <v>-0.0124</v>
      </c>
      <c r="N30" s="42" t="n">
        <v>0.021</v>
      </c>
      <c r="O30" s="42" t="n">
        <v>-0.037</v>
      </c>
      <c r="P30" s="43" t="n">
        <v>-0.1346</v>
      </c>
      <c r="Q30" s="42" t="n">
        <v>0.0123</v>
      </c>
      <c r="R30" s="42" t="n">
        <v>-0.0244</v>
      </c>
      <c r="S30" s="42" t="n">
        <v>0.035</v>
      </c>
      <c r="T30" s="42" t="n">
        <v>0.0386</v>
      </c>
      <c r="U30" s="42" t="n">
        <v>-0.0302</v>
      </c>
      <c r="V30" s="42" t="n">
        <v>0.036</v>
      </c>
      <c r="W30" s="42" t="n">
        <v>-0.0139</v>
      </c>
      <c r="X30" s="42" t="n">
        <v>0.0305</v>
      </c>
      <c r="Y30" s="42" t="n">
        <v>-0.0251</v>
      </c>
      <c r="Z30" s="42" t="n">
        <v>-0.0257</v>
      </c>
      <c r="AA30" s="42" t="n">
        <v>0.0192</v>
      </c>
      <c r="AB30" s="42" t="n">
        <v>0.0024</v>
      </c>
      <c r="AC30" s="42" t="n">
        <v>0.0023</v>
      </c>
      <c r="AD30" s="43" t="n">
        <v>-0.09130000000000001</v>
      </c>
      <c r="AE30" s="42" t="n">
        <v>0.018</v>
      </c>
      <c r="AF30" s="44" t="n">
        <v>0.1367</v>
      </c>
      <c r="AG30" s="44" t="n">
        <v>0.0579</v>
      </c>
      <c r="AH30" s="42" t="n">
        <v>0.0042</v>
      </c>
      <c r="AI30" s="42" t="n">
        <v>-0.0042</v>
      </c>
      <c r="AJ30" s="42" t="n">
        <v>0.04</v>
      </c>
      <c r="AK30" s="42" t="n">
        <v>-0.0425</v>
      </c>
      <c r="AL30" s="42" t="n">
        <v>-0.0095</v>
      </c>
      <c r="AM30" s="42" t="n">
        <v>-0.0075</v>
      </c>
      <c r="AN30" s="43" t="n">
        <v>-0.0505</v>
      </c>
      <c r="AO30" s="42" t="n">
        <v>-0.0159</v>
      </c>
      <c r="AP30" s="42" t="n">
        <v>0.0046</v>
      </c>
      <c r="AQ30" s="43" t="n">
        <v>-0.0607</v>
      </c>
      <c r="AR30" s="42" t="n">
        <v>-0.05</v>
      </c>
      <c r="AS30" s="42" t="n">
        <v>-0.0309</v>
      </c>
      <c r="AT30" s="42" t="n">
        <v>-0.01</v>
      </c>
      <c r="AU30" s="42" t="n">
        <v>0.1108</v>
      </c>
    </row>
    <row r="31">
      <c r="A31" s="28" t="inlineStr">
        <is>
          <t>2331.HK</t>
        </is>
      </c>
      <c r="B31" s="42" t="n">
        <v>-0.0338</v>
      </c>
      <c r="C31" s="42" t="n">
        <v>0.0468</v>
      </c>
      <c r="D31" s="44" t="n">
        <v>0.0747</v>
      </c>
      <c r="E31" s="42" t="n">
        <v>0.0005</v>
      </c>
      <c r="F31" s="42" t="n">
        <v>-0.0237</v>
      </c>
      <c r="G31" s="44" t="n">
        <v>0.0577</v>
      </c>
      <c r="H31" s="42" t="n">
        <v>0.0392</v>
      </c>
      <c r="I31" s="42" t="n">
        <v>0.0431</v>
      </c>
      <c r="J31" s="42" t="n">
        <v>-0.0395</v>
      </c>
      <c r="K31" s="42" t="n">
        <v>0.0431</v>
      </c>
      <c r="L31" s="42" t="n">
        <v>0.0122</v>
      </c>
      <c r="M31" s="42" t="n">
        <v>0.0176</v>
      </c>
      <c r="N31" s="42" t="n">
        <v>0.0255</v>
      </c>
      <c r="O31" s="43" t="n">
        <v>-0.0915</v>
      </c>
      <c r="P31" s="43" t="n">
        <v>-0.0596</v>
      </c>
      <c r="Q31" s="44" t="n">
        <v>0.1143</v>
      </c>
      <c r="R31" s="42" t="n">
        <v>0.0112</v>
      </c>
      <c r="S31" s="42" t="n">
        <v>0.0018</v>
      </c>
      <c r="T31" s="44" t="n">
        <v>0.0589</v>
      </c>
      <c r="U31" s="43" t="n">
        <v>-0.0878</v>
      </c>
      <c r="V31" s="42" t="n">
        <v>-0.0429</v>
      </c>
      <c r="W31" s="42" t="n">
        <v>0.007</v>
      </c>
      <c r="X31" s="42" t="n">
        <v>-0.0386</v>
      </c>
      <c r="Y31" s="42" t="n">
        <v>-0.037</v>
      </c>
      <c r="Z31" s="42" t="n">
        <v>-0.0224</v>
      </c>
      <c r="AA31" s="42" t="n">
        <v>-0.0055</v>
      </c>
      <c r="AB31" s="42" t="n">
        <v>-0.0231</v>
      </c>
      <c r="AC31" s="42" t="n">
        <v>0.008999999999999999</v>
      </c>
      <c r="AD31" s="43" t="n">
        <v>-0.0936</v>
      </c>
      <c r="AE31" s="43" t="n">
        <v>-0.0824</v>
      </c>
      <c r="AF31" s="42" t="n">
        <v>0.0235</v>
      </c>
      <c r="AG31" s="42" t="n">
        <v>-0.0393</v>
      </c>
      <c r="AH31" s="42" t="n">
        <v>0.0089</v>
      </c>
      <c r="AI31" s="42" t="n">
        <v>-0.0257</v>
      </c>
      <c r="AJ31" s="44" t="n">
        <v>0.0506</v>
      </c>
      <c r="AK31" s="42" t="n">
        <v>-0.0409</v>
      </c>
      <c r="AL31" s="42" t="n">
        <v>-0.0069</v>
      </c>
      <c r="AM31" s="42" t="n">
        <v>-0.0125</v>
      </c>
      <c r="AN31" s="42" t="n">
        <v>-0.0421</v>
      </c>
      <c r="AO31" s="42" t="n">
        <v>-0.008800000000000001</v>
      </c>
      <c r="AP31" s="42" t="n">
        <v>-0.0384</v>
      </c>
      <c r="AQ31" s="42" t="n">
        <v>-0.0338</v>
      </c>
      <c r="AR31" s="42" t="n">
        <v>0.0032</v>
      </c>
      <c r="AS31" s="42" t="n">
        <v>-0.0056</v>
      </c>
      <c r="AT31" s="42" t="n">
        <v>-0.0168</v>
      </c>
      <c r="AU31" s="42" t="n">
        <v>0.0391</v>
      </c>
    </row>
    <row r="32">
      <c r="A32" s="28" t="inlineStr">
        <is>
          <t>2020.HK</t>
        </is>
      </c>
      <c r="B32" s="42" t="n">
        <v>-0.0071</v>
      </c>
      <c r="C32" s="42" t="n">
        <v>-0.0204</v>
      </c>
      <c r="D32" s="42" t="n">
        <v>-0.0037</v>
      </c>
      <c r="E32" s="42" t="n">
        <v>0.0005999999999999999</v>
      </c>
      <c r="F32" s="42" t="n">
        <v>0.0043</v>
      </c>
      <c r="G32" s="42" t="n">
        <v>-0.0195</v>
      </c>
      <c r="H32" s="42" t="n">
        <v>0.0218</v>
      </c>
      <c r="I32" s="43" t="n">
        <v>-0.0609</v>
      </c>
      <c r="J32" s="42" t="n">
        <v>0.0156</v>
      </c>
      <c r="K32" s="42" t="n">
        <v>0.0294</v>
      </c>
      <c r="L32" s="42" t="n">
        <v>0.0459</v>
      </c>
      <c r="M32" s="42" t="n">
        <v>-0.003</v>
      </c>
      <c r="N32" s="42" t="n">
        <v>0.0125</v>
      </c>
      <c r="O32" s="43" t="n">
        <v>-0.0547</v>
      </c>
      <c r="P32" s="42" t="n">
        <v>-0.0336</v>
      </c>
      <c r="Q32" s="42" t="n">
        <v>-0.0135</v>
      </c>
      <c r="R32" s="42" t="n">
        <v>-0.0137</v>
      </c>
      <c r="S32" s="44" t="n">
        <v>0.0655</v>
      </c>
      <c r="T32" s="42" t="n">
        <v>0.0416</v>
      </c>
      <c r="U32" s="42" t="n">
        <v>0.0143</v>
      </c>
      <c r="V32" s="42" t="n">
        <v>-0.0194</v>
      </c>
      <c r="W32" s="42" t="n">
        <v>-0.0276</v>
      </c>
      <c r="X32" s="42" t="n">
        <v>-0.0357</v>
      </c>
      <c r="Y32" s="42" t="n">
        <v>-0.0256</v>
      </c>
      <c r="Z32" s="42" t="n">
        <v>-0.0144</v>
      </c>
      <c r="AA32" s="42" t="n">
        <v>0.0086</v>
      </c>
      <c r="AB32" s="42" t="n">
        <v>-0.0211</v>
      </c>
      <c r="AC32" s="42" t="n">
        <v>0.0276</v>
      </c>
      <c r="AD32" s="43" t="n">
        <v>-0.0682</v>
      </c>
      <c r="AE32" s="42" t="n">
        <v>-0.0324</v>
      </c>
      <c r="AF32" s="44" t="n">
        <v>0.0582</v>
      </c>
      <c r="AG32" s="42" t="n">
        <v>0.0027</v>
      </c>
      <c r="AH32" s="42" t="n">
        <v>0.0164</v>
      </c>
      <c r="AI32" s="42" t="n">
        <v>0.0229</v>
      </c>
      <c r="AJ32" s="42" t="n">
        <v>0.0409</v>
      </c>
      <c r="AK32" s="43" t="n">
        <v>-0.0564</v>
      </c>
      <c r="AL32" s="42" t="n">
        <v>-0.0342</v>
      </c>
      <c r="AM32" s="42" t="n">
        <v>0.0299</v>
      </c>
      <c r="AN32" s="42" t="n">
        <v>0.0445</v>
      </c>
      <c r="AO32" s="42" t="n">
        <v>-0.0168</v>
      </c>
      <c r="AP32" s="42" t="n">
        <v>-0.048</v>
      </c>
      <c r="AQ32" s="42" t="n">
        <v>-0.0104</v>
      </c>
      <c r="AR32" s="42" t="n">
        <v>-0.0028</v>
      </c>
      <c r="AS32" s="42" t="n">
        <v>0.0181</v>
      </c>
      <c r="AT32" s="42" t="n">
        <v>0.0054</v>
      </c>
      <c r="AU32" s="42" t="n">
        <v>-0.0202</v>
      </c>
    </row>
    <row r="33">
      <c r="A33" s="28" t="inlineStr">
        <is>
          <t>1836.HK</t>
        </is>
      </c>
      <c r="B33" s="42" t="n">
        <v>-0.0067</v>
      </c>
      <c r="C33" s="42" t="n">
        <v>-0.0349</v>
      </c>
      <c r="D33" s="42" t="n">
        <v>0.014</v>
      </c>
      <c r="E33" s="42" t="n">
        <v>-0.0131</v>
      </c>
      <c r="F33" s="42" t="n">
        <v>-0.033</v>
      </c>
      <c r="G33" s="42" t="n">
        <v>0.0039</v>
      </c>
      <c r="H33" s="42" t="n">
        <v>-0.0346</v>
      </c>
      <c r="I33" s="42" t="n">
        <v>-0.0169</v>
      </c>
      <c r="J33" s="42" t="n">
        <v>-0.0055</v>
      </c>
      <c r="K33" s="42" t="n">
        <v>0.0159</v>
      </c>
      <c r="L33" s="42" t="n">
        <v>0.0225</v>
      </c>
      <c r="M33" s="42" t="n">
        <v>0.0127</v>
      </c>
      <c r="N33" s="42" t="n">
        <v>-0.0059</v>
      </c>
      <c r="O33" s="42" t="n">
        <v>-0.0318</v>
      </c>
      <c r="P33" s="42" t="n">
        <v>-0.0212</v>
      </c>
      <c r="Q33" s="42" t="n">
        <v>-0.0147</v>
      </c>
      <c r="R33" s="42" t="n">
        <v>-0.0071</v>
      </c>
      <c r="S33" s="44" t="n">
        <v>0.0543</v>
      </c>
      <c r="T33" s="42" t="n">
        <v>0.0325</v>
      </c>
      <c r="U33" s="42" t="n">
        <v>0.0052</v>
      </c>
      <c r="V33" s="42" t="n">
        <v>-0.0117</v>
      </c>
      <c r="W33" s="42" t="n">
        <v>-0.0185</v>
      </c>
      <c r="X33" s="42" t="n">
        <v>0.0256</v>
      </c>
      <c r="Y33" s="42" t="n">
        <v>-0.0315</v>
      </c>
      <c r="Z33" s="43" t="n">
        <v>-0.0915</v>
      </c>
      <c r="AA33" s="42" t="n">
        <v>-0.0149</v>
      </c>
      <c r="AB33" s="42" t="n">
        <v>0.0273</v>
      </c>
      <c r="AC33" s="42" t="n">
        <v>0.0133</v>
      </c>
      <c r="AD33" s="43" t="n">
        <v>-0.07049999999999999</v>
      </c>
      <c r="AE33" s="42" t="n">
        <v>-0.0297</v>
      </c>
      <c r="AF33" s="42" t="n">
        <v>0.0435</v>
      </c>
      <c r="AG33" s="42" t="n">
        <v>-0.0317</v>
      </c>
      <c r="AH33" s="44" t="n">
        <v>0.0886</v>
      </c>
      <c r="AI33" s="42" t="n">
        <v>0.0249</v>
      </c>
      <c r="AJ33" s="42" t="n">
        <v>0.0415</v>
      </c>
      <c r="AK33" s="42" t="n">
        <v>-0.0288</v>
      </c>
      <c r="AL33" s="42" t="n">
        <v>-0.0014</v>
      </c>
      <c r="AM33" s="43" t="n">
        <v>-0.0687</v>
      </c>
      <c r="AN33" s="43" t="n">
        <v>-0.051</v>
      </c>
      <c r="AO33" s="43" t="n">
        <v>-0.0513</v>
      </c>
      <c r="AP33" s="42" t="n">
        <v>-0.0211</v>
      </c>
      <c r="AQ33" s="42" t="n">
        <v>-0.0086</v>
      </c>
      <c r="AR33" s="42" t="n">
        <v>0.0052</v>
      </c>
      <c r="AS33" s="42" t="n">
        <v>-0.0017</v>
      </c>
      <c r="AT33" s="42" t="n">
        <v>0.0017</v>
      </c>
      <c r="AU33" s="42" t="n">
        <v>0.0183</v>
      </c>
    </row>
    <row r="34">
      <c r="A34" s="28" t="inlineStr">
        <is>
          <t>1368.HK</t>
        </is>
      </c>
      <c r="B34" s="42" t="n">
        <v>-0.0107</v>
      </c>
      <c r="C34" s="42" t="n">
        <v>-0.0307</v>
      </c>
      <c r="D34" s="44" t="n">
        <v>0.0596</v>
      </c>
      <c r="E34" s="42" t="n">
        <v>-0.0158</v>
      </c>
      <c r="F34" s="42" t="n">
        <v>-0.0446</v>
      </c>
      <c r="G34" s="42" t="n">
        <v>-0.0056</v>
      </c>
      <c r="H34" s="42" t="n">
        <v>-0.0113</v>
      </c>
      <c r="I34" s="42" t="n">
        <v>-0.0342</v>
      </c>
      <c r="J34" s="42" t="n">
        <v>0.0118</v>
      </c>
      <c r="K34" s="42" t="n">
        <v>0.0117</v>
      </c>
      <c r="L34" s="42" t="n">
        <v>0.025</v>
      </c>
      <c r="M34" s="42" t="n">
        <v>0.0113</v>
      </c>
      <c r="N34" s="42" t="n">
        <v>-0.0111</v>
      </c>
      <c r="O34" s="42" t="n">
        <v>-0.0319</v>
      </c>
      <c r="P34" s="42" t="n">
        <v>-0.0368</v>
      </c>
      <c r="Q34" s="42" t="n">
        <v>0.0181</v>
      </c>
      <c r="R34" s="43" t="n">
        <v>-0.1087</v>
      </c>
      <c r="S34" s="42" t="n">
        <v>0.0022</v>
      </c>
      <c r="T34" s="42" t="n">
        <v>0.0243</v>
      </c>
      <c r="U34" s="42" t="n">
        <v>-0.0216</v>
      </c>
      <c r="V34" s="42" t="n">
        <v>-0.0397</v>
      </c>
      <c r="W34" s="42" t="n">
        <v>-0.0161</v>
      </c>
      <c r="X34" s="42" t="n">
        <v>0.028</v>
      </c>
      <c r="Y34" s="43" t="n">
        <v>-0.0523</v>
      </c>
      <c r="Z34" s="42" t="n">
        <v>-0.0072</v>
      </c>
      <c r="AA34" s="42" t="n">
        <v>0.0242</v>
      </c>
      <c r="AB34" s="44" t="n">
        <v>0.0684</v>
      </c>
      <c r="AC34" s="42" t="n">
        <v>-0.0243</v>
      </c>
      <c r="AD34" s="43" t="n">
        <v>-0.0905</v>
      </c>
      <c r="AE34" s="42" t="n">
        <v>-0.0448</v>
      </c>
      <c r="AF34" s="42" t="n">
        <v>0</v>
      </c>
      <c r="AG34" s="43" t="n">
        <v>-0.0573</v>
      </c>
      <c r="AH34" s="42" t="n">
        <v>0.0193</v>
      </c>
      <c r="AI34" s="42" t="n">
        <v>-0.0136</v>
      </c>
      <c r="AJ34" s="42" t="n">
        <v>0.0385</v>
      </c>
      <c r="AK34" s="42" t="n">
        <v>-0.0463</v>
      </c>
      <c r="AL34" s="42" t="n">
        <v>-0.0139</v>
      </c>
      <c r="AM34" s="42" t="n">
        <v>-0.0141</v>
      </c>
      <c r="AN34" s="44" t="n">
        <v>0.0785</v>
      </c>
      <c r="AO34" s="43" t="n">
        <v>-0.0926</v>
      </c>
      <c r="AP34" s="42" t="n">
        <v>-0.0423</v>
      </c>
      <c r="AQ34" s="44" t="n">
        <v>0.0639</v>
      </c>
      <c r="AR34" s="42" t="n">
        <v>0.0186</v>
      </c>
      <c r="AS34" s="42" t="n">
        <v>0.0043</v>
      </c>
      <c r="AT34" s="42" t="n">
        <v>-0.0029</v>
      </c>
      <c r="AU34" s="42" t="n">
        <v>0.0173</v>
      </c>
    </row>
    <row r="35">
      <c r="A35" s="28" t="inlineStr">
        <is>
          <t>1361.HK</t>
        </is>
      </c>
      <c r="B35" s="42" t="n">
        <v>-0.0101</v>
      </c>
      <c r="C35" s="42" t="n">
        <v>-0.0068</v>
      </c>
      <c r="D35" s="42" t="n">
        <v>0.0256</v>
      </c>
      <c r="E35" s="42" t="n">
        <v>-0.0415</v>
      </c>
      <c r="F35" s="43" t="n">
        <v>-0.06759999999999999</v>
      </c>
      <c r="G35" s="44" t="n">
        <v>0.0799</v>
      </c>
      <c r="H35" s="42" t="n">
        <v>0.012</v>
      </c>
      <c r="I35" s="42" t="n">
        <v>-0.0238</v>
      </c>
      <c r="J35" s="42" t="n">
        <v>0.0017</v>
      </c>
      <c r="K35" s="42" t="n">
        <v>-0.0278</v>
      </c>
      <c r="L35" s="42" t="n">
        <v>0.0072</v>
      </c>
      <c r="M35" s="42" t="n">
        <v>-0.0142</v>
      </c>
      <c r="N35" s="42" t="n">
        <v>0.018</v>
      </c>
      <c r="O35" s="42" t="n">
        <v>-0.0407</v>
      </c>
      <c r="P35" s="42" t="n">
        <v>-0.0314</v>
      </c>
      <c r="Q35" s="42" t="n">
        <v>0.021</v>
      </c>
      <c r="R35" s="44" t="n">
        <v>0.1194</v>
      </c>
      <c r="S35" s="44" t="n">
        <v>0.1267</v>
      </c>
      <c r="T35" s="42" t="n">
        <v>0.0044</v>
      </c>
      <c r="U35" s="42" t="n">
        <v>0.028</v>
      </c>
      <c r="V35" s="42" t="n">
        <v>-0.0215</v>
      </c>
      <c r="W35" s="43" t="n">
        <v>-0.2064</v>
      </c>
      <c r="X35" s="42" t="n">
        <v>0.0111</v>
      </c>
      <c r="Y35" s="43" t="n">
        <v>-0.0693</v>
      </c>
      <c r="Z35" s="42" t="n">
        <v>-0.0275</v>
      </c>
      <c r="AA35" s="42" t="n">
        <v>-0.0464</v>
      </c>
      <c r="AB35" s="42" t="n">
        <v>0.0465</v>
      </c>
      <c r="AC35" s="42" t="n">
        <v>-0.0242</v>
      </c>
      <c r="AD35" s="43" t="n">
        <v>-0.1035</v>
      </c>
      <c r="AE35" s="43" t="n">
        <v>-0.06469999999999999</v>
      </c>
      <c r="AF35" s="42" t="n">
        <v>0.0296</v>
      </c>
      <c r="AG35" s="42" t="n">
        <v>0.0144</v>
      </c>
      <c r="AH35" s="44" t="n">
        <v>0.0709</v>
      </c>
      <c r="AI35" s="42" t="n">
        <v>0.008800000000000001</v>
      </c>
      <c r="AJ35" s="42" t="n">
        <v>0.0219</v>
      </c>
      <c r="AK35" s="42" t="n">
        <v>-0.0086</v>
      </c>
      <c r="AL35" s="42" t="n">
        <v>0.013</v>
      </c>
      <c r="AM35" s="42" t="n">
        <v>0.0469</v>
      </c>
      <c r="AN35" s="43" t="n">
        <v>-0.0703</v>
      </c>
      <c r="AO35" s="42" t="n">
        <v>-0.0263</v>
      </c>
      <c r="AP35" s="42" t="n">
        <v>-0.0146</v>
      </c>
      <c r="AQ35" s="42" t="n">
        <v>-0.0126</v>
      </c>
      <c r="AR35" s="42" t="n">
        <v>0.015</v>
      </c>
      <c r="AS35" s="42" t="n">
        <v>0.0056</v>
      </c>
      <c r="AT35" s="42" t="n">
        <v>-0.031</v>
      </c>
      <c r="AU35" s="42" t="n">
        <v>0.0435</v>
      </c>
    </row>
    <row r="36">
      <c r="A36" s="28" t="inlineStr">
        <is>
          <t>002832.SZ</t>
        </is>
      </c>
      <c r="B36" s="42" t="n">
        <v>-0.0146</v>
      </c>
      <c r="C36" s="42" t="n">
        <v>-0.0078</v>
      </c>
      <c r="D36" s="42" t="n">
        <v>-0.0065</v>
      </c>
      <c r="E36" s="42" t="n">
        <v>-0.0072</v>
      </c>
      <c r="F36" s="42" t="n">
        <v>-0.0119</v>
      </c>
      <c r="G36" s="42" t="n">
        <v>0.0167</v>
      </c>
      <c r="H36" s="42" t="n">
        <v>0</v>
      </c>
      <c r="I36" s="42" t="n">
        <v>0.009900000000000001</v>
      </c>
      <c r="J36" s="42" t="n">
        <v>-0.0176</v>
      </c>
      <c r="K36" s="42" t="n">
        <v>0.0252</v>
      </c>
      <c r="L36" s="42" t="n">
        <v>-0.0291</v>
      </c>
      <c r="M36" s="42" t="n">
        <v>0</v>
      </c>
      <c r="N36" s="42" t="n">
        <v>0.034</v>
      </c>
      <c r="O36" s="44" t="n">
        <v>0.065</v>
      </c>
      <c r="P36" s="42" t="n">
        <v>0.0193</v>
      </c>
      <c r="Q36" s="42" t="n">
        <v>-0.0142</v>
      </c>
      <c r="R36" s="42" t="n">
        <v>0.0445</v>
      </c>
      <c r="S36" s="42" t="n">
        <v>-0.0127</v>
      </c>
      <c r="T36" s="42" t="n">
        <v>0.0158</v>
      </c>
      <c r="U36" s="42" t="n">
        <v>0.0224</v>
      </c>
      <c r="V36" s="42" t="n">
        <v>0.0135</v>
      </c>
      <c r="W36" s="44" t="n">
        <v>0.122</v>
      </c>
      <c r="X36" s="42" t="n">
        <v>-0.0321</v>
      </c>
      <c r="Y36" s="44" t="n">
        <v>0.0791</v>
      </c>
      <c r="Z36" s="42" t="n">
        <v>-0.0459</v>
      </c>
      <c r="AA36" s="42" t="n">
        <v>-0.0283</v>
      </c>
      <c r="AB36" s="42" t="n">
        <v>0.0194</v>
      </c>
      <c r="AC36" s="44" t="n">
        <v>0.0696</v>
      </c>
      <c r="AD36" s="42" t="n">
        <v>-0.0267</v>
      </c>
      <c r="AE36" s="42" t="n">
        <v>-0.0385</v>
      </c>
      <c r="AF36" s="42" t="n">
        <v>0.046</v>
      </c>
      <c r="AG36" s="42" t="n">
        <v>-0.011</v>
      </c>
      <c r="AH36" s="42" t="n">
        <v>0.0155</v>
      </c>
      <c r="AI36" s="44" t="n">
        <v>0.0857</v>
      </c>
      <c r="AJ36" s="44" t="n">
        <v>0.1394</v>
      </c>
      <c r="AK36" s="43" t="n">
        <v>-0.0527</v>
      </c>
      <c r="AL36" s="44" t="n">
        <v>0.0593</v>
      </c>
      <c r="AM36" s="43" t="n">
        <v>-0.06859999999999999</v>
      </c>
      <c r="AN36" s="42" t="n">
        <v>0.0074</v>
      </c>
      <c r="AO36" s="44" t="n">
        <v>0.08699999999999999</v>
      </c>
      <c r="AP36" s="43" t="n">
        <v>-0.0579</v>
      </c>
      <c r="AQ36" s="42" t="n">
        <v>0.0227</v>
      </c>
      <c r="AR36" s="42" t="n">
        <v>0.0078</v>
      </c>
      <c r="AS36" s="42" t="n">
        <v>0.0244</v>
      </c>
      <c r="AT36" s="42" t="n">
        <v>0</v>
      </c>
      <c r="AU36" s="42" t="n">
        <v>0.0698</v>
      </c>
    </row>
    <row r="37">
      <c r="AG37" s="32">
        <f>AVERAGE(AG4:AG36)</f>
        <v/>
      </c>
      <c r="AH37" s="32">
        <f>AVERAGE(AH4:AH36)</f>
        <v/>
      </c>
      <c r="AI37" s="32">
        <f>AVERAGE(AI4:AI36)</f>
        <v/>
      </c>
      <c r="AJ37" s="32">
        <f>AVERAGE(AJ4:AJ36)</f>
        <v/>
      </c>
      <c r="AK37" s="32">
        <f>AVERAGE(AK4:AK36)</f>
        <v/>
      </c>
      <c r="AL37" s="32">
        <f>AVERAGE(AL4:AL36)</f>
        <v/>
      </c>
      <c r="AM37" s="32">
        <f>AVERAGE(AM4:AM36)</f>
        <v/>
      </c>
      <c r="AN37" s="32">
        <f>AVERAGE(AN4:AN36)</f>
        <v/>
      </c>
      <c r="AO37" s="32">
        <f>AVERAGE(AO4:AO36)</f>
        <v/>
      </c>
      <c r="AP37" s="32">
        <f>AVERAGE(AP4:AP36)</f>
        <v/>
      </c>
      <c r="AQ37" s="32">
        <f>AVERAGE(AQ4:AQ36)</f>
        <v/>
      </c>
      <c r="AR37" s="32">
        <f>AVERAGE(AR4:AR36)</f>
        <v/>
      </c>
      <c r="AS37" s="32">
        <f>AVERAGE(AS4:AS36)</f>
        <v/>
      </c>
      <c r="AT37" s="32" t="n"/>
      <c r="AU37" s="32" t="n"/>
    </row>
    <row r="38">
      <c r="A38" s="27" t="inlineStr">
        <is>
          <t>奢侈品</t>
        </is>
      </c>
    </row>
    <row r="39">
      <c r="A39" s="28" t="inlineStr">
        <is>
          <t>VFC</t>
        </is>
      </c>
      <c r="B39" s="44" t="n">
        <v>0.0502</v>
      </c>
      <c r="C39" s="42" t="n">
        <v>0.032</v>
      </c>
      <c r="D39" s="43" t="n">
        <v>-0.0529</v>
      </c>
      <c r="E39" s="42" t="n">
        <v>-0.0064</v>
      </c>
      <c r="F39" s="42" t="n">
        <v>-0.0184</v>
      </c>
      <c r="G39" s="44" t="n">
        <v>0.0936</v>
      </c>
      <c r="H39" s="43" t="n">
        <v>-0.0524</v>
      </c>
      <c r="I39" s="42" t="n">
        <v>0.0489</v>
      </c>
      <c r="J39" s="42" t="n">
        <v>-0.0076</v>
      </c>
      <c r="K39" s="42" t="n">
        <v>0.0383</v>
      </c>
      <c r="L39" s="42" t="n">
        <v>-0.002</v>
      </c>
      <c r="M39" s="42" t="n">
        <v>0.0458</v>
      </c>
      <c r="N39" s="43" t="n">
        <v>-0.0853</v>
      </c>
      <c r="O39" s="43" t="n">
        <v>-0.1081</v>
      </c>
      <c r="P39" s="43" t="n">
        <v>-0.0785</v>
      </c>
      <c r="Q39" s="42" t="n">
        <v>0.0201</v>
      </c>
      <c r="R39" s="42" t="n">
        <v>0.0074</v>
      </c>
      <c r="S39" s="42" t="n">
        <v>0.0287</v>
      </c>
      <c r="T39" s="44" t="n">
        <v>0.0806</v>
      </c>
      <c r="U39" s="44" t="n">
        <v>0.1519</v>
      </c>
      <c r="V39" s="43" t="n">
        <v>-0.0576</v>
      </c>
      <c r="W39" s="42" t="n">
        <v>-0.0394</v>
      </c>
      <c r="X39" s="42" t="n">
        <v>-0.0016</v>
      </c>
      <c r="Y39" s="43" t="n">
        <v>-0.1212</v>
      </c>
      <c r="Z39" s="42" t="n">
        <v>0.0012</v>
      </c>
      <c r="AA39" s="42" t="n">
        <v>0.0287</v>
      </c>
      <c r="AB39" s="42" t="n">
        <v>-0.0343</v>
      </c>
      <c r="AC39" s="44" t="n">
        <v>0.0633</v>
      </c>
      <c r="AD39" s="42" t="n">
        <v>-0.0176</v>
      </c>
      <c r="AE39" s="42" t="n">
        <v>0.0023</v>
      </c>
      <c r="AF39" s="43" t="n">
        <v>-0.0616</v>
      </c>
      <c r="AG39" s="42" t="n">
        <v>0.0288</v>
      </c>
      <c r="AH39" s="42" t="n">
        <v>0.0125</v>
      </c>
      <c r="AI39" s="42" t="n">
        <v>0.0029</v>
      </c>
      <c r="AJ39" s="43" t="n">
        <v>-0.1591</v>
      </c>
      <c r="AK39" s="42" t="n">
        <v>0.0468</v>
      </c>
      <c r="AL39" s="42" t="n">
        <v>-0.008</v>
      </c>
      <c r="AM39" s="42" t="n">
        <v>-0.0336</v>
      </c>
      <c r="AN39" s="42" t="n">
        <v>-0.0487</v>
      </c>
      <c r="AO39" s="42" t="n">
        <v>-0.0161</v>
      </c>
      <c r="AP39" s="42" t="n">
        <v>-0.0208</v>
      </c>
      <c r="AQ39" s="42" t="n">
        <v>-0.0289</v>
      </c>
      <c r="AR39" s="42" t="n">
        <v>0.0203</v>
      </c>
      <c r="AS39" s="42" t="n">
        <v>0.0055</v>
      </c>
      <c r="AT39" s="42" t="n">
        <v>0.0192</v>
      </c>
      <c r="AU39" s="42" t="n">
        <v>0.0468</v>
      </c>
    </row>
    <row r="40">
      <c r="A40" s="28" t="inlineStr">
        <is>
          <t>CFR</t>
        </is>
      </c>
      <c r="B40" s="42" t="n">
        <v>-0.0009</v>
      </c>
      <c r="C40" s="42" t="n">
        <v>-0.0409</v>
      </c>
      <c r="D40" s="42" t="n">
        <v>0.0117</v>
      </c>
      <c r="E40" s="42" t="n">
        <v>0.0104</v>
      </c>
      <c r="F40" s="42" t="n">
        <v>0.0118</v>
      </c>
      <c r="G40" s="42" t="n">
        <v>0.0256</v>
      </c>
      <c r="H40" s="43" t="n">
        <v>-0.0856</v>
      </c>
      <c r="I40" s="42" t="n">
        <v>-0.0421</v>
      </c>
      <c r="J40" s="42" t="n">
        <v>-0.0324</v>
      </c>
      <c r="K40" s="42" t="n">
        <v>0.0395</v>
      </c>
      <c r="L40" s="42" t="n">
        <v>0.0206</v>
      </c>
      <c r="M40" s="42" t="n">
        <v>0.023</v>
      </c>
      <c r="N40" s="42" t="n">
        <v>-0.0311</v>
      </c>
      <c r="O40" s="43" t="n">
        <v>-0.0925</v>
      </c>
      <c r="P40" s="42" t="n">
        <v>-0.0322</v>
      </c>
      <c r="Q40" s="43" t="n">
        <v>-0.0558</v>
      </c>
      <c r="R40" s="44" t="n">
        <v>0.0587</v>
      </c>
      <c r="S40" s="42" t="n">
        <v>0.0351</v>
      </c>
      <c r="T40" s="44" t="n">
        <v>0.0731</v>
      </c>
      <c r="U40" s="42" t="n">
        <v>0.0434</v>
      </c>
      <c r="V40" s="43" t="n">
        <v>-0.0606</v>
      </c>
      <c r="W40" s="42" t="n">
        <v>-0.012</v>
      </c>
      <c r="X40" s="44" t="n">
        <v>0.0667</v>
      </c>
      <c r="Y40" s="42" t="n">
        <v>-0.0177</v>
      </c>
      <c r="Z40" s="42" t="n">
        <v>0.001</v>
      </c>
      <c r="AA40" s="44" t="n">
        <v>0.0844</v>
      </c>
      <c r="AB40" s="42" t="n">
        <v>-0.0252</v>
      </c>
      <c r="AC40" s="44" t="n">
        <v>0.08649999999999999</v>
      </c>
      <c r="AD40" s="42" t="n">
        <v>0.0266</v>
      </c>
      <c r="AE40" s="42" t="n">
        <v>0.0172</v>
      </c>
      <c r="AF40" s="42" t="n">
        <v>-0.0139</v>
      </c>
      <c r="AG40" s="42" t="n">
        <v>-0.0109</v>
      </c>
      <c r="AH40" s="44" t="n">
        <v>0.0659</v>
      </c>
      <c r="AI40" s="42" t="n">
        <v>-0.0059</v>
      </c>
      <c r="AJ40" s="42" t="n">
        <v>-0.0111</v>
      </c>
      <c r="AK40" s="42" t="n">
        <v>0.0238</v>
      </c>
      <c r="AL40" s="42" t="n">
        <v>-0.0153</v>
      </c>
      <c r="AM40" s="42" t="n">
        <v>-0.0348</v>
      </c>
      <c r="AN40" s="42" t="n">
        <v>0.0474</v>
      </c>
      <c r="AO40" s="42" t="n">
        <v>-0.0468</v>
      </c>
      <c r="AP40" s="43" t="n">
        <v>-0.0563</v>
      </c>
      <c r="AQ40" s="42" t="n">
        <v>-0.0351</v>
      </c>
      <c r="AR40" s="42" t="n">
        <v>0</v>
      </c>
      <c r="AS40" s="42" t="n">
        <v>0.025</v>
      </c>
      <c r="AT40" s="42" t="n">
        <v>-0.0349</v>
      </c>
      <c r="AU40" s="42" t="n">
        <v>-0.0148</v>
      </c>
    </row>
    <row r="41">
      <c r="A41" s="28" t="inlineStr">
        <is>
          <t>1913.HK</t>
        </is>
      </c>
      <c r="B41" s="42" t="n">
        <v>-0.04</v>
      </c>
      <c r="C41" s="42" t="n">
        <v>0.0314</v>
      </c>
      <c r="D41" s="42" t="n">
        <v>0.0239</v>
      </c>
      <c r="E41" s="42" t="n">
        <v>-0.0327</v>
      </c>
      <c r="F41" s="42" t="n">
        <v>-0.0189</v>
      </c>
      <c r="G41" s="42" t="n">
        <v>-0.0336</v>
      </c>
      <c r="H41" s="42" t="n">
        <v>-0.0231</v>
      </c>
      <c r="I41" s="42" t="n">
        <v>-0.0104</v>
      </c>
      <c r="J41" s="42" t="n">
        <v>-0.0412</v>
      </c>
      <c r="K41" s="42" t="n">
        <v>0.011</v>
      </c>
      <c r="L41" s="42" t="n">
        <v>0.0346</v>
      </c>
      <c r="M41" s="42" t="n">
        <v>0.0076</v>
      </c>
      <c r="N41" s="44" t="n">
        <v>0.0545</v>
      </c>
      <c r="O41" s="43" t="n">
        <v>-0.0813</v>
      </c>
      <c r="P41" s="42" t="n">
        <v>-0.044</v>
      </c>
      <c r="Q41" s="43" t="n">
        <v>-0.0573</v>
      </c>
      <c r="R41" s="42" t="n">
        <v>0.0071</v>
      </c>
      <c r="S41" s="42" t="n">
        <v>-0.0016</v>
      </c>
      <c r="T41" s="44" t="n">
        <v>0.0508</v>
      </c>
      <c r="U41" s="43" t="n">
        <v>-0.0504</v>
      </c>
      <c r="V41" s="42" t="n">
        <v>0.0152</v>
      </c>
      <c r="W41" s="43" t="n">
        <v>-0.0752</v>
      </c>
      <c r="X41" s="44" t="n">
        <v>0.1084</v>
      </c>
      <c r="Y41" s="43" t="n">
        <v>-0.0718</v>
      </c>
      <c r="Z41" s="42" t="n">
        <v>0.0275</v>
      </c>
      <c r="AA41" s="42" t="n">
        <v>0</v>
      </c>
      <c r="AB41" s="42" t="n">
        <v>0.0016</v>
      </c>
      <c r="AC41" s="44" t="n">
        <v>0.1045</v>
      </c>
      <c r="AD41" s="42" t="n">
        <v>-0.0054</v>
      </c>
      <c r="AE41" s="43" t="n">
        <v>-0.0525</v>
      </c>
      <c r="AF41" s="42" t="n">
        <v>0.0115</v>
      </c>
      <c r="AG41" s="42" t="n">
        <v>0.0222</v>
      </c>
      <c r="AH41" s="42" t="n">
        <v>0.041</v>
      </c>
      <c r="AI41" s="43" t="n">
        <v>-0.0598</v>
      </c>
      <c r="AJ41" s="44" t="n">
        <v>0.1178</v>
      </c>
      <c r="AK41" s="42" t="n">
        <v>0.0194</v>
      </c>
      <c r="AL41" s="43" t="n">
        <v>-0.0553</v>
      </c>
      <c r="AM41" s="42" t="n">
        <v>-0.0134</v>
      </c>
      <c r="AN41" s="42" t="n">
        <v>0.0131</v>
      </c>
      <c r="AO41" s="43" t="n">
        <v>-0.0552</v>
      </c>
      <c r="AP41" s="42" t="n">
        <v>-0.0214</v>
      </c>
      <c r="AQ41" s="42" t="n">
        <v>0.0166</v>
      </c>
      <c r="AR41" s="42" t="n">
        <v>-0.0445</v>
      </c>
      <c r="AS41" s="42" t="n">
        <v>-0.0344</v>
      </c>
      <c r="AT41" s="42" t="n">
        <v>-0.0229</v>
      </c>
      <c r="AU41" s="42" t="n">
        <v>0.0164</v>
      </c>
    </row>
    <row r="42">
      <c r="A42" s="28" t="inlineStr">
        <is>
          <t>MONC</t>
        </is>
      </c>
      <c r="B42" s="42" t="n">
        <v>-0.0014</v>
      </c>
      <c r="C42" s="42" t="n">
        <v>-0.0355</v>
      </c>
      <c r="D42" s="42" t="n">
        <v>0.009599999999999999</v>
      </c>
      <c r="E42" s="42" t="n">
        <v>-0.0106</v>
      </c>
      <c r="F42" s="42" t="n">
        <v>-0.0215</v>
      </c>
      <c r="G42" s="42" t="n">
        <v>-0.011</v>
      </c>
      <c r="H42" s="43" t="n">
        <v>-0.0576</v>
      </c>
      <c r="I42" s="42" t="n">
        <v>-0.0271</v>
      </c>
      <c r="J42" s="42" t="n">
        <v>-0.0123</v>
      </c>
      <c r="K42" s="42" t="n">
        <v>-0.0133</v>
      </c>
      <c r="L42" s="42" t="n">
        <v>0.048</v>
      </c>
      <c r="M42" s="44" t="n">
        <v>0.1247</v>
      </c>
      <c r="N42" s="42" t="n">
        <v>0.0253</v>
      </c>
      <c r="O42" s="43" t="n">
        <v>-0.0589</v>
      </c>
      <c r="P42" s="42" t="n">
        <v>-0.0444</v>
      </c>
      <c r="Q42" s="42" t="n">
        <v>-0.008800000000000001</v>
      </c>
      <c r="R42" s="42" t="n">
        <v>-0.0376</v>
      </c>
      <c r="S42" s="44" t="n">
        <v>0.0602</v>
      </c>
      <c r="T42" s="42" t="n">
        <v>0.0229</v>
      </c>
      <c r="U42" s="42" t="n">
        <v>0.0445</v>
      </c>
      <c r="V42" s="42" t="n">
        <v>-0.0475</v>
      </c>
      <c r="W42" s="43" t="n">
        <v>-0.0529</v>
      </c>
      <c r="X42" s="44" t="n">
        <v>0.0636</v>
      </c>
      <c r="Y42" s="43" t="n">
        <v>-0.08790000000000001</v>
      </c>
      <c r="Z42" s="42" t="n">
        <v>0.0364</v>
      </c>
      <c r="AA42" s="44" t="n">
        <v>0.0842</v>
      </c>
      <c r="AB42" s="42" t="n">
        <v>-0.0301</v>
      </c>
      <c r="AC42" s="42" t="n">
        <v>-0.0059</v>
      </c>
      <c r="AD42" s="42" t="n">
        <v>-0.0189</v>
      </c>
      <c r="AE42" s="42" t="n">
        <v>-0.0288</v>
      </c>
      <c r="AF42" s="42" t="n">
        <v>-0.0035</v>
      </c>
      <c r="AG42" s="42" t="n">
        <v>-0.0235</v>
      </c>
      <c r="AH42" s="42" t="n">
        <v>0.014</v>
      </c>
      <c r="AI42" s="43" t="n">
        <v>-0.0533</v>
      </c>
      <c r="AJ42" s="42" t="n">
        <v>0.0242</v>
      </c>
      <c r="AK42" s="42" t="n">
        <v>0.0318</v>
      </c>
      <c r="AL42" s="42" t="n">
        <v>-0.034</v>
      </c>
      <c r="AM42" s="42" t="n">
        <v>-0.0376</v>
      </c>
      <c r="AN42" s="42" t="n">
        <v>0.0132</v>
      </c>
      <c r="AO42" s="42" t="n">
        <v>-0.0394</v>
      </c>
      <c r="AP42" s="42" t="n">
        <v>-0.0251</v>
      </c>
      <c r="AQ42" s="42" t="n">
        <v>-0.0322</v>
      </c>
      <c r="AR42" s="42" t="n">
        <v>0</v>
      </c>
      <c r="AS42" s="42" t="n">
        <v>-0.0045</v>
      </c>
      <c r="AT42" s="42" t="n">
        <v>-0.0211</v>
      </c>
      <c r="AU42" s="42" t="n">
        <v>-0.0041</v>
      </c>
    </row>
    <row r="43">
      <c r="A43" s="28" t="inlineStr">
        <is>
          <t>KER</t>
        </is>
      </c>
      <c r="B43" s="42" t="n">
        <v>-0.0134</v>
      </c>
      <c r="C43" s="42" t="n">
        <v>0.0024</v>
      </c>
      <c r="D43" s="42" t="n">
        <v>0.0214</v>
      </c>
      <c r="E43" s="42" t="n">
        <v>0.0035</v>
      </c>
      <c r="F43" s="42" t="n">
        <v>0.0033</v>
      </c>
      <c r="G43" s="42" t="n">
        <v>0.042</v>
      </c>
      <c r="H43" s="43" t="n">
        <v>-0.09039999999999999</v>
      </c>
      <c r="I43" s="42" t="n">
        <v>-0.0476</v>
      </c>
      <c r="J43" s="42" t="n">
        <v>-0.0393</v>
      </c>
      <c r="K43" s="42" t="n">
        <v>-0.0231</v>
      </c>
      <c r="L43" s="44" t="n">
        <v>0.1019</v>
      </c>
      <c r="M43" s="42" t="n">
        <v>-0.0223</v>
      </c>
      <c r="N43" s="42" t="n">
        <v>0.0284</v>
      </c>
      <c r="O43" s="43" t="n">
        <v>-0.0997</v>
      </c>
      <c r="P43" s="42" t="n">
        <v>-0.0338</v>
      </c>
      <c r="Q43" s="43" t="n">
        <v>-0.0585</v>
      </c>
      <c r="R43" s="44" t="n">
        <v>0.0604</v>
      </c>
      <c r="S43" s="44" t="n">
        <v>0.0683</v>
      </c>
      <c r="T43" s="42" t="n">
        <v>0.0422</v>
      </c>
      <c r="U43" s="43" t="n">
        <v>-0.0827</v>
      </c>
      <c r="V43" s="43" t="n">
        <v>-0.0534</v>
      </c>
      <c r="W43" s="42" t="n">
        <v>-0.0308</v>
      </c>
      <c r="X43" s="44" t="n">
        <v>0.057</v>
      </c>
      <c r="Y43" s="42" t="n">
        <v>-0.0368</v>
      </c>
      <c r="Z43" s="42" t="n">
        <v>0.0217</v>
      </c>
      <c r="AA43" s="44" t="n">
        <v>0.0552</v>
      </c>
      <c r="AB43" s="42" t="n">
        <v>-0.0231</v>
      </c>
      <c r="AC43" s="44" t="n">
        <v>0.07580000000000001</v>
      </c>
      <c r="AD43" s="42" t="n">
        <v>0.0134</v>
      </c>
      <c r="AE43" s="42" t="n">
        <v>-0.018</v>
      </c>
      <c r="AF43" s="43" t="n">
        <v>-0.0696</v>
      </c>
      <c r="AG43" s="42" t="n">
        <v>0.0002</v>
      </c>
      <c r="AH43" s="42" t="n">
        <v>0.0153</v>
      </c>
      <c r="AI43" s="42" t="n">
        <v>-0.0396</v>
      </c>
      <c r="AJ43" s="44" t="n">
        <v>0.1729</v>
      </c>
      <c r="AK43" s="42" t="n">
        <v>0.0086</v>
      </c>
      <c r="AL43" s="43" t="n">
        <v>-0.0631</v>
      </c>
      <c r="AM43" s="43" t="n">
        <v>-0.0531</v>
      </c>
      <c r="AN43" s="42" t="n">
        <v>-0.0004</v>
      </c>
      <c r="AO43" s="42" t="n">
        <v>-0.0354</v>
      </c>
      <c r="AP43" s="42" t="n">
        <v>-0.0269</v>
      </c>
      <c r="AQ43" s="42" t="n">
        <v>-0.0235</v>
      </c>
      <c r="AR43" s="42" t="n">
        <v>0</v>
      </c>
      <c r="AS43" s="42" t="n">
        <v>-0.0204</v>
      </c>
      <c r="AT43" s="42" t="n">
        <v>-0.0586</v>
      </c>
      <c r="AU43" s="42" t="n">
        <v>0.0052</v>
      </c>
    </row>
    <row r="44">
      <c r="A44" s="28" t="inlineStr">
        <is>
          <t>SFER</t>
        </is>
      </c>
      <c r="B44" s="42" t="n">
        <v>-0.008699999999999999</v>
      </c>
      <c r="C44" s="42" t="n">
        <v>-0.0005999999999999999</v>
      </c>
      <c r="D44" s="42" t="n">
        <v>0.0256</v>
      </c>
      <c r="E44" s="42" t="n">
        <v>-0.0165</v>
      </c>
      <c r="F44" s="42" t="n">
        <v>0.0347</v>
      </c>
      <c r="G44" s="43" t="n">
        <v>-0.0503</v>
      </c>
      <c r="H44" s="43" t="n">
        <v>-0.0833</v>
      </c>
      <c r="I44" s="42" t="n">
        <v>-0.0323</v>
      </c>
      <c r="J44" s="43" t="n">
        <v>-0.059</v>
      </c>
      <c r="K44" s="42" t="n">
        <v>0.0113</v>
      </c>
      <c r="L44" s="42" t="n">
        <v>0.0045</v>
      </c>
      <c r="M44" s="42" t="n">
        <v>0.0372</v>
      </c>
      <c r="N44" s="42" t="n">
        <v>-0.0316</v>
      </c>
      <c r="O44" s="43" t="n">
        <v>-0.1007</v>
      </c>
      <c r="P44" s="44" t="n">
        <v>0.1252</v>
      </c>
      <c r="Q44" s="43" t="n">
        <v>-0.07829999999999999</v>
      </c>
      <c r="R44" s="42" t="n">
        <v>0.0167</v>
      </c>
      <c r="S44" s="44" t="n">
        <v>0.0984</v>
      </c>
      <c r="T44" s="44" t="n">
        <v>0.0861</v>
      </c>
      <c r="U44" s="44" t="n">
        <v>0.0648</v>
      </c>
      <c r="V44" s="43" t="n">
        <v>-0.0547</v>
      </c>
      <c r="W44" s="42" t="n">
        <v>-0.0371</v>
      </c>
      <c r="X44" s="44" t="n">
        <v>0.1743</v>
      </c>
      <c r="Y44" s="43" t="n">
        <v>-0.2394</v>
      </c>
      <c r="Z44" s="44" t="n">
        <v>0.1649</v>
      </c>
      <c r="AA44" s="44" t="n">
        <v>0.2273</v>
      </c>
      <c r="AB44" s="42" t="n">
        <v>-0.0265</v>
      </c>
      <c r="AC44" s="42" t="n">
        <v>0.0359</v>
      </c>
      <c r="AD44" s="42" t="n">
        <v>0.0126</v>
      </c>
      <c r="AE44" s="44" t="n">
        <v>0.1202</v>
      </c>
      <c r="AF44" s="42" t="n">
        <v>-0.0305</v>
      </c>
      <c r="AG44" s="42" t="n">
        <v>-0.0363</v>
      </c>
      <c r="AH44" s="42" t="n">
        <v>0.0337</v>
      </c>
      <c r="AI44" s="42" t="n">
        <v>-0.0421</v>
      </c>
      <c r="AJ44" s="42" t="n">
        <v>0.018</v>
      </c>
      <c r="AK44" s="42" t="n">
        <v>-0.007900000000000001</v>
      </c>
      <c r="AL44" s="42" t="n">
        <v>-0.049</v>
      </c>
      <c r="AM44" s="42" t="n">
        <v>-0.0349</v>
      </c>
      <c r="AN44" s="42" t="n">
        <v>0.0243</v>
      </c>
      <c r="AO44" s="42" t="n">
        <v>-0.0405</v>
      </c>
      <c r="AP44" s="43" t="n">
        <v>-0.0582</v>
      </c>
      <c r="AQ44" s="43" t="n">
        <v>-0.1136</v>
      </c>
      <c r="AR44" s="42" t="n">
        <v>0</v>
      </c>
      <c r="AS44" s="42" t="n">
        <v>-0.0145</v>
      </c>
      <c r="AT44" s="42" t="n">
        <v>-0.0409</v>
      </c>
      <c r="AU44" s="42" t="n">
        <v>-0.0284</v>
      </c>
    </row>
    <row r="45">
      <c r="A45" s="28" t="inlineStr">
        <is>
          <t>RACE</t>
        </is>
      </c>
      <c r="B45" s="42" t="n">
        <v>0.0162</v>
      </c>
      <c r="C45" s="43" t="n">
        <v>-0.0663</v>
      </c>
      <c r="D45" s="42" t="n">
        <v>0.0304</v>
      </c>
      <c r="E45" s="42" t="n">
        <v>-0.0004</v>
      </c>
      <c r="F45" s="42" t="n">
        <v>-0.0165</v>
      </c>
      <c r="G45" s="42" t="n">
        <v>0.0116</v>
      </c>
      <c r="H45" s="43" t="n">
        <v>-0.0823</v>
      </c>
      <c r="I45" s="42" t="n">
        <v>-0.0194</v>
      </c>
      <c r="J45" s="42" t="n">
        <v>-0.0158</v>
      </c>
      <c r="K45" s="42" t="n">
        <v>0.0019</v>
      </c>
      <c r="L45" s="44" t="n">
        <v>0.1357</v>
      </c>
      <c r="M45" s="42" t="n">
        <v>-0.032</v>
      </c>
      <c r="N45" s="42" t="n">
        <v>0.0353</v>
      </c>
      <c r="O45" s="43" t="n">
        <v>-0.0785</v>
      </c>
      <c r="P45" s="43" t="n">
        <v>-0.052</v>
      </c>
      <c r="Q45" s="43" t="n">
        <v>-0.0519</v>
      </c>
      <c r="R45" s="42" t="n">
        <v>0.008800000000000001</v>
      </c>
      <c r="S45" s="44" t="n">
        <v>0.0712</v>
      </c>
      <c r="T45" s="42" t="n">
        <v>0.035</v>
      </c>
      <c r="U45" s="44" t="n">
        <v>0.0596</v>
      </c>
      <c r="V45" s="43" t="n">
        <v>-0.0561</v>
      </c>
      <c r="W45" s="42" t="n">
        <v>-0.0304</v>
      </c>
      <c r="X45" s="42" t="n">
        <v>-0.0046</v>
      </c>
      <c r="Y45" s="43" t="n">
        <v>-0.0544</v>
      </c>
      <c r="Z45" s="44" t="n">
        <v>0.0842</v>
      </c>
      <c r="AA45" s="42" t="n">
        <v>-0.023</v>
      </c>
      <c r="AB45" s="42" t="n">
        <v>0.0199</v>
      </c>
      <c r="AC45" s="42" t="n">
        <v>0.0228</v>
      </c>
      <c r="AD45" s="42" t="n">
        <v>0.0203</v>
      </c>
      <c r="AE45" s="42" t="n">
        <v>0.0171</v>
      </c>
      <c r="AF45" s="42" t="n">
        <v>0.0451</v>
      </c>
      <c r="AG45" s="42" t="n">
        <v>-0.0216</v>
      </c>
      <c r="AH45" s="42" t="n">
        <v>0.0005</v>
      </c>
      <c r="AI45" s="42" t="n">
        <v>-0.0443</v>
      </c>
      <c r="AJ45" s="44" t="n">
        <v>0.09370000000000001</v>
      </c>
      <c r="AK45" s="42" t="n">
        <v>0.0467</v>
      </c>
      <c r="AL45" s="42" t="n">
        <v>0.0063</v>
      </c>
      <c r="AM45" s="44" t="n">
        <v>0.0523</v>
      </c>
      <c r="AN45" s="42" t="n">
        <v>-0.0367</v>
      </c>
      <c r="AO45" s="42" t="n">
        <v>-0.0252</v>
      </c>
      <c r="AP45" s="42" t="n">
        <v>0.009299999999999999</v>
      </c>
      <c r="AQ45" s="42" t="n">
        <v>-0.0171</v>
      </c>
      <c r="AR45" s="42" t="n">
        <v>0.0232</v>
      </c>
      <c r="AS45" s="42" t="n">
        <v>0.0102</v>
      </c>
      <c r="AT45" s="42" t="n">
        <v>-0.0115</v>
      </c>
      <c r="AU45" s="42" t="n">
        <v>0.0041</v>
      </c>
    </row>
    <row r="46">
      <c r="A46" s="28" t="inlineStr">
        <is>
          <t>RMS</t>
        </is>
      </c>
      <c r="B46" s="42" t="n">
        <v>0.008399999999999999</v>
      </c>
      <c r="C46" s="42" t="n">
        <v>-0.0143</v>
      </c>
      <c r="D46" s="42" t="n">
        <v>-0.015</v>
      </c>
      <c r="E46" s="42" t="n">
        <v>-0.0033</v>
      </c>
      <c r="F46" s="42" t="n">
        <v>0.0043</v>
      </c>
      <c r="G46" s="44" t="n">
        <v>0.0537</v>
      </c>
      <c r="H46" s="42" t="n">
        <v>-0.0122</v>
      </c>
      <c r="I46" s="42" t="n">
        <v>-0.0274</v>
      </c>
      <c r="J46" s="42" t="n">
        <v>-0.0474</v>
      </c>
      <c r="K46" s="42" t="n">
        <v>0.0128</v>
      </c>
      <c r="L46" s="42" t="n">
        <v>0.0448</v>
      </c>
      <c r="M46" s="42" t="n">
        <v>-0.0163</v>
      </c>
      <c r="N46" s="42" t="n">
        <v>-0.0298</v>
      </c>
      <c r="O46" s="43" t="n">
        <v>-0.07000000000000001</v>
      </c>
      <c r="P46" s="42" t="n">
        <v>-0.0171</v>
      </c>
      <c r="Q46" s="43" t="n">
        <v>-0.1159</v>
      </c>
      <c r="R46" s="42" t="n">
        <v>-0.0208</v>
      </c>
      <c r="S46" s="42" t="n">
        <v>0.0284</v>
      </c>
      <c r="T46" s="44" t="n">
        <v>0.054</v>
      </c>
      <c r="U46" s="42" t="n">
        <v>-0.0094</v>
      </c>
      <c r="V46" s="43" t="n">
        <v>-0.0534</v>
      </c>
      <c r="W46" s="42" t="n">
        <v>-0.0149</v>
      </c>
      <c r="X46" s="42" t="n">
        <v>0.0231</v>
      </c>
      <c r="Y46" s="43" t="n">
        <v>-0.0515</v>
      </c>
      <c r="Z46" s="42" t="n">
        <v>0.0187</v>
      </c>
      <c r="AA46" s="42" t="n">
        <v>0.009299999999999999</v>
      </c>
      <c r="AB46" s="42" t="n">
        <v>-0.0005999999999999999</v>
      </c>
      <c r="AC46" s="42" t="n">
        <v>0.0482</v>
      </c>
      <c r="AD46" s="42" t="n">
        <v>0.0144</v>
      </c>
      <c r="AE46" s="43" t="n">
        <v>-0.0555</v>
      </c>
      <c r="AF46" s="42" t="n">
        <v>0.0092</v>
      </c>
      <c r="AG46" s="42" t="n">
        <v>0.0003</v>
      </c>
      <c r="AH46" s="42" t="n">
        <v>0.0241</v>
      </c>
      <c r="AI46" s="42" t="n">
        <v>-0.0226</v>
      </c>
      <c r="AJ46" s="43" t="n">
        <v>-0.0679</v>
      </c>
      <c r="AK46" s="44" t="n">
        <v>0.0679</v>
      </c>
      <c r="AL46" s="42" t="n">
        <v>-0.0364</v>
      </c>
      <c r="AM46" s="42" t="n">
        <v>-0.0019</v>
      </c>
      <c r="AN46" s="42" t="n">
        <v>0.0159</v>
      </c>
      <c r="AO46" s="43" t="n">
        <v>-0.0882</v>
      </c>
      <c r="AP46" s="42" t="n">
        <v>-0.0395</v>
      </c>
      <c r="AQ46" s="42" t="n">
        <v>-0.0486</v>
      </c>
      <c r="AR46" s="42" t="n">
        <v>0</v>
      </c>
      <c r="AS46" s="42" t="n">
        <v>-0.021</v>
      </c>
      <c r="AT46" s="42" t="n">
        <v>-0.0277</v>
      </c>
      <c r="AU46" s="42" t="n">
        <v>-0.0127</v>
      </c>
    </row>
    <row r="47">
      <c r="A47" s="28" t="inlineStr">
        <is>
          <t>MC</t>
        </is>
      </c>
      <c r="B47" s="42" t="n">
        <v>-0.0227</v>
      </c>
      <c r="C47" s="42" t="n">
        <v>-0.0057</v>
      </c>
      <c r="D47" s="42" t="n">
        <v>0.0115</v>
      </c>
      <c r="E47" s="42" t="n">
        <v>0.0005999999999999999</v>
      </c>
      <c r="F47" s="42" t="n">
        <v>0.0153</v>
      </c>
      <c r="G47" s="42" t="n">
        <v>0.016</v>
      </c>
      <c r="H47" s="43" t="n">
        <v>-0.0658</v>
      </c>
      <c r="I47" s="42" t="n">
        <v>-0.0292</v>
      </c>
      <c r="J47" s="43" t="n">
        <v>-0.0752</v>
      </c>
      <c r="K47" s="42" t="n">
        <v>-0.0196</v>
      </c>
      <c r="L47" s="42" t="n">
        <v>-0.041</v>
      </c>
      <c r="M47" s="44" t="n">
        <v>0.0788</v>
      </c>
      <c r="N47" s="42" t="n">
        <v>-0.0191</v>
      </c>
      <c r="O47" s="43" t="n">
        <v>-0.077</v>
      </c>
      <c r="P47" s="43" t="n">
        <v>-0.0568</v>
      </c>
      <c r="Q47" s="42" t="n">
        <v>-0.0332</v>
      </c>
      <c r="R47" s="42" t="n">
        <v>-0.0048</v>
      </c>
      <c r="S47" s="42" t="n">
        <v>0.0336</v>
      </c>
      <c r="T47" s="42" t="n">
        <v>0.026</v>
      </c>
      <c r="U47" s="42" t="n">
        <v>0.0333</v>
      </c>
      <c r="V47" s="43" t="n">
        <v>-0.0556</v>
      </c>
      <c r="W47" s="42" t="n">
        <v>-0.0429</v>
      </c>
      <c r="X47" s="42" t="n">
        <v>0.0472</v>
      </c>
      <c r="Y47" s="42" t="n">
        <v>-0.0362</v>
      </c>
      <c r="Z47" s="42" t="n">
        <v>0.0373</v>
      </c>
      <c r="AA47" s="42" t="n">
        <v>0.001</v>
      </c>
      <c r="AB47" s="42" t="n">
        <v>0.0127</v>
      </c>
      <c r="AC47" s="44" t="n">
        <v>0.0659</v>
      </c>
      <c r="AD47" s="42" t="n">
        <v>-0.0222</v>
      </c>
      <c r="AE47" s="42" t="n">
        <v>-0.007</v>
      </c>
      <c r="AF47" s="42" t="n">
        <v>-0.0001</v>
      </c>
      <c r="AG47" s="42" t="n">
        <v>-0.0117</v>
      </c>
      <c r="AH47" s="42" t="n">
        <v>0.0106</v>
      </c>
      <c r="AI47" s="43" t="n">
        <v>-0.0675</v>
      </c>
      <c r="AJ47" s="42" t="n">
        <v>0.0291</v>
      </c>
      <c r="AK47" s="42" t="n">
        <v>0.0102</v>
      </c>
      <c r="AL47" s="42" t="n">
        <v>-0.045</v>
      </c>
      <c r="AM47" s="42" t="n">
        <v>-0.0129</v>
      </c>
      <c r="AN47" s="42" t="n">
        <v>0.0125</v>
      </c>
      <c r="AO47" s="43" t="n">
        <v>-0.0634</v>
      </c>
      <c r="AP47" s="42" t="n">
        <v>-0.0322</v>
      </c>
      <c r="AQ47" s="42" t="n">
        <v>-0.0301</v>
      </c>
      <c r="AR47" s="42" t="n">
        <v>0</v>
      </c>
      <c r="AS47" s="42" t="n">
        <v>-0.0105</v>
      </c>
      <c r="AT47" s="42" t="n">
        <v>-0.0294</v>
      </c>
      <c r="AU47" s="42" t="n">
        <v>0.0038</v>
      </c>
    </row>
    <row r="48">
      <c r="A48" s="28" t="inlineStr">
        <is>
          <t>BRBY</t>
        </is>
      </c>
      <c r="B48" s="44" t="n">
        <v>0.0553</v>
      </c>
      <c r="C48" s="42" t="n">
        <v>0.0341</v>
      </c>
      <c r="D48" s="42" t="n">
        <v>0.0083</v>
      </c>
      <c r="E48" s="42" t="n">
        <v>-0.0238</v>
      </c>
      <c r="F48" s="44" t="n">
        <v>0.0511</v>
      </c>
      <c r="G48" s="42" t="n">
        <v>0.0141</v>
      </c>
      <c r="H48" s="42" t="n">
        <v>-0.0472</v>
      </c>
      <c r="I48" s="43" t="n">
        <v>-0.0601</v>
      </c>
      <c r="J48" s="43" t="n">
        <v>-0.08069999999999999</v>
      </c>
      <c r="K48" s="44" t="n">
        <v>0.0737</v>
      </c>
      <c r="L48" s="42" t="n">
        <v>0.0131</v>
      </c>
      <c r="M48" s="42" t="n">
        <v>0.0151</v>
      </c>
      <c r="N48" s="42" t="n">
        <v>-0.0416</v>
      </c>
      <c r="O48" s="43" t="n">
        <v>-0.0563</v>
      </c>
      <c r="P48" s="43" t="n">
        <v>-0.062</v>
      </c>
      <c r="Q48" s="42" t="n">
        <v>-0.0146</v>
      </c>
      <c r="R48" s="42" t="n">
        <v>0.0118</v>
      </c>
      <c r="S48" s="44" t="n">
        <v>0.06279999999999999</v>
      </c>
      <c r="T48" s="44" t="n">
        <v>0.0609</v>
      </c>
      <c r="U48" s="42" t="n">
        <v>0.0213</v>
      </c>
      <c r="V48" s="42" t="n">
        <v>-0.0291</v>
      </c>
      <c r="W48" s="42" t="n">
        <v>0.0239</v>
      </c>
      <c r="X48" s="42" t="n">
        <v>0.0376</v>
      </c>
      <c r="Y48" s="43" t="n">
        <v>-0.1293</v>
      </c>
      <c r="Z48" s="44" t="n">
        <v>0.0589</v>
      </c>
      <c r="AA48" s="42" t="n">
        <v>0.0489</v>
      </c>
      <c r="AB48" s="43" t="n">
        <v>-0.0619</v>
      </c>
      <c r="AC48" s="44" t="n">
        <v>0.06279999999999999</v>
      </c>
      <c r="AD48" s="42" t="n">
        <v>-0.0349</v>
      </c>
      <c r="AE48" s="42" t="n">
        <v>-0.0229</v>
      </c>
      <c r="AF48" s="42" t="n">
        <v>-0.0262</v>
      </c>
      <c r="AG48" s="42" t="n">
        <v>-0.009299999999999999</v>
      </c>
      <c r="AH48" s="42" t="n">
        <v>-0.0192</v>
      </c>
      <c r="AI48" s="42" t="n">
        <v>0.0181</v>
      </c>
      <c r="AJ48" s="44" t="n">
        <v>0.1119</v>
      </c>
      <c r="AK48" s="42" t="n">
        <v>-0.0194</v>
      </c>
      <c r="AL48" s="43" t="n">
        <v>-0.073</v>
      </c>
      <c r="AM48" s="42" t="n">
        <v>-0.009299999999999999</v>
      </c>
      <c r="AN48" s="42" t="n">
        <v>0.0136</v>
      </c>
      <c r="AO48" s="42" t="n">
        <v>0.018</v>
      </c>
      <c r="AP48" s="43" t="n">
        <v>-0.0775</v>
      </c>
      <c r="AQ48" s="42" t="n">
        <v>-0.0216</v>
      </c>
      <c r="AR48" s="42" t="n">
        <v>0</v>
      </c>
      <c r="AS48" s="42" t="n">
        <v>0.0049</v>
      </c>
      <c r="AT48" s="42" t="n">
        <v>-0.009299999999999999</v>
      </c>
      <c r="AU48" s="42" t="n">
        <v>0.0139</v>
      </c>
    </row>
    <row r="49">
      <c r="A49" s="28" t="inlineStr">
        <is>
          <t>CPRI</t>
        </is>
      </c>
      <c r="B49" s="44" t="n">
        <v>0.073</v>
      </c>
      <c r="C49" s="42" t="n">
        <v>-0.0374</v>
      </c>
      <c r="D49" s="42" t="n">
        <v>-0.03</v>
      </c>
      <c r="E49" s="42" t="n">
        <v>-0.0103</v>
      </c>
      <c r="F49" s="42" t="n">
        <v>-0.024</v>
      </c>
      <c r="G49" s="44" t="n">
        <v>0.0709</v>
      </c>
      <c r="H49" s="42" t="n">
        <v>-0.049</v>
      </c>
      <c r="I49" s="42" t="n">
        <v>-0.0068</v>
      </c>
      <c r="J49" s="43" t="n">
        <v>-0.0851</v>
      </c>
      <c r="K49" s="43" t="n">
        <v>-0.1059</v>
      </c>
      <c r="L49" s="42" t="n">
        <v>0.0119</v>
      </c>
      <c r="M49" s="44" t="n">
        <v>0.0847</v>
      </c>
      <c r="N49" s="43" t="n">
        <v>-0.074</v>
      </c>
      <c r="O49" s="43" t="n">
        <v>-0.1248</v>
      </c>
      <c r="P49" s="42" t="n">
        <v>0.0351</v>
      </c>
      <c r="Q49" s="42" t="n">
        <v>-0.0264</v>
      </c>
      <c r="R49" s="42" t="n">
        <v>-0.0453</v>
      </c>
      <c r="S49" s="42" t="n">
        <v>0.04</v>
      </c>
      <c r="T49" s="44" t="n">
        <v>0.1069</v>
      </c>
      <c r="U49" s="44" t="n">
        <v>0.0513</v>
      </c>
      <c r="V49" s="42" t="n">
        <v>-0.0129</v>
      </c>
      <c r="W49" s="42" t="n">
        <v>-0.0485</v>
      </c>
      <c r="X49" s="43" t="n">
        <v>-0.056</v>
      </c>
      <c r="Y49" s="43" t="n">
        <v>-0.06850000000000001</v>
      </c>
      <c r="Z49" s="44" t="n">
        <v>0.0707</v>
      </c>
      <c r="AA49" s="42" t="n">
        <v>0.0016</v>
      </c>
      <c r="AB49" s="42" t="n">
        <v>0.0194</v>
      </c>
      <c r="AC49" s="44" t="n">
        <v>0.1304</v>
      </c>
      <c r="AD49" s="42" t="n">
        <v>-0.0474</v>
      </c>
      <c r="AE49" s="42" t="n">
        <v>-0.0463</v>
      </c>
      <c r="AF49" s="42" t="n">
        <v>-0.0217</v>
      </c>
      <c r="AG49" s="42" t="n">
        <v>-0.0485</v>
      </c>
      <c r="AH49" s="43" t="n">
        <v>-0.092</v>
      </c>
      <c r="AI49" s="43" t="n">
        <v>-0.0574</v>
      </c>
      <c r="AJ49" s="42" t="n">
        <v>0.0317</v>
      </c>
      <c r="AK49" s="42" t="n">
        <v>-0.0389</v>
      </c>
      <c r="AL49" s="42" t="n">
        <v>0.002</v>
      </c>
      <c r="AM49" s="43" t="n">
        <v>-0.1102</v>
      </c>
      <c r="AN49" s="42" t="n">
        <v>-0.011</v>
      </c>
      <c r="AO49" s="42" t="n">
        <v>0.0044</v>
      </c>
      <c r="AP49" s="42" t="n">
        <v>0.0243</v>
      </c>
      <c r="AQ49" s="44" t="n">
        <v>0.0619</v>
      </c>
      <c r="AR49" s="42" t="n">
        <v>-0.0298</v>
      </c>
      <c r="AS49" s="42" t="n">
        <v>-0.008800000000000001</v>
      </c>
      <c r="AT49" s="42" t="n">
        <v>0.0227</v>
      </c>
      <c r="AU49" s="42" t="n">
        <v>0.0353</v>
      </c>
    </row>
    <row r="50">
      <c r="A50" s="28" t="inlineStr">
        <is>
          <t>PVH</t>
        </is>
      </c>
      <c r="B50" s="43" t="n">
        <v>-0.0793</v>
      </c>
      <c r="C50" s="42" t="n">
        <v>-0.041</v>
      </c>
      <c r="D50" s="43" t="n">
        <v>-0.062</v>
      </c>
      <c r="E50" s="42" t="n">
        <v>-0.0276</v>
      </c>
      <c r="F50" s="42" t="n">
        <v>-0.0121</v>
      </c>
      <c r="G50" s="42" t="n">
        <v>-0.0233</v>
      </c>
      <c r="H50" s="42" t="n">
        <v>-0.0243</v>
      </c>
      <c r="I50" s="43" t="n">
        <v>-0.0508</v>
      </c>
      <c r="J50" s="42" t="n">
        <v>0.0165</v>
      </c>
      <c r="K50" s="44" t="n">
        <v>0.0603</v>
      </c>
      <c r="L50" s="42" t="n">
        <v>0.0392</v>
      </c>
      <c r="M50" s="44" t="n">
        <v>0.0504</v>
      </c>
      <c r="N50" s="42" t="n">
        <v>-0.0495</v>
      </c>
      <c r="O50" s="43" t="n">
        <v>-0.0538</v>
      </c>
      <c r="P50" s="43" t="n">
        <v>-0.0622</v>
      </c>
      <c r="Q50" s="42" t="n">
        <v>0.0394</v>
      </c>
      <c r="R50" s="42" t="n">
        <v>0.0495</v>
      </c>
      <c r="S50" s="44" t="n">
        <v>0.1613</v>
      </c>
      <c r="T50" s="44" t="n">
        <v>0.1768</v>
      </c>
      <c r="U50" s="42" t="n">
        <v>0.0378</v>
      </c>
      <c r="V50" s="42" t="n">
        <v>-0.0056</v>
      </c>
      <c r="W50" s="42" t="n">
        <v>-0.0214</v>
      </c>
      <c r="X50" s="42" t="n">
        <v>-0.0236</v>
      </c>
      <c r="Y50" s="43" t="n">
        <v>-0.1121</v>
      </c>
      <c r="Z50" s="44" t="n">
        <v>0.1192</v>
      </c>
      <c r="AA50" s="42" t="n">
        <v>0.049</v>
      </c>
      <c r="AB50" s="43" t="n">
        <v>-0.166</v>
      </c>
      <c r="AC50" s="44" t="n">
        <v>0.0535</v>
      </c>
      <c r="AD50" s="43" t="n">
        <v>-0.0597</v>
      </c>
      <c r="AE50" s="42" t="n">
        <v>-0.0349</v>
      </c>
      <c r="AF50" s="42" t="n">
        <v>0.0114</v>
      </c>
      <c r="AG50" s="44" t="n">
        <v>0.055</v>
      </c>
      <c r="AH50" s="42" t="n">
        <v>-0.0154</v>
      </c>
      <c r="AI50" s="42" t="n">
        <v>0.0289</v>
      </c>
      <c r="AJ50" s="44" t="n">
        <v>0.07770000000000001</v>
      </c>
      <c r="AK50" s="42" t="n">
        <v>0.0106</v>
      </c>
      <c r="AL50" s="43" t="n">
        <v>-0.0583</v>
      </c>
      <c r="AM50" s="42" t="n">
        <v>-0.0481</v>
      </c>
      <c r="AN50" s="42" t="n">
        <v>-0.0345</v>
      </c>
      <c r="AO50" s="42" t="n">
        <v>-0.0193</v>
      </c>
      <c r="AP50" s="42" t="n">
        <v>-0.0496</v>
      </c>
      <c r="AQ50" s="42" t="n">
        <v>0.0384</v>
      </c>
      <c r="AR50" s="42" t="n">
        <v>0.0007</v>
      </c>
      <c r="AS50" s="42" t="n">
        <v>0.0001</v>
      </c>
      <c r="AT50" s="42" t="n">
        <v>0.02</v>
      </c>
      <c r="AU50" s="42" t="n">
        <v>0.0771</v>
      </c>
    </row>
    <row r="51">
      <c r="A51" s="28" t="inlineStr">
        <is>
          <t>TPR</t>
        </is>
      </c>
      <c r="B51" s="42" t="n">
        <v>0.0375</v>
      </c>
      <c r="C51" s="44" t="n">
        <v>0.0594</v>
      </c>
      <c r="D51" s="42" t="n">
        <v>0.0179</v>
      </c>
      <c r="E51" s="42" t="n">
        <v>0.0469</v>
      </c>
      <c r="F51" s="42" t="n">
        <v>-0.017</v>
      </c>
      <c r="G51" s="42" t="n">
        <v>0.0409</v>
      </c>
      <c r="H51" s="42" t="n">
        <v>-0.0272</v>
      </c>
      <c r="I51" s="42" t="n">
        <v>-0.005</v>
      </c>
      <c r="J51" s="42" t="n">
        <v>-0.0241</v>
      </c>
      <c r="K51" s="44" t="n">
        <v>0.1985</v>
      </c>
      <c r="L51" s="42" t="n">
        <v>0.0112</v>
      </c>
      <c r="M51" s="42" t="n">
        <v>0.0214</v>
      </c>
      <c r="N51" s="42" t="n">
        <v>-0.0103</v>
      </c>
      <c r="O51" s="43" t="n">
        <v>-0.0728</v>
      </c>
      <c r="P51" s="42" t="n">
        <v>-0.0142</v>
      </c>
      <c r="Q51" s="42" t="n">
        <v>-0.0086</v>
      </c>
      <c r="R51" s="42" t="n">
        <v>-0.0145</v>
      </c>
      <c r="S51" s="42" t="n">
        <v>0.017</v>
      </c>
      <c r="T51" s="44" t="n">
        <v>0.0644</v>
      </c>
      <c r="U51" s="42" t="n">
        <v>0.0369</v>
      </c>
      <c r="V51" s="43" t="n">
        <v>-0.0639</v>
      </c>
      <c r="W51" s="42" t="n">
        <v>-0.0216</v>
      </c>
      <c r="X51" s="43" t="n">
        <v>-0.0649</v>
      </c>
      <c r="Y51" s="42" t="n">
        <v>-0.0312</v>
      </c>
      <c r="Z51" s="44" t="n">
        <v>0.0709</v>
      </c>
      <c r="AA51" s="44" t="n">
        <v>0.0503</v>
      </c>
      <c r="AB51" s="42" t="n">
        <v>-0.0368</v>
      </c>
      <c r="AC51" s="44" t="n">
        <v>0.0522</v>
      </c>
      <c r="AD51" s="42" t="n">
        <v>-0.0266</v>
      </c>
      <c r="AE51" s="42" t="n">
        <v>0.0174</v>
      </c>
      <c r="AF51" s="42" t="n">
        <v>-0.0123</v>
      </c>
      <c r="AG51" s="42" t="n">
        <v>-0.0241</v>
      </c>
      <c r="AH51" s="42" t="n">
        <v>0.0052</v>
      </c>
      <c r="AI51" s="42" t="n">
        <v>0.0081</v>
      </c>
      <c r="AJ51" s="44" t="n">
        <v>0.06850000000000001</v>
      </c>
      <c r="AK51" s="44" t="n">
        <v>0.06560000000000001</v>
      </c>
      <c r="AL51" s="43" t="n">
        <v>-0.2056</v>
      </c>
      <c r="AM51" s="42" t="n">
        <v>0.0092</v>
      </c>
      <c r="AN51" s="42" t="n">
        <v>-0.036</v>
      </c>
      <c r="AO51" s="42" t="n">
        <v>-0.0267</v>
      </c>
      <c r="AP51" s="42" t="n">
        <v>-0.0299</v>
      </c>
      <c r="AQ51" s="42" t="n">
        <v>-0.0295</v>
      </c>
      <c r="AR51" s="42" t="n">
        <v>-0.0168</v>
      </c>
      <c r="AS51" s="42" t="n">
        <v>0.0059</v>
      </c>
      <c r="AT51" s="42" t="n">
        <v>0.0268</v>
      </c>
      <c r="AU51" s="42" t="n">
        <v>-0.0159</v>
      </c>
    </row>
    <row r="52">
      <c r="A52" s="28" t="inlineStr">
        <is>
          <t>GOOS</t>
        </is>
      </c>
      <c r="B52" s="43" t="n">
        <v>-0.0781</v>
      </c>
      <c r="C52" s="42" t="n">
        <v>-0.0485</v>
      </c>
      <c r="D52" s="42" t="n">
        <v>0.0074</v>
      </c>
      <c r="E52" s="42" t="n">
        <v>-0.0203</v>
      </c>
      <c r="F52" s="44" t="n">
        <v>0.06660000000000001</v>
      </c>
      <c r="G52" s="42" t="n">
        <v>-0.0113</v>
      </c>
      <c r="H52" s="42" t="n">
        <v>-0.0245</v>
      </c>
      <c r="I52" s="42" t="n">
        <v>-0.019</v>
      </c>
      <c r="J52" s="43" t="n">
        <v>-0.0598</v>
      </c>
      <c r="K52" s="43" t="n">
        <v>-0.0684</v>
      </c>
      <c r="L52" s="44" t="n">
        <v>0.08450000000000001</v>
      </c>
      <c r="M52" s="42" t="n">
        <v>0.0198</v>
      </c>
      <c r="N52" s="42" t="n">
        <v>-0.0129</v>
      </c>
      <c r="O52" s="43" t="n">
        <v>-0.0958</v>
      </c>
      <c r="P52" s="42" t="n">
        <v>-0.029</v>
      </c>
      <c r="Q52" s="42" t="n">
        <v>0.0041</v>
      </c>
      <c r="R52" s="42" t="n">
        <v>-0.0108</v>
      </c>
      <c r="S52" s="42" t="n">
        <v>0.002</v>
      </c>
      <c r="T52" s="44" t="n">
        <v>0.0525</v>
      </c>
      <c r="U52" s="44" t="n">
        <v>0.0576</v>
      </c>
      <c r="V52" s="42" t="n">
        <v>-0.0208</v>
      </c>
      <c r="W52" s="42" t="n">
        <v>-0.0412</v>
      </c>
      <c r="X52" s="44" t="n">
        <v>0.0639</v>
      </c>
      <c r="Y52" s="43" t="n">
        <v>-0.1912</v>
      </c>
      <c r="Z52" s="42" t="n">
        <v>0.0273</v>
      </c>
      <c r="AA52" s="42" t="n">
        <v>0.0442</v>
      </c>
      <c r="AB52" s="42" t="n">
        <v>-0.0395</v>
      </c>
      <c r="AC52" s="42" t="n">
        <v>0.0382</v>
      </c>
      <c r="AD52" s="42" t="n">
        <v>-0.0418</v>
      </c>
      <c r="AE52" s="42" t="n">
        <v>0.009599999999999999</v>
      </c>
      <c r="AF52" s="42" t="n">
        <v>-0.0168</v>
      </c>
      <c r="AG52" s="42" t="n">
        <v>0.0208</v>
      </c>
      <c r="AH52" s="42" t="n">
        <v>0.0058</v>
      </c>
      <c r="AI52" s="43" t="n">
        <v>-0.0906</v>
      </c>
      <c r="AJ52" s="42" t="n">
        <v>-0.0008</v>
      </c>
      <c r="AK52" s="42" t="n">
        <v>-0.0263</v>
      </c>
      <c r="AL52" s="42" t="n">
        <v>-0.0057</v>
      </c>
      <c r="AM52" s="42" t="n">
        <v>-0.0091</v>
      </c>
      <c r="AN52" s="42" t="n">
        <v>-0.0466</v>
      </c>
      <c r="AO52" s="42" t="n">
        <v>-0.0157</v>
      </c>
      <c r="AP52" s="42" t="n">
        <v>-0.0257</v>
      </c>
      <c r="AQ52" s="43" t="n">
        <v>-0.051</v>
      </c>
      <c r="AR52" s="42" t="n">
        <v>0.009599999999999999</v>
      </c>
      <c r="AS52" s="42" t="n">
        <v>0.0046</v>
      </c>
      <c r="AT52" s="42" t="n">
        <v>-0.0171</v>
      </c>
      <c r="AU52" s="42" t="n">
        <v>0.033</v>
      </c>
    </row>
    <row r="53">
      <c r="A53" s="28" t="inlineStr">
        <is>
          <t>ZGN</t>
        </is>
      </c>
      <c r="B53" s="42" t="n">
        <v>0.008500000000000001</v>
      </c>
      <c r="C53" s="42" t="n">
        <v>-0.0169</v>
      </c>
      <c r="D53" s="42" t="n">
        <v>0.0153</v>
      </c>
      <c r="E53" s="42" t="n">
        <v>-0.0141</v>
      </c>
      <c r="F53" s="42" t="n">
        <v>-0.0038</v>
      </c>
      <c r="G53" s="42" t="n">
        <v>0.0393</v>
      </c>
      <c r="H53" s="43" t="n">
        <v>-0.1181</v>
      </c>
      <c r="I53" s="42" t="n">
        <v>0.0063</v>
      </c>
      <c r="J53" s="43" t="n">
        <v>-0.09669999999999999</v>
      </c>
      <c r="K53" s="44" t="n">
        <v>0.1956</v>
      </c>
      <c r="L53" s="44" t="n">
        <v>0.0626</v>
      </c>
      <c r="M53" s="42" t="n">
        <v>0.0371</v>
      </c>
      <c r="N53" s="42" t="n">
        <v>-0.0157</v>
      </c>
      <c r="O53" s="43" t="n">
        <v>-0.07099999999999999</v>
      </c>
      <c r="P53" s="43" t="n">
        <v>-0.0735</v>
      </c>
      <c r="Q53" s="42" t="n">
        <v>-0.0021</v>
      </c>
      <c r="R53" s="42" t="n">
        <v>0.0083</v>
      </c>
      <c r="S53" s="44" t="n">
        <v>0.0809</v>
      </c>
      <c r="T53" s="44" t="n">
        <v>0.091</v>
      </c>
      <c r="U53" s="44" t="n">
        <v>0.0556</v>
      </c>
      <c r="V53" s="42" t="n">
        <v>-0.0156</v>
      </c>
      <c r="W53" s="42" t="n">
        <v>0.0401</v>
      </c>
      <c r="X53" s="44" t="n">
        <v>0.0579</v>
      </c>
      <c r="Y53" s="42" t="n">
        <v>-0.0441</v>
      </c>
      <c r="Z53" s="44" t="n">
        <v>0.0572</v>
      </c>
      <c r="AA53" s="44" t="n">
        <v>0.1053</v>
      </c>
      <c r="AB53" s="42" t="n">
        <v>-0.0034</v>
      </c>
      <c r="AC53" s="42" t="n">
        <v>0.0034</v>
      </c>
      <c r="AD53" s="43" t="n">
        <v>-0.0565</v>
      </c>
      <c r="AE53" s="43" t="n">
        <v>-0.0519</v>
      </c>
      <c r="AF53" s="42" t="n">
        <v>0.0015</v>
      </c>
      <c r="AG53" s="42" t="n">
        <v>0.0205</v>
      </c>
      <c r="AH53" s="42" t="n">
        <v>0.0342</v>
      </c>
      <c r="AI53" s="42" t="n">
        <v>0.0302</v>
      </c>
      <c r="AJ53" s="42" t="n">
        <v>0.0272</v>
      </c>
      <c r="AK53" s="42" t="n">
        <v>0.0136</v>
      </c>
      <c r="AL53" s="43" t="n">
        <v>-0.0771</v>
      </c>
      <c r="AM53" s="42" t="n">
        <v>0.0102</v>
      </c>
      <c r="AN53" s="42" t="n">
        <v>-0.0122</v>
      </c>
      <c r="AO53" s="43" t="n">
        <v>-0.0852</v>
      </c>
      <c r="AP53" s="43" t="n">
        <v>-0.0756</v>
      </c>
      <c r="AQ53" s="44" t="n">
        <v>0.0586</v>
      </c>
      <c r="AR53" s="42" t="n">
        <v>0.0106</v>
      </c>
      <c r="AS53" s="42" t="n">
        <v>-0.0016</v>
      </c>
      <c r="AT53" s="42" t="n">
        <v>0.0016</v>
      </c>
      <c r="AU53" s="42" t="n">
        <v>0.0128</v>
      </c>
    </row>
    <row r="54">
      <c r="A54" s="28" t="n"/>
      <c r="B54" s="42" t="n"/>
      <c r="C54" s="42" t="n"/>
      <c r="D54" s="42" t="n"/>
      <c r="E54" s="42" t="n"/>
      <c r="F54" s="42" t="n"/>
      <c r="G54" s="42" t="n"/>
      <c r="H54" s="43" t="n"/>
      <c r="I54" s="42" t="n"/>
      <c r="J54" s="43" t="n"/>
      <c r="K54" s="44" t="n"/>
      <c r="L54" s="44" t="n"/>
      <c r="M54" s="42" t="n"/>
      <c r="N54" s="42" t="n"/>
      <c r="O54" s="43" t="n"/>
      <c r="P54" s="43" t="n"/>
      <c r="Q54" s="42" t="n"/>
      <c r="R54" s="42" t="n"/>
      <c r="S54" s="44" t="n"/>
      <c r="T54" s="44" t="n"/>
      <c r="U54" s="44" t="n"/>
      <c r="V54" s="42" t="n"/>
      <c r="W54" s="42" t="n"/>
      <c r="X54" s="44" t="n"/>
      <c r="Y54" s="42" t="n"/>
      <c r="Z54" s="44" t="n"/>
      <c r="AA54" s="44" t="n"/>
      <c r="AB54" s="42" t="n"/>
      <c r="AC54" s="42" t="n"/>
      <c r="AD54" s="43" t="n"/>
      <c r="AE54" s="43" t="n"/>
      <c r="AF54" s="42" t="n"/>
      <c r="AG54" s="42" t="n"/>
      <c r="AH54" s="42" t="n"/>
      <c r="AI54" s="42" t="n"/>
      <c r="AJ54" s="42" t="n"/>
      <c r="AK54" s="42" t="n"/>
      <c r="AL54" s="43" t="n"/>
      <c r="AM54" s="42" t="n"/>
      <c r="AN54" s="42" t="n"/>
      <c r="AO54" s="43" t="n"/>
      <c r="AP54" s="43" t="n"/>
      <c r="AQ54" s="44" t="n"/>
      <c r="AR54" s="42" t="n"/>
      <c r="AS54" s="42" t="n"/>
      <c r="AT54" s="42" t="n"/>
      <c r="AU54" s="42" t="n"/>
    </row>
    <row r="55">
      <c r="A55" s="33" t="inlineStr">
        <is>
          <t>宏观指标</t>
        </is>
      </c>
      <c r="AG55" s="34">
        <f>AVERAGE(AG39:AG53)</f>
        <v/>
      </c>
      <c r="AH55" s="34">
        <f>AVERAGE(AH39:AH53)</f>
        <v/>
      </c>
      <c r="AI55" s="34">
        <f>AVERAGE(AI39:AI53)</f>
        <v/>
      </c>
      <c r="AJ55" s="34">
        <f>AVERAGE(AJ39:AJ53)</f>
        <v/>
      </c>
      <c r="AK55" s="34">
        <f>AVERAGE(AK39:AK53)</f>
        <v/>
      </c>
      <c r="AL55" s="34">
        <f>AVERAGE(AL39:AL53)</f>
        <v/>
      </c>
      <c r="AM55" s="34">
        <f>AVERAGE(AM39:AM53)</f>
        <v/>
      </c>
      <c r="AN55" s="34">
        <f>AVERAGE(AN39:AN53)</f>
        <v/>
      </c>
      <c r="AO55" s="34">
        <f>AVERAGE(AO39:AO53)</f>
        <v/>
      </c>
      <c r="AP55" s="34">
        <f>AVERAGE(AP39:AP53)</f>
        <v/>
      </c>
      <c r="AQ55" s="34">
        <f>AVERAGE(AQ39:AQ53)</f>
        <v/>
      </c>
      <c r="AR55" s="34">
        <f>AVERAGE(AR39:AR53)</f>
        <v/>
      </c>
      <c r="AS55" s="34">
        <f>AVERAGE(AS39:AS53)</f>
        <v/>
      </c>
      <c r="AT55" s="34" t="n"/>
      <c r="AU55" s="34" t="n"/>
    </row>
    <row r="56">
      <c r="A56" s="33" t="n"/>
      <c r="B56" s="22" t="inlineStr">
        <is>
          <t>251201-1207</t>
        </is>
      </c>
      <c r="C56" s="22" t="inlineStr">
        <is>
          <t>251208-1214</t>
        </is>
      </c>
      <c r="D56" s="22" t="inlineStr">
        <is>
          <t>251215-1221</t>
        </is>
      </c>
      <c r="E56" s="22" t="inlineStr">
        <is>
          <t>251222-1228</t>
        </is>
      </c>
      <c r="F56" s="22" t="inlineStr">
        <is>
          <t>251229-0104</t>
        </is>
      </c>
      <c r="G56" s="22" t="inlineStr">
        <is>
          <t>260105-0111</t>
        </is>
      </c>
      <c r="H56" s="22" t="inlineStr">
        <is>
          <t>260112-0118</t>
        </is>
      </c>
      <c r="I56" s="22" t="inlineStr">
        <is>
          <t>260119-0125</t>
        </is>
      </c>
      <c r="J56" s="22" t="inlineStr">
        <is>
          <t>260126-0201</t>
        </is>
      </c>
      <c r="K56" s="22" t="inlineStr">
        <is>
          <t>260202-0208</t>
        </is>
      </c>
      <c r="L56" s="22" t="inlineStr">
        <is>
          <t>260209-0215</t>
        </is>
      </c>
      <c r="M56" s="22" t="inlineStr">
        <is>
          <t>260216-0222</t>
        </is>
      </c>
      <c r="N56" s="22" t="inlineStr">
        <is>
          <t>260223-0301</t>
        </is>
      </c>
      <c r="O56" s="22" t="inlineStr">
        <is>
          <t>260302-0308</t>
        </is>
      </c>
      <c r="P56" s="22" t="inlineStr">
        <is>
          <t>260309-0315</t>
        </is>
      </c>
      <c r="Q56" s="22" t="inlineStr">
        <is>
          <t>260316-0322</t>
        </is>
      </c>
      <c r="R56" s="22" t="inlineStr">
        <is>
          <t>260323-0329</t>
        </is>
      </c>
      <c r="S56" s="22" t="inlineStr">
        <is>
          <t>260330-0405</t>
        </is>
      </c>
      <c r="T56" s="22" t="inlineStr">
        <is>
          <t>260406-0412</t>
        </is>
      </c>
      <c r="U56" s="22" t="inlineStr">
        <is>
          <t>260413-0419</t>
        </is>
      </c>
      <c r="V56" s="22" t="inlineStr">
        <is>
          <t>260420-0426</t>
        </is>
      </c>
      <c r="W56" s="22" t="inlineStr">
        <is>
          <t>260427-0503</t>
        </is>
      </c>
      <c r="X56" s="22" t="inlineStr">
        <is>
          <t>260504-0510</t>
        </is>
      </c>
      <c r="Y56" s="22" t="inlineStr">
        <is>
          <t>260511-0517</t>
        </is>
      </c>
      <c r="Z56" s="22" t="inlineStr">
        <is>
          <t>260518-0524</t>
        </is>
      </c>
      <c r="AA56" s="22" t="inlineStr">
        <is>
          <t>260525-0531</t>
        </is>
      </c>
      <c r="AB56" s="22" t="inlineStr">
        <is>
          <t>260601-0607</t>
        </is>
      </c>
      <c r="AC56" s="22" t="inlineStr">
        <is>
          <t>260608-0614</t>
        </is>
      </c>
      <c r="AD56" s="22" t="inlineStr">
        <is>
          <t>260615-0621</t>
        </is>
      </c>
      <c r="AE56" s="22" t="inlineStr">
        <is>
          <t>260622-0628</t>
        </is>
      </c>
      <c r="AF56" s="22" t="inlineStr">
        <is>
          <t>260629-0705</t>
        </is>
      </c>
      <c r="AG56" s="22" t="inlineStr">
        <is>
          <t>260706-0712</t>
        </is>
      </c>
      <c r="AH56" s="22" t="inlineStr">
        <is>
          <t>260713-0719</t>
        </is>
      </c>
      <c r="AI56" s="22" t="inlineStr">
        <is>
          <t>260720-0726</t>
        </is>
      </c>
      <c r="AJ56" s="22" t="inlineStr">
        <is>
          <t>260727-0802</t>
        </is>
      </c>
      <c r="AK56" s="22" t="inlineStr">
        <is>
          <t>260803-0809</t>
        </is>
      </c>
      <c r="AL56" s="22" t="inlineStr">
        <is>
          <t>260810-0816</t>
        </is>
      </c>
      <c r="AM56" s="22" t="inlineStr">
        <is>
          <t>260817-0823</t>
        </is>
      </c>
      <c r="AN56" s="22" t="inlineStr">
        <is>
          <t>260824-0830</t>
        </is>
      </c>
      <c r="AO56" s="22" t="inlineStr">
        <is>
          <t>260831-0906</t>
        </is>
      </c>
      <c r="AP56" s="22" t="inlineStr">
        <is>
          <t>260907-0913</t>
        </is>
      </c>
      <c r="AQ56" s="22" t="inlineStr">
        <is>
          <t>260914-0920</t>
        </is>
      </c>
      <c r="AR56" s="22" t="inlineStr">
        <is>
          <t>260921-0927</t>
        </is>
      </c>
      <c r="AS56" s="22" t="inlineStr">
        <is>
          <t>260928-0930</t>
        </is>
      </c>
      <c r="AT56" s="22" t="n"/>
      <c r="AU56" s="22" t="n"/>
    </row>
    <row r="57">
      <c r="A57" s="35" t="inlineStr">
        <is>
          <t>Brent($/bbl)</t>
        </is>
      </c>
      <c r="B57" s="45" t="n">
        <v>63.75</v>
      </c>
      <c r="C57" s="45" t="n">
        <v>61.12</v>
      </c>
      <c r="D57" s="45" t="n">
        <v>60.47</v>
      </c>
      <c r="E57" s="45" t="n">
        <v>60.64</v>
      </c>
      <c r="F57" s="45" t="n">
        <v>60.75</v>
      </c>
      <c r="G57" s="45" t="n">
        <v>63.34</v>
      </c>
      <c r="H57" s="45" t="n">
        <v>64.13</v>
      </c>
      <c r="I57" s="45" t="n">
        <v>65.88</v>
      </c>
      <c r="J57" s="45" t="n">
        <v>70.69</v>
      </c>
      <c r="K57" s="45" t="n">
        <v>68.05</v>
      </c>
      <c r="L57" s="45" t="n">
        <v>67.75</v>
      </c>
      <c r="M57" s="45" t="n">
        <v>71.76000000000001</v>
      </c>
      <c r="N57" s="45" t="n">
        <v>72.48</v>
      </c>
      <c r="O57" s="45" t="n">
        <v>92.69</v>
      </c>
      <c r="P57" s="45" t="n">
        <v>103.14</v>
      </c>
      <c r="Q57" s="45" t="n">
        <v>112.19</v>
      </c>
      <c r="R57" s="45" t="n">
        <v>112.57</v>
      </c>
      <c r="S57" s="45" t="n">
        <v>109.03</v>
      </c>
      <c r="T57" s="45" t="n">
        <v>95.2</v>
      </c>
      <c r="U57" s="45" t="n">
        <v>90.38</v>
      </c>
      <c r="V57" s="45" t="n">
        <v>105.33</v>
      </c>
      <c r="W57" s="45" t="n">
        <v>108.17</v>
      </c>
      <c r="X57" s="45" t="n">
        <v>101.29</v>
      </c>
      <c r="Y57" s="45" t="n">
        <v>109.26</v>
      </c>
      <c r="Z57" s="45" t="n">
        <v>103.54</v>
      </c>
      <c r="AA57" s="45" t="n">
        <v>92.05</v>
      </c>
      <c r="AB57" s="45" t="n">
        <v>93.09</v>
      </c>
      <c r="AC57" s="45" t="n">
        <v>87.33</v>
      </c>
      <c r="AD57" s="45" t="n">
        <v>79.84999999999999</v>
      </c>
      <c r="AE57" s="45" t="n">
        <v>71.98999999999999</v>
      </c>
      <c r="AF57" s="45" t="n">
        <v>71.8</v>
      </c>
      <c r="AG57" s="45" t="n">
        <v>76.01000000000001</v>
      </c>
      <c r="AH57" s="45" t="n">
        <v>88.09999999999999</v>
      </c>
      <c r="AI57" s="45" t="n">
        <v>96.78</v>
      </c>
      <c r="AJ57" s="45" t="n">
        <v>90.12</v>
      </c>
      <c r="AK57" s="45" t="n">
        <v>83.55</v>
      </c>
      <c r="AL57" s="45" t="n">
        <v>88.52</v>
      </c>
      <c r="AM57" s="45" t="n">
        <v>94.39</v>
      </c>
      <c r="AN57" s="45" t="n">
        <v>89.31</v>
      </c>
      <c r="AO57" s="45" t="n">
        <v>96.28</v>
      </c>
      <c r="AP57" s="45" t="n">
        <v>104.61</v>
      </c>
      <c r="AQ57" s="45" t="n">
        <v>103.87</v>
      </c>
      <c r="AR57" s="45" t="n">
        <v>97.20999999999999</v>
      </c>
      <c r="AS57" s="37" t="n">
        <v>98.03</v>
      </c>
      <c r="AT57" s="37" t="n">
        <v>102.25</v>
      </c>
      <c r="AU57" s="37" t="n">
        <v>104.72</v>
      </c>
    </row>
    <row r="58">
      <c r="A58" s="35" t="inlineStr">
        <is>
          <t>WTI($/bbl)</t>
        </is>
      </c>
      <c r="B58" s="45" t="n">
        <v>60.08</v>
      </c>
      <c r="C58" s="45" t="n">
        <v>57.44</v>
      </c>
      <c r="D58" s="45" t="n">
        <v>56.66</v>
      </c>
      <c r="E58" s="45" t="n">
        <v>56.74</v>
      </c>
      <c r="F58" s="45" t="n">
        <v>57.32</v>
      </c>
      <c r="G58" s="45" t="n">
        <v>59.12</v>
      </c>
      <c r="H58" s="45" t="n">
        <v>59.44</v>
      </c>
      <c r="I58" s="45" t="n">
        <v>61.07</v>
      </c>
      <c r="J58" s="45" t="n">
        <v>65.20999999999999</v>
      </c>
      <c r="K58" s="45" t="n">
        <v>63.55</v>
      </c>
      <c r="L58" s="45" t="n">
        <v>62.89</v>
      </c>
      <c r="M58" s="45" t="n">
        <v>66.39</v>
      </c>
      <c r="N58" s="45" t="n">
        <v>67.02</v>
      </c>
      <c r="O58" s="45" t="n">
        <v>90.90000000000001</v>
      </c>
      <c r="P58" s="45" t="n">
        <v>98.70999999999999</v>
      </c>
      <c r="Q58" s="45" t="n">
        <v>98.31999999999999</v>
      </c>
      <c r="R58" s="45" t="n">
        <v>99.64</v>
      </c>
      <c r="S58" s="45" t="n">
        <v>111.54</v>
      </c>
      <c r="T58" s="45" t="n">
        <v>96.56999999999999</v>
      </c>
      <c r="U58" s="45" t="n">
        <v>83.84999999999999</v>
      </c>
      <c r="V58" s="45" t="n">
        <v>94.40000000000001</v>
      </c>
      <c r="W58" s="45" t="n">
        <v>101.94</v>
      </c>
      <c r="X58" s="45" t="n">
        <v>95.42</v>
      </c>
      <c r="Y58" s="45" t="n">
        <v>105.42</v>
      </c>
      <c r="Z58" s="45" t="n">
        <v>96.59999999999999</v>
      </c>
      <c r="AA58" s="45" t="n">
        <v>87.36</v>
      </c>
      <c r="AB58" s="45" t="n">
        <v>90.54000000000001</v>
      </c>
      <c r="AC58" s="45" t="n">
        <v>84.88</v>
      </c>
      <c r="AD58" s="45" t="n">
        <v>76.59999999999999</v>
      </c>
      <c r="AE58" s="45" t="n">
        <v>69.23</v>
      </c>
      <c r="AF58" s="45" t="n">
        <v>68.69</v>
      </c>
      <c r="AG58" s="45" t="n">
        <v>71.41</v>
      </c>
      <c r="AH58" s="45" t="n">
        <v>82.48999999999999</v>
      </c>
      <c r="AI58" s="45" t="n">
        <v>89.31</v>
      </c>
      <c r="AJ58" s="45" t="n">
        <v>84.67</v>
      </c>
      <c r="AK58" s="45" t="n">
        <v>78.18000000000001</v>
      </c>
      <c r="AL58" s="45" t="n">
        <v>82.40000000000001</v>
      </c>
      <c r="AM58" s="45" t="n">
        <v>87.06</v>
      </c>
      <c r="AN58" s="45" t="n">
        <v>83.40000000000001</v>
      </c>
      <c r="AO58" s="45" t="n">
        <v>91.48</v>
      </c>
      <c r="AP58" s="45" t="n">
        <v>100.05</v>
      </c>
      <c r="AQ58" s="45" t="n">
        <v>100.3</v>
      </c>
      <c r="AR58" s="45" t="n">
        <v>93.11</v>
      </c>
      <c r="AS58" s="37" t="n">
        <v>90.42</v>
      </c>
      <c r="AT58" s="37" t="n">
        <v>91.11</v>
      </c>
      <c r="AU58" s="37" t="n">
        <v>91.84999999999999</v>
      </c>
    </row>
    <row r="59">
      <c r="A59" s="35" t="inlineStr">
        <is>
          <t>汽油($/gal)</t>
        </is>
      </c>
      <c r="B59" s="38" t="n">
        <v>2.98</v>
      </c>
      <c r="C59" s="38" t="n">
        <v>2.94</v>
      </c>
      <c r="D59" s="38" t="n">
        <v>2.9</v>
      </c>
      <c r="E59" s="38" t="n">
        <v>2.84</v>
      </c>
      <c r="F59" s="38" t="n">
        <v>2.81</v>
      </c>
      <c r="G59" s="38" t="n">
        <v>2.8</v>
      </c>
      <c r="H59" s="38" t="n">
        <v>2.78</v>
      </c>
      <c r="I59" s="38" t="n">
        <v>2.81</v>
      </c>
      <c r="J59" s="38" t="n">
        <v>2.85</v>
      </c>
      <c r="K59" s="38" t="n">
        <v>2.87</v>
      </c>
      <c r="L59" s="38" t="n">
        <v>2.9</v>
      </c>
      <c r="M59" s="38" t="n">
        <v>2.92</v>
      </c>
      <c r="N59" s="38" t="n">
        <v>2.94</v>
      </c>
      <c r="O59" s="38" t="n">
        <v>3.02</v>
      </c>
      <c r="P59" s="38" t="n">
        <v>3.5</v>
      </c>
      <c r="Q59" s="38" t="n">
        <v>3.72</v>
      </c>
      <c r="R59" s="38" t="n">
        <v>3.96</v>
      </c>
      <c r="S59" s="38" t="n">
        <v>3.99</v>
      </c>
      <c r="T59" s="38" t="n">
        <v>4.12</v>
      </c>
      <c r="U59" s="38" t="n">
        <v>4.12</v>
      </c>
      <c r="V59" s="38" t="n">
        <v>4.04</v>
      </c>
      <c r="W59" s="38" t="n">
        <v>4.12</v>
      </c>
      <c r="X59" s="38" t="n">
        <v>4.45</v>
      </c>
      <c r="Y59" s="38" t="n">
        <v>4.5</v>
      </c>
      <c r="Z59" s="38" t="n">
        <v>4.49</v>
      </c>
      <c r="AA59" s="38" t="n">
        <v>4.47</v>
      </c>
      <c r="AB59" s="38" t="n">
        <v>4.3</v>
      </c>
      <c r="AC59" s="38" t="n">
        <v>4.15</v>
      </c>
      <c r="AD59" s="38" t="n">
        <v>4.05</v>
      </c>
      <c r="AE59" s="38" t="n">
        <v>3.91</v>
      </c>
      <c r="AF59" s="38" t="n">
        <v>3.83</v>
      </c>
      <c r="AG59" s="38" t="n">
        <v>3.78</v>
      </c>
      <c r="AH59" s="38" t="n">
        <v>3.85</v>
      </c>
      <c r="AI59" s="38" t="n">
        <v>4</v>
      </c>
      <c r="AJ59" s="38" t="n">
        <v>4.1</v>
      </c>
      <c r="AK59" s="38" t="n">
        <v>4.08</v>
      </c>
      <c r="AL59" s="38" t="n">
        <v>4.01</v>
      </c>
      <c r="AM59" s="38" t="n">
        <v>4.05</v>
      </c>
      <c r="AN59" s="38" t="n">
        <v>4.08</v>
      </c>
      <c r="AO59" s="38" t="n">
        <v>4.07</v>
      </c>
      <c r="AP59" s="38" t="n">
        <v>4.16</v>
      </c>
      <c r="AQ59" s="38" t="n">
        <v>4.16</v>
      </c>
      <c r="AR59" s="38" t="n">
        <v>4.16</v>
      </c>
    </row>
    <row r="60">
      <c r="A60" s="28" t="inlineStr">
        <is>
          <t>Brent周涨跌</t>
        </is>
      </c>
      <c r="C60" s="44" t="n">
        <v>-0.0413</v>
      </c>
      <c r="D60" s="42" t="n">
        <v>-0.0106</v>
      </c>
      <c r="E60" s="42" t="n">
        <v>0.0028</v>
      </c>
      <c r="F60" s="42" t="n">
        <v>0.0018</v>
      </c>
      <c r="G60" s="43" t="n">
        <v>0.0426</v>
      </c>
      <c r="H60" s="42" t="n">
        <v>0.0125</v>
      </c>
      <c r="I60" s="42" t="n">
        <v>0.0273</v>
      </c>
      <c r="J60" s="43" t="n">
        <v>0.073</v>
      </c>
      <c r="K60" s="44" t="n">
        <v>-0.0373</v>
      </c>
      <c r="L60" s="42" t="n">
        <v>-0.0044</v>
      </c>
      <c r="M60" s="43" t="n">
        <v>0.0592</v>
      </c>
      <c r="N60" s="42" t="n">
        <v>0.01</v>
      </c>
      <c r="O60" s="43" t="n">
        <v>0.2788</v>
      </c>
      <c r="P60" s="43" t="n">
        <v>0.1127</v>
      </c>
      <c r="Q60" s="43" t="n">
        <v>0.0877</v>
      </c>
      <c r="R60" s="42" t="n">
        <v>0.0034</v>
      </c>
      <c r="S60" s="44" t="n">
        <v>-0.0314</v>
      </c>
      <c r="T60" s="44" t="n">
        <v>-0.1268</v>
      </c>
      <c r="U60" s="44" t="n">
        <v>-0.0506</v>
      </c>
      <c r="V60" s="43" t="n">
        <v>0.1654</v>
      </c>
      <c r="W60" s="42" t="n">
        <v>0.027</v>
      </c>
      <c r="X60" s="44" t="n">
        <v>-0.0636</v>
      </c>
      <c r="Y60" s="43" t="n">
        <v>0.07870000000000001</v>
      </c>
      <c r="Z60" s="44" t="n">
        <v>-0.0524</v>
      </c>
      <c r="AA60" s="44" t="n">
        <v>-0.111</v>
      </c>
      <c r="AB60" s="42" t="n">
        <v>0.0113</v>
      </c>
      <c r="AC60" s="44" t="n">
        <v>-0.0619</v>
      </c>
      <c r="AD60" s="44" t="n">
        <v>-0.0857</v>
      </c>
      <c r="AE60" s="44" t="n">
        <v>-0.0984</v>
      </c>
      <c r="AF60" s="42" t="n">
        <v>-0.0026</v>
      </c>
      <c r="AG60" s="43" t="n">
        <v>0.0586</v>
      </c>
      <c r="AH60" s="43" t="n">
        <v>0.1591</v>
      </c>
      <c r="AI60" s="43" t="n">
        <v>0.0985</v>
      </c>
      <c r="AJ60" s="44" t="n">
        <v>-0.0688</v>
      </c>
      <c r="AK60" s="44" t="n">
        <v>-0.07290000000000001</v>
      </c>
      <c r="AL60" s="43" t="n">
        <v>0.0595</v>
      </c>
      <c r="AM60" s="43" t="n">
        <v>0.0663</v>
      </c>
      <c r="AN60" s="44" t="n">
        <v>-0.0538</v>
      </c>
      <c r="AO60" s="43" t="n">
        <v>0.078</v>
      </c>
      <c r="AP60" s="43" t="n">
        <v>0.08649999999999999</v>
      </c>
      <c r="AQ60" s="42" t="n">
        <v>-0.0071</v>
      </c>
      <c r="AR60" s="44" t="n">
        <v>-0.0641</v>
      </c>
      <c r="AS60" s="37" t="n">
        <v>0.82</v>
      </c>
      <c r="AT60" s="37" t="n">
        <v>4.22</v>
      </c>
      <c r="AU60" s="37" t="n">
        <v>2.47</v>
      </c>
    </row>
    <row r="61">
      <c r="A61" s="28" t="inlineStr">
        <is>
          <t>WTI周涨跌</t>
        </is>
      </c>
      <c r="C61" s="44" t="n">
        <v>-0.0439</v>
      </c>
      <c r="D61" s="42" t="n">
        <v>-0.0136</v>
      </c>
      <c r="E61" s="42" t="n">
        <v>0.0014</v>
      </c>
      <c r="F61" s="42" t="n">
        <v>0.0102</v>
      </c>
      <c r="G61" s="43" t="n">
        <v>0.0314</v>
      </c>
      <c r="H61" s="42" t="n">
        <v>0.0054</v>
      </c>
      <c r="I61" s="42" t="n">
        <v>0.0274</v>
      </c>
      <c r="J61" s="43" t="n">
        <v>0.0678</v>
      </c>
      <c r="K61" s="42" t="n">
        <v>-0.0255</v>
      </c>
      <c r="L61" s="42" t="n">
        <v>-0.0104</v>
      </c>
      <c r="M61" s="43" t="n">
        <v>0.0557</v>
      </c>
      <c r="N61" s="42" t="n">
        <v>0.0095</v>
      </c>
      <c r="O61" s="43" t="n">
        <v>0.3563</v>
      </c>
      <c r="P61" s="43" t="n">
        <v>0.0859</v>
      </c>
      <c r="Q61" s="42" t="n">
        <v>-0.004</v>
      </c>
      <c r="R61" s="42" t="n">
        <v>0.0134</v>
      </c>
      <c r="S61" s="43" t="n">
        <v>0.1194</v>
      </c>
      <c r="T61" s="44" t="n">
        <v>-0.1342</v>
      </c>
      <c r="U61" s="44" t="n">
        <v>-0.1317</v>
      </c>
      <c r="V61" s="43" t="n">
        <v>0.1258</v>
      </c>
      <c r="W61" s="43" t="n">
        <v>0.0799</v>
      </c>
      <c r="X61" s="44" t="n">
        <v>-0.064</v>
      </c>
      <c r="Y61" s="43" t="n">
        <v>0.1048</v>
      </c>
      <c r="Z61" s="44" t="n">
        <v>-0.0837</v>
      </c>
      <c r="AA61" s="44" t="n">
        <v>-0.09569999999999999</v>
      </c>
      <c r="AB61" s="43" t="n">
        <v>0.0364</v>
      </c>
      <c r="AC61" s="44" t="n">
        <v>-0.0625</v>
      </c>
      <c r="AD61" s="44" t="n">
        <v>-0.0975</v>
      </c>
      <c r="AE61" s="44" t="n">
        <v>-0.09619999999999999</v>
      </c>
      <c r="AF61" s="42" t="n">
        <v>-0.0078</v>
      </c>
      <c r="AG61" s="43" t="n">
        <v>0.0396</v>
      </c>
      <c r="AH61" s="43" t="n">
        <v>0.1552</v>
      </c>
      <c r="AI61" s="43" t="n">
        <v>0.0827</v>
      </c>
      <c r="AJ61" s="44" t="n">
        <v>-0.052</v>
      </c>
      <c r="AK61" s="44" t="n">
        <v>-0.0767</v>
      </c>
      <c r="AL61" s="43" t="n">
        <v>0.054</v>
      </c>
      <c r="AM61" s="43" t="n">
        <v>0.0566</v>
      </c>
      <c r="AN61" s="44" t="n">
        <v>-0.042</v>
      </c>
      <c r="AO61" s="43" t="n">
        <v>0.0969</v>
      </c>
      <c r="AP61" s="43" t="n">
        <v>0.09370000000000001</v>
      </c>
      <c r="AQ61" s="42" t="n">
        <v>0.0025</v>
      </c>
      <c r="AR61" s="44" t="n">
        <v>-0.0717</v>
      </c>
      <c r="AS61" s="37" t="n">
        <v>-2.69</v>
      </c>
      <c r="AT61" s="37" t="n">
        <v>0.6899999999999999</v>
      </c>
      <c r="AU61" s="37" t="n">
        <v>0.74</v>
      </c>
    </row>
    <row r="62">
      <c r="A62" s="28" t="inlineStr">
        <is>
          <t>汽油周涨跌</t>
        </is>
      </c>
      <c r="B62" s="38" t="n"/>
      <c r="C62" s="42" t="n">
        <v>-0.0134</v>
      </c>
      <c r="D62" s="42" t="n">
        <v>-0.0136</v>
      </c>
      <c r="E62" s="42" t="n">
        <v>-0.0207</v>
      </c>
      <c r="F62" s="42" t="n">
        <v>-0.0106</v>
      </c>
      <c r="G62" s="42" t="n">
        <v>-0.0036</v>
      </c>
      <c r="H62" s="42" t="n">
        <v>-0.0071</v>
      </c>
      <c r="I62" s="42" t="n">
        <v>0.0108</v>
      </c>
      <c r="J62" s="42" t="n">
        <v>0.0142</v>
      </c>
      <c r="K62" s="42" t="n">
        <v>0.007</v>
      </c>
      <c r="L62" s="42" t="n">
        <v>0.0105</v>
      </c>
      <c r="M62" s="42" t="n">
        <v>0.0069</v>
      </c>
      <c r="N62" s="42" t="n">
        <v>0.0068</v>
      </c>
      <c r="O62" s="42" t="n">
        <v>0.0272</v>
      </c>
      <c r="P62" s="43" t="n">
        <v>0.1589</v>
      </c>
      <c r="Q62" s="43" t="n">
        <v>0.0629</v>
      </c>
      <c r="R62" s="43" t="n">
        <v>0.0645</v>
      </c>
      <c r="S62" s="42" t="n">
        <v>0.0076</v>
      </c>
      <c r="T62" s="43" t="n">
        <v>0.0326</v>
      </c>
      <c r="U62" s="42" t="n">
        <v>0</v>
      </c>
      <c r="V62" s="42" t="n">
        <v>-0.0194</v>
      </c>
      <c r="W62" s="42" t="n">
        <v>0.0198</v>
      </c>
      <c r="X62" s="43" t="n">
        <v>0.0801</v>
      </c>
      <c r="Y62" s="42" t="n">
        <v>0.0112</v>
      </c>
      <c r="Z62" s="42" t="n">
        <v>-0.0022</v>
      </c>
      <c r="AA62" s="42" t="n">
        <v>-0.0045</v>
      </c>
      <c r="AB62" s="44" t="n">
        <v>-0.038</v>
      </c>
      <c r="AC62" s="44" t="n">
        <v>-0.0349</v>
      </c>
      <c r="AD62" s="42" t="n">
        <v>-0.0241</v>
      </c>
      <c r="AE62" s="44" t="n">
        <v>-0.0346</v>
      </c>
      <c r="AF62" s="42" t="n">
        <v>-0.0205</v>
      </c>
      <c r="AG62" s="42" t="n">
        <v>-0.0131</v>
      </c>
      <c r="AH62" s="42" t="n">
        <v>0.0185</v>
      </c>
      <c r="AI62" s="43" t="n">
        <v>0.039</v>
      </c>
      <c r="AJ62" s="42" t="n">
        <v>0.025</v>
      </c>
      <c r="AK62" s="42" t="n">
        <v>-0.0049</v>
      </c>
      <c r="AL62" s="42" t="n">
        <v>-0.0172</v>
      </c>
      <c r="AM62" s="42" t="n">
        <v>0.01</v>
      </c>
      <c r="AN62" s="42" t="n">
        <v>0.0074</v>
      </c>
      <c r="AO62" s="42" t="n">
        <v>-0.0025</v>
      </c>
      <c r="AP62" s="42" t="n">
        <v>0.0221</v>
      </c>
      <c r="AQ62" s="42" t="n">
        <v>0</v>
      </c>
      <c r="AR62" s="42" t="n">
        <v>0</v>
      </c>
    </row>
    <row r="63">
      <c r="A63" s="28" t="n"/>
      <c r="B63" s="38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3" t="n"/>
      <c r="Q63" s="43" t="n"/>
      <c r="R63" s="43" t="n"/>
      <c r="S63" s="42" t="n"/>
      <c r="T63" s="43" t="n"/>
      <c r="U63" s="42" t="n"/>
      <c r="V63" s="42" t="n"/>
      <c r="W63" s="42" t="n"/>
      <c r="X63" s="43" t="n"/>
      <c r="Y63" s="42" t="n"/>
      <c r="Z63" s="42" t="n"/>
      <c r="AA63" s="42" t="n"/>
      <c r="AB63" s="44" t="n"/>
      <c r="AC63" s="44" t="n"/>
      <c r="AD63" s="42" t="n"/>
      <c r="AE63" s="44" t="n"/>
      <c r="AF63" s="42" t="n"/>
      <c r="AG63" s="42" t="n"/>
      <c r="AH63" s="42" t="n"/>
      <c r="AI63" s="43" t="n"/>
      <c r="AJ63" s="42" t="n"/>
      <c r="AK63" s="42" t="n"/>
      <c r="AL63" s="42" t="n"/>
      <c r="AM63" s="42" t="n"/>
      <c r="AN63" s="42" t="n"/>
      <c r="AO63" s="42" t="n"/>
      <c r="AP63" s="42" t="n"/>
      <c r="AQ63" s="42" t="n"/>
      <c r="AR63" s="42" t="n"/>
    </row>
    <row r="64">
      <c r="A64" s="33" t="n"/>
      <c r="B64" s="22" t="inlineStr">
        <is>
          <t>251201-1207</t>
        </is>
      </c>
      <c r="C64" s="22" t="inlineStr">
        <is>
          <t>251208-1214</t>
        </is>
      </c>
      <c r="D64" s="22" t="inlineStr">
        <is>
          <t>251215-1221</t>
        </is>
      </c>
      <c r="E64" s="22" t="inlineStr">
        <is>
          <t>251222-1228</t>
        </is>
      </c>
      <c r="F64" s="22" t="inlineStr">
        <is>
          <t>251229-0104</t>
        </is>
      </c>
      <c r="G64" s="22" t="inlineStr">
        <is>
          <t>260105-0111</t>
        </is>
      </c>
      <c r="H64" s="22" t="inlineStr">
        <is>
          <t>260112-0118</t>
        </is>
      </c>
      <c r="I64" s="22" t="inlineStr">
        <is>
          <t>260119-0125</t>
        </is>
      </c>
      <c r="J64" s="22" t="inlineStr">
        <is>
          <t>260126-0201</t>
        </is>
      </c>
      <c r="K64" s="22" t="inlineStr">
        <is>
          <t>260202-0208</t>
        </is>
      </c>
      <c r="L64" s="22" t="inlineStr">
        <is>
          <t>260209-0215</t>
        </is>
      </c>
      <c r="M64" s="22" t="inlineStr">
        <is>
          <t>260216-0222</t>
        </is>
      </c>
      <c r="N64" s="22" t="inlineStr">
        <is>
          <t>260223-0301</t>
        </is>
      </c>
      <c r="O64" s="22" t="inlineStr">
        <is>
          <t>260302-0308</t>
        </is>
      </c>
      <c r="P64" s="22" t="inlineStr">
        <is>
          <t>260309-0315</t>
        </is>
      </c>
      <c r="Q64" s="22" t="inlineStr">
        <is>
          <t>260316-0322</t>
        </is>
      </c>
      <c r="R64" s="22" t="inlineStr">
        <is>
          <t>260323-0329</t>
        </is>
      </c>
      <c r="S64" s="22" t="inlineStr">
        <is>
          <t>260330-0405</t>
        </is>
      </c>
      <c r="T64" s="22" t="inlineStr">
        <is>
          <t>260406-0412</t>
        </is>
      </c>
      <c r="U64" s="22" t="inlineStr">
        <is>
          <t>260413-0419</t>
        </is>
      </c>
      <c r="V64" s="22" t="inlineStr">
        <is>
          <t>260420-0426</t>
        </is>
      </c>
      <c r="W64" s="22" t="inlineStr">
        <is>
          <t>260427-0503</t>
        </is>
      </c>
      <c r="X64" s="22" t="inlineStr">
        <is>
          <t>260504-0510</t>
        </is>
      </c>
      <c r="Y64" s="22" t="inlineStr">
        <is>
          <t>260511-0517</t>
        </is>
      </c>
      <c r="Z64" s="22" t="inlineStr">
        <is>
          <t>260518-0524</t>
        </is>
      </c>
      <c r="AA64" s="22" t="inlineStr">
        <is>
          <t>260525-0531</t>
        </is>
      </c>
      <c r="AB64" s="22" t="inlineStr">
        <is>
          <t>260601-0607</t>
        </is>
      </c>
      <c r="AC64" s="22" t="inlineStr">
        <is>
          <t>260608-0614</t>
        </is>
      </c>
      <c r="AD64" s="22" t="inlineStr">
        <is>
          <t>260615-0621</t>
        </is>
      </c>
      <c r="AE64" s="22" t="inlineStr">
        <is>
          <t>260622-0628</t>
        </is>
      </c>
      <c r="AF64" s="22" t="inlineStr">
        <is>
          <t>260629-0705</t>
        </is>
      </c>
      <c r="AG64" s="22" t="inlineStr">
        <is>
          <t>260706-0712</t>
        </is>
      </c>
      <c r="AH64" s="22" t="inlineStr">
        <is>
          <t>260713-0719</t>
        </is>
      </c>
      <c r="AI64" s="22" t="inlineStr">
        <is>
          <t>260720-0726</t>
        </is>
      </c>
      <c r="AJ64" s="22" t="inlineStr">
        <is>
          <t>260727-0802</t>
        </is>
      </c>
      <c r="AK64" s="22" t="inlineStr">
        <is>
          <t>260803-0809</t>
        </is>
      </c>
      <c r="AL64" s="22" t="inlineStr">
        <is>
          <t>260810-0816</t>
        </is>
      </c>
      <c r="AM64" s="22" t="inlineStr">
        <is>
          <t>260817-0823</t>
        </is>
      </c>
      <c r="AN64" s="22" t="inlineStr">
        <is>
          <t>260824-0830</t>
        </is>
      </c>
      <c r="AO64" s="22" t="inlineStr">
        <is>
          <t>260831-0906</t>
        </is>
      </c>
      <c r="AP64" s="22" t="inlineStr">
        <is>
          <t>260907-0913</t>
        </is>
      </c>
      <c r="AQ64" s="22" t="inlineStr">
        <is>
          <t>260914-0920</t>
        </is>
      </c>
      <c r="AR64" s="22" t="inlineStr">
        <is>
          <t>260921-0927</t>
        </is>
      </c>
      <c r="AS64" s="22" t="inlineStr">
        <is>
          <t>260928-0930</t>
        </is>
      </c>
      <c r="AT64" s="22" t="n"/>
      <c r="AU64" s="22" t="n"/>
    </row>
    <row r="65">
      <c r="A65" s="35" t="inlineStr">
        <is>
          <t>2Y收益率(%)</t>
        </is>
      </c>
      <c r="B65" s="38" t="n">
        <v>3.56</v>
      </c>
      <c r="C65" s="38" t="n">
        <v>3.52</v>
      </c>
      <c r="D65" s="38" t="n">
        <v>3.48</v>
      </c>
      <c r="E65" s="38" t="n">
        <v>3.46</v>
      </c>
      <c r="F65" s="38" t="n">
        <v>3.47</v>
      </c>
      <c r="G65" s="38" t="n">
        <v>3.54</v>
      </c>
      <c r="H65" s="38" t="n">
        <v>3.59</v>
      </c>
      <c r="I65" s="38" t="n">
        <v>3.6</v>
      </c>
      <c r="J65" s="38" t="n">
        <v>3.52</v>
      </c>
      <c r="K65" s="38" t="n">
        <v>3.5</v>
      </c>
      <c r="L65" s="38" t="n">
        <v>3.4</v>
      </c>
      <c r="M65" s="38" t="n">
        <v>3.48</v>
      </c>
      <c r="N65" s="38" t="n">
        <v>3.38</v>
      </c>
      <c r="O65" s="38" t="n">
        <v>3.56</v>
      </c>
      <c r="P65" s="38" t="n">
        <v>3.73</v>
      </c>
      <c r="Q65" s="38" t="n">
        <v>3.88</v>
      </c>
      <c r="R65" s="38" t="n">
        <v>3.88</v>
      </c>
      <c r="S65" s="38" t="n">
        <v>3.84</v>
      </c>
      <c r="T65" s="38" t="n">
        <v>3.81</v>
      </c>
      <c r="U65" s="38" t="n">
        <v>3.71</v>
      </c>
      <c r="V65" s="38" t="n">
        <v>3.78</v>
      </c>
      <c r="W65" s="38" t="n">
        <v>3.88</v>
      </c>
      <c r="X65" s="38" t="n">
        <v>3.9</v>
      </c>
      <c r="Y65" s="38" t="n">
        <v>4.09</v>
      </c>
      <c r="Z65" s="38" t="n">
        <v>4.13</v>
      </c>
      <c r="AA65" s="38" t="n">
        <v>3.98</v>
      </c>
      <c r="AB65" s="38" t="n">
        <v>4.17</v>
      </c>
      <c r="AC65" s="38" t="n">
        <v>4.09</v>
      </c>
      <c r="AD65" s="38" t="n">
        <v>4.19</v>
      </c>
      <c r="AE65" s="38" t="n">
        <v>4.07</v>
      </c>
      <c r="AF65" s="38" t="n">
        <v>4.14</v>
      </c>
      <c r="AG65" s="38" t="n">
        <v>4.21</v>
      </c>
      <c r="AH65" s="38" t="n">
        <v>4.18</v>
      </c>
      <c r="AI65" s="38" t="n">
        <v>4.33</v>
      </c>
      <c r="AJ65" s="38" t="n">
        <v>4.28</v>
      </c>
      <c r="AK65" s="38" t="n">
        <v>4.19</v>
      </c>
      <c r="AL65" s="38" t="n">
        <v>4.17</v>
      </c>
      <c r="AM65" s="38" t="n">
        <v>4.24</v>
      </c>
      <c r="AN65" s="38" t="n">
        <v>4.34</v>
      </c>
      <c r="AO65" s="38" t="n">
        <v>4.37</v>
      </c>
      <c r="AP65" s="38" t="n">
        <v>4.63</v>
      </c>
      <c r="AQ65" s="38" t="n">
        <v>4.76</v>
      </c>
      <c r="AR65" s="38" t="n">
        <v>4.76</v>
      </c>
    </row>
    <row r="66">
      <c r="A66" s="35" t="inlineStr">
        <is>
          <t>10Y收益率(%)</t>
        </is>
      </c>
      <c r="B66" s="38" t="n">
        <v>4.14</v>
      </c>
      <c r="C66" s="38" t="n">
        <v>4.19</v>
      </c>
      <c r="D66" s="38" t="n">
        <v>4.15</v>
      </c>
      <c r="E66" s="38" t="n">
        <v>4.14</v>
      </c>
      <c r="F66" s="38" t="n">
        <v>4.19</v>
      </c>
      <c r="G66" s="38" t="n">
        <v>4.17</v>
      </c>
      <c r="H66" s="38" t="n">
        <v>4.23</v>
      </c>
      <c r="I66" s="38" t="n">
        <v>4.24</v>
      </c>
      <c r="J66" s="38" t="n">
        <v>4.24</v>
      </c>
      <c r="K66" s="38" t="n">
        <v>4.21</v>
      </c>
      <c r="L66" s="38" t="n">
        <v>4.06</v>
      </c>
      <c r="M66" s="38" t="n">
        <v>4.09</v>
      </c>
      <c r="N66" s="38" t="n">
        <v>3.96</v>
      </c>
      <c r="O66" s="38" t="n">
        <v>4.13</v>
      </c>
      <c r="P66" s="38" t="n">
        <v>4.28</v>
      </c>
      <c r="Q66" s="38" t="n">
        <v>4.39</v>
      </c>
      <c r="R66" s="38" t="n">
        <v>4.44</v>
      </c>
      <c r="S66" s="38" t="n">
        <v>4.31</v>
      </c>
      <c r="T66" s="38" t="n">
        <v>4.32</v>
      </c>
      <c r="U66" s="38" t="n">
        <v>4.25</v>
      </c>
      <c r="V66" s="38" t="n">
        <v>4.31</v>
      </c>
      <c r="W66" s="38" t="n">
        <v>4.38</v>
      </c>
      <c r="X66" s="38" t="n">
        <v>4.36</v>
      </c>
      <c r="Y66" s="38" t="n">
        <v>4.59</v>
      </c>
      <c r="Z66" s="38" t="n">
        <v>4.56</v>
      </c>
      <c r="AA66" s="38" t="n">
        <v>4.45</v>
      </c>
      <c r="AB66" s="38" t="n">
        <v>4.54</v>
      </c>
      <c r="AC66" s="38" t="n">
        <v>4.49</v>
      </c>
      <c r="AD66" s="38" t="n">
        <v>4.45</v>
      </c>
      <c r="AE66" s="38" t="n">
        <v>4.37</v>
      </c>
      <c r="AF66" s="38" t="n">
        <v>4.49</v>
      </c>
      <c r="AG66" s="38" t="n">
        <v>4.57</v>
      </c>
      <c r="AH66" s="38" t="n">
        <v>4.54</v>
      </c>
      <c r="AI66" s="38" t="n">
        <v>4.68</v>
      </c>
      <c r="AJ66" s="38" t="n">
        <v>4.74</v>
      </c>
      <c r="AK66" s="38" t="n">
        <v>4.66</v>
      </c>
      <c r="AL66" s="38" t="n">
        <v>4.7</v>
      </c>
      <c r="AM66" s="38" t="n">
        <v>4.74</v>
      </c>
      <c r="AN66" s="38" t="n">
        <v>4.72</v>
      </c>
      <c r="AO66" s="38" t="n">
        <v>4.78</v>
      </c>
      <c r="AP66" s="38" t="n">
        <v>4.97</v>
      </c>
      <c r="AQ66" s="38" t="n">
        <v>5</v>
      </c>
      <c r="AR66" s="38" t="n">
        <v>4.96</v>
      </c>
      <c r="AS66" s="37" t="n">
        <v>5.29</v>
      </c>
      <c r="AT66" s="37" t="n">
        <v>5.28</v>
      </c>
      <c r="AU66" s="37" t="n">
        <v>5.24</v>
      </c>
    </row>
    <row r="67">
      <c r="A67" s="35" t="inlineStr">
        <is>
          <t>30Y收益率(%)</t>
        </is>
      </c>
      <c r="B67" s="38" t="n">
        <v>4.79</v>
      </c>
      <c r="C67" s="38" t="n">
        <v>4.86</v>
      </c>
      <c r="D67" s="38" t="n">
        <v>4.83</v>
      </c>
      <c r="E67" s="38" t="n">
        <v>4.82</v>
      </c>
      <c r="F67" s="38" t="n">
        <v>4.86</v>
      </c>
      <c r="G67" s="38" t="n">
        <v>4.82</v>
      </c>
      <c r="H67" s="38" t="n">
        <v>4.84</v>
      </c>
      <c r="I67" s="38" t="n">
        <v>4.83</v>
      </c>
      <c r="J67" s="38" t="n">
        <v>4.87</v>
      </c>
      <c r="K67" s="38" t="n">
        <v>4.86</v>
      </c>
      <c r="L67" s="38" t="n">
        <v>4.7</v>
      </c>
      <c r="M67" s="38" t="n">
        <v>4.72</v>
      </c>
      <c r="N67" s="38" t="n">
        <v>4.63</v>
      </c>
      <c r="O67" s="38" t="n">
        <v>4.76</v>
      </c>
      <c r="P67" s="38" t="n">
        <v>4.91</v>
      </c>
      <c r="Q67" s="38" t="n">
        <v>4.96</v>
      </c>
      <c r="R67" s="38" t="n">
        <v>4.98</v>
      </c>
      <c r="S67" s="38" t="n">
        <v>4.89</v>
      </c>
      <c r="T67" s="38" t="n">
        <v>4.91</v>
      </c>
      <c r="U67" s="38" t="n">
        <v>4.89</v>
      </c>
      <c r="V67" s="38" t="n">
        <v>4.92</v>
      </c>
      <c r="W67" s="38" t="n">
        <v>4.97</v>
      </c>
      <c r="X67" s="38" t="n">
        <v>4.95</v>
      </c>
      <c r="Y67" s="38" t="n">
        <v>5.13</v>
      </c>
      <c r="Z67" s="38" t="n">
        <v>5.06</v>
      </c>
      <c r="AA67" s="38" t="n">
        <v>4.99</v>
      </c>
      <c r="AB67" s="38" t="n">
        <v>5</v>
      </c>
      <c r="AC67" s="38" t="n">
        <v>4.97</v>
      </c>
      <c r="AD67" s="38" t="n">
        <v>4.9</v>
      </c>
      <c r="AE67" s="38" t="n">
        <v>4.86</v>
      </c>
      <c r="AF67" s="38" t="n">
        <v>4.99</v>
      </c>
      <c r="AG67" s="38" t="n">
        <v>5.07</v>
      </c>
      <c r="AH67" s="38" t="n">
        <v>5.06</v>
      </c>
      <c r="AI67" s="38" t="n">
        <v>5.16</v>
      </c>
      <c r="AJ67" s="38" t="n">
        <v>5.28</v>
      </c>
      <c r="AK67" s="38" t="n">
        <v>5.21</v>
      </c>
      <c r="AL67" s="38" t="n">
        <v>5.26</v>
      </c>
      <c r="AM67" s="38" t="n">
        <v>5.28</v>
      </c>
      <c r="AN67" s="38" t="n">
        <v>5.21</v>
      </c>
      <c r="AO67" s="38" t="n">
        <v>5.25</v>
      </c>
      <c r="AP67" s="38" t="n">
        <v>5.35</v>
      </c>
      <c r="AQ67" s="38" t="n">
        <v>5.33</v>
      </c>
      <c r="AR67" s="38" t="n">
        <v>5.3</v>
      </c>
      <c r="AS67" s="37" t="n">
        <v>5.64</v>
      </c>
      <c r="AT67" s="37" t="n">
        <v>5.63</v>
      </c>
      <c r="AU67" s="37" t="n">
        <v>5.6</v>
      </c>
    </row>
    <row r="68">
      <c r="A68" s="28" t="inlineStr">
        <is>
          <t>2Y收益率周变动(bps)</t>
        </is>
      </c>
      <c r="C68" s="39" t="n">
        <v>-4</v>
      </c>
      <c r="D68" s="39" t="n">
        <v>-4</v>
      </c>
      <c r="E68" s="39" t="n">
        <v>-2</v>
      </c>
      <c r="F68" s="39" t="n">
        <v>1</v>
      </c>
      <c r="G68" s="39" t="n">
        <v>7</v>
      </c>
      <c r="H68" s="39" t="n">
        <v>5</v>
      </c>
      <c r="I68" s="39" t="n">
        <v>1</v>
      </c>
      <c r="J68" s="39" t="n">
        <v>-8</v>
      </c>
      <c r="K68" s="39" t="n">
        <v>-2</v>
      </c>
      <c r="L68" s="40" t="n">
        <v>-10</v>
      </c>
      <c r="M68" s="39" t="n">
        <v>8</v>
      </c>
      <c r="N68" s="40" t="n">
        <v>-10</v>
      </c>
      <c r="O68" s="41" t="n">
        <v>18</v>
      </c>
      <c r="P68" s="41" t="n">
        <v>17</v>
      </c>
      <c r="Q68" s="41" t="n">
        <v>15</v>
      </c>
      <c r="R68" s="39" t="n">
        <v>0</v>
      </c>
      <c r="S68" s="39" t="n">
        <v>-4</v>
      </c>
      <c r="T68" s="39" t="n">
        <v>-3</v>
      </c>
      <c r="U68" s="40" t="n">
        <v>-10</v>
      </c>
      <c r="V68" s="39" t="n">
        <v>7</v>
      </c>
      <c r="W68" s="41" t="n">
        <v>10</v>
      </c>
      <c r="X68" s="39" t="n">
        <v>2</v>
      </c>
      <c r="Y68" s="41" t="n">
        <v>19</v>
      </c>
      <c r="Z68" s="39" t="n">
        <v>4</v>
      </c>
      <c r="AA68" s="40" t="n">
        <v>-15</v>
      </c>
      <c r="AB68" s="41" t="n">
        <v>19</v>
      </c>
      <c r="AC68" s="39" t="n">
        <v>-8</v>
      </c>
      <c r="AD68" s="41" t="n">
        <v>10</v>
      </c>
      <c r="AE68" s="40" t="n">
        <v>-12</v>
      </c>
      <c r="AF68" s="39" t="n">
        <v>7</v>
      </c>
      <c r="AG68" s="39" t="n">
        <v>7</v>
      </c>
      <c r="AH68" s="39" t="n">
        <v>-3</v>
      </c>
      <c r="AI68" s="41" t="n">
        <v>15</v>
      </c>
      <c r="AJ68" s="39" t="n">
        <v>-5</v>
      </c>
      <c r="AK68" s="39" t="n">
        <v>-9</v>
      </c>
      <c r="AL68" s="39" t="n">
        <v>-2</v>
      </c>
      <c r="AM68" s="39" t="n">
        <v>7</v>
      </c>
      <c r="AN68" s="39" t="n">
        <v>10</v>
      </c>
      <c r="AO68" s="39" t="n">
        <v>3</v>
      </c>
      <c r="AP68" s="41" t="n">
        <v>26</v>
      </c>
      <c r="AQ68" s="41" t="n">
        <v>13</v>
      </c>
      <c r="AR68" s="39" t="n">
        <v>0</v>
      </c>
    </row>
    <row r="69">
      <c r="A69" s="28" t="inlineStr">
        <is>
          <t>10Y收益率周变动(bps)</t>
        </is>
      </c>
      <c r="C69" s="39" t="n">
        <v>5</v>
      </c>
      <c r="D69" s="39" t="n">
        <v>-4</v>
      </c>
      <c r="E69" s="39" t="n">
        <v>-1</v>
      </c>
      <c r="F69" s="39" t="n">
        <v>5</v>
      </c>
      <c r="G69" s="39" t="n">
        <v>-2</v>
      </c>
      <c r="H69" s="39" t="n">
        <v>6</v>
      </c>
      <c r="I69" s="39" t="n">
        <v>1</v>
      </c>
      <c r="J69" s="39" t="n">
        <v>0</v>
      </c>
      <c r="K69" s="39" t="n">
        <v>-3</v>
      </c>
      <c r="L69" s="40" t="n">
        <v>-15</v>
      </c>
      <c r="M69" s="39" t="n">
        <v>3</v>
      </c>
      <c r="N69" s="40" t="n">
        <v>-13</v>
      </c>
      <c r="O69" s="41" t="n">
        <v>17</v>
      </c>
      <c r="P69" s="41" t="n">
        <v>15</v>
      </c>
      <c r="Q69" s="41" t="n">
        <v>11</v>
      </c>
      <c r="R69" s="39" t="n">
        <v>5</v>
      </c>
      <c r="S69" s="40" t="n">
        <v>-13</v>
      </c>
      <c r="T69" s="39" t="n">
        <v>1</v>
      </c>
      <c r="U69" s="39" t="n">
        <v>-7</v>
      </c>
      <c r="V69" s="39" t="n">
        <v>6</v>
      </c>
      <c r="W69" s="39" t="n">
        <v>7</v>
      </c>
      <c r="X69" s="39" t="n">
        <v>-2</v>
      </c>
      <c r="Y69" s="41" t="n">
        <v>23</v>
      </c>
      <c r="Z69" s="39" t="n">
        <v>-3</v>
      </c>
      <c r="AA69" s="40" t="n">
        <v>-11</v>
      </c>
      <c r="AB69" s="39" t="n">
        <v>9</v>
      </c>
      <c r="AC69" s="39" t="n">
        <v>-5</v>
      </c>
      <c r="AD69" s="39" t="n">
        <v>-4</v>
      </c>
      <c r="AE69" s="39" t="n">
        <v>-8</v>
      </c>
      <c r="AF69" s="41" t="n">
        <v>12</v>
      </c>
      <c r="AG69" s="39" t="n">
        <v>8</v>
      </c>
      <c r="AH69" s="39" t="n">
        <v>-3</v>
      </c>
      <c r="AI69" s="41" t="n">
        <v>14</v>
      </c>
      <c r="AJ69" s="39" t="n">
        <v>6</v>
      </c>
      <c r="AK69" s="39" t="n">
        <v>-8</v>
      </c>
      <c r="AL69" s="39" t="n">
        <v>4</v>
      </c>
      <c r="AM69" s="39" t="n">
        <v>4</v>
      </c>
      <c r="AN69" s="39" t="n">
        <v>-2</v>
      </c>
      <c r="AO69" s="39" t="n">
        <v>6</v>
      </c>
      <c r="AP69" s="41" t="n">
        <v>19</v>
      </c>
      <c r="AQ69" s="39" t="n">
        <v>3</v>
      </c>
      <c r="AR69" s="39" t="n">
        <v>-4</v>
      </c>
      <c r="AS69" s="37" t="n">
        <v>33</v>
      </c>
      <c r="AT69" s="37" t="n">
        <v>-1</v>
      </c>
      <c r="AU69" s="37" t="n">
        <v>-4</v>
      </c>
    </row>
    <row r="70">
      <c r="A70" s="28" t="inlineStr">
        <is>
          <t>30Y收益率周变动(bps)</t>
        </is>
      </c>
      <c r="C70" s="39" t="n">
        <v>7</v>
      </c>
      <c r="D70" s="39" t="n">
        <v>-3</v>
      </c>
      <c r="E70" s="39" t="n">
        <v>-1</v>
      </c>
      <c r="F70" s="39" t="n">
        <v>4</v>
      </c>
      <c r="G70" s="39" t="n">
        <v>-4</v>
      </c>
      <c r="H70" s="39" t="n">
        <v>2</v>
      </c>
      <c r="I70" s="39" t="n">
        <v>-1</v>
      </c>
      <c r="J70" s="39" t="n">
        <v>4</v>
      </c>
      <c r="K70" s="39" t="n">
        <v>-1</v>
      </c>
      <c r="L70" s="40" t="n">
        <v>-16</v>
      </c>
      <c r="M70" s="39" t="n">
        <v>2</v>
      </c>
      <c r="N70" s="39" t="n">
        <v>-9</v>
      </c>
      <c r="O70" s="41" t="n">
        <v>13</v>
      </c>
      <c r="P70" s="41" t="n">
        <v>15</v>
      </c>
      <c r="Q70" s="39" t="n">
        <v>5</v>
      </c>
      <c r="R70" s="39" t="n">
        <v>2</v>
      </c>
      <c r="S70" s="39" t="n">
        <v>-9</v>
      </c>
      <c r="T70" s="39" t="n">
        <v>2</v>
      </c>
      <c r="U70" s="39" t="n">
        <v>-2</v>
      </c>
      <c r="V70" s="39" t="n">
        <v>3</v>
      </c>
      <c r="W70" s="39" t="n">
        <v>5</v>
      </c>
      <c r="X70" s="39" t="n">
        <v>-2</v>
      </c>
      <c r="Y70" s="41" t="n">
        <v>18</v>
      </c>
      <c r="Z70" s="39" t="n">
        <v>-7</v>
      </c>
      <c r="AA70" s="39" t="n">
        <v>-7</v>
      </c>
      <c r="AB70" s="39" t="n">
        <v>1</v>
      </c>
      <c r="AC70" s="39" t="n">
        <v>-3</v>
      </c>
      <c r="AD70" s="39" t="n">
        <v>-7</v>
      </c>
      <c r="AE70" s="39" t="n">
        <v>-4</v>
      </c>
      <c r="AF70" s="41" t="n">
        <v>13</v>
      </c>
      <c r="AG70" s="39" t="n">
        <v>8</v>
      </c>
      <c r="AH70" s="39" t="n">
        <v>-1</v>
      </c>
      <c r="AI70" s="41" t="n">
        <v>10</v>
      </c>
      <c r="AJ70" s="41" t="n">
        <v>12</v>
      </c>
      <c r="AK70" s="39" t="n">
        <v>-7</v>
      </c>
      <c r="AL70" s="39" t="n">
        <v>5</v>
      </c>
      <c r="AM70" s="39" t="n">
        <v>2</v>
      </c>
      <c r="AN70" s="39" t="n">
        <v>-7</v>
      </c>
      <c r="AO70" s="39" t="n">
        <v>4</v>
      </c>
      <c r="AP70" s="39" t="n">
        <v>10</v>
      </c>
      <c r="AQ70" s="39" t="n">
        <v>-2</v>
      </c>
      <c r="AR70" s="39" t="n">
        <v>-3</v>
      </c>
      <c r="AS70" s="37" t="n">
        <v>34</v>
      </c>
      <c r="AT70" s="37" t="n">
        <v>-1</v>
      </c>
      <c r="AU70" s="37" t="n">
        <v>-3</v>
      </c>
    </row>
    <row r="71">
      <c r="A71" s="28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40" t="n"/>
      <c r="M71" s="39" t="n"/>
      <c r="N71" s="39" t="n"/>
      <c r="O71" s="41" t="n"/>
      <c r="P71" s="41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41" t="n"/>
      <c r="Z71" s="39" t="n"/>
      <c r="AA71" s="39" t="n"/>
      <c r="AB71" s="39" t="n"/>
      <c r="AC71" s="39" t="n"/>
      <c r="AD71" s="39" t="n"/>
      <c r="AE71" s="39" t="n"/>
      <c r="AF71" s="41" t="n"/>
      <c r="AG71" s="39" t="n"/>
      <c r="AH71" s="39" t="n"/>
      <c r="AI71" s="41" t="n"/>
      <c r="AJ71" s="41" t="n"/>
      <c r="AK71" s="39" t="n"/>
      <c r="AL71" s="39" t="n"/>
      <c r="AM71" s="39" t="n"/>
      <c r="AN71" s="39" t="n"/>
      <c r="AO71" s="39" t="n"/>
      <c r="AP71" s="39" t="n"/>
      <c r="AQ71" s="39" t="n"/>
      <c r="AR71" s="39" t="n"/>
    </row>
    <row r="72">
      <c r="A72" s="35" t="inlineStr">
        <is>
          <t>初请失业金(千人)</t>
        </is>
      </c>
      <c r="B72" s="39" t="n">
        <v>235</v>
      </c>
      <c r="C72" s="39" t="n">
        <v>224</v>
      </c>
      <c r="D72" s="39" t="n">
        <v>215</v>
      </c>
      <c r="E72" s="39" t="n">
        <v>203</v>
      </c>
      <c r="F72" s="39" t="n">
        <v>207</v>
      </c>
      <c r="G72" s="39" t="n">
        <v>201</v>
      </c>
      <c r="H72" s="39" t="n">
        <v>210</v>
      </c>
      <c r="I72" s="39" t="n">
        <v>211</v>
      </c>
      <c r="J72" s="39" t="n">
        <v>0</v>
      </c>
      <c r="K72" s="39" t="n">
        <v>230</v>
      </c>
      <c r="L72" s="39" t="n">
        <v>208</v>
      </c>
      <c r="M72" s="39" t="n">
        <v>211</v>
      </c>
      <c r="N72" s="39" t="n">
        <v>0</v>
      </c>
      <c r="O72" s="39" t="n">
        <v>213</v>
      </c>
      <c r="P72" s="39" t="n">
        <v>205</v>
      </c>
      <c r="Q72" s="39" t="n">
        <v>211</v>
      </c>
      <c r="R72" s="39" t="n">
        <v>203</v>
      </c>
      <c r="S72" s="39" t="n">
        <v>218</v>
      </c>
      <c r="T72" s="39" t="n">
        <v>208</v>
      </c>
      <c r="U72" s="39" t="n">
        <v>215</v>
      </c>
      <c r="V72" s="39" t="n">
        <v>190</v>
      </c>
      <c r="W72" s="39" t="n">
        <v>199</v>
      </c>
      <c r="X72" s="39" t="n">
        <v>212</v>
      </c>
      <c r="Y72" s="39" t="n">
        <v>210</v>
      </c>
      <c r="Z72" s="39" t="n">
        <v>212</v>
      </c>
      <c r="AA72" s="39" t="n">
        <v>225</v>
      </c>
      <c r="AB72" s="39" t="n">
        <v>230</v>
      </c>
      <c r="AC72" s="39" t="n">
        <v>227</v>
      </c>
      <c r="AD72" s="39" t="n">
        <v>216</v>
      </c>
      <c r="AE72" s="39" t="n">
        <v>217</v>
      </c>
      <c r="AF72" s="39" t="n">
        <v>217</v>
      </c>
      <c r="AG72" s="39" t="n">
        <v>209</v>
      </c>
      <c r="AH72" s="39" t="n">
        <v>189</v>
      </c>
      <c r="AI72" s="39" t="n">
        <v>198</v>
      </c>
      <c r="AJ72" s="39" t="n">
        <v>0</v>
      </c>
      <c r="AK72" s="39" t="n">
        <v>212</v>
      </c>
      <c r="AL72" s="39" t="n">
        <v>207</v>
      </c>
      <c r="AM72" s="39" t="n">
        <v>204</v>
      </c>
      <c r="AN72" s="39" t="n">
        <v>207</v>
      </c>
      <c r="AO72" s="39" t="n">
        <v>206</v>
      </c>
      <c r="AP72" s="39" t="n">
        <v>196</v>
      </c>
      <c r="AQ72" s="39" t="n">
        <v>196</v>
      </c>
      <c r="AR72" s="39" t="n">
        <v>196</v>
      </c>
    </row>
  </sheetData>
  <conditionalFormatting sqref="AG37:AS3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3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3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4:AT5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4:AT3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4:AT5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4:AU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4:AU3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4:AU5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:AS3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:AS5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:AS55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:AU5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:AS36 AM38:AS5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4:AT36 AT38:AT5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4:AU36 AU38:AU5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5"/>
  <sheetViews>
    <sheetView zoomScale="76" zoomScaleNormal="76" workbookViewId="0">
      <pane xSplit="1" ySplit="2" topLeftCell="B3" activePane="bottomRight" state="frozen"/>
      <selection activeCell="A1" sqref="A1"/>
      <selection pane="topRight" activeCell="A1" sqref="A1"/>
      <selection pane="bottomLeft" activeCell="A1" sqref="A1"/>
      <selection pane="bottomRight" activeCell="G20" sqref="G20"/>
    </sheetView>
  </sheetViews>
  <sheetFormatPr baseColWidth="8" defaultColWidth="9" defaultRowHeight="16.8"/>
  <cols>
    <col width="12" customWidth="1" min="1" max="1"/>
    <col width="10" customWidth="1" min="2" max="48"/>
  </cols>
  <sheetData>
    <row r="1">
      <c r="A1" s="2" t="inlineStr">
        <is>
          <t>日度收盘价（本地货币）</t>
        </is>
      </c>
    </row>
    <row r="2">
      <c r="A2" s="21" t="inlineStr">
        <is>
          <t>Date</t>
        </is>
      </c>
      <c r="B2" s="22" t="inlineStr">
        <is>
          <t>NKE.N</t>
        </is>
      </c>
      <c r="C2" s="22" t="inlineStr">
        <is>
          <t>ADDY</t>
        </is>
      </c>
      <c r="D2" s="22" t="inlineStr">
        <is>
          <t>ZGN.N</t>
        </is>
      </c>
      <c r="E2" s="22" t="inlineStr">
        <is>
          <t>WWW.N</t>
        </is>
      </c>
      <c r="F2" s="22" t="inlineStr">
        <is>
          <t>UAA.N</t>
        </is>
      </c>
      <c r="G2" s="22" t="inlineStr">
        <is>
          <t>SHOO.O</t>
        </is>
      </c>
      <c r="H2" s="22" t="inlineStr">
        <is>
          <t>RL.N</t>
        </is>
      </c>
      <c r="I2" s="22" t="inlineStr">
        <is>
          <t>PUM.DF</t>
        </is>
      </c>
      <c r="J2" s="22" t="inlineStr">
        <is>
          <t>ONON.N</t>
        </is>
      </c>
      <c r="K2" s="22" t="inlineStr">
        <is>
          <t>NWL.O</t>
        </is>
      </c>
      <c r="L2" s="22" t="inlineStr">
        <is>
          <t>LULU.O</t>
        </is>
      </c>
      <c r="M2" s="22" t="inlineStr">
        <is>
          <t>LEVI.N</t>
        </is>
      </c>
      <c r="N2" s="22" t="inlineStr">
        <is>
          <t>KTB.N</t>
        </is>
      </c>
      <c r="O2" s="22" t="inlineStr">
        <is>
          <t>GIL.N</t>
        </is>
      </c>
      <c r="P2" s="22" t="inlineStr">
        <is>
          <t>GAP.N</t>
        </is>
      </c>
      <c r="Q2" s="22" t="inlineStr">
        <is>
          <t>DECK.N</t>
        </is>
      </c>
      <c r="R2" s="22" t="inlineStr">
        <is>
          <t>CROX.O</t>
        </is>
      </c>
      <c r="S2" s="22" t="inlineStr">
        <is>
          <t>COLM.O</t>
        </is>
      </c>
      <c r="T2" s="22" t="inlineStr">
        <is>
          <t>BZUN.O</t>
        </is>
      </c>
      <c r="U2" s="22" t="inlineStr">
        <is>
          <t>AS.N</t>
        </is>
      </c>
      <c r="V2" s="22" t="inlineStr">
        <is>
          <t>ANF.N</t>
        </is>
      </c>
      <c r="W2" s="22" t="inlineStr">
        <is>
          <t>9983.T</t>
        </is>
      </c>
      <c r="X2" s="22" t="inlineStr">
        <is>
          <t>8111.T</t>
        </is>
      </c>
      <c r="Y2" s="22" t="inlineStr">
        <is>
          <t>7936.T</t>
        </is>
      </c>
      <c r="Z2" s="22" t="inlineStr">
        <is>
          <t>3998.HK</t>
        </is>
      </c>
      <c r="AA2" s="22" t="inlineStr">
        <is>
          <t>2331.HK</t>
        </is>
      </c>
      <c r="AB2" s="22" t="inlineStr">
        <is>
          <t>2020.HK</t>
        </is>
      </c>
      <c r="AC2" s="22" t="inlineStr">
        <is>
          <t>1836.HK</t>
        </is>
      </c>
      <c r="AD2" s="22" t="inlineStr">
        <is>
          <t>1368.HK</t>
        </is>
      </c>
      <c r="AE2" s="22" t="inlineStr">
        <is>
          <t>1361.HK</t>
        </is>
      </c>
      <c r="AF2" s="22" t="inlineStr">
        <is>
          <t>002832.SZ</t>
        </is>
      </c>
      <c r="AG2" s="23" t="inlineStr">
        <is>
          <t>|</t>
        </is>
      </c>
      <c r="AH2" s="22" t="inlineStr">
        <is>
          <t>VFC</t>
        </is>
      </c>
      <c r="AI2" s="22" t="inlineStr">
        <is>
          <t>CFR</t>
        </is>
      </c>
      <c r="AJ2" s="22" t="inlineStr">
        <is>
          <t>1913.HK</t>
        </is>
      </c>
      <c r="AK2" s="22" t="inlineStr">
        <is>
          <t>MONC</t>
        </is>
      </c>
      <c r="AL2" s="22" t="inlineStr">
        <is>
          <t>KER</t>
        </is>
      </c>
      <c r="AM2" s="22" t="inlineStr">
        <is>
          <t>SFER</t>
        </is>
      </c>
      <c r="AN2" s="22" t="inlineStr">
        <is>
          <t>RACE</t>
        </is>
      </c>
      <c r="AO2" s="22" t="inlineStr">
        <is>
          <t>RMS</t>
        </is>
      </c>
      <c r="AP2" s="22" t="inlineStr">
        <is>
          <t>MC</t>
        </is>
      </c>
      <c r="AQ2" s="22" t="inlineStr">
        <is>
          <t>BRBY</t>
        </is>
      </c>
      <c r="AR2" s="22" t="inlineStr">
        <is>
          <t>CPRI</t>
        </is>
      </c>
      <c r="AS2" s="22" t="inlineStr">
        <is>
          <t>PVH</t>
        </is>
      </c>
      <c r="AT2" s="22" t="inlineStr">
        <is>
          <t>TPR</t>
        </is>
      </c>
      <c r="AU2" s="22" t="inlineStr">
        <is>
          <t>GOOS</t>
        </is>
      </c>
      <c r="AV2" s="22" t="inlineStr">
        <is>
          <t>ZGN</t>
        </is>
      </c>
    </row>
    <row r="3">
      <c r="A3" s="46" t="n">
        <v>46295</v>
      </c>
      <c r="W3" s="25" t="n">
        <v>69580</v>
      </c>
      <c r="X3" s="25" t="n">
        <v>2091</v>
      </c>
      <c r="Y3" s="25" t="n">
        <v>4178</v>
      </c>
      <c r="Z3" s="25" t="n">
        <v>3.925</v>
      </c>
      <c r="AA3" s="25" t="n">
        <v>12.38</v>
      </c>
      <c r="AB3" s="25" t="n">
        <v>73.3</v>
      </c>
      <c r="AC3" s="25" t="n">
        <v>12.01</v>
      </c>
      <c r="AD3" s="25" t="n">
        <v>3.495</v>
      </c>
      <c r="AE3" s="25" t="n">
        <v>4.515</v>
      </c>
      <c r="AF3" s="25" t="n">
        <v>25.58</v>
      </c>
      <c r="AJ3" s="25" t="n">
        <v>37.56</v>
      </c>
    </row>
    <row r="4">
      <c r="A4" s="46" t="n">
        <v>46294</v>
      </c>
      <c r="B4" s="25" t="n">
        <v>35.84</v>
      </c>
      <c r="C4" s="25" t="n">
        <v>145.75</v>
      </c>
      <c r="D4" s="25" t="n">
        <v>12.62</v>
      </c>
      <c r="E4" s="25" t="n">
        <v>19.24</v>
      </c>
      <c r="F4" s="25" t="n">
        <v>4.27</v>
      </c>
      <c r="G4" s="25" t="n">
        <v>45.14</v>
      </c>
      <c r="H4" s="25" t="n">
        <v>355.92</v>
      </c>
      <c r="I4" s="25" t="n">
        <v>22.53</v>
      </c>
      <c r="J4" s="25" t="n">
        <v>29.55</v>
      </c>
      <c r="K4" s="25" t="n">
        <v>5.32</v>
      </c>
      <c r="L4" s="25" t="n">
        <v>96.87</v>
      </c>
      <c r="M4" s="25" t="n">
        <v>19.75</v>
      </c>
      <c r="N4" s="25" t="n">
        <v>64.29000000000001</v>
      </c>
      <c r="O4" s="25" t="n">
        <v>42.79</v>
      </c>
      <c r="P4" s="25" t="n">
        <v>23.54</v>
      </c>
      <c r="Q4" s="25" t="n">
        <v>77.68000000000001</v>
      </c>
      <c r="R4" s="25" t="n">
        <v>122.63</v>
      </c>
      <c r="S4" s="25" t="n">
        <v>58.34</v>
      </c>
      <c r="T4" s="25" t="n">
        <v>3.05</v>
      </c>
      <c r="U4" s="25" t="n">
        <v>27.24</v>
      </c>
      <c r="V4" s="25" t="n">
        <v>133.59</v>
      </c>
      <c r="W4" s="25" t="n">
        <v>68710</v>
      </c>
      <c r="X4" s="25" t="n">
        <v>2099</v>
      </c>
      <c r="Y4" s="25" t="n">
        <v>4101</v>
      </c>
      <c r="Z4" s="25" t="n">
        <v>4.01</v>
      </c>
      <c r="AA4" s="25" t="n">
        <v>12.53</v>
      </c>
      <c r="AB4" s="25" t="n">
        <v>73.5</v>
      </c>
      <c r="AC4" s="25" t="n">
        <v>12.1</v>
      </c>
      <c r="AD4" s="25" t="n">
        <v>3.48</v>
      </c>
      <c r="AE4" s="25" t="n">
        <v>4.53</v>
      </c>
      <c r="AF4" s="25" t="n">
        <v>25.28</v>
      </c>
      <c r="AH4" s="25" t="n">
        <v>14.5</v>
      </c>
      <c r="AI4" s="25" t="n">
        <v>176.55</v>
      </c>
      <c r="AJ4" s="25" t="n">
        <v>38.04</v>
      </c>
      <c r="AK4" s="25" t="n">
        <v>44.5</v>
      </c>
      <c r="AL4" s="25" t="n">
        <v>223.55</v>
      </c>
      <c r="AM4" s="25" t="n">
        <v>7.48</v>
      </c>
      <c r="AN4" s="25" t="n">
        <v>402.05</v>
      </c>
      <c r="AO4" s="25" t="n">
        <v>1352.5</v>
      </c>
      <c r="AP4" s="25" t="n">
        <v>394.6</v>
      </c>
      <c r="AQ4" s="25" t="n">
        <v>1028.5</v>
      </c>
      <c r="AR4" s="25" t="n">
        <v>14.66</v>
      </c>
      <c r="AS4" s="25" t="n">
        <v>75.73999999999999</v>
      </c>
      <c r="AT4" s="25" t="n">
        <v>114.12</v>
      </c>
      <c r="AU4" s="25" t="n">
        <v>10.92</v>
      </c>
      <c r="AV4" s="25" t="n">
        <v>12.62</v>
      </c>
    </row>
    <row r="5">
      <c r="A5" s="46" t="n">
        <v>46293</v>
      </c>
      <c r="B5" s="25" t="n">
        <v>36.39</v>
      </c>
      <c r="C5" s="25" t="n">
        <v>147.85</v>
      </c>
      <c r="D5" s="25" t="n">
        <v>12.64</v>
      </c>
      <c r="E5" s="25" t="n">
        <v>19.13</v>
      </c>
      <c r="F5" s="25" t="n">
        <v>4.28</v>
      </c>
      <c r="G5" s="25" t="n">
        <v>44.9</v>
      </c>
      <c r="H5" s="25" t="n">
        <v>357.16</v>
      </c>
      <c r="I5" s="25" t="n">
        <v>22.87</v>
      </c>
      <c r="J5" s="25" t="n">
        <v>30</v>
      </c>
      <c r="K5" s="25" t="n">
        <v>5.44</v>
      </c>
      <c r="L5" s="25" t="n">
        <v>100.58</v>
      </c>
      <c r="M5" s="25" t="n">
        <v>19.81</v>
      </c>
      <c r="N5" s="25" t="n">
        <v>64.93000000000001</v>
      </c>
      <c r="O5" s="25" t="n">
        <v>42.62</v>
      </c>
      <c r="P5" s="25" t="n">
        <v>22.95</v>
      </c>
      <c r="Q5" s="25" t="n">
        <v>78.36</v>
      </c>
      <c r="R5" s="25" t="n">
        <v>122.36</v>
      </c>
      <c r="S5" s="25" t="n">
        <v>58.69</v>
      </c>
      <c r="T5" s="25" t="n">
        <v>3.09</v>
      </c>
      <c r="U5" s="25" t="n">
        <v>27.62</v>
      </c>
      <c r="V5" s="25" t="n">
        <v>134.18</v>
      </c>
      <c r="W5" s="25" t="n">
        <v>67850</v>
      </c>
      <c r="X5" s="25" t="n">
        <v>2173</v>
      </c>
      <c r="Y5" s="25" t="n">
        <v>4168</v>
      </c>
      <c r="Z5" s="25" t="n">
        <v>4.05</v>
      </c>
      <c r="AA5" s="25" t="n">
        <v>12.45</v>
      </c>
      <c r="AB5" s="25" t="n">
        <v>72</v>
      </c>
      <c r="AC5" s="25" t="n">
        <v>12.03</v>
      </c>
      <c r="AD5" s="25" t="n">
        <v>3.48</v>
      </c>
      <c r="AE5" s="25" t="n">
        <v>4.49</v>
      </c>
      <c r="AF5" s="25" t="n">
        <v>24.97</v>
      </c>
      <c r="AH5" s="25" t="n">
        <v>14.42</v>
      </c>
      <c r="AI5" s="25" t="n">
        <v>172.25</v>
      </c>
      <c r="AJ5" s="25" t="n">
        <v>38.9</v>
      </c>
      <c r="AK5" s="25" t="n">
        <v>44.7</v>
      </c>
      <c r="AL5" s="25" t="n">
        <v>228.2</v>
      </c>
      <c r="AM5" s="25" t="n">
        <v>7.59</v>
      </c>
      <c r="AN5" s="25" t="n">
        <v>398</v>
      </c>
      <c r="AO5" s="25" t="n">
        <v>1381.5</v>
      </c>
      <c r="AP5" s="25" t="n">
        <v>398.8</v>
      </c>
      <c r="AQ5" s="25" t="n">
        <v>1023.5</v>
      </c>
      <c r="AR5" s="25" t="n">
        <v>14.79</v>
      </c>
      <c r="AS5" s="25" t="n">
        <v>75.73</v>
      </c>
      <c r="AT5" s="25" t="n">
        <v>113.45</v>
      </c>
      <c r="AU5" s="25" t="n">
        <v>10.87</v>
      </c>
      <c r="AV5" s="25" t="n">
        <v>12.64</v>
      </c>
    </row>
    <row r="6">
      <c r="A6" s="46" t="n">
        <v>46290</v>
      </c>
      <c r="B6" s="25" t="n">
        <v>35.75</v>
      </c>
      <c r="C6" s="25" t="n">
        <v>146.5</v>
      </c>
      <c r="D6" s="25" t="n">
        <v>12.73</v>
      </c>
      <c r="E6" s="25" t="n">
        <v>19.07</v>
      </c>
      <c r="F6" s="25" t="n">
        <v>4.43</v>
      </c>
      <c r="G6" s="25" t="n">
        <v>45.06</v>
      </c>
      <c r="H6" s="25" t="n">
        <v>357.1</v>
      </c>
      <c r="I6" s="25" t="n">
        <v>22.36</v>
      </c>
      <c r="J6" s="25" t="n">
        <v>29.96</v>
      </c>
      <c r="K6" s="25" t="n">
        <v>5.43</v>
      </c>
      <c r="L6" s="25" t="n">
        <v>101.3</v>
      </c>
      <c r="M6" s="25" t="n">
        <v>19.73</v>
      </c>
      <c r="N6" s="25" t="n">
        <v>65.37</v>
      </c>
      <c r="O6" s="25" t="n">
        <v>40.98</v>
      </c>
      <c r="P6" s="25" t="n">
        <v>21.82</v>
      </c>
      <c r="Q6" s="25" t="n">
        <v>78.67</v>
      </c>
      <c r="R6" s="25" t="n">
        <v>126.14</v>
      </c>
      <c r="S6" s="25" t="n">
        <v>57.6</v>
      </c>
      <c r="T6" s="25" t="n">
        <v>2.94</v>
      </c>
      <c r="U6" s="25" t="n">
        <v>27.77</v>
      </c>
      <c r="V6" s="25" t="n">
        <v>135.71</v>
      </c>
      <c r="W6" s="25" t="n">
        <v>68620</v>
      </c>
      <c r="X6" s="25" t="n">
        <v>2182</v>
      </c>
      <c r="Y6" s="25" t="n">
        <v>4144</v>
      </c>
      <c r="Z6" s="25" t="n">
        <v>3.97</v>
      </c>
      <c r="AA6" s="25" t="n">
        <v>12.24</v>
      </c>
      <c r="AB6" s="25" t="n">
        <v>71.2</v>
      </c>
      <c r="AC6" s="25" t="n">
        <v>11.85</v>
      </c>
      <c r="AD6" s="25" t="n">
        <v>3.41</v>
      </c>
      <c r="AE6" s="25" t="n">
        <v>4.42</v>
      </c>
      <c r="AH6" s="25" t="n">
        <v>14.15</v>
      </c>
      <c r="AI6" s="25" t="n">
        <v>171.4</v>
      </c>
      <c r="AJ6" s="25" t="n">
        <v>38.68</v>
      </c>
      <c r="AK6" s="25" t="n">
        <v>43.56</v>
      </c>
      <c r="AL6" s="25" t="n">
        <v>223.35</v>
      </c>
      <c r="AM6" s="25" t="n">
        <v>7.41</v>
      </c>
      <c r="AN6" s="25" t="n">
        <v>411.33</v>
      </c>
      <c r="AO6" s="25" t="n">
        <v>1347.5</v>
      </c>
      <c r="AP6" s="25" t="n">
        <v>396.85</v>
      </c>
      <c r="AQ6" s="25" t="n">
        <v>1017</v>
      </c>
      <c r="AR6" s="25" t="n">
        <v>15.1</v>
      </c>
      <c r="AS6" s="25" t="n">
        <v>75.98999999999999</v>
      </c>
      <c r="AT6" s="25" t="n">
        <v>113.88</v>
      </c>
      <c r="AU6" s="25" t="n">
        <v>10.75</v>
      </c>
      <c r="AV6" s="25" t="n">
        <v>12.73</v>
      </c>
    </row>
    <row r="7">
      <c r="A7" s="46" t="n">
        <v>46289</v>
      </c>
      <c r="B7" s="25" t="n">
        <v>35.99</v>
      </c>
      <c r="C7" s="25" t="n">
        <v>142.25</v>
      </c>
      <c r="D7" s="25" t="n">
        <v>12.47</v>
      </c>
      <c r="E7" s="25" t="n">
        <v>19.3</v>
      </c>
      <c r="F7" s="25" t="n">
        <v>4.5</v>
      </c>
      <c r="G7" s="25" t="n">
        <v>44.23</v>
      </c>
      <c r="H7" s="25" t="n">
        <v>351.86</v>
      </c>
      <c r="I7" s="25" t="n">
        <v>22.14</v>
      </c>
      <c r="J7" s="25" t="n">
        <v>30.46</v>
      </c>
      <c r="K7" s="25" t="n">
        <v>5.59</v>
      </c>
      <c r="L7" s="25" t="n">
        <v>101.64</v>
      </c>
      <c r="M7" s="25" t="n">
        <v>19.72</v>
      </c>
      <c r="N7" s="25" t="n">
        <v>64.41</v>
      </c>
      <c r="O7" s="25" t="n">
        <v>40.63</v>
      </c>
      <c r="P7" s="25" t="n">
        <v>21.69</v>
      </c>
      <c r="Q7" s="25" t="n">
        <v>78.68000000000001</v>
      </c>
      <c r="R7" s="25" t="n">
        <v>123.44</v>
      </c>
      <c r="S7" s="25" t="n">
        <v>56.97</v>
      </c>
      <c r="T7" s="25" t="n">
        <v>2.94</v>
      </c>
      <c r="U7" s="25" t="n">
        <v>26.77</v>
      </c>
      <c r="V7" s="25" t="n">
        <v>134.3</v>
      </c>
      <c r="W7" s="25" t="n">
        <v>67920</v>
      </c>
      <c r="X7" s="25" t="n">
        <v>2164</v>
      </c>
      <c r="Y7" s="25" t="n">
        <v>4110</v>
      </c>
      <c r="Z7" s="25" t="n">
        <v>4.01</v>
      </c>
      <c r="AA7" s="25" t="n">
        <v>12.3</v>
      </c>
      <c r="AB7" s="25" t="n">
        <v>71.95</v>
      </c>
      <c r="AC7" s="25" t="n">
        <v>11.77</v>
      </c>
      <c r="AD7" s="25" t="n">
        <v>3.46</v>
      </c>
      <c r="AE7" s="25" t="n">
        <v>4.45</v>
      </c>
      <c r="AF7" s="25" t="n">
        <v>25.15</v>
      </c>
      <c r="AH7" s="25" t="n">
        <v>13.69</v>
      </c>
      <c r="AI7" s="25" t="n">
        <v>170.6</v>
      </c>
      <c r="AJ7" s="25" t="n">
        <v>38.22</v>
      </c>
      <c r="AK7" s="25" t="n">
        <v>43.61</v>
      </c>
      <c r="AL7" s="25" t="n">
        <v>225.75</v>
      </c>
      <c r="AM7" s="25" t="n">
        <v>7.62</v>
      </c>
      <c r="AN7" s="25" t="n">
        <v>411.82</v>
      </c>
      <c r="AO7" s="25" t="n">
        <v>1354.5</v>
      </c>
      <c r="AP7" s="25" t="n">
        <v>397.1</v>
      </c>
      <c r="AQ7" s="25" t="n">
        <v>1024.5</v>
      </c>
      <c r="AR7" s="25" t="n">
        <v>15.19</v>
      </c>
      <c r="AS7" s="25" t="n">
        <v>75.79000000000001</v>
      </c>
      <c r="AT7" s="25" t="n">
        <v>112.12</v>
      </c>
      <c r="AU7" s="25" t="n">
        <v>10.72</v>
      </c>
      <c r="AV7" s="25" t="n">
        <v>12.47</v>
      </c>
    </row>
    <row r="8">
      <c r="A8" s="46" t="n">
        <v>46288</v>
      </c>
      <c r="B8" s="25" t="n">
        <v>36.05</v>
      </c>
      <c r="C8" s="25" t="n">
        <v>144.45</v>
      </c>
      <c r="D8" s="25" t="n">
        <v>12.44</v>
      </c>
      <c r="E8" s="25" t="n">
        <v>19.11</v>
      </c>
      <c r="F8" s="25" t="n">
        <v>4.53</v>
      </c>
      <c r="G8" s="25" t="n">
        <v>43.4</v>
      </c>
      <c r="H8" s="25" t="n">
        <v>337.47</v>
      </c>
      <c r="I8" s="25" t="n">
        <v>22.3</v>
      </c>
      <c r="J8" s="25" t="n">
        <v>30.16</v>
      </c>
      <c r="K8" s="25" t="n">
        <v>5.68</v>
      </c>
      <c r="L8" s="25" t="n">
        <v>102.28</v>
      </c>
      <c r="M8" s="25" t="n">
        <v>19.63</v>
      </c>
      <c r="N8" s="25" t="n">
        <v>65.69</v>
      </c>
      <c r="O8" s="25" t="n">
        <v>46.19</v>
      </c>
      <c r="P8" s="25" t="n">
        <v>21.28</v>
      </c>
      <c r="Q8" s="25" t="n">
        <v>78.59</v>
      </c>
      <c r="R8" s="25" t="n">
        <v>124.62</v>
      </c>
      <c r="S8" s="25" t="n">
        <v>56.78</v>
      </c>
      <c r="T8" s="25" t="n">
        <v>3</v>
      </c>
      <c r="U8" s="25" t="n">
        <v>26.9</v>
      </c>
      <c r="V8" s="25" t="n">
        <v>132.25</v>
      </c>
      <c r="Z8" s="25" t="n">
        <v>4.01</v>
      </c>
      <c r="AA8" s="25" t="n">
        <v>12.38</v>
      </c>
      <c r="AB8" s="25" t="n">
        <v>71.8</v>
      </c>
      <c r="AC8" s="25" t="n">
        <v>11.7</v>
      </c>
      <c r="AD8" s="25" t="n">
        <v>3.48</v>
      </c>
      <c r="AE8" s="25" t="n">
        <v>4.5</v>
      </c>
      <c r="AF8" s="25" t="n">
        <v>25.45</v>
      </c>
      <c r="AH8" s="25" t="n">
        <v>13.52</v>
      </c>
      <c r="AI8" s="25" t="n">
        <v>170.4</v>
      </c>
      <c r="AJ8" s="25" t="n">
        <v>38.14</v>
      </c>
      <c r="AK8" s="25" t="n">
        <v>44.32</v>
      </c>
      <c r="AL8" s="25" t="n">
        <v>227.3</v>
      </c>
      <c r="AM8" s="25" t="n">
        <v>7.7</v>
      </c>
      <c r="AN8" s="25" t="n">
        <v>413.05</v>
      </c>
      <c r="AO8" s="25" t="n">
        <v>1349.5</v>
      </c>
      <c r="AP8" s="25" t="n">
        <v>396.9</v>
      </c>
      <c r="AQ8" s="25" t="n">
        <v>1035.5</v>
      </c>
      <c r="AR8" s="25" t="n">
        <v>15.43</v>
      </c>
      <c r="AS8" s="25" t="n">
        <v>75.39</v>
      </c>
      <c r="AT8" s="25" t="n">
        <v>110.51</v>
      </c>
      <c r="AU8" s="25" t="n">
        <v>10.61</v>
      </c>
      <c r="AV8" s="25" t="n">
        <v>12.44</v>
      </c>
    </row>
    <row r="9">
      <c r="A9" s="46" t="n">
        <v>46287</v>
      </c>
      <c r="B9" s="25" t="n">
        <v>36.1</v>
      </c>
      <c r="C9" s="25" t="n">
        <v>146.85</v>
      </c>
      <c r="D9" s="25" t="n">
        <v>12.51</v>
      </c>
      <c r="E9" s="25" t="n">
        <v>19.87</v>
      </c>
      <c r="F9" s="25" t="n">
        <v>4.74</v>
      </c>
      <c r="G9" s="25" t="n">
        <v>44.45</v>
      </c>
      <c r="H9" s="25" t="n">
        <v>346.06</v>
      </c>
      <c r="I9" s="25" t="n">
        <v>22.75</v>
      </c>
      <c r="J9" s="25" t="n">
        <v>29.39</v>
      </c>
      <c r="K9" s="25" t="n">
        <v>5.77</v>
      </c>
      <c r="L9" s="25" t="n">
        <v>103.73</v>
      </c>
      <c r="M9" s="25" t="n">
        <v>20.06</v>
      </c>
      <c r="N9" s="25" t="n">
        <v>67.81999999999999</v>
      </c>
      <c r="O9" s="25" t="n">
        <v>47.01</v>
      </c>
      <c r="P9" s="25" t="n">
        <v>21.46</v>
      </c>
      <c r="Q9" s="25" t="n">
        <v>79.83</v>
      </c>
      <c r="R9" s="25" t="n">
        <v>124.58</v>
      </c>
      <c r="S9" s="25" t="n">
        <v>58.43</v>
      </c>
      <c r="T9" s="25" t="n">
        <v>2.99</v>
      </c>
      <c r="U9" s="25" t="n">
        <v>27.65</v>
      </c>
      <c r="V9" s="25" t="n">
        <v>136.21</v>
      </c>
      <c r="Z9" s="25" t="n">
        <v>3.94</v>
      </c>
      <c r="AA9" s="25" t="n">
        <v>12.36</v>
      </c>
      <c r="AB9" s="25" t="n">
        <v>71.90000000000001</v>
      </c>
      <c r="AC9" s="25" t="n">
        <v>11.62</v>
      </c>
      <c r="AD9" s="25" t="n">
        <v>3.52</v>
      </c>
      <c r="AE9" s="25" t="n">
        <v>4.46</v>
      </c>
      <c r="AF9" s="25" t="n">
        <v>25.65</v>
      </c>
      <c r="AH9" s="25" t="n">
        <v>13.55</v>
      </c>
      <c r="AI9" s="25" t="n">
        <v>169.75</v>
      </c>
      <c r="AJ9" s="25" t="n">
        <v>37.38</v>
      </c>
      <c r="AK9" s="25" t="n">
        <v>43.81</v>
      </c>
      <c r="AL9" s="25" t="n">
        <v>232</v>
      </c>
      <c r="AM9" s="25" t="n">
        <v>7.62</v>
      </c>
      <c r="AN9" s="25" t="n">
        <v>413.32</v>
      </c>
      <c r="AO9" s="25" t="n">
        <v>1355</v>
      </c>
      <c r="AP9" s="25" t="n">
        <v>401.95</v>
      </c>
      <c r="AQ9" s="25" t="n">
        <v>1024</v>
      </c>
      <c r="AR9" s="25" t="n">
        <v>15.19</v>
      </c>
      <c r="AS9" s="25" t="n">
        <v>75.89</v>
      </c>
      <c r="AT9" s="25" t="n">
        <v>112.59</v>
      </c>
      <c r="AU9" s="25" t="n">
        <v>10.71</v>
      </c>
      <c r="AV9" s="25" t="n">
        <v>12.51</v>
      </c>
    </row>
    <row r="10">
      <c r="A10" s="46" t="n">
        <v>46286</v>
      </c>
      <c r="B10" s="25" t="n">
        <v>36.1</v>
      </c>
      <c r="C10" s="25" t="n">
        <v>143.15</v>
      </c>
      <c r="D10" s="25" t="n">
        <v>12.42</v>
      </c>
      <c r="E10" s="25" t="n">
        <v>19.48</v>
      </c>
      <c r="F10" s="25" t="n">
        <v>4.77</v>
      </c>
      <c r="G10" s="25" t="n">
        <v>42.83</v>
      </c>
      <c r="H10" s="25" t="n">
        <v>339.82</v>
      </c>
      <c r="I10" s="25" t="n">
        <v>22.31</v>
      </c>
      <c r="J10" s="25" t="n">
        <v>27.32</v>
      </c>
      <c r="K10" s="25" t="n">
        <v>5.6</v>
      </c>
      <c r="L10" s="25" t="n">
        <v>101.3</v>
      </c>
      <c r="M10" s="25" t="n">
        <v>19.82</v>
      </c>
      <c r="N10" s="25" t="n">
        <v>66.41</v>
      </c>
      <c r="O10" s="25" t="n">
        <v>46.16</v>
      </c>
      <c r="P10" s="25" t="n">
        <v>21.25</v>
      </c>
      <c r="Q10" s="25" t="n">
        <v>80.23</v>
      </c>
      <c r="R10" s="25" t="n">
        <v>123.69</v>
      </c>
      <c r="S10" s="25" t="n">
        <v>56.73</v>
      </c>
      <c r="T10" s="25" t="n">
        <v>2.94</v>
      </c>
      <c r="U10" s="25" t="n">
        <v>27.45</v>
      </c>
      <c r="V10" s="25" t="n">
        <v>136.76</v>
      </c>
      <c r="Z10" s="25" t="n">
        <v>4.06</v>
      </c>
      <c r="AA10" s="25" t="n">
        <v>12.81</v>
      </c>
      <c r="AB10" s="25" t="n">
        <v>72</v>
      </c>
      <c r="AC10" s="25" t="n">
        <v>11.6</v>
      </c>
      <c r="AD10" s="25" t="n">
        <v>3.6</v>
      </c>
      <c r="AE10" s="25" t="n">
        <v>4.45</v>
      </c>
      <c r="AF10" s="25" t="n">
        <v>25.82</v>
      </c>
      <c r="AH10" s="25" t="n">
        <v>13.05</v>
      </c>
      <c r="AI10" s="25" t="n">
        <v>169.15</v>
      </c>
      <c r="AJ10" s="25" t="n">
        <v>37.34</v>
      </c>
      <c r="AK10" s="25" t="n">
        <v>43.48</v>
      </c>
      <c r="AL10" s="25" t="n">
        <v>228.65</v>
      </c>
      <c r="AM10" s="25" t="n">
        <v>7.46</v>
      </c>
      <c r="AN10" s="25" t="n">
        <v>416.13</v>
      </c>
      <c r="AO10" s="25" t="n">
        <v>1344</v>
      </c>
      <c r="AP10" s="25" t="n">
        <v>405.5</v>
      </c>
      <c r="AQ10" s="25" t="n">
        <v>1025.5</v>
      </c>
      <c r="AR10" s="25" t="n">
        <v>14.31</v>
      </c>
      <c r="AS10" s="25" t="n">
        <v>73.40000000000001</v>
      </c>
      <c r="AT10" s="25" t="n">
        <v>113.07</v>
      </c>
      <c r="AU10" s="25" t="n">
        <v>10.53</v>
      </c>
      <c r="AV10" s="25" t="n">
        <v>12.42</v>
      </c>
    </row>
    <row r="11">
      <c r="A11" s="46" t="n">
        <v>46283</v>
      </c>
      <c r="B11" s="25" t="n">
        <v>35.51</v>
      </c>
      <c r="C11" s="25" t="n">
        <v>142.25</v>
      </c>
      <c r="D11" s="25" t="n">
        <v>12.29</v>
      </c>
      <c r="E11" s="25" t="n">
        <v>18.93</v>
      </c>
      <c r="F11" s="25" t="n">
        <v>4.88</v>
      </c>
      <c r="G11" s="25" t="n">
        <v>42.11</v>
      </c>
      <c r="H11" s="25" t="n">
        <v>335.1</v>
      </c>
      <c r="I11" s="25" t="n">
        <v>21.99</v>
      </c>
      <c r="J11" s="25" t="n">
        <v>27.26</v>
      </c>
      <c r="K11" s="25" t="n">
        <v>5.48</v>
      </c>
      <c r="L11" s="25" t="n">
        <v>98.06</v>
      </c>
      <c r="M11" s="25" t="n">
        <v>19.82</v>
      </c>
      <c r="N11" s="25" t="n">
        <v>66.36</v>
      </c>
      <c r="O11" s="25" t="n">
        <v>46.87</v>
      </c>
      <c r="P11" s="25" t="n">
        <v>20.54</v>
      </c>
      <c r="Q11" s="25" t="n">
        <v>78.43000000000001</v>
      </c>
      <c r="R11" s="25" t="n">
        <v>122.24</v>
      </c>
      <c r="S11" s="25" t="n">
        <v>56.84</v>
      </c>
      <c r="T11" s="25" t="n">
        <v>2.85</v>
      </c>
      <c r="U11" s="25" t="n">
        <v>26.73</v>
      </c>
      <c r="V11" s="25" t="n">
        <v>135.76</v>
      </c>
      <c r="W11" s="25" t="n">
        <v>67680</v>
      </c>
      <c r="X11" s="25" t="n">
        <v>2126.5</v>
      </c>
      <c r="Y11" s="25" t="n">
        <v>4066</v>
      </c>
      <c r="Z11" s="25" t="n">
        <v>4.1</v>
      </c>
      <c r="AA11" s="25" t="n">
        <v>12.57</v>
      </c>
      <c r="AB11" s="25" t="n">
        <v>71.7</v>
      </c>
      <c r="AC11" s="25" t="n">
        <v>11.49</v>
      </c>
      <c r="AD11" s="25" t="n">
        <v>3.5</v>
      </c>
      <c r="AE11" s="25" t="n">
        <v>4.33</v>
      </c>
      <c r="AF11" s="25" t="n">
        <v>25.63</v>
      </c>
      <c r="AH11" s="25" t="n">
        <v>12.79</v>
      </c>
      <c r="AI11" s="25" t="n">
        <v>168.85</v>
      </c>
      <c r="AJ11" s="25" t="n">
        <v>39.14</v>
      </c>
      <c r="AK11" s="25" t="n">
        <v>43.25</v>
      </c>
      <c r="AL11" s="25" t="n">
        <v>233</v>
      </c>
      <c r="AM11" s="25" t="n">
        <v>7.61</v>
      </c>
      <c r="AN11" s="25" t="n">
        <v>406.69</v>
      </c>
      <c r="AO11" s="25" t="n">
        <v>1331.5</v>
      </c>
      <c r="AP11" s="25" t="n">
        <v>402.8</v>
      </c>
      <c r="AQ11" s="25" t="n">
        <v>996</v>
      </c>
      <c r="AR11" s="25" t="n">
        <v>14.75</v>
      </c>
      <c r="AS11" s="25" t="n">
        <v>73.34999999999999</v>
      </c>
      <c r="AT11" s="25" t="n">
        <v>115</v>
      </c>
      <c r="AU11" s="25" t="n">
        <v>10.43</v>
      </c>
      <c r="AV11" s="25" t="n">
        <v>12.29</v>
      </c>
    </row>
    <row r="12">
      <c r="A12" s="46" t="n">
        <v>46282</v>
      </c>
      <c r="B12" s="25" t="n">
        <v>36.36</v>
      </c>
      <c r="C12" s="25" t="n">
        <v>142.4</v>
      </c>
      <c r="D12" s="25" t="n">
        <v>12.36</v>
      </c>
      <c r="E12" s="25" t="n">
        <v>19.34</v>
      </c>
      <c r="F12" s="25" t="n">
        <v>4.97</v>
      </c>
      <c r="G12" s="25" t="n">
        <v>41.8</v>
      </c>
      <c r="H12" s="25" t="n">
        <v>333.08</v>
      </c>
      <c r="I12" s="25" t="n">
        <v>22</v>
      </c>
      <c r="J12" s="25" t="n">
        <v>27.33</v>
      </c>
      <c r="K12" s="25" t="n">
        <v>5.61</v>
      </c>
      <c r="L12" s="25" t="n">
        <v>99.39</v>
      </c>
      <c r="M12" s="25" t="n">
        <v>19.85</v>
      </c>
      <c r="N12" s="25" t="n">
        <v>65.53</v>
      </c>
      <c r="O12" s="25" t="n">
        <v>46.27</v>
      </c>
      <c r="P12" s="25" t="n">
        <v>20.87</v>
      </c>
      <c r="Q12" s="25" t="n">
        <v>79.70999999999999</v>
      </c>
      <c r="R12" s="25" t="n">
        <v>123</v>
      </c>
      <c r="S12" s="25" t="n">
        <v>57.05</v>
      </c>
      <c r="T12" s="25" t="n">
        <v>2.78</v>
      </c>
      <c r="U12" s="25" t="n">
        <v>26.27</v>
      </c>
      <c r="V12" s="25" t="n">
        <v>138.6</v>
      </c>
      <c r="W12" s="25" t="n">
        <v>67700</v>
      </c>
      <c r="X12" s="25" t="n">
        <v>2169.5</v>
      </c>
      <c r="Y12" s="25" t="n">
        <v>4097</v>
      </c>
      <c r="Z12" s="25" t="n">
        <v>4.08</v>
      </c>
      <c r="AA12" s="25" t="n">
        <v>12.58</v>
      </c>
      <c r="AB12" s="25" t="n">
        <v>72</v>
      </c>
      <c r="AC12" s="25" t="n">
        <v>11.3</v>
      </c>
      <c r="AD12" s="25" t="n">
        <v>3.5</v>
      </c>
      <c r="AE12" s="25" t="n">
        <v>4.39</v>
      </c>
      <c r="AF12" s="25" t="n">
        <v>25.36</v>
      </c>
      <c r="AH12" s="25" t="n">
        <v>12.93</v>
      </c>
      <c r="AI12" s="25" t="n">
        <v>171.55</v>
      </c>
      <c r="AJ12" s="25" t="n">
        <v>39.02</v>
      </c>
      <c r="AK12" s="25" t="n">
        <v>43.99</v>
      </c>
      <c r="AL12" s="25" t="n">
        <v>239.6</v>
      </c>
      <c r="AM12" s="25" t="n">
        <v>8</v>
      </c>
      <c r="AN12" s="25" t="n">
        <v>414</v>
      </c>
      <c r="AO12" s="25" t="n">
        <v>1375</v>
      </c>
      <c r="AP12" s="25" t="n">
        <v>412.3</v>
      </c>
      <c r="AQ12" s="25" t="n">
        <v>1013.5</v>
      </c>
      <c r="AR12" s="25" t="n">
        <v>14.95</v>
      </c>
      <c r="AS12" s="25" t="n">
        <v>73.54000000000001</v>
      </c>
      <c r="AT12" s="25" t="n">
        <v>116.04</v>
      </c>
      <c r="AU12" s="25" t="n">
        <v>10.44</v>
      </c>
      <c r="AV12" s="25" t="n">
        <v>12.36</v>
      </c>
    </row>
    <row r="13">
      <c r="A13" s="46" t="n">
        <v>46281</v>
      </c>
      <c r="B13" s="25" t="n">
        <v>35.78</v>
      </c>
      <c r="C13" s="25" t="n">
        <v>144.65</v>
      </c>
      <c r="D13" s="25" t="n">
        <v>11.8</v>
      </c>
      <c r="E13" s="25" t="n">
        <v>19.29</v>
      </c>
      <c r="F13" s="25" t="n">
        <v>5</v>
      </c>
      <c r="G13" s="25" t="n">
        <v>41.51</v>
      </c>
      <c r="H13" s="25" t="n">
        <v>338.36</v>
      </c>
      <c r="I13" s="25" t="n">
        <v>22.36</v>
      </c>
      <c r="J13" s="25" t="n">
        <v>27.15</v>
      </c>
      <c r="K13" s="25" t="n">
        <v>5.69</v>
      </c>
      <c r="L13" s="25" t="n">
        <v>95.98</v>
      </c>
      <c r="M13" s="25" t="n">
        <v>19.65</v>
      </c>
      <c r="N13" s="25" t="n">
        <v>68.37</v>
      </c>
      <c r="O13" s="25" t="n">
        <v>46.32</v>
      </c>
      <c r="P13" s="25" t="n">
        <v>20.17</v>
      </c>
      <c r="Q13" s="25" t="n">
        <v>77.95999999999999</v>
      </c>
      <c r="R13" s="25" t="n">
        <v>115.4</v>
      </c>
      <c r="S13" s="25" t="n">
        <v>57.09</v>
      </c>
      <c r="T13" s="25" t="n">
        <v>2.76</v>
      </c>
      <c r="U13" s="25" t="n">
        <v>27.13</v>
      </c>
      <c r="V13" s="25" t="n">
        <v>139.89</v>
      </c>
      <c r="W13" s="25" t="n">
        <v>67030</v>
      </c>
      <c r="X13" s="25" t="n">
        <v>2129.5</v>
      </c>
      <c r="Y13" s="25" t="n">
        <v>4013</v>
      </c>
      <c r="Z13" s="25" t="n">
        <v>4.22</v>
      </c>
      <c r="AA13" s="25" t="n">
        <v>12.65</v>
      </c>
      <c r="AB13" s="25" t="n">
        <v>72.34999999999999</v>
      </c>
      <c r="AC13" s="25" t="n">
        <v>11.44</v>
      </c>
      <c r="AD13" s="25" t="n">
        <v>3.53</v>
      </c>
      <c r="AE13" s="25" t="n">
        <v>4.43</v>
      </c>
      <c r="AF13" s="25" t="n">
        <v>25</v>
      </c>
      <c r="AH13" s="25" t="n">
        <v>12.73</v>
      </c>
      <c r="AI13" s="25" t="n">
        <v>170.75</v>
      </c>
      <c r="AJ13" s="25" t="n">
        <v>38.72</v>
      </c>
      <c r="AK13" s="25" t="n">
        <v>43.75</v>
      </c>
      <c r="AL13" s="25" t="n">
        <v>238</v>
      </c>
      <c r="AM13" s="25" t="n">
        <v>8.33</v>
      </c>
      <c r="AN13" s="25" t="n">
        <v>412.34</v>
      </c>
      <c r="AO13" s="25" t="n">
        <v>1383</v>
      </c>
      <c r="AP13" s="25" t="n">
        <v>410.95</v>
      </c>
      <c r="AQ13" s="25" t="n">
        <v>1009</v>
      </c>
      <c r="AR13" s="25" t="n">
        <v>14.73</v>
      </c>
      <c r="AS13" s="25" t="n">
        <v>71.7</v>
      </c>
      <c r="AT13" s="25" t="n">
        <v>117.94</v>
      </c>
      <c r="AU13" s="25" t="n">
        <v>10.39</v>
      </c>
      <c r="AV13" s="25" t="n">
        <v>11.8</v>
      </c>
    </row>
    <row r="14">
      <c r="A14" s="46" t="n">
        <v>46280</v>
      </c>
      <c r="B14" s="25" t="n">
        <v>36.22</v>
      </c>
      <c r="C14" s="25" t="n">
        <v>141.9</v>
      </c>
      <c r="D14" s="25" t="n">
        <v>11.6</v>
      </c>
      <c r="E14" s="25" t="n">
        <v>19.12</v>
      </c>
      <c r="F14" s="25" t="n">
        <v>4.96</v>
      </c>
      <c r="G14" s="25" t="n">
        <v>40.46</v>
      </c>
      <c r="H14" s="25" t="n">
        <v>335.23</v>
      </c>
      <c r="I14" s="25" t="n">
        <v>21.81</v>
      </c>
      <c r="J14" s="25" t="n">
        <v>26.76</v>
      </c>
      <c r="K14" s="25" t="n">
        <v>5.64</v>
      </c>
      <c r="L14" s="25" t="n">
        <v>98.37</v>
      </c>
      <c r="M14" s="25" t="n">
        <v>19.82</v>
      </c>
      <c r="N14" s="25" t="n">
        <v>67</v>
      </c>
      <c r="O14" s="25" t="n">
        <v>45.89</v>
      </c>
      <c r="P14" s="25" t="n">
        <v>20.43</v>
      </c>
      <c r="Q14" s="25" t="n">
        <v>77.51000000000001</v>
      </c>
      <c r="R14" s="25" t="n">
        <v>111.48</v>
      </c>
      <c r="S14" s="25" t="n">
        <v>56.49</v>
      </c>
      <c r="T14" s="25" t="n">
        <v>2.73</v>
      </c>
      <c r="U14" s="25" t="n">
        <v>26.62</v>
      </c>
      <c r="V14" s="25" t="n">
        <v>135.17</v>
      </c>
      <c r="W14" s="25" t="n">
        <v>66620</v>
      </c>
      <c r="X14" s="25" t="n">
        <v>2141</v>
      </c>
      <c r="Y14" s="25" t="n">
        <v>4115</v>
      </c>
      <c r="Z14" s="25" t="n">
        <v>4.31</v>
      </c>
      <c r="AA14" s="25" t="n">
        <v>12.8</v>
      </c>
      <c r="AB14" s="25" t="n">
        <v>73.25</v>
      </c>
      <c r="AC14" s="25" t="n">
        <v>11.28</v>
      </c>
      <c r="AD14" s="25" t="n">
        <v>3.5</v>
      </c>
      <c r="AE14" s="25" t="n">
        <v>4.38</v>
      </c>
      <c r="AF14" s="25" t="n">
        <v>25.55</v>
      </c>
      <c r="AH14" s="25" t="n">
        <v>12.71</v>
      </c>
      <c r="AI14" s="25" t="n">
        <v>169.85</v>
      </c>
      <c r="AJ14" s="25" t="n">
        <v>39.14</v>
      </c>
      <c r="AK14" s="25" t="n">
        <v>43.46</v>
      </c>
      <c r="AL14" s="25" t="n">
        <v>234.35</v>
      </c>
      <c r="AM14" s="25" t="n">
        <v>8.050000000000001</v>
      </c>
      <c r="AN14" s="25" t="n">
        <v>406.92</v>
      </c>
      <c r="AO14" s="25" t="n">
        <v>1375</v>
      </c>
      <c r="AP14" s="25" t="n">
        <v>406.45</v>
      </c>
      <c r="AQ14" s="25" t="n">
        <v>977.6</v>
      </c>
      <c r="AR14" s="25" t="n">
        <v>14.05</v>
      </c>
      <c r="AS14" s="25" t="n">
        <v>71.61</v>
      </c>
      <c r="AT14" s="25" t="n">
        <v>117.11</v>
      </c>
      <c r="AU14" s="25" t="n">
        <v>10.32</v>
      </c>
      <c r="AV14" s="25" t="n">
        <v>11.6</v>
      </c>
    </row>
    <row r="15">
      <c r="A15" s="46" t="n">
        <v>46279</v>
      </c>
      <c r="B15" s="25" t="n">
        <v>37.05</v>
      </c>
      <c r="C15" s="25" t="n">
        <v>143.9</v>
      </c>
      <c r="D15" s="25" t="n">
        <v>11.63</v>
      </c>
      <c r="E15" s="25" t="n">
        <v>19.53</v>
      </c>
      <c r="F15" s="25" t="n">
        <v>5.03</v>
      </c>
      <c r="G15" s="25" t="n">
        <v>42.34</v>
      </c>
      <c r="H15" s="25" t="n">
        <v>341.43</v>
      </c>
      <c r="I15" s="25" t="n">
        <v>21.71</v>
      </c>
      <c r="J15" s="25" t="n">
        <v>27.47</v>
      </c>
      <c r="K15" s="25" t="n">
        <v>5.77</v>
      </c>
      <c r="L15" s="25" t="n">
        <v>100.3</v>
      </c>
      <c r="M15" s="25" t="n">
        <v>20.23</v>
      </c>
      <c r="N15" s="25" t="n">
        <v>67.42</v>
      </c>
      <c r="O15" s="25" t="n">
        <v>47.44</v>
      </c>
      <c r="P15" s="25" t="n">
        <v>20.92</v>
      </c>
      <c r="Q15" s="25" t="n">
        <v>80.54000000000001</v>
      </c>
      <c r="R15" s="25" t="n">
        <v>111.49</v>
      </c>
      <c r="S15" s="25" t="n">
        <v>57.67</v>
      </c>
      <c r="T15" s="25" t="n">
        <v>2.72</v>
      </c>
      <c r="U15" s="25" t="n">
        <v>27.55</v>
      </c>
      <c r="V15" s="25" t="n">
        <v>140.62</v>
      </c>
      <c r="W15" s="25" t="n">
        <v>66760</v>
      </c>
      <c r="X15" s="25" t="n">
        <v>2139</v>
      </c>
      <c r="Y15" s="25" t="n">
        <v>4071</v>
      </c>
      <c r="Z15" s="25" t="n">
        <v>4.37</v>
      </c>
      <c r="AA15" s="25" t="n">
        <v>12.93</v>
      </c>
      <c r="AB15" s="25" t="n">
        <v>73.65000000000001</v>
      </c>
      <c r="AC15" s="25" t="n">
        <v>11.35</v>
      </c>
      <c r="AD15" s="25" t="n">
        <v>3.42</v>
      </c>
      <c r="AE15" s="25" t="n">
        <v>4.4</v>
      </c>
      <c r="AF15" s="25" t="n">
        <v>25.35</v>
      </c>
      <c r="AH15" s="25" t="n">
        <v>13.07</v>
      </c>
      <c r="AI15" s="25" t="n">
        <v>173.05</v>
      </c>
      <c r="AJ15" s="25" t="n">
        <v>39.08</v>
      </c>
      <c r="AK15" s="25" t="n">
        <v>44.34</v>
      </c>
      <c r="AL15" s="25" t="n">
        <v>238</v>
      </c>
      <c r="AM15" s="25" t="n">
        <v>8.42</v>
      </c>
      <c r="AN15" s="25" t="n">
        <v>409.08</v>
      </c>
      <c r="AO15" s="25" t="n">
        <v>1414</v>
      </c>
      <c r="AP15" s="25" t="n">
        <v>417.45</v>
      </c>
      <c r="AQ15" s="25" t="n">
        <v>997.6</v>
      </c>
      <c r="AR15" s="25" t="n">
        <v>14.16</v>
      </c>
      <c r="AS15" s="25" t="n">
        <v>73.01000000000001</v>
      </c>
      <c r="AT15" s="25" t="n">
        <v>117.91</v>
      </c>
      <c r="AU15" s="25" t="n">
        <v>10.89</v>
      </c>
      <c r="AV15" s="25" t="n">
        <v>11.63</v>
      </c>
    </row>
    <row r="16">
      <c r="A16" s="46" t="n">
        <v>46276</v>
      </c>
      <c r="B16" s="25" t="n">
        <v>36.8</v>
      </c>
      <c r="C16" s="25" t="n">
        <v>142.75</v>
      </c>
      <c r="D16" s="25" t="n">
        <v>11.61</v>
      </c>
      <c r="E16" s="25" t="n">
        <v>19.93</v>
      </c>
      <c r="F16" s="25" t="n">
        <v>5.11</v>
      </c>
      <c r="G16" s="25" t="n">
        <v>42.93</v>
      </c>
      <c r="H16" s="25" t="n">
        <v>339.09</v>
      </c>
      <c r="I16" s="25" t="n">
        <v>21.69</v>
      </c>
      <c r="J16" s="25" t="n">
        <v>27.41</v>
      </c>
      <c r="K16" s="25" t="n">
        <v>5.85</v>
      </c>
      <c r="L16" s="25" t="n">
        <v>98.97</v>
      </c>
      <c r="M16" s="25" t="n">
        <v>20.16</v>
      </c>
      <c r="N16" s="25" t="n">
        <v>66.62</v>
      </c>
      <c r="O16" s="25" t="n">
        <v>48.45</v>
      </c>
      <c r="P16" s="25" t="n">
        <v>21.51</v>
      </c>
      <c r="Q16" s="25" t="n">
        <v>81.27</v>
      </c>
      <c r="R16" s="25" t="n">
        <v>112.48</v>
      </c>
      <c r="S16" s="25" t="n">
        <v>56.92</v>
      </c>
      <c r="T16" s="25" t="n">
        <v>2.73</v>
      </c>
      <c r="U16" s="25" t="n">
        <v>28.07</v>
      </c>
      <c r="V16" s="25" t="n">
        <v>145.23</v>
      </c>
      <c r="W16" s="25" t="n">
        <v>66480</v>
      </c>
      <c r="X16" s="25" t="n">
        <v>2090</v>
      </c>
      <c r="Y16" s="25" t="n">
        <v>3989</v>
      </c>
      <c r="Z16" s="25" t="n">
        <v>4.37</v>
      </c>
      <c r="AA16" s="25" t="n">
        <v>13.01</v>
      </c>
      <c r="AB16" s="25" t="n">
        <v>72.45</v>
      </c>
      <c r="AC16" s="25" t="n">
        <v>11.59</v>
      </c>
      <c r="AD16" s="25" t="n">
        <v>3.29</v>
      </c>
      <c r="AE16" s="25" t="n">
        <v>4.38</v>
      </c>
      <c r="AF16" s="25" t="n">
        <v>25.06</v>
      </c>
      <c r="AH16" s="25" t="n">
        <v>13.17</v>
      </c>
      <c r="AI16" s="25" t="n">
        <v>175</v>
      </c>
      <c r="AJ16" s="25" t="n">
        <v>38.5</v>
      </c>
      <c r="AK16" s="25" t="n">
        <v>44.69</v>
      </c>
      <c r="AL16" s="25" t="n">
        <v>238.6</v>
      </c>
      <c r="AM16" s="25" t="n">
        <v>8.58</v>
      </c>
      <c r="AN16" s="25" t="n">
        <v>413.78</v>
      </c>
      <c r="AO16" s="25" t="n">
        <v>1399.5</v>
      </c>
      <c r="AP16" s="25" t="n">
        <v>415.3</v>
      </c>
      <c r="AQ16" s="25" t="n">
        <v>1018</v>
      </c>
      <c r="AR16" s="25" t="n">
        <v>13.89</v>
      </c>
      <c r="AS16" s="25" t="n">
        <v>70.64</v>
      </c>
      <c r="AT16" s="25" t="n">
        <v>118.49</v>
      </c>
      <c r="AU16" s="25" t="n">
        <v>10.99</v>
      </c>
      <c r="AV16" s="25" t="n">
        <v>11.61</v>
      </c>
    </row>
    <row r="17">
      <c r="A17" s="46" t="n">
        <v>46275</v>
      </c>
      <c r="B17" s="25" t="n">
        <v>36.62</v>
      </c>
      <c r="C17" s="25" t="n">
        <v>142.7</v>
      </c>
      <c r="D17" s="25" t="n">
        <v>11.63</v>
      </c>
      <c r="E17" s="25" t="n">
        <v>19.29</v>
      </c>
      <c r="F17" s="25" t="n">
        <v>4.97</v>
      </c>
      <c r="G17" s="25" t="n">
        <v>41.56</v>
      </c>
      <c r="H17" s="25" t="n">
        <v>336.67</v>
      </c>
      <c r="I17" s="25" t="n">
        <v>22.22</v>
      </c>
      <c r="J17" s="25" t="n">
        <v>26.85</v>
      </c>
      <c r="K17" s="25" t="n">
        <v>5.87</v>
      </c>
      <c r="L17" s="25" t="n">
        <v>96.88</v>
      </c>
      <c r="M17" s="25" t="n">
        <v>20.12</v>
      </c>
      <c r="N17" s="25" t="n">
        <v>66.16</v>
      </c>
      <c r="O17" s="25" t="n">
        <v>48.93</v>
      </c>
      <c r="P17" s="25" t="n">
        <v>20.91</v>
      </c>
      <c r="Q17" s="25" t="n">
        <v>79.88</v>
      </c>
      <c r="R17" s="25" t="n">
        <v>108.83</v>
      </c>
      <c r="S17" s="25" t="n">
        <v>56.42</v>
      </c>
      <c r="T17" s="25" t="n">
        <v>2.74</v>
      </c>
      <c r="U17" s="25" t="n">
        <v>27.41</v>
      </c>
      <c r="V17" s="25" t="n">
        <v>142.93</v>
      </c>
      <c r="W17" s="25" t="n">
        <v>66810</v>
      </c>
      <c r="X17" s="25" t="n">
        <v>2081.5</v>
      </c>
      <c r="Y17" s="25" t="n">
        <v>4020</v>
      </c>
      <c r="Z17" s="25" t="n">
        <v>4.36</v>
      </c>
      <c r="AA17" s="25" t="n">
        <v>13.06</v>
      </c>
      <c r="AB17" s="25" t="n">
        <v>72.05</v>
      </c>
      <c r="AC17" s="25" t="n">
        <v>11.7</v>
      </c>
      <c r="AD17" s="25" t="n">
        <v>3.37</v>
      </c>
      <c r="AE17" s="25" t="n">
        <v>4.43</v>
      </c>
      <c r="AF17" s="25" t="n">
        <v>25.67</v>
      </c>
      <c r="AH17" s="25" t="n">
        <v>12.62</v>
      </c>
      <c r="AI17" s="25" t="n">
        <v>172.9</v>
      </c>
      <c r="AJ17" s="25" t="n">
        <v>38.5</v>
      </c>
      <c r="AK17" s="25" t="n">
        <v>43.6</v>
      </c>
      <c r="AL17" s="25" t="n">
        <v>234.15</v>
      </c>
      <c r="AM17" s="25" t="n">
        <v>8.57</v>
      </c>
      <c r="AN17" s="25" t="n">
        <v>408.64</v>
      </c>
      <c r="AO17" s="25" t="n">
        <v>1409</v>
      </c>
      <c r="AP17" s="25" t="n">
        <v>406.5</v>
      </c>
      <c r="AQ17" s="25" t="n">
        <v>1029.5</v>
      </c>
      <c r="AR17" s="25" t="n">
        <v>12.88</v>
      </c>
      <c r="AS17" s="25" t="n">
        <v>69.34999999999999</v>
      </c>
      <c r="AT17" s="25" t="n">
        <v>115.87</v>
      </c>
      <c r="AU17" s="25" t="n">
        <v>10.54</v>
      </c>
      <c r="AV17" s="25" t="n">
        <v>11.63</v>
      </c>
    </row>
    <row r="18">
      <c r="A18" s="46" t="n">
        <v>46274</v>
      </c>
      <c r="B18" s="25" t="n">
        <v>37.35</v>
      </c>
      <c r="C18" s="25" t="n">
        <v>146.45</v>
      </c>
      <c r="D18" s="25" t="n">
        <v>11.7</v>
      </c>
      <c r="E18" s="25" t="n">
        <v>19.59</v>
      </c>
      <c r="F18" s="25" t="n">
        <v>4.9</v>
      </c>
      <c r="G18" s="25" t="n">
        <v>43.46</v>
      </c>
      <c r="H18" s="25" t="n">
        <v>335.61</v>
      </c>
      <c r="I18" s="25" t="n">
        <v>22.75</v>
      </c>
      <c r="J18" s="25" t="n">
        <v>26.84</v>
      </c>
      <c r="K18" s="25" t="n">
        <v>6</v>
      </c>
      <c r="L18" s="25" t="n">
        <v>99.72</v>
      </c>
      <c r="M18" s="25" t="n">
        <v>20.35</v>
      </c>
      <c r="N18" s="25" t="n">
        <v>67.16</v>
      </c>
      <c r="O18" s="25" t="n">
        <v>50.45</v>
      </c>
      <c r="P18" s="25" t="n">
        <v>21.36</v>
      </c>
      <c r="Q18" s="25" t="n">
        <v>80.23</v>
      </c>
      <c r="R18" s="25" t="n">
        <v>111.09</v>
      </c>
      <c r="S18" s="25" t="n">
        <v>56.06</v>
      </c>
      <c r="T18" s="25" t="n">
        <v>2.75</v>
      </c>
      <c r="U18" s="25" t="n">
        <v>27.77</v>
      </c>
      <c r="V18" s="25" t="n">
        <v>152.08</v>
      </c>
      <c r="W18" s="25" t="n">
        <v>66860</v>
      </c>
      <c r="X18" s="25" t="n">
        <v>2095</v>
      </c>
      <c r="Y18" s="25" t="n">
        <v>4100</v>
      </c>
      <c r="Z18" s="25" t="n">
        <v>4.31</v>
      </c>
      <c r="AA18" s="25" t="n">
        <v>13.37</v>
      </c>
      <c r="AB18" s="25" t="n">
        <v>73.5</v>
      </c>
      <c r="AC18" s="25" t="n">
        <v>11.77</v>
      </c>
      <c r="AD18" s="25" t="n">
        <v>3.47</v>
      </c>
      <c r="AE18" s="25" t="n">
        <v>4.5</v>
      </c>
      <c r="AF18" s="25" t="n">
        <v>26.09</v>
      </c>
      <c r="AH18" s="25" t="n">
        <v>12.91</v>
      </c>
      <c r="AI18" s="25" t="n">
        <v>175.1</v>
      </c>
      <c r="AJ18" s="25" t="n">
        <v>39.68</v>
      </c>
      <c r="AK18" s="25" t="n">
        <v>45.16</v>
      </c>
      <c r="AL18" s="25" t="n">
        <v>232.25</v>
      </c>
      <c r="AM18" s="25" t="n">
        <v>8.74</v>
      </c>
      <c r="AN18" s="25" t="n">
        <v>402.33</v>
      </c>
      <c r="AO18" s="25" t="n">
        <v>1409</v>
      </c>
      <c r="AP18" s="25" t="n">
        <v>411.25</v>
      </c>
      <c r="AQ18" s="25" t="n">
        <v>1035</v>
      </c>
      <c r="AR18" s="25" t="n">
        <v>12.71</v>
      </c>
      <c r="AS18" s="25" t="n">
        <v>68.51000000000001</v>
      </c>
      <c r="AT18" s="25" t="n">
        <v>113.71</v>
      </c>
      <c r="AU18" s="25" t="n">
        <v>10.51</v>
      </c>
      <c r="AV18" s="25" t="n">
        <v>11.7</v>
      </c>
    </row>
    <row r="19">
      <c r="A19" s="46" t="n">
        <v>46273</v>
      </c>
      <c r="B19" s="25" t="n">
        <v>38.1</v>
      </c>
      <c r="C19" s="25" t="n">
        <v>147.85</v>
      </c>
      <c r="D19" s="25" t="n">
        <v>12.03</v>
      </c>
      <c r="E19" s="25" t="n">
        <v>20.05</v>
      </c>
      <c r="F19" s="25" t="n">
        <v>5.06</v>
      </c>
      <c r="G19" s="25" t="n">
        <v>43.16</v>
      </c>
      <c r="H19" s="25" t="n">
        <v>347.23</v>
      </c>
      <c r="I19" s="25" t="n">
        <v>23.13</v>
      </c>
      <c r="J19" s="25" t="n">
        <v>27.27</v>
      </c>
      <c r="K19" s="25" t="n">
        <v>6.34</v>
      </c>
      <c r="L19" s="25" t="n">
        <v>103.19</v>
      </c>
      <c r="M19" s="25" t="n">
        <v>20.85</v>
      </c>
      <c r="N19" s="25" t="n">
        <v>70.73</v>
      </c>
      <c r="O19" s="25" t="n">
        <v>51.55</v>
      </c>
      <c r="P19" s="25" t="n">
        <v>22.38</v>
      </c>
      <c r="Q19" s="25" t="n">
        <v>82.59999999999999</v>
      </c>
      <c r="R19" s="25" t="n">
        <v>114.35</v>
      </c>
      <c r="S19" s="25" t="n">
        <v>57.71</v>
      </c>
      <c r="T19" s="25" t="n">
        <v>2.81</v>
      </c>
      <c r="U19" s="25" t="n">
        <v>28.69</v>
      </c>
      <c r="V19" s="25" t="n">
        <v>151.43</v>
      </c>
      <c r="W19" s="25" t="n">
        <v>68730</v>
      </c>
      <c r="X19" s="25" t="n">
        <v>2107.5</v>
      </c>
      <c r="Y19" s="25" t="n">
        <v>4049</v>
      </c>
      <c r="Z19" s="25" t="n">
        <v>4.48</v>
      </c>
      <c r="AA19" s="25" t="n">
        <v>14.23</v>
      </c>
      <c r="AB19" s="25" t="n">
        <v>75.95</v>
      </c>
      <c r="AC19" s="25" t="n">
        <v>11.7</v>
      </c>
      <c r="AD19" s="25" t="n">
        <v>3.53</v>
      </c>
      <c r="AE19" s="25" t="n">
        <v>4.55</v>
      </c>
      <c r="AF19" s="25" t="n">
        <v>26.56</v>
      </c>
      <c r="AH19" s="25" t="n">
        <v>13.2</v>
      </c>
      <c r="AI19" s="25" t="n">
        <v>183.65</v>
      </c>
      <c r="AJ19" s="25" t="n">
        <v>40.1</v>
      </c>
      <c r="AK19" s="25" t="n">
        <v>45.96</v>
      </c>
      <c r="AL19" s="25" t="n">
        <v>244.4</v>
      </c>
      <c r="AM19" s="25" t="n">
        <v>9.050000000000001</v>
      </c>
      <c r="AN19" s="25" t="n">
        <v>405.94</v>
      </c>
      <c r="AO19" s="25" t="n">
        <v>1442.5</v>
      </c>
      <c r="AP19" s="25" t="n">
        <v>426.55</v>
      </c>
      <c r="AQ19" s="25" t="n">
        <v>1078</v>
      </c>
      <c r="AR19" s="25" t="n">
        <v>13.1</v>
      </c>
      <c r="AS19" s="25" t="n">
        <v>71.26000000000001</v>
      </c>
      <c r="AT19" s="25" t="n">
        <v>117.58</v>
      </c>
      <c r="AU19" s="25" t="n">
        <v>10.66</v>
      </c>
      <c r="AV19" s="25" t="n">
        <v>12.03</v>
      </c>
    </row>
    <row r="20">
      <c r="A20" s="46" t="n">
        <v>46272</v>
      </c>
      <c r="C20" s="25" t="n">
        <v>147.6</v>
      </c>
      <c r="I20" s="25" t="n">
        <v>23.53</v>
      </c>
      <c r="W20" s="25" t="n">
        <v>69160</v>
      </c>
      <c r="X20" s="25" t="n">
        <v>2104</v>
      </c>
      <c r="Y20" s="25" t="n">
        <v>4164</v>
      </c>
      <c r="Z20" s="25" t="n">
        <v>4.39</v>
      </c>
      <c r="AA20" s="25" t="n">
        <v>13.75</v>
      </c>
      <c r="AB20" s="25" t="n">
        <v>75.84999999999999</v>
      </c>
      <c r="AC20" s="25" t="n">
        <v>11.8</v>
      </c>
      <c r="AD20" s="25" t="n">
        <v>3.5</v>
      </c>
      <c r="AE20" s="25" t="n">
        <v>4.51</v>
      </c>
      <c r="AF20" s="25" t="n">
        <v>26.21</v>
      </c>
      <c r="AI20" s="25" t="n">
        <v>185.4</v>
      </c>
      <c r="AJ20" s="25" t="n">
        <v>39.96</v>
      </c>
      <c r="AK20" s="25" t="n">
        <v>46.18</v>
      </c>
      <c r="AL20" s="25" t="n">
        <v>241.4</v>
      </c>
      <c r="AM20" s="25" t="n">
        <v>9.09</v>
      </c>
      <c r="AO20" s="25" t="n">
        <v>1475</v>
      </c>
      <c r="AP20" s="25" t="n">
        <v>431.2</v>
      </c>
      <c r="AQ20" s="25" t="n">
        <v>1102</v>
      </c>
    </row>
    <row r="21">
      <c r="A21" s="46" t="n">
        <v>46269</v>
      </c>
      <c r="B21" s="25" t="n">
        <v>38.4</v>
      </c>
      <c r="C21" s="25" t="n">
        <v>149.15</v>
      </c>
      <c r="D21" s="25" t="n">
        <v>12.56</v>
      </c>
      <c r="E21" s="25" t="n">
        <v>20.76</v>
      </c>
      <c r="F21" s="25" t="n">
        <v>5.25</v>
      </c>
      <c r="G21" s="25" t="n">
        <v>43.68</v>
      </c>
      <c r="H21" s="25" t="n">
        <v>351.2</v>
      </c>
      <c r="I21" s="25" t="n">
        <v>23.83</v>
      </c>
      <c r="J21" s="25" t="n">
        <v>27.99</v>
      </c>
      <c r="K21" s="25" t="n">
        <v>6.11</v>
      </c>
      <c r="L21" s="25" t="n">
        <v>100.61</v>
      </c>
      <c r="M21" s="25" t="n">
        <v>21.06</v>
      </c>
      <c r="N21" s="25" t="n">
        <v>73.59</v>
      </c>
      <c r="O21" s="25" t="n">
        <v>53.4</v>
      </c>
      <c r="P21" s="25" t="n">
        <v>22.43</v>
      </c>
      <c r="Q21" s="25" t="n">
        <v>85.81</v>
      </c>
      <c r="R21" s="25" t="n">
        <v>117.53</v>
      </c>
      <c r="S21" s="25" t="n">
        <v>57.72</v>
      </c>
      <c r="T21" s="25" t="n">
        <v>2.87</v>
      </c>
      <c r="U21" s="25" t="n">
        <v>29.53</v>
      </c>
      <c r="V21" s="25" t="n">
        <v>149.67</v>
      </c>
      <c r="W21" s="25" t="n">
        <v>69100</v>
      </c>
      <c r="X21" s="25" t="n">
        <v>2113</v>
      </c>
      <c r="Y21" s="25" t="n">
        <v>4266</v>
      </c>
      <c r="Z21" s="25" t="n">
        <v>4.35</v>
      </c>
      <c r="AA21" s="25" t="n">
        <v>13.53</v>
      </c>
      <c r="AB21" s="25" t="n">
        <v>76.09999999999999</v>
      </c>
      <c r="AC21" s="25" t="n">
        <v>11.84</v>
      </c>
      <c r="AD21" s="25" t="n">
        <v>3.43</v>
      </c>
      <c r="AE21" s="25" t="n">
        <v>4.45</v>
      </c>
      <c r="AF21" s="25" t="n">
        <v>26.6</v>
      </c>
      <c r="AH21" s="25" t="n">
        <v>13.45</v>
      </c>
      <c r="AI21" s="25" t="n">
        <v>185.45</v>
      </c>
      <c r="AJ21" s="25" t="n">
        <v>39.34</v>
      </c>
      <c r="AK21" s="25" t="n">
        <v>45.84</v>
      </c>
      <c r="AL21" s="25" t="n">
        <v>245.2</v>
      </c>
      <c r="AM21" s="25" t="n">
        <v>9.109999999999999</v>
      </c>
      <c r="AN21" s="25" t="n">
        <v>409.95</v>
      </c>
      <c r="AO21" s="25" t="n">
        <v>1457</v>
      </c>
      <c r="AP21" s="25" t="n">
        <v>429.1</v>
      </c>
      <c r="AQ21" s="25" t="n">
        <v>1103.5</v>
      </c>
      <c r="AR21" s="25" t="n">
        <v>13.56</v>
      </c>
      <c r="AS21" s="25" t="n">
        <v>74.33</v>
      </c>
      <c r="AT21" s="25" t="n">
        <v>122.14</v>
      </c>
      <c r="AU21" s="25" t="n">
        <v>11.28</v>
      </c>
      <c r="AV21" s="25" t="n">
        <v>12.56</v>
      </c>
    </row>
    <row r="22">
      <c r="A22" s="46" t="n">
        <v>46268</v>
      </c>
      <c r="B22" s="25" t="n">
        <v>38.77</v>
      </c>
      <c r="C22" s="25" t="n">
        <v>148.7</v>
      </c>
      <c r="D22" s="25" t="n">
        <v>12.65</v>
      </c>
      <c r="E22" s="25" t="n">
        <v>19.55</v>
      </c>
      <c r="F22" s="25" t="n">
        <v>5.19</v>
      </c>
      <c r="G22" s="25" t="n">
        <v>42.3</v>
      </c>
      <c r="H22" s="25" t="n">
        <v>344.2</v>
      </c>
      <c r="I22" s="25" t="n">
        <v>24.26</v>
      </c>
      <c r="J22" s="25" t="n">
        <v>28.36</v>
      </c>
      <c r="K22" s="25" t="n">
        <v>6.07</v>
      </c>
      <c r="L22" s="25" t="n">
        <v>121.77</v>
      </c>
      <c r="M22" s="25" t="n">
        <v>20.7</v>
      </c>
      <c r="N22" s="25" t="n">
        <v>73.67</v>
      </c>
      <c r="O22" s="25" t="n">
        <v>53.68</v>
      </c>
      <c r="P22" s="25" t="n">
        <v>22.32</v>
      </c>
      <c r="Q22" s="25" t="n">
        <v>84.5</v>
      </c>
      <c r="R22" s="25" t="n">
        <v>116.01</v>
      </c>
      <c r="S22" s="25" t="n">
        <v>57.79</v>
      </c>
      <c r="T22" s="25" t="n">
        <v>2.79</v>
      </c>
      <c r="U22" s="25" t="n">
        <v>28.51</v>
      </c>
      <c r="V22" s="25" t="n">
        <v>143.54</v>
      </c>
      <c r="W22" s="25" t="n">
        <v>68000</v>
      </c>
      <c r="X22" s="25" t="n">
        <v>2098.5</v>
      </c>
      <c r="Y22" s="25" t="n">
        <v>4195</v>
      </c>
      <c r="Z22" s="25" t="n">
        <v>4.3</v>
      </c>
      <c r="AA22" s="25" t="n">
        <v>13.24</v>
      </c>
      <c r="AB22" s="25" t="n">
        <v>75.84999999999999</v>
      </c>
      <c r="AC22" s="25" t="n">
        <v>11.73</v>
      </c>
      <c r="AD22" s="25" t="n">
        <v>3.62</v>
      </c>
      <c r="AE22" s="25" t="n">
        <v>4.41</v>
      </c>
      <c r="AF22" s="25" t="n">
        <v>25.94</v>
      </c>
      <c r="AH22" s="25" t="n">
        <v>13.14</v>
      </c>
      <c r="AI22" s="25" t="n">
        <v>183.65</v>
      </c>
      <c r="AJ22" s="25" t="n">
        <v>39.56</v>
      </c>
      <c r="AK22" s="25" t="n">
        <v>46.17</v>
      </c>
      <c r="AL22" s="25" t="n">
        <v>244.6</v>
      </c>
      <c r="AM22" s="25" t="n">
        <v>9.09</v>
      </c>
      <c r="AN22" s="25" t="n">
        <v>417.93</v>
      </c>
      <c r="AO22" s="25" t="n">
        <v>1481.5</v>
      </c>
      <c r="AP22" s="25" t="n">
        <v>431.05</v>
      </c>
      <c r="AQ22" s="25" t="n">
        <v>1097</v>
      </c>
      <c r="AR22" s="25" t="n">
        <v>13.24</v>
      </c>
      <c r="AS22" s="25" t="n">
        <v>72.45999999999999</v>
      </c>
      <c r="AT22" s="25" t="n">
        <v>122.6</v>
      </c>
      <c r="AU22" s="25" t="n">
        <v>11.25</v>
      </c>
      <c r="AV22" s="25" t="n">
        <v>12.65</v>
      </c>
    </row>
    <row r="23">
      <c r="A23" s="46" t="n">
        <v>46267</v>
      </c>
      <c r="B23" s="25" t="n">
        <v>38.24</v>
      </c>
      <c r="C23" s="25" t="n">
        <v>149.55</v>
      </c>
      <c r="D23" s="25" t="n">
        <v>12.56</v>
      </c>
      <c r="E23" s="25" t="n">
        <v>19.28</v>
      </c>
      <c r="F23" s="25" t="n">
        <v>5.15</v>
      </c>
      <c r="G23" s="25" t="n">
        <v>41.99</v>
      </c>
      <c r="H23" s="25" t="n">
        <v>336.5</v>
      </c>
      <c r="I23" s="25" t="n">
        <v>24.62</v>
      </c>
      <c r="J23" s="25" t="n">
        <v>27.8</v>
      </c>
      <c r="K23" s="25" t="n">
        <v>5.98</v>
      </c>
      <c r="L23" s="25" t="n">
        <v>120.07</v>
      </c>
      <c r="M23" s="25" t="n">
        <v>20.46</v>
      </c>
      <c r="N23" s="25" t="n">
        <v>72.48999999999999</v>
      </c>
      <c r="O23" s="25" t="n">
        <v>51.46</v>
      </c>
      <c r="P23" s="25" t="n">
        <v>22.06</v>
      </c>
      <c r="Q23" s="25" t="n">
        <v>83.76000000000001</v>
      </c>
      <c r="R23" s="25" t="n">
        <v>115.79</v>
      </c>
      <c r="S23" s="25" t="n">
        <v>56.86</v>
      </c>
      <c r="T23" s="25" t="n">
        <v>2.82</v>
      </c>
      <c r="U23" s="25" t="n">
        <v>28.56</v>
      </c>
      <c r="V23" s="25" t="n">
        <v>136.6</v>
      </c>
      <c r="W23" s="25" t="n">
        <v>70400</v>
      </c>
      <c r="X23" s="25" t="n">
        <v>2091.5</v>
      </c>
      <c r="Y23" s="25" t="n">
        <v>4213</v>
      </c>
      <c r="Z23" s="25" t="n">
        <v>4.25</v>
      </c>
      <c r="AA23" s="25" t="n">
        <v>13.24</v>
      </c>
      <c r="AB23" s="25" t="n">
        <v>76.40000000000001</v>
      </c>
      <c r="AC23" s="25" t="n">
        <v>11.69</v>
      </c>
      <c r="AD23" s="25" t="n">
        <v>3.67</v>
      </c>
      <c r="AE23" s="25" t="n">
        <v>4.42</v>
      </c>
      <c r="AF23" s="25" t="n">
        <v>25.3</v>
      </c>
      <c r="AH23" s="25" t="n">
        <v>13.22</v>
      </c>
      <c r="AI23" s="25" t="n">
        <v>189.55</v>
      </c>
      <c r="AJ23" s="25" t="n">
        <v>40</v>
      </c>
      <c r="AK23" s="25" t="n">
        <v>46.56</v>
      </c>
      <c r="AL23" s="25" t="n">
        <v>249.65</v>
      </c>
      <c r="AM23" s="25" t="n">
        <v>9.32</v>
      </c>
      <c r="AN23" s="25" t="n">
        <v>413.23</v>
      </c>
      <c r="AO23" s="25" t="n">
        <v>1532</v>
      </c>
      <c r="AP23" s="25" t="n">
        <v>439</v>
      </c>
      <c r="AQ23" s="25" t="n">
        <v>1075.5</v>
      </c>
      <c r="AR23" s="25" t="n">
        <v>12.71</v>
      </c>
      <c r="AS23" s="25" t="n">
        <v>72.29000000000001</v>
      </c>
      <c r="AT23" s="25" t="n">
        <v>123.14</v>
      </c>
      <c r="AU23" s="25" t="n">
        <v>11.26</v>
      </c>
      <c r="AV23" s="25" t="n">
        <v>12.56</v>
      </c>
    </row>
    <row r="24">
      <c r="A24" s="46" t="n">
        <v>46266</v>
      </c>
      <c r="B24" s="25" t="n">
        <v>38.12</v>
      </c>
      <c r="C24" s="25" t="n">
        <v>147.95</v>
      </c>
      <c r="D24" s="25" t="n">
        <v>13.04</v>
      </c>
      <c r="E24" s="25" t="n">
        <v>19.33</v>
      </c>
      <c r="F24" s="25" t="n">
        <v>4.92</v>
      </c>
      <c r="G24" s="25" t="n">
        <v>41.44</v>
      </c>
      <c r="H24" s="25" t="n">
        <v>340.82</v>
      </c>
      <c r="I24" s="25" t="n">
        <v>24.52</v>
      </c>
      <c r="J24" s="25" t="n">
        <v>27.73</v>
      </c>
      <c r="K24" s="25" t="n">
        <v>5.94</v>
      </c>
      <c r="L24" s="25" t="n">
        <v>118</v>
      </c>
      <c r="M24" s="25" t="n">
        <v>20.36</v>
      </c>
      <c r="N24" s="25" t="n">
        <v>74.64</v>
      </c>
      <c r="O24" s="25" t="n">
        <v>50.27</v>
      </c>
      <c r="P24" s="25" t="n">
        <v>22</v>
      </c>
      <c r="Q24" s="25" t="n">
        <v>84.58</v>
      </c>
      <c r="R24" s="25" t="n">
        <v>115.28</v>
      </c>
      <c r="S24" s="25" t="n">
        <v>56.81</v>
      </c>
      <c r="T24" s="25" t="n">
        <v>2.74</v>
      </c>
      <c r="U24" s="25" t="n">
        <v>29.46</v>
      </c>
      <c r="V24" s="25" t="n">
        <v>140.68</v>
      </c>
      <c r="W24" s="25" t="n">
        <v>71260</v>
      </c>
      <c r="X24" s="25" t="n">
        <v>2127</v>
      </c>
      <c r="Y24" s="25" t="n">
        <v>4371</v>
      </c>
      <c r="Z24" s="25" t="n">
        <v>4.3</v>
      </c>
      <c r="AA24" s="25" t="n">
        <v>13.39</v>
      </c>
      <c r="AB24" s="25" t="n">
        <v>78.34999999999999</v>
      </c>
      <c r="AC24" s="25" t="n">
        <v>12.31</v>
      </c>
      <c r="AD24" s="25" t="n">
        <v>3.76</v>
      </c>
      <c r="AE24" s="25" t="n">
        <v>4.5</v>
      </c>
      <c r="AF24" s="25" t="n">
        <v>25.11</v>
      </c>
      <c r="AH24" s="25" t="n">
        <v>13.09</v>
      </c>
      <c r="AI24" s="25" t="n">
        <v>188.75</v>
      </c>
      <c r="AJ24" s="25" t="n">
        <v>40.32</v>
      </c>
      <c r="AK24" s="25" t="n">
        <v>46.15</v>
      </c>
      <c r="AL24" s="25" t="n">
        <v>247.2</v>
      </c>
      <c r="AM24" s="25" t="n">
        <v>9.41</v>
      </c>
      <c r="AN24" s="25" t="n">
        <v>410.21</v>
      </c>
      <c r="AO24" s="25" t="n">
        <v>1542.5</v>
      </c>
      <c r="AP24" s="25" t="n">
        <v>445</v>
      </c>
      <c r="AQ24" s="25" t="n">
        <v>1070</v>
      </c>
      <c r="AR24" s="25" t="n">
        <v>12.79</v>
      </c>
      <c r="AS24" s="25" t="n">
        <v>72.87</v>
      </c>
      <c r="AT24" s="25" t="n">
        <v>122.14</v>
      </c>
      <c r="AU24" s="25" t="n">
        <v>11.25</v>
      </c>
      <c r="AV24" s="25" t="n">
        <v>13.04</v>
      </c>
    </row>
    <row r="25">
      <c r="A25" s="46" t="n">
        <v>46265</v>
      </c>
      <c r="B25" s="25" t="n">
        <v>39.06</v>
      </c>
      <c r="C25" s="25" t="n">
        <v>151.4</v>
      </c>
      <c r="D25" s="25" t="n">
        <v>13.58</v>
      </c>
      <c r="E25" s="25" t="n">
        <v>19.73</v>
      </c>
      <c r="F25" s="25" t="n">
        <v>5.04</v>
      </c>
      <c r="G25" s="25" t="n">
        <v>43.18</v>
      </c>
      <c r="H25" s="25" t="n">
        <v>346.9</v>
      </c>
      <c r="I25" s="25" t="n">
        <v>25.42</v>
      </c>
      <c r="J25" s="25" t="n">
        <v>28.5</v>
      </c>
      <c r="K25" s="25" t="n">
        <v>6.25</v>
      </c>
      <c r="L25" s="25" t="n">
        <v>120.26</v>
      </c>
      <c r="M25" s="25" t="n">
        <v>20.76</v>
      </c>
      <c r="N25" s="25" t="n">
        <v>75.41</v>
      </c>
      <c r="O25" s="25" t="n">
        <v>52.13</v>
      </c>
      <c r="P25" s="25" t="n">
        <v>22.31</v>
      </c>
      <c r="Q25" s="25" t="n">
        <v>87.08</v>
      </c>
      <c r="R25" s="25" t="n">
        <v>120.38</v>
      </c>
      <c r="S25" s="25" t="n">
        <v>57.4</v>
      </c>
      <c r="T25" s="25" t="n">
        <v>2.84</v>
      </c>
      <c r="U25" s="25" t="n">
        <v>30.55</v>
      </c>
      <c r="V25" s="25" t="n">
        <v>143.08</v>
      </c>
      <c r="W25" s="25" t="n">
        <v>72450</v>
      </c>
      <c r="X25" s="25" t="n">
        <v>2149</v>
      </c>
      <c r="Y25" s="25" t="n">
        <v>4500</v>
      </c>
      <c r="Z25" s="25" t="n">
        <v>4.27</v>
      </c>
      <c r="AA25" s="25" t="n">
        <v>13.63</v>
      </c>
      <c r="AB25" s="25" t="n">
        <v>77.7</v>
      </c>
      <c r="AC25" s="25" t="n">
        <v>12.39</v>
      </c>
      <c r="AD25" s="25" t="n">
        <v>3.67</v>
      </c>
      <c r="AE25" s="25" t="n">
        <v>4.51</v>
      </c>
      <c r="AF25" s="25" t="n">
        <v>25.38</v>
      </c>
      <c r="AH25" s="25" t="n">
        <v>13.44</v>
      </c>
      <c r="AI25" s="25" t="n">
        <v>192.15</v>
      </c>
      <c r="AJ25" s="25" t="n">
        <v>41.02</v>
      </c>
      <c r="AK25" s="25" t="n">
        <v>47.11</v>
      </c>
      <c r="AL25" s="25" t="n">
        <v>254.05</v>
      </c>
      <c r="AM25" s="25" t="n">
        <v>9.57</v>
      </c>
      <c r="AN25" s="25" t="n">
        <v>422.6</v>
      </c>
      <c r="AO25" s="25" t="n">
        <v>1581</v>
      </c>
      <c r="AP25" s="25" t="n">
        <v>453.3</v>
      </c>
      <c r="AR25" s="25" t="n">
        <v>13.25</v>
      </c>
      <c r="AS25" s="25" t="n">
        <v>74.16</v>
      </c>
      <c r="AT25" s="25" t="n">
        <v>123.39</v>
      </c>
      <c r="AU25" s="25" t="n">
        <v>11.45</v>
      </c>
      <c r="AV25" s="25" t="n">
        <v>13.58</v>
      </c>
    </row>
    <row r="26">
      <c r="A26" s="46" t="n">
        <v>46262</v>
      </c>
      <c r="B26" s="25" t="n">
        <v>39.6</v>
      </c>
      <c r="C26" s="25" t="n">
        <v>154.2</v>
      </c>
      <c r="D26" s="25" t="n">
        <v>13.73</v>
      </c>
      <c r="E26" s="25" t="n">
        <v>20.34</v>
      </c>
      <c r="F26" s="25" t="n">
        <v>5.08</v>
      </c>
      <c r="G26" s="25" t="n">
        <v>44.24</v>
      </c>
      <c r="H26" s="25" t="n">
        <v>354.04</v>
      </c>
      <c r="I26" s="25" t="n">
        <v>25.63</v>
      </c>
      <c r="J26" s="25" t="n">
        <v>28.85</v>
      </c>
      <c r="K26" s="25" t="n">
        <v>6.17</v>
      </c>
      <c r="L26" s="25" t="n">
        <v>120.81</v>
      </c>
      <c r="M26" s="25" t="n">
        <v>21.29</v>
      </c>
      <c r="N26" s="25" t="n">
        <v>76.98999999999999</v>
      </c>
      <c r="O26" s="25" t="n">
        <v>53.12</v>
      </c>
      <c r="P26" s="25" t="n">
        <v>23.48</v>
      </c>
      <c r="Q26" s="25" t="n">
        <v>87.76000000000001</v>
      </c>
      <c r="R26" s="25" t="n">
        <v>122.23</v>
      </c>
      <c r="S26" s="25" t="n">
        <v>58.01</v>
      </c>
      <c r="T26" s="25" t="n">
        <v>3.02</v>
      </c>
      <c r="U26" s="25" t="n">
        <v>31.05</v>
      </c>
      <c r="V26" s="25" t="n">
        <v>148.42</v>
      </c>
      <c r="W26" s="25" t="n">
        <v>71260</v>
      </c>
      <c r="X26" s="25" t="n">
        <v>2190</v>
      </c>
      <c r="Y26" s="25" t="n">
        <v>4601</v>
      </c>
      <c r="Z26" s="25" t="n">
        <v>4.42</v>
      </c>
      <c r="AA26" s="25" t="n">
        <v>13.65</v>
      </c>
      <c r="AB26" s="25" t="n">
        <v>77.40000000000001</v>
      </c>
      <c r="AC26" s="25" t="n">
        <v>12.48</v>
      </c>
      <c r="AD26" s="25" t="n">
        <v>3.78</v>
      </c>
      <c r="AE26" s="25" t="n">
        <v>4.57</v>
      </c>
      <c r="AF26" s="25" t="n">
        <v>24.47</v>
      </c>
      <c r="AH26" s="25" t="n">
        <v>13.67</v>
      </c>
      <c r="AI26" s="25" t="n">
        <v>194.55</v>
      </c>
      <c r="AJ26" s="25" t="n">
        <v>41.64</v>
      </c>
      <c r="AK26" s="25" t="n">
        <v>47.72</v>
      </c>
      <c r="AL26" s="25" t="n">
        <v>254.2</v>
      </c>
      <c r="AM26" s="25" t="n">
        <v>9.49</v>
      </c>
      <c r="AN26" s="25" t="n">
        <v>420.54</v>
      </c>
      <c r="AO26" s="25" t="n">
        <v>1598</v>
      </c>
      <c r="AP26" s="25" t="n">
        <v>458.15</v>
      </c>
      <c r="AQ26" s="25" t="n">
        <v>1084</v>
      </c>
      <c r="AR26" s="25" t="n">
        <v>13.5</v>
      </c>
      <c r="AS26" s="25" t="n">
        <v>75.79000000000001</v>
      </c>
      <c r="AT26" s="25" t="n">
        <v>125.49</v>
      </c>
      <c r="AU26" s="25" t="n">
        <v>11.46</v>
      </c>
      <c r="AV26" s="25" t="n">
        <v>13.73</v>
      </c>
    </row>
    <row r="27">
      <c r="A27" s="46" t="n">
        <v>46261</v>
      </c>
      <c r="B27" s="25" t="n">
        <v>38.44</v>
      </c>
      <c r="C27" s="25" t="n">
        <v>153.1</v>
      </c>
      <c r="D27" s="25" t="n">
        <v>13.64</v>
      </c>
      <c r="E27" s="25" t="n">
        <v>19.76</v>
      </c>
      <c r="F27" s="25" t="n">
        <v>5.07</v>
      </c>
      <c r="G27" s="25" t="n">
        <v>44.69</v>
      </c>
      <c r="H27" s="25" t="n">
        <v>351.9</v>
      </c>
      <c r="I27" s="25" t="n">
        <v>26.02</v>
      </c>
      <c r="J27" s="25" t="n">
        <v>28.95</v>
      </c>
      <c r="K27" s="25" t="n">
        <v>5.88</v>
      </c>
      <c r="L27" s="25" t="n">
        <v>115</v>
      </c>
      <c r="M27" s="25" t="n">
        <v>21.05</v>
      </c>
      <c r="N27" s="25" t="n">
        <v>76.48</v>
      </c>
      <c r="O27" s="25" t="n">
        <v>53.23</v>
      </c>
      <c r="P27" s="25" t="n">
        <v>20.79</v>
      </c>
      <c r="Q27" s="25" t="n">
        <v>86.33</v>
      </c>
      <c r="R27" s="25" t="n">
        <v>121.69</v>
      </c>
      <c r="S27" s="25" t="n">
        <v>56.84</v>
      </c>
      <c r="T27" s="25" t="n">
        <v>3.02</v>
      </c>
      <c r="U27" s="25" t="n">
        <v>30.52</v>
      </c>
      <c r="V27" s="25" t="n">
        <v>145.75</v>
      </c>
      <c r="W27" s="25" t="n">
        <v>71540</v>
      </c>
      <c r="X27" s="25" t="n">
        <v>2170</v>
      </c>
      <c r="Y27" s="25" t="n">
        <v>4467</v>
      </c>
      <c r="Z27" s="25" t="n">
        <v>4.42</v>
      </c>
      <c r="AA27" s="25" t="n">
        <v>13.68</v>
      </c>
      <c r="AB27" s="25" t="n">
        <v>77.8</v>
      </c>
      <c r="AC27" s="25" t="n">
        <v>12.49</v>
      </c>
      <c r="AD27" s="25" t="n">
        <v>3.66</v>
      </c>
      <c r="AE27" s="25" t="n">
        <v>4.73</v>
      </c>
      <c r="AF27" s="25" t="n">
        <v>24.03</v>
      </c>
      <c r="AH27" s="25" t="n">
        <v>13.64</v>
      </c>
      <c r="AI27" s="25" t="n">
        <v>191.05</v>
      </c>
      <c r="AJ27" s="25" t="n">
        <v>40.96</v>
      </c>
      <c r="AK27" s="25" t="n">
        <v>47.1</v>
      </c>
      <c r="AL27" s="25" t="n">
        <v>250.55</v>
      </c>
      <c r="AM27" s="25" t="n">
        <v>9.25</v>
      </c>
      <c r="AN27" s="25" t="n">
        <v>414.04</v>
      </c>
      <c r="AO27" s="25" t="n">
        <v>1563</v>
      </c>
      <c r="AP27" s="25" t="n">
        <v>447.4</v>
      </c>
      <c r="AQ27" s="25" t="n">
        <v>1072</v>
      </c>
      <c r="AR27" s="25" t="n">
        <v>13.18</v>
      </c>
      <c r="AS27" s="25" t="n">
        <v>76.16</v>
      </c>
      <c r="AT27" s="25" t="n">
        <v>123.24</v>
      </c>
      <c r="AU27" s="25" t="n">
        <v>11.23</v>
      </c>
      <c r="AV27" s="25" t="n">
        <v>13.64</v>
      </c>
    </row>
    <row r="28">
      <c r="A28" s="46" t="n">
        <v>46260</v>
      </c>
      <c r="B28" s="25" t="n">
        <v>38.59</v>
      </c>
      <c r="C28" s="25" t="n">
        <v>150.7</v>
      </c>
      <c r="D28" s="25" t="n">
        <v>13.73</v>
      </c>
      <c r="E28" s="25" t="n">
        <v>20.1</v>
      </c>
      <c r="F28" s="25" t="n">
        <v>5.15</v>
      </c>
      <c r="G28" s="25" t="n">
        <v>45.11</v>
      </c>
      <c r="H28" s="25" t="n">
        <v>362.32</v>
      </c>
      <c r="I28" s="25" t="n">
        <v>25</v>
      </c>
      <c r="J28" s="25" t="n">
        <v>29.23</v>
      </c>
      <c r="K28" s="25" t="n">
        <v>5.96</v>
      </c>
      <c r="L28" s="25" t="n">
        <v>116.35</v>
      </c>
      <c r="M28" s="25" t="n">
        <v>21.43</v>
      </c>
      <c r="N28" s="25" t="n">
        <v>77.18000000000001</v>
      </c>
      <c r="O28" s="25" t="n">
        <v>53.58</v>
      </c>
      <c r="P28" s="25" t="n">
        <v>21.15</v>
      </c>
      <c r="Q28" s="25" t="n">
        <v>89.47</v>
      </c>
      <c r="R28" s="25" t="n">
        <v>123.64</v>
      </c>
      <c r="S28" s="25" t="n">
        <v>58.16</v>
      </c>
      <c r="T28" s="25" t="n">
        <v>2.82</v>
      </c>
      <c r="U28" s="25" t="n">
        <v>31.08</v>
      </c>
      <c r="V28" s="25" t="n">
        <v>147.75</v>
      </c>
      <c r="W28" s="25" t="n">
        <v>72120</v>
      </c>
      <c r="X28" s="25" t="n">
        <v>2166.5</v>
      </c>
      <c r="Y28" s="25" t="n">
        <v>4536</v>
      </c>
      <c r="Z28" s="25" t="n">
        <v>4.46</v>
      </c>
      <c r="AA28" s="25" t="n">
        <v>13.57</v>
      </c>
      <c r="AB28" s="25" t="n">
        <v>78.75</v>
      </c>
      <c r="AC28" s="25" t="n">
        <v>12.64</v>
      </c>
      <c r="AD28" s="25" t="n">
        <v>3.75</v>
      </c>
      <c r="AE28" s="25" t="n">
        <v>4.76</v>
      </c>
      <c r="AF28" s="25" t="n">
        <v>24.14</v>
      </c>
      <c r="AH28" s="25" t="n">
        <v>13.89</v>
      </c>
      <c r="AI28" s="25" t="n">
        <v>191</v>
      </c>
      <c r="AJ28" s="25" t="n">
        <v>40.86</v>
      </c>
      <c r="AK28" s="25" t="n">
        <v>47.59</v>
      </c>
      <c r="AL28" s="25" t="n">
        <v>252.75</v>
      </c>
      <c r="AM28" s="25" t="n">
        <v>9.52</v>
      </c>
      <c r="AN28" s="25" t="n">
        <v>412.83</v>
      </c>
      <c r="AO28" s="25" t="n">
        <v>1547.5</v>
      </c>
      <c r="AP28" s="25" t="n">
        <v>453.8</v>
      </c>
      <c r="AQ28" s="25" t="n">
        <v>1088</v>
      </c>
      <c r="AR28" s="25" t="n">
        <v>13.6</v>
      </c>
      <c r="AS28" s="25" t="n">
        <v>78.51000000000001</v>
      </c>
      <c r="AT28" s="25" t="n">
        <v>130.25</v>
      </c>
      <c r="AU28" s="25" t="n">
        <v>11.28</v>
      </c>
      <c r="AV28" s="25" t="n">
        <v>13.73</v>
      </c>
    </row>
    <row r="29">
      <c r="A29" s="46" t="n">
        <v>46259</v>
      </c>
      <c r="B29" s="25" t="n">
        <v>39.48</v>
      </c>
      <c r="C29" s="25" t="n">
        <v>152.6</v>
      </c>
      <c r="D29" s="25" t="n">
        <v>13.65</v>
      </c>
      <c r="E29" s="25" t="n">
        <v>20.47</v>
      </c>
      <c r="F29" s="25" t="n">
        <v>5.12</v>
      </c>
      <c r="G29" s="25" t="n">
        <v>45.5</v>
      </c>
      <c r="H29" s="25" t="n">
        <v>362.6</v>
      </c>
      <c r="I29" s="25" t="n">
        <v>25</v>
      </c>
      <c r="J29" s="25" t="n">
        <v>28.83</v>
      </c>
      <c r="K29" s="25" t="n">
        <v>5.93</v>
      </c>
      <c r="L29" s="25" t="n">
        <v>118.33</v>
      </c>
      <c r="M29" s="25" t="n">
        <v>21.1</v>
      </c>
      <c r="N29" s="25" t="n">
        <v>80.01000000000001</v>
      </c>
      <c r="O29" s="25" t="n">
        <v>54.59</v>
      </c>
      <c r="P29" s="25" t="n">
        <v>20.15</v>
      </c>
      <c r="Q29" s="25" t="n">
        <v>88.73999999999999</v>
      </c>
      <c r="R29" s="25" t="n">
        <v>122.89</v>
      </c>
      <c r="S29" s="25" t="n">
        <v>58.94</v>
      </c>
      <c r="T29" s="25" t="n">
        <v>2.83</v>
      </c>
      <c r="U29" s="25" t="n">
        <v>31.59</v>
      </c>
      <c r="V29" s="25" t="n">
        <v>108.9</v>
      </c>
      <c r="W29" s="25" t="n">
        <v>72530</v>
      </c>
      <c r="X29" s="25" t="n">
        <v>2185</v>
      </c>
      <c r="Y29" s="25" t="n">
        <v>4695</v>
      </c>
      <c r="Z29" s="25" t="n">
        <v>4.48</v>
      </c>
      <c r="AA29" s="25" t="n">
        <v>13.57</v>
      </c>
      <c r="AB29" s="25" t="n">
        <v>71.90000000000001</v>
      </c>
      <c r="AC29" s="25" t="n">
        <v>12.77</v>
      </c>
      <c r="AD29" s="25" t="n">
        <v>3.79</v>
      </c>
      <c r="AE29" s="25" t="n">
        <v>4.76</v>
      </c>
      <c r="AF29" s="25" t="n">
        <v>24.03</v>
      </c>
      <c r="AH29" s="25" t="n">
        <v>13.85</v>
      </c>
      <c r="AI29" s="25" t="n">
        <v>187.05</v>
      </c>
      <c r="AJ29" s="25" t="n">
        <v>40.9</v>
      </c>
      <c r="AK29" s="25" t="n">
        <v>47.18</v>
      </c>
      <c r="AL29" s="25" t="n">
        <v>247.2</v>
      </c>
      <c r="AM29" s="25" t="n">
        <v>9.369999999999999</v>
      </c>
      <c r="AN29" s="25" t="n">
        <v>421.85</v>
      </c>
      <c r="AO29" s="25" t="n">
        <v>1556.5</v>
      </c>
      <c r="AP29" s="25" t="n">
        <v>450.7</v>
      </c>
      <c r="AQ29" s="25" t="n">
        <v>1080</v>
      </c>
      <c r="AR29" s="25" t="n">
        <v>13.3</v>
      </c>
      <c r="AS29" s="25" t="n">
        <v>74.52</v>
      </c>
      <c r="AT29" s="25" t="n">
        <v>130.12</v>
      </c>
      <c r="AU29" s="25" t="n">
        <v>11.37</v>
      </c>
      <c r="AV29" s="25" t="n">
        <v>13.65</v>
      </c>
    </row>
    <row r="30">
      <c r="A30" s="46" t="n">
        <v>46258</v>
      </c>
      <c r="B30" s="25" t="n">
        <v>40.75</v>
      </c>
      <c r="C30" s="25" t="n">
        <v>155.25</v>
      </c>
      <c r="D30" s="25" t="n">
        <v>13.86</v>
      </c>
      <c r="E30" s="25" t="n">
        <v>20.87</v>
      </c>
      <c r="F30" s="25" t="n">
        <v>5.37</v>
      </c>
      <c r="G30" s="25" t="n">
        <v>45.91</v>
      </c>
      <c r="H30" s="25" t="n">
        <v>370.82</v>
      </c>
      <c r="I30" s="25" t="n">
        <v>25.29</v>
      </c>
      <c r="J30" s="25" t="n">
        <v>29.51</v>
      </c>
      <c r="K30" s="25" t="n">
        <v>6.07</v>
      </c>
      <c r="L30" s="25" t="n">
        <v>122.78</v>
      </c>
      <c r="M30" s="25" t="n">
        <v>21.72</v>
      </c>
      <c r="N30" s="25" t="n">
        <v>83.23</v>
      </c>
      <c r="O30" s="25" t="n">
        <v>54.95</v>
      </c>
      <c r="P30" s="25" t="n">
        <v>20.36</v>
      </c>
      <c r="Q30" s="25" t="n">
        <v>92.08</v>
      </c>
      <c r="R30" s="25" t="n">
        <v>125.84</v>
      </c>
      <c r="S30" s="25" t="n">
        <v>60.08</v>
      </c>
      <c r="T30" s="25" t="n">
        <v>2.82</v>
      </c>
      <c r="U30" s="25" t="n">
        <v>31.24</v>
      </c>
      <c r="V30" s="25" t="n">
        <v>112.36</v>
      </c>
      <c r="W30" s="25" t="n">
        <v>72840</v>
      </c>
      <c r="X30" s="25" t="n">
        <v>2172</v>
      </c>
      <c r="Y30" s="25" t="n">
        <v>4766</v>
      </c>
      <c r="Z30" s="25" t="n">
        <v>4.44</v>
      </c>
      <c r="AA30" s="25" t="n">
        <v>13.66</v>
      </c>
      <c r="AB30" s="25" t="n">
        <v>72.7</v>
      </c>
      <c r="AC30" s="25" t="n">
        <v>12.71</v>
      </c>
      <c r="AD30" s="25" t="n">
        <v>3.57</v>
      </c>
      <c r="AE30" s="25" t="n">
        <v>4.74</v>
      </c>
      <c r="AF30" s="25" t="n">
        <v>24.17</v>
      </c>
      <c r="AH30" s="25" t="n">
        <v>14.31</v>
      </c>
      <c r="AI30" s="25" t="n">
        <v>188.2</v>
      </c>
      <c r="AJ30" s="25" t="n">
        <v>40.78</v>
      </c>
      <c r="AK30" s="25" t="n">
        <v>48.25</v>
      </c>
      <c r="AL30" s="25" t="n">
        <v>255.75</v>
      </c>
      <c r="AM30" s="25" t="n">
        <v>9.32</v>
      </c>
      <c r="AN30" s="25" t="n">
        <v>424.44</v>
      </c>
      <c r="AO30" s="25" t="n">
        <v>1580.5</v>
      </c>
      <c r="AP30" s="25" t="n">
        <v>459.35</v>
      </c>
      <c r="AQ30" s="25" t="n">
        <v>1078</v>
      </c>
      <c r="AR30" s="25" t="n">
        <v>13.68</v>
      </c>
      <c r="AS30" s="25" t="n">
        <v>77.03</v>
      </c>
      <c r="AT30" s="25" t="n">
        <v>132.16</v>
      </c>
      <c r="AU30" s="25" t="n">
        <v>11.4</v>
      </c>
      <c r="AV30" s="25" t="n">
        <v>13.86</v>
      </c>
    </row>
    <row r="31">
      <c r="A31" s="46" t="n">
        <v>46255</v>
      </c>
      <c r="B31" s="25" t="n">
        <v>40.76</v>
      </c>
      <c r="C31" s="25" t="n">
        <v>154.45</v>
      </c>
      <c r="D31" s="25" t="n">
        <v>13.9</v>
      </c>
      <c r="E31" s="25" t="n">
        <v>20.96</v>
      </c>
      <c r="F31" s="25" t="n">
        <v>5.39</v>
      </c>
      <c r="G31" s="25" t="n">
        <v>46.08</v>
      </c>
      <c r="H31" s="25" t="n">
        <v>372.59</v>
      </c>
      <c r="I31" s="25" t="n">
        <v>25.02</v>
      </c>
      <c r="J31" s="25" t="n">
        <v>30.02</v>
      </c>
      <c r="K31" s="25" t="n">
        <v>6.09</v>
      </c>
      <c r="L31" s="25" t="n">
        <v>121.07</v>
      </c>
      <c r="M31" s="25" t="n">
        <v>21.49</v>
      </c>
      <c r="N31" s="25" t="n">
        <v>82.01000000000001</v>
      </c>
      <c r="O31" s="25" t="n">
        <v>56.17</v>
      </c>
      <c r="P31" s="25" t="n">
        <v>19.8</v>
      </c>
      <c r="Q31" s="25" t="n">
        <v>91.68000000000001</v>
      </c>
      <c r="R31" s="25" t="n">
        <v>122.11</v>
      </c>
      <c r="S31" s="25" t="n">
        <v>60.33</v>
      </c>
      <c r="T31" s="25" t="n">
        <v>2.84</v>
      </c>
      <c r="U31" s="25" t="n">
        <v>32.63</v>
      </c>
      <c r="V31" s="25" t="n">
        <v>109.01</v>
      </c>
      <c r="W31" s="25" t="n">
        <v>73510</v>
      </c>
      <c r="X31" s="25" t="n">
        <v>2139</v>
      </c>
      <c r="Y31" s="25" t="n">
        <v>4689</v>
      </c>
      <c r="Z31" s="25" t="n">
        <v>4.65</v>
      </c>
      <c r="AA31" s="25" t="n">
        <v>14.25</v>
      </c>
      <c r="AB31" s="25" t="n">
        <v>74.09999999999999</v>
      </c>
      <c r="AC31" s="25" t="n">
        <v>13.15</v>
      </c>
      <c r="AD31" s="25" t="n">
        <v>3.51</v>
      </c>
      <c r="AE31" s="25" t="n">
        <v>4.91</v>
      </c>
      <c r="AF31" s="25" t="n">
        <v>24.29</v>
      </c>
      <c r="AH31" s="25" t="n">
        <v>14.37</v>
      </c>
      <c r="AI31" s="25" t="n">
        <v>185.75</v>
      </c>
      <c r="AJ31" s="25" t="n">
        <v>41.1</v>
      </c>
      <c r="AK31" s="25" t="n">
        <v>47.1</v>
      </c>
      <c r="AL31" s="25" t="n">
        <v>254.3</v>
      </c>
      <c r="AM31" s="25" t="n">
        <v>9.27</v>
      </c>
      <c r="AN31" s="25" t="n">
        <v>436.54</v>
      </c>
      <c r="AO31" s="25" t="n">
        <v>1573</v>
      </c>
      <c r="AP31" s="25" t="n">
        <v>452.5</v>
      </c>
      <c r="AQ31" s="25" t="n">
        <v>1069.5</v>
      </c>
      <c r="AR31" s="25" t="n">
        <v>13.65</v>
      </c>
      <c r="AS31" s="25" t="n">
        <v>78.5</v>
      </c>
      <c r="AT31" s="25" t="n">
        <v>130.17</v>
      </c>
      <c r="AU31" s="25" t="n">
        <v>12.02</v>
      </c>
      <c r="AV31" s="25" t="n">
        <v>13.9</v>
      </c>
    </row>
    <row r="32">
      <c r="A32" s="46" t="n">
        <v>46254</v>
      </c>
      <c r="B32" s="25" t="n">
        <v>40.21</v>
      </c>
      <c r="C32" s="25" t="n">
        <v>151</v>
      </c>
      <c r="D32" s="25" t="n">
        <v>13.63</v>
      </c>
      <c r="E32" s="25" t="n">
        <v>20.45</v>
      </c>
      <c r="F32" s="25" t="n">
        <v>5.3</v>
      </c>
      <c r="G32" s="25" t="n">
        <v>45.71</v>
      </c>
      <c r="H32" s="25" t="n">
        <v>372.52</v>
      </c>
      <c r="I32" s="25" t="n">
        <v>25.06</v>
      </c>
      <c r="J32" s="25" t="n">
        <v>29.9</v>
      </c>
      <c r="K32" s="25" t="n">
        <v>5.79</v>
      </c>
      <c r="L32" s="25" t="n">
        <v>115.69</v>
      </c>
      <c r="M32" s="25" t="n">
        <v>21.23</v>
      </c>
      <c r="N32" s="25" t="n">
        <v>78.98999999999999</v>
      </c>
      <c r="O32" s="25" t="n">
        <v>55.45</v>
      </c>
      <c r="P32" s="25" t="n">
        <v>19.65</v>
      </c>
      <c r="Q32" s="25" t="n">
        <v>88.86</v>
      </c>
      <c r="R32" s="25" t="n">
        <v>123.09</v>
      </c>
      <c r="S32" s="25" t="n">
        <v>59.44</v>
      </c>
      <c r="T32" s="25" t="n">
        <v>2.8</v>
      </c>
      <c r="U32" s="25" t="n">
        <v>32.53</v>
      </c>
      <c r="V32" s="25" t="n">
        <v>105.02</v>
      </c>
      <c r="W32" s="25" t="n">
        <v>76280</v>
      </c>
      <c r="X32" s="25" t="n">
        <v>2138.5</v>
      </c>
      <c r="Y32" s="25" t="n">
        <v>4917</v>
      </c>
      <c r="Z32" s="25" t="n">
        <v>4.64</v>
      </c>
      <c r="AA32" s="25" t="n">
        <v>14.46</v>
      </c>
      <c r="AB32" s="25" t="n">
        <v>74.90000000000001</v>
      </c>
      <c r="AC32" s="25" t="n">
        <v>14.15</v>
      </c>
      <c r="AD32" s="25" t="n">
        <v>3.57</v>
      </c>
      <c r="AE32" s="25" t="n">
        <v>4.83</v>
      </c>
      <c r="AF32" s="25" t="n">
        <v>24.97</v>
      </c>
      <c r="AH32" s="25" t="n">
        <v>13.95</v>
      </c>
      <c r="AI32" s="25" t="n">
        <v>182.95</v>
      </c>
      <c r="AJ32" s="25" t="n">
        <v>41.24</v>
      </c>
      <c r="AK32" s="25" t="n">
        <v>46.94</v>
      </c>
      <c r="AL32" s="25" t="n">
        <v>250.6</v>
      </c>
      <c r="AM32" s="25" t="n">
        <v>9.119999999999999</v>
      </c>
      <c r="AN32" s="25" t="n">
        <v>428.37</v>
      </c>
      <c r="AO32" s="25" t="n">
        <v>1549.5</v>
      </c>
      <c r="AP32" s="25" t="n">
        <v>443.1</v>
      </c>
      <c r="AQ32" s="25" t="n">
        <v>1056.5</v>
      </c>
      <c r="AR32" s="25" t="n">
        <v>13.77</v>
      </c>
      <c r="AS32" s="25" t="n">
        <v>76.09</v>
      </c>
      <c r="AT32" s="25" t="n">
        <v>129.82</v>
      </c>
      <c r="AU32" s="25" t="n">
        <v>11.78</v>
      </c>
      <c r="AV32" s="25" t="n">
        <v>13.63</v>
      </c>
    </row>
    <row r="33">
      <c r="A33" s="46" t="n">
        <v>46253</v>
      </c>
      <c r="B33" s="25" t="n">
        <v>41.05</v>
      </c>
      <c r="C33" s="25" t="n">
        <v>155.9</v>
      </c>
      <c r="D33" s="25" t="n">
        <v>13.77</v>
      </c>
      <c r="E33" s="25" t="n">
        <v>20.85</v>
      </c>
      <c r="F33" s="25" t="n">
        <v>5.25</v>
      </c>
      <c r="G33" s="25" t="n">
        <v>47.34</v>
      </c>
      <c r="H33" s="25" t="n">
        <v>377.96</v>
      </c>
      <c r="I33" s="25" t="n">
        <v>25.53</v>
      </c>
      <c r="J33" s="25" t="n">
        <v>31.26</v>
      </c>
      <c r="K33" s="25" t="n">
        <v>6.16</v>
      </c>
      <c r="L33" s="25" t="n">
        <v>119.45</v>
      </c>
      <c r="M33" s="25" t="n">
        <v>22</v>
      </c>
      <c r="N33" s="25" t="n">
        <v>82.17</v>
      </c>
      <c r="O33" s="25" t="n">
        <v>57.03</v>
      </c>
      <c r="P33" s="25" t="n">
        <v>20.1</v>
      </c>
      <c r="Q33" s="25" t="n">
        <v>91.56999999999999</v>
      </c>
      <c r="R33" s="25" t="n">
        <v>125.73</v>
      </c>
      <c r="S33" s="25" t="n">
        <v>60.32</v>
      </c>
      <c r="T33" s="25" t="n">
        <v>2.82</v>
      </c>
      <c r="U33" s="25" t="n">
        <v>34.02</v>
      </c>
      <c r="V33" s="25" t="n">
        <v>105.45</v>
      </c>
      <c r="W33" s="25" t="n">
        <v>74940</v>
      </c>
      <c r="X33" s="25" t="n">
        <v>2100</v>
      </c>
      <c r="Y33" s="25" t="n">
        <v>4853</v>
      </c>
      <c r="Z33" s="25" t="n">
        <v>4.69</v>
      </c>
      <c r="AA33" s="25" t="n">
        <v>14.21</v>
      </c>
      <c r="AB33" s="25" t="n">
        <v>73.65000000000001</v>
      </c>
      <c r="AC33" s="25" t="n">
        <v>14.15</v>
      </c>
      <c r="AD33" s="25" t="n">
        <v>3.52</v>
      </c>
      <c r="AE33" s="25" t="n">
        <v>4.93</v>
      </c>
      <c r="AF33" s="25" t="n">
        <v>25.2</v>
      </c>
      <c r="AH33" s="25" t="n">
        <v>14.37</v>
      </c>
      <c r="AI33" s="25" t="n">
        <v>185.45</v>
      </c>
      <c r="AJ33" s="25" t="n">
        <v>40.9</v>
      </c>
      <c r="AK33" s="25" t="n">
        <v>47.67</v>
      </c>
      <c r="AL33" s="25" t="n">
        <v>260.05</v>
      </c>
      <c r="AM33" s="25" t="n">
        <v>9.34</v>
      </c>
      <c r="AN33" s="25" t="n">
        <v>425.18</v>
      </c>
      <c r="AO33" s="25" t="n">
        <v>1582.5</v>
      </c>
      <c r="AP33" s="25" t="n">
        <v>456</v>
      </c>
      <c r="AQ33" s="25" t="n">
        <v>1083</v>
      </c>
      <c r="AR33" s="25" t="n">
        <v>14.4</v>
      </c>
      <c r="AS33" s="25" t="n">
        <v>78.98999999999999</v>
      </c>
      <c r="AT33" s="25" t="n">
        <v>131.72</v>
      </c>
      <c r="AU33" s="25" t="n">
        <v>12.08</v>
      </c>
      <c r="AV33" s="25" t="n">
        <v>13.77</v>
      </c>
    </row>
    <row r="34">
      <c r="A34" s="46" t="n">
        <v>46252</v>
      </c>
      <c r="B34" s="25" t="n">
        <v>40.06</v>
      </c>
      <c r="C34" s="25" t="n">
        <v>154.7</v>
      </c>
      <c r="D34" s="25" t="n">
        <v>13.47</v>
      </c>
      <c r="E34" s="25" t="n">
        <v>19.99</v>
      </c>
      <c r="F34" s="25" t="n">
        <v>5.07</v>
      </c>
      <c r="G34" s="25" t="n">
        <v>46.75</v>
      </c>
      <c r="H34" s="25" t="n">
        <v>378.25</v>
      </c>
      <c r="I34" s="25" t="n">
        <v>25.83</v>
      </c>
      <c r="J34" s="25" t="n">
        <v>31.03</v>
      </c>
      <c r="K34" s="25" t="n">
        <v>5.93</v>
      </c>
      <c r="L34" s="25" t="n">
        <v>119.01</v>
      </c>
      <c r="M34" s="25" t="n">
        <v>22.01</v>
      </c>
      <c r="N34" s="25" t="n">
        <v>82.3</v>
      </c>
      <c r="O34" s="25" t="n">
        <v>55.76</v>
      </c>
      <c r="P34" s="25" t="n">
        <v>20.08</v>
      </c>
      <c r="Q34" s="25" t="n">
        <v>89.51000000000001</v>
      </c>
      <c r="R34" s="25" t="n">
        <v>128.66</v>
      </c>
      <c r="S34" s="25" t="n">
        <v>57.89</v>
      </c>
      <c r="T34" s="25" t="n">
        <v>2.73</v>
      </c>
      <c r="U34" s="25" t="n">
        <v>33.62</v>
      </c>
      <c r="V34" s="25" t="n">
        <v>103.38</v>
      </c>
      <c r="W34" s="25" t="n">
        <v>75010</v>
      </c>
      <c r="X34" s="25" t="n">
        <v>2119</v>
      </c>
      <c r="Y34" s="25" t="n">
        <v>4897</v>
      </c>
      <c r="Z34" s="25" t="n">
        <v>4.61</v>
      </c>
      <c r="AA34" s="25" t="n">
        <v>14.25</v>
      </c>
      <c r="AB34" s="25" t="n">
        <v>72.09999999999999</v>
      </c>
      <c r="AC34" s="25" t="n">
        <v>14.1</v>
      </c>
      <c r="AD34" s="25" t="n">
        <v>3.52</v>
      </c>
      <c r="AE34" s="25" t="n">
        <v>4.81</v>
      </c>
      <c r="AF34" s="25" t="n">
        <v>26.37</v>
      </c>
      <c r="AH34" s="25" t="n">
        <v>14.31</v>
      </c>
      <c r="AI34" s="25" t="n">
        <v>187.05</v>
      </c>
      <c r="AJ34" s="25" t="n">
        <v>41.54</v>
      </c>
      <c r="AK34" s="25" t="n">
        <v>47.17</v>
      </c>
      <c r="AL34" s="25" t="n">
        <v>255.7</v>
      </c>
      <c r="AM34" s="25" t="n">
        <v>9.48</v>
      </c>
      <c r="AN34" s="25" t="n">
        <v>412.44</v>
      </c>
      <c r="AO34" s="25" t="n">
        <v>1560.5</v>
      </c>
      <c r="AP34" s="25" t="n">
        <v>447.75</v>
      </c>
      <c r="AQ34" s="25" t="n">
        <v>1074.5</v>
      </c>
      <c r="AR34" s="25" t="n">
        <v>14.42</v>
      </c>
      <c r="AS34" s="25" t="n">
        <v>78.73</v>
      </c>
      <c r="AT34" s="25" t="n">
        <v>132.26</v>
      </c>
      <c r="AU34" s="25" t="n">
        <v>11.82</v>
      </c>
      <c r="AV34" s="25" t="n">
        <v>13.47</v>
      </c>
    </row>
    <row r="35">
      <c r="A35" s="46" t="n">
        <v>46251</v>
      </c>
      <c r="B35" s="25" t="n">
        <v>39.09</v>
      </c>
      <c r="C35" s="25" t="n">
        <v>152.6</v>
      </c>
      <c r="D35" s="25" t="n">
        <v>13.37</v>
      </c>
      <c r="E35" s="25" t="n">
        <v>19.83</v>
      </c>
      <c r="F35" s="25" t="n">
        <v>5.29</v>
      </c>
      <c r="G35" s="25" t="n">
        <v>46.6</v>
      </c>
      <c r="H35" s="25" t="n">
        <v>379.31</v>
      </c>
      <c r="I35" s="25" t="n">
        <v>25.63</v>
      </c>
      <c r="J35" s="25" t="n">
        <v>31.31</v>
      </c>
      <c r="K35" s="25" t="n">
        <v>6.04</v>
      </c>
      <c r="L35" s="25" t="n">
        <v>115.74</v>
      </c>
      <c r="M35" s="25" t="n">
        <v>22.57</v>
      </c>
      <c r="N35" s="25" t="n">
        <v>81.77</v>
      </c>
      <c r="O35" s="25" t="n">
        <v>55.89</v>
      </c>
      <c r="P35" s="25" t="n">
        <v>20.18</v>
      </c>
      <c r="Q35" s="25" t="n">
        <v>90.11</v>
      </c>
      <c r="R35" s="25" t="n">
        <v>129.97</v>
      </c>
      <c r="S35" s="25" t="n">
        <v>57.09</v>
      </c>
      <c r="T35" s="25" t="n">
        <v>2.78</v>
      </c>
      <c r="U35" s="25" t="n">
        <v>32.57</v>
      </c>
      <c r="V35" s="25" t="n">
        <v>105.16</v>
      </c>
      <c r="W35" s="25" t="n">
        <v>76820</v>
      </c>
      <c r="X35" s="25" t="n">
        <v>2098</v>
      </c>
      <c r="Y35" s="25" t="n">
        <v>5148</v>
      </c>
      <c r="Z35" s="25" t="n">
        <v>4.59</v>
      </c>
      <c r="AA35" s="25" t="n">
        <v>14.45</v>
      </c>
      <c r="AB35" s="25" t="n">
        <v>72.15000000000001</v>
      </c>
      <c r="AC35" s="25" t="n">
        <v>14.26</v>
      </c>
      <c r="AD35" s="25" t="n">
        <v>3.58</v>
      </c>
      <c r="AE35" s="25" t="n">
        <v>4.67</v>
      </c>
      <c r="AF35" s="25" t="n">
        <v>26.42</v>
      </c>
      <c r="AH35" s="25" t="n">
        <v>14.48</v>
      </c>
      <c r="AI35" s="25" t="n">
        <v>186.4</v>
      </c>
      <c r="AJ35" s="25" t="n">
        <v>41.28</v>
      </c>
      <c r="AK35" s="25" t="n">
        <v>47.06</v>
      </c>
      <c r="AL35" s="25" t="n">
        <v>257.1</v>
      </c>
      <c r="AM35" s="25" t="n">
        <v>9.390000000000001</v>
      </c>
      <c r="AN35" s="25" t="n">
        <v>417.1</v>
      </c>
      <c r="AO35" s="25" t="n">
        <v>1550</v>
      </c>
      <c r="AP35" s="25" t="n">
        <v>446</v>
      </c>
      <c r="AQ35" s="25" t="n">
        <v>1050</v>
      </c>
      <c r="AR35" s="25" t="n">
        <v>14.67</v>
      </c>
      <c r="AS35" s="25" t="n">
        <v>78.18000000000001</v>
      </c>
      <c r="AT35" s="25" t="n">
        <v>129.02</v>
      </c>
      <c r="AU35" s="25" t="n">
        <v>11.77</v>
      </c>
      <c r="AV35" s="25" t="n">
        <v>13.37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54"/>
  <sheetViews>
    <sheetView tabSelected="1" zoomScale="82" zoomScaleNormal="82" workbookViewId="0">
      <pane xSplit="1" ySplit="2" topLeftCell="B3" activePane="bottomRight" state="frozen"/>
      <selection activeCell="A1" sqref="A1"/>
      <selection pane="topRight" activeCell="A1" sqref="A1"/>
      <selection pane="bottomLeft" activeCell="A1" sqref="A1"/>
      <selection pane="bottomRight" activeCell="G68" sqref="G68"/>
    </sheetView>
  </sheetViews>
  <sheetFormatPr baseColWidth="8" defaultColWidth="9" defaultRowHeight="16.8"/>
  <cols>
    <col width="29.3846153846154" customWidth="1" min="1" max="1"/>
    <col width="11" customWidth="1" min="2" max="35"/>
  </cols>
  <sheetData>
    <row r="1">
      <c r="A1" s="2" t="inlineStr">
        <is>
          <t>运动服饰 收盘价（本地货币）</t>
        </is>
      </c>
    </row>
    <row r="2">
      <c r="A2" s="4" t="inlineStr">
        <is>
          <t>Date</t>
        </is>
      </c>
      <c r="B2" s="5" t="inlineStr">
        <is>
          <t>NKE.N</t>
        </is>
      </c>
      <c r="C2" s="5" t="inlineStr">
        <is>
          <t>ADDY</t>
        </is>
      </c>
      <c r="D2" s="5" t="inlineStr">
        <is>
          <t>ZGN.N</t>
        </is>
      </c>
      <c r="E2" s="5" t="inlineStr">
        <is>
          <t>WWW.N</t>
        </is>
      </c>
      <c r="F2" s="5" t="inlineStr">
        <is>
          <t>VSCO.N</t>
        </is>
      </c>
      <c r="G2" s="5" t="inlineStr">
        <is>
          <t>UAA.N</t>
        </is>
      </c>
      <c r="H2" s="5" t="inlineStr">
        <is>
          <t>SKX.N</t>
        </is>
      </c>
      <c r="I2" s="5" t="inlineStr">
        <is>
          <t>SHOO.O</t>
        </is>
      </c>
      <c r="J2" s="5" t="inlineStr">
        <is>
          <t>RL.N</t>
        </is>
      </c>
      <c r="K2" s="5" t="inlineStr">
        <is>
          <t>PUM.DF</t>
        </is>
      </c>
      <c r="L2" s="5" t="inlineStr">
        <is>
          <t>ONON.N</t>
        </is>
      </c>
      <c r="M2" s="5" t="inlineStr">
        <is>
          <t>NWL.O</t>
        </is>
      </c>
      <c r="N2" s="5" t="inlineStr">
        <is>
          <t>LULU.O</t>
        </is>
      </c>
      <c r="O2" s="5" t="inlineStr">
        <is>
          <t>LEVI.N</t>
        </is>
      </c>
      <c r="P2" s="5" t="inlineStr">
        <is>
          <t>KTB.N</t>
        </is>
      </c>
      <c r="Q2" s="5" t="inlineStr">
        <is>
          <t>HBI.N</t>
        </is>
      </c>
      <c r="R2" s="5" t="inlineStr">
        <is>
          <t>GIL.N</t>
        </is>
      </c>
      <c r="S2" s="5" t="inlineStr">
        <is>
          <t>GAP.N</t>
        </is>
      </c>
      <c r="T2" s="5" t="inlineStr">
        <is>
          <t>DECK.N</t>
        </is>
      </c>
      <c r="U2" s="5" t="inlineStr">
        <is>
          <t>CROX.O</t>
        </is>
      </c>
      <c r="V2" s="5" t="inlineStr">
        <is>
          <t>COLM.O</t>
        </is>
      </c>
      <c r="W2" s="5" t="inlineStr">
        <is>
          <t>BZUN.O</t>
        </is>
      </c>
      <c r="X2" s="5" t="inlineStr">
        <is>
          <t>AS.N</t>
        </is>
      </c>
      <c r="Y2" s="5" t="inlineStr">
        <is>
          <t>ANF.N</t>
        </is>
      </c>
      <c r="Z2" s="5" t="inlineStr">
        <is>
          <t>9983.T</t>
        </is>
      </c>
      <c r="AA2" s="5" t="inlineStr">
        <is>
          <t>8111.T</t>
        </is>
      </c>
      <c r="AB2" s="5" t="inlineStr">
        <is>
          <t>7936.T</t>
        </is>
      </c>
      <c r="AC2" s="5" t="inlineStr">
        <is>
          <t>3998.HK</t>
        </is>
      </c>
      <c r="AD2" s="5" t="inlineStr">
        <is>
          <t>2331.HK</t>
        </is>
      </c>
      <c r="AE2" s="5" t="inlineStr">
        <is>
          <t>2020.HK</t>
        </is>
      </c>
      <c r="AF2" s="5" t="inlineStr">
        <is>
          <t>1836.HK</t>
        </is>
      </c>
      <c r="AG2" s="5" t="inlineStr">
        <is>
          <t>1368.HK</t>
        </is>
      </c>
      <c r="AH2" s="5" t="inlineStr">
        <is>
          <t>1361.HK</t>
        </is>
      </c>
      <c r="AI2" s="5" t="inlineStr">
        <is>
          <t>002832.SZ</t>
        </is>
      </c>
    </row>
    <row r="3">
      <c r="A3" s="47" t="n">
        <v>45257</v>
      </c>
      <c r="B3" t="n">
        <v>106.1998519897461</v>
      </c>
      <c r="C3" t="n">
        <v>188.3464508056641</v>
      </c>
      <c r="D3" t="n">
        <v>11.3301420211792</v>
      </c>
      <c r="E3" t="n">
        <v>8.415931701660156</v>
      </c>
      <c r="G3" t="n">
        <v>8.600000381469727</v>
      </c>
      <c r="I3" t="n">
        <v>36.31951141357422</v>
      </c>
      <c r="J3" t="n">
        <v>128.0952301025391</v>
      </c>
      <c r="K3" t="n">
        <v>57.08499526977539</v>
      </c>
      <c r="L3" t="n">
        <v>30.26000022888184</v>
      </c>
      <c r="M3" t="n">
        <v>7.063262462615967</v>
      </c>
      <c r="N3" t="n">
        <v>466.6099853515625</v>
      </c>
      <c r="O3" t="n">
        <v>14.56588935852051</v>
      </c>
      <c r="P3" t="n">
        <v>49.59310150146484</v>
      </c>
      <c r="R3" t="n">
        <v>35.42080307006836</v>
      </c>
      <c r="S3" t="n">
        <v>19.24784469604492</v>
      </c>
      <c r="T3" t="n">
        <v>114.1766662597656</v>
      </c>
      <c r="U3" t="n">
        <v>106.5599975585938</v>
      </c>
      <c r="V3" t="n">
        <v>75.90906524658203</v>
      </c>
      <c r="W3" t="n">
        <v>2.809999942779541</v>
      </c>
      <c r="Y3" t="n">
        <v>77.87999725341797</v>
      </c>
      <c r="Z3" t="n">
        <v>35938.93359375</v>
      </c>
      <c r="AA3" t="n">
        <v>3566.574462890625</v>
      </c>
      <c r="AB3" t="n">
        <v>1273.172485351562</v>
      </c>
      <c r="AC3" t="n">
        <v>2.698205709457397</v>
      </c>
      <c r="AD3" t="n">
        <v>19.26343154907227</v>
      </c>
      <c r="AE3" t="n">
        <v>72.14006805419922</v>
      </c>
      <c r="AF3" t="n">
        <v>7.196584224700928</v>
      </c>
      <c r="AG3" t="n">
        <v>3.506087064743042</v>
      </c>
      <c r="AH3" t="n">
        <v>2.818925380706787</v>
      </c>
      <c r="AI3" t="n">
        <v>29.64789962768555</v>
      </c>
    </row>
    <row r="4">
      <c r="A4" s="47" t="n">
        <v>45264</v>
      </c>
      <c r="B4" t="n">
        <v>108.4739532470703</v>
      </c>
      <c r="C4" t="n">
        <v>187.4931640625</v>
      </c>
      <c r="D4" t="n">
        <v>11.43612003326416</v>
      </c>
      <c r="E4" t="n">
        <v>8.277053833007812</v>
      </c>
      <c r="G4" t="n">
        <v>8.460000038146973</v>
      </c>
      <c r="I4" t="n">
        <v>36.69335556030273</v>
      </c>
      <c r="J4" t="n">
        <v>126.3026809692383</v>
      </c>
      <c r="K4" t="n">
        <v>53.63690948486328</v>
      </c>
      <c r="L4" t="n">
        <v>28.6299991607666</v>
      </c>
      <c r="M4" t="n">
        <v>7.333252906799316</v>
      </c>
      <c r="N4" t="n">
        <v>489.6400146484375</v>
      </c>
      <c r="O4" t="n">
        <v>13.93541049957275</v>
      </c>
      <c r="P4" t="n">
        <v>50.02758407592773</v>
      </c>
      <c r="R4" t="n">
        <v>34.82950973510742</v>
      </c>
      <c r="S4" t="n">
        <v>19.85220146179199</v>
      </c>
      <c r="T4" t="n">
        <v>115.8966674804688</v>
      </c>
      <c r="U4" t="n">
        <v>103.7399978637695</v>
      </c>
      <c r="V4" t="n">
        <v>76.25162506103516</v>
      </c>
      <c r="W4" t="n">
        <v>2.930000066757202</v>
      </c>
      <c r="Y4" t="n">
        <v>78.65000152587891</v>
      </c>
      <c r="Z4" t="n">
        <v>34049.9609375</v>
      </c>
      <c r="AA4" t="n">
        <v>3444.230224609375</v>
      </c>
      <c r="AB4" t="n">
        <v>1153.584716796875</v>
      </c>
      <c r="AC4" t="n">
        <v>2.788694620132446</v>
      </c>
      <c r="AD4" t="n">
        <v>18.9091625213623</v>
      </c>
      <c r="AE4" t="n">
        <v>67.11130523681641</v>
      </c>
      <c r="AF4" t="n">
        <v>7.316903591156006</v>
      </c>
      <c r="AG4" t="n">
        <v>3.568836688995361</v>
      </c>
      <c r="AH4" t="n">
        <v>2.786336421966553</v>
      </c>
      <c r="AI4" t="n">
        <v>29.39883041381836</v>
      </c>
    </row>
    <row r="5">
      <c r="A5" s="47" t="n">
        <v>45271</v>
      </c>
      <c r="B5" t="n">
        <v>113.7521286010742</v>
      </c>
      <c r="C5" t="n">
        <v>186.6786499023438</v>
      </c>
      <c r="D5" t="n">
        <v>11.26270008087158</v>
      </c>
      <c r="E5" t="n">
        <v>8.314087867736816</v>
      </c>
      <c r="G5" t="n">
        <v>8.600000381469727</v>
      </c>
      <c r="I5" t="n">
        <v>39.66344833374023</v>
      </c>
      <c r="J5" t="n">
        <v>135.2079010009766</v>
      </c>
      <c r="K5" t="n">
        <v>50.62940979003906</v>
      </c>
      <c r="L5" t="n">
        <v>30.8799991607666</v>
      </c>
      <c r="M5" t="n">
        <v>7.620660305023193</v>
      </c>
      <c r="N5" t="n">
        <v>491.4599914550781</v>
      </c>
      <c r="O5" t="n">
        <v>14.27846431732178</v>
      </c>
      <c r="P5" t="n">
        <v>54.26580810546875</v>
      </c>
      <c r="R5" t="n">
        <v>32.88393783569336</v>
      </c>
      <c r="S5" t="n">
        <v>19.51339530944824</v>
      </c>
      <c r="T5" t="n">
        <v>117.1350021362305</v>
      </c>
      <c r="U5" t="n">
        <v>107.1100006103516</v>
      </c>
      <c r="V5" t="n">
        <v>77.56484222412109</v>
      </c>
      <c r="W5" t="n">
        <v>2.970000028610229</v>
      </c>
      <c r="Y5" t="n">
        <v>84.16999816894531</v>
      </c>
      <c r="Z5" t="n">
        <v>34466.50390625</v>
      </c>
      <c r="AA5" t="n">
        <v>3458.168212890625</v>
      </c>
      <c r="AB5" t="n">
        <v>1100.596557617188</v>
      </c>
      <c r="AC5" t="n">
        <v>2.83044171333313</v>
      </c>
      <c r="AD5" t="n">
        <v>16.82782745361328</v>
      </c>
      <c r="AE5" t="n">
        <v>68.4827880859375</v>
      </c>
      <c r="AF5" t="n">
        <v>7.414662837982178</v>
      </c>
      <c r="AG5" t="n">
        <v>3.47471284866333</v>
      </c>
      <c r="AH5" t="n">
        <v>2.745600700378418</v>
      </c>
      <c r="AI5" t="n">
        <v>29.23871421813965</v>
      </c>
    </row>
    <row r="6">
      <c r="A6" s="47" t="n">
        <v>45278</v>
      </c>
      <c r="B6" t="n">
        <v>101.1088256835938</v>
      </c>
      <c r="C6" t="n">
        <v>178.5529022216797</v>
      </c>
      <c r="D6" t="n">
        <v>11.14708614349365</v>
      </c>
      <c r="E6" t="n">
        <v>8.443705558776855</v>
      </c>
      <c r="G6" t="n">
        <v>8.970000267028809</v>
      </c>
      <c r="I6" t="n">
        <v>40.51834106445312</v>
      </c>
      <c r="J6" t="n">
        <v>139.4448089599609</v>
      </c>
      <c r="K6" t="n">
        <v>47.79431915283203</v>
      </c>
      <c r="L6" t="n">
        <v>28.03000068664551</v>
      </c>
      <c r="M6" t="n">
        <v>7.455182075500488</v>
      </c>
      <c r="N6" t="n">
        <v>510</v>
      </c>
      <c r="O6" t="n">
        <v>15.23345375061035</v>
      </c>
      <c r="P6" t="n">
        <v>57.80227279663086</v>
      </c>
      <c r="R6" t="n">
        <v>31.19587135314941</v>
      </c>
      <c r="S6" t="n">
        <v>19.38519859313965</v>
      </c>
      <c r="T6" t="n">
        <v>115.6149978637695</v>
      </c>
      <c r="U6" t="n">
        <v>98.18000030517578</v>
      </c>
      <c r="V6" t="n">
        <v>76.30872344970703</v>
      </c>
      <c r="W6" t="n">
        <v>2.819999933242798</v>
      </c>
      <c r="Y6" t="n">
        <v>92.58000183105469</v>
      </c>
      <c r="Z6" t="n">
        <v>34495.5625</v>
      </c>
      <c r="AA6" t="n">
        <v>3119.0107421875</v>
      </c>
      <c r="AB6" t="n">
        <v>1089.415649414062</v>
      </c>
      <c r="AC6" t="n">
        <v>2.880537748336792</v>
      </c>
      <c r="AD6" t="n">
        <v>17.5363655090332</v>
      </c>
      <c r="AE6" t="n">
        <v>67.61418151855469</v>
      </c>
      <c r="AF6" t="n">
        <v>7.098824977874756</v>
      </c>
      <c r="AG6" t="n">
        <v>3.466869592666626</v>
      </c>
      <c r="AH6" t="n">
        <v>2.655981540679932</v>
      </c>
      <c r="AI6" t="n">
        <v>28.02006721496582</v>
      </c>
    </row>
    <row r="7">
      <c r="A7" s="47" t="n">
        <v>45285</v>
      </c>
      <c r="B7" t="n">
        <v>101.604850769043</v>
      </c>
      <c r="C7" t="n">
        <v>178.5722961425781</v>
      </c>
      <c r="D7" t="n">
        <v>11.14708614349365</v>
      </c>
      <c r="E7" t="n">
        <v>8.322216987609863</v>
      </c>
      <c r="G7" t="n">
        <v>8.789999961853027</v>
      </c>
      <c r="I7" t="n">
        <v>39.45676803588867</v>
      </c>
      <c r="J7" t="n">
        <v>138.9429779052734</v>
      </c>
      <c r="K7" t="n">
        <v>48.38815689086914</v>
      </c>
      <c r="L7" t="n">
        <v>26.96999931335449</v>
      </c>
      <c r="M7" t="n">
        <v>7.559694290161133</v>
      </c>
      <c r="N7" t="n">
        <v>511.2900085449219</v>
      </c>
      <c r="O7" t="n">
        <v>15.3354434967041</v>
      </c>
      <c r="P7" t="n">
        <v>57.63607025146484</v>
      </c>
      <c r="R7" t="n">
        <v>31.52967262268066</v>
      </c>
      <c r="S7" t="n">
        <v>19.14711952209473</v>
      </c>
      <c r="T7" t="n">
        <v>111.4049987792969</v>
      </c>
      <c r="U7" t="n">
        <v>93.41000366210938</v>
      </c>
      <c r="V7" t="n">
        <v>75.690185546875</v>
      </c>
      <c r="W7" t="n">
        <v>2.740000009536743</v>
      </c>
      <c r="Y7" t="n">
        <v>88.22000122070312</v>
      </c>
      <c r="Z7" t="n">
        <v>33894.96875</v>
      </c>
      <c r="AA7" t="n">
        <v>3139.14306640625</v>
      </c>
      <c r="AB7" t="n">
        <v>1083.466674804688</v>
      </c>
      <c r="AC7" t="n">
        <v>2.930634021759033</v>
      </c>
      <c r="AD7" t="n">
        <v>18.5106086730957</v>
      </c>
      <c r="AE7" t="n">
        <v>69.25994873046875</v>
      </c>
      <c r="AF7" t="n">
        <v>6.925866603851318</v>
      </c>
      <c r="AG7" t="n">
        <v>3.459025859832764</v>
      </c>
      <c r="AH7" t="n">
        <v>2.827072381973267</v>
      </c>
      <c r="AI7" t="n">
        <v>28.19796943664551</v>
      </c>
    </row>
    <row r="8">
      <c r="A8" s="47" t="n">
        <v>45292</v>
      </c>
      <c r="B8" t="n">
        <v>95.53120422363281</v>
      </c>
      <c r="C8" t="n">
        <v>168.2163391113281</v>
      </c>
      <c r="D8" t="n">
        <v>10.53048038482666</v>
      </c>
      <c r="E8" t="n">
        <v>7.236301422119141</v>
      </c>
      <c r="G8" t="n">
        <v>7.900000095367432</v>
      </c>
      <c r="I8" t="n">
        <v>38.46095657348633</v>
      </c>
      <c r="J8" t="n">
        <v>137.7096405029297</v>
      </c>
      <c r="K8" t="n">
        <v>44.98796081542969</v>
      </c>
      <c r="L8" t="n">
        <v>26.56999969482422</v>
      </c>
      <c r="M8" t="n">
        <v>7.324542045593262</v>
      </c>
      <c r="N8" t="n">
        <v>491.1000061035156</v>
      </c>
      <c r="O8" t="n">
        <v>14.91821575164795</v>
      </c>
      <c r="P8" t="n">
        <v>52.81612777709961</v>
      </c>
      <c r="R8" t="n">
        <v>30.3375301361084</v>
      </c>
      <c r="S8" t="n">
        <v>19.1747875213623</v>
      </c>
      <c r="T8" t="n">
        <v>108.7149963378906</v>
      </c>
      <c r="U8" t="n">
        <v>86.45999908447266</v>
      </c>
      <c r="V8" t="n">
        <v>71.72202301025391</v>
      </c>
      <c r="W8" t="n">
        <v>2.400000095367432</v>
      </c>
      <c r="Y8" t="n">
        <v>90.54000091552734</v>
      </c>
      <c r="Z8" t="n">
        <v>33420.30078125</v>
      </c>
      <c r="AA8" t="n">
        <v>2937.81689453125</v>
      </c>
      <c r="AB8" t="n">
        <v>1032.457153320312</v>
      </c>
      <c r="AC8" t="n">
        <v>2.897236585617065</v>
      </c>
      <c r="AD8" t="n">
        <v>16.68611717224121</v>
      </c>
      <c r="AE8" t="n">
        <v>64.13973999023438</v>
      </c>
      <c r="AF8" t="n">
        <v>7.309383392333984</v>
      </c>
      <c r="AG8" t="n">
        <v>2.964879274368286</v>
      </c>
      <c r="AH8" t="n">
        <v>2.786336421966553</v>
      </c>
      <c r="AI8" t="n">
        <v>27.99337768554688</v>
      </c>
    </row>
    <row r="9">
      <c r="A9" s="47" t="n">
        <v>45299</v>
      </c>
      <c r="B9" t="n">
        <v>98.32000732421875</v>
      </c>
      <c r="C9" t="n">
        <v>172.1531524658203</v>
      </c>
      <c r="D9" t="n">
        <v>10.45340442657471</v>
      </c>
      <c r="E9" t="n">
        <v>8.369022369384766</v>
      </c>
      <c r="G9" t="n">
        <v>7.920000076293945</v>
      </c>
      <c r="I9" t="n">
        <v>39.41918563842773</v>
      </c>
      <c r="J9" t="n">
        <v>132.9883117675781</v>
      </c>
      <c r="K9" t="n">
        <v>45.40939331054688</v>
      </c>
      <c r="L9" t="n">
        <v>28.02000045776367</v>
      </c>
      <c r="M9" t="n">
        <v>7.394217491149902</v>
      </c>
      <c r="N9" t="n">
        <v>479.9400024414062</v>
      </c>
      <c r="O9" t="n">
        <v>14.74205207824707</v>
      </c>
      <c r="P9" t="n">
        <v>53.12084197998047</v>
      </c>
      <c r="R9" t="n">
        <v>29.99419784545898</v>
      </c>
      <c r="S9" t="n">
        <v>18.66751670837402</v>
      </c>
      <c r="T9" t="n">
        <v>117.7799987792969</v>
      </c>
      <c r="U9" t="n">
        <v>103.3899993896484</v>
      </c>
      <c r="V9" t="n">
        <v>73.64424896240234</v>
      </c>
      <c r="W9" t="n">
        <v>2.240000009536743</v>
      </c>
      <c r="Y9" t="n">
        <v>96.79000091552734</v>
      </c>
      <c r="Z9" t="n">
        <v>37721.3515625</v>
      </c>
      <c r="AA9" t="n">
        <v>3194.895263671875</v>
      </c>
      <c r="AB9" t="n">
        <v>1092.540771484375</v>
      </c>
      <c r="AC9" t="n">
        <v>2.930634021759033</v>
      </c>
      <c r="AD9" t="n">
        <v>15.94214916229248</v>
      </c>
      <c r="AE9" t="n">
        <v>67.52274322509766</v>
      </c>
      <c r="AF9" t="n">
        <v>7.519942283630371</v>
      </c>
      <c r="AG9" t="n">
        <v>3.411964178085327</v>
      </c>
      <c r="AH9" t="n">
        <v>2.941133260726929</v>
      </c>
      <c r="AI9" t="n">
        <v>26.89926338195801</v>
      </c>
    </row>
    <row r="10">
      <c r="A10" s="47" t="n">
        <v>45306</v>
      </c>
      <c r="B10" t="n">
        <v>95.25044250488281</v>
      </c>
      <c r="C10" t="n">
        <v>159.6833343505859</v>
      </c>
      <c r="D10" t="n">
        <v>9.923508644104004</v>
      </c>
      <c r="E10" t="n">
        <v>7.713728427886963</v>
      </c>
      <c r="G10" t="n">
        <v>7.510000228881836</v>
      </c>
      <c r="I10" t="n">
        <v>38.98704528808594</v>
      </c>
      <c r="J10" t="n">
        <v>133.0557250976562</v>
      </c>
      <c r="K10" t="n">
        <v>40.27557373046875</v>
      </c>
      <c r="L10" t="n">
        <v>27.95999908447266</v>
      </c>
      <c r="M10" t="n">
        <v>7.098101139068604</v>
      </c>
      <c r="N10" t="n">
        <v>484.0199890136719</v>
      </c>
      <c r="O10" t="n">
        <v>14.46390056610107</v>
      </c>
      <c r="P10" t="n">
        <v>54.10883331298828</v>
      </c>
      <c r="R10" t="n">
        <v>30.61410713195801</v>
      </c>
      <c r="S10" t="n">
        <v>17.4685173034668</v>
      </c>
      <c r="T10" t="n">
        <v>124.875</v>
      </c>
      <c r="U10" t="n">
        <v>101.3499984741211</v>
      </c>
      <c r="V10" t="n">
        <v>74.60536193847656</v>
      </c>
      <c r="W10" t="n">
        <v>2.069999933242798</v>
      </c>
      <c r="Y10" t="n">
        <v>101.1100006103516</v>
      </c>
      <c r="Z10" t="n">
        <v>37624.4765625</v>
      </c>
      <c r="AA10" t="n">
        <v>3119.0107421875</v>
      </c>
      <c r="AB10" t="n">
        <v>1143.30517578125</v>
      </c>
      <c r="AC10" t="n">
        <v>2.880537748336792</v>
      </c>
      <c r="AD10" t="n">
        <v>14.33022308349609</v>
      </c>
      <c r="AE10" t="n">
        <v>60.11673355102539</v>
      </c>
      <c r="AF10" t="n">
        <v>7.700420379638672</v>
      </c>
      <c r="AG10" t="n">
        <v>3.145282506942749</v>
      </c>
      <c r="AH10" t="n">
        <v>2.908544540405273</v>
      </c>
      <c r="AI10" t="n">
        <v>27.59309387207031</v>
      </c>
    </row>
    <row r="11">
      <c r="A11" s="47" t="n">
        <v>45313</v>
      </c>
      <c r="B11" t="n">
        <v>96.15821075439453</v>
      </c>
      <c r="C11" t="n">
        <v>172.4634552001953</v>
      </c>
      <c r="D11" t="n">
        <v>10.92549419403076</v>
      </c>
      <c r="E11" t="n">
        <v>8.041376113891602</v>
      </c>
      <c r="G11" t="n">
        <v>7.679999828338623</v>
      </c>
      <c r="I11" t="n">
        <v>40.27408981323242</v>
      </c>
      <c r="J11" t="n">
        <v>138.8466033935547</v>
      </c>
      <c r="K11" t="n">
        <v>36.51140975952148</v>
      </c>
      <c r="L11" t="n">
        <v>26.25</v>
      </c>
      <c r="M11" t="n">
        <v>7.568403720855713</v>
      </c>
      <c r="N11" t="n">
        <v>478.0299987792969</v>
      </c>
      <c r="O11" t="n">
        <v>14.78841114044189</v>
      </c>
      <c r="P11" t="n">
        <v>55.87244415283203</v>
      </c>
      <c r="R11" t="n">
        <v>31.81578254699707</v>
      </c>
      <c r="S11" t="n">
        <v>18.20636367797852</v>
      </c>
      <c r="T11" t="n">
        <v>127.9649963378906</v>
      </c>
      <c r="U11" t="n">
        <v>102.9599990844727</v>
      </c>
      <c r="V11" t="n">
        <v>76.57518005371094</v>
      </c>
      <c r="W11" t="n">
        <v>2.359999895095825</v>
      </c>
      <c r="Y11" t="n">
        <v>103.8000030517578</v>
      </c>
      <c r="Z11" t="n">
        <v>37653.5390625</v>
      </c>
      <c r="AA11" t="n">
        <v>3066.35595703125</v>
      </c>
      <c r="AB11" t="n">
        <v>1107.009887695312</v>
      </c>
      <c r="AC11" t="n">
        <v>3.014127969741821</v>
      </c>
      <c r="AD11" t="n">
        <v>15.16275691986084</v>
      </c>
      <c r="AE11" t="n">
        <v>64.00260925292969</v>
      </c>
      <c r="AF11" t="n">
        <v>7.880898475646973</v>
      </c>
      <c r="AG11" t="n">
        <v>3.121751308441162</v>
      </c>
      <c r="AH11" t="n">
        <v>2.981868982315063</v>
      </c>
      <c r="AI11" t="n">
        <v>26.55234718322754</v>
      </c>
    </row>
    <row r="12">
      <c r="A12" s="47" t="n">
        <v>45320</v>
      </c>
      <c r="B12" t="n">
        <v>94.24908447265625</v>
      </c>
      <c r="C12" t="n">
        <v>169.7096099853516</v>
      </c>
      <c r="D12" t="n">
        <v>12.64042949676514</v>
      </c>
      <c r="E12" t="n">
        <v>8.022652626037598</v>
      </c>
      <c r="G12" t="n">
        <v>7.75</v>
      </c>
      <c r="I12" t="n">
        <v>39.82315063476562</v>
      </c>
      <c r="J12" t="n">
        <v>142.3828582763672</v>
      </c>
      <c r="K12" t="n">
        <v>36.83706283569336</v>
      </c>
      <c r="L12" t="n">
        <v>27.70000076293945</v>
      </c>
      <c r="M12" t="n">
        <v>7.246159553527832</v>
      </c>
      <c r="N12" t="n">
        <v>462.3999938964844</v>
      </c>
      <c r="O12" t="n">
        <v>15.03874683380127</v>
      </c>
      <c r="P12" t="n">
        <v>53.86876678466797</v>
      </c>
      <c r="R12" t="n">
        <v>32.13051223754883</v>
      </c>
      <c r="S12" t="n">
        <v>18.27092361450195</v>
      </c>
      <c r="T12" t="n">
        <v>147.0099945068359</v>
      </c>
      <c r="U12" t="n">
        <v>98.18000030517578</v>
      </c>
      <c r="V12" t="n">
        <v>77.42209625244141</v>
      </c>
      <c r="W12" t="n">
        <v>2.140000104904175</v>
      </c>
      <c r="X12" t="n">
        <v>14.94999980926514</v>
      </c>
      <c r="Y12" t="n">
        <v>109.4700012207031</v>
      </c>
      <c r="Z12" t="n">
        <v>37605.10546875</v>
      </c>
      <c r="AA12" t="n">
        <v>3027.32958984375</v>
      </c>
      <c r="AB12" t="n">
        <v>1126.629028320312</v>
      </c>
      <c r="AC12" t="n">
        <v>2.972380876541138</v>
      </c>
      <c r="AD12" t="n">
        <v>15.69416046142578</v>
      </c>
      <c r="AE12" t="n">
        <v>60.89389801025391</v>
      </c>
      <c r="AF12" t="n">
        <v>7.512421607971191</v>
      </c>
      <c r="AG12" t="n">
        <v>3.043315410614014</v>
      </c>
      <c r="AH12" t="n">
        <v>2.827072381973267</v>
      </c>
      <c r="AI12" t="n">
        <v>25.32480049133301</v>
      </c>
    </row>
    <row r="13">
      <c r="A13" s="47" t="n">
        <v>45327</v>
      </c>
      <c r="B13" t="n">
        <v>97.79594421386719</v>
      </c>
      <c r="C13" t="n">
        <v>166.5291290283203</v>
      </c>
      <c r="D13" t="n">
        <v>12.05272674560547</v>
      </c>
      <c r="E13" t="n">
        <v>8.228603363037109</v>
      </c>
      <c r="G13" t="n">
        <v>8.090000152587891</v>
      </c>
      <c r="I13" t="n">
        <v>39.2219123840332</v>
      </c>
      <c r="J13" t="n">
        <v>168.6297454833984</v>
      </c>
      <c r="K13" t="n">
        <v>38.8388671875</v>
      </c>
      <c r="L13" t="n">
        <v>29.5</v>
      </c>
      <c r="M13" t="n">
        <v>5.965888977050781</v>
      </c>
      <c r="N13" t="n">
        <v>470.239990234375</v>
      </c>
      <c r="O13" t="n">
        <v>16.59723472595215</v>
      </c>
      <c r="P13" t="n">
        <v>57.36829376220703</v>
      </c>
      <c r="R13" t="n">
        <v>32.64551162719727</v>
      </c>
      <c r="S13" t="n">
        <v>18.50150489807129</v>
      </c>
      <c r="T13" t="n">
        <v>140.8699951171875</v>
      </c>
      <c r="U13" t="n">
        <v>107.5400009155273</v>
      </c>
      <c r="V13" t="n">
        <v>76.17549896240234</v>
      </c>
      <c r="W13" t="n">
        <v>2.349999904632568</v>
      </c>
      <c r="X13" t="n">
        <v>14.9399995803833</v>
      </c>
      <c r="Y13" t="n">
        <v>110.1100006103516</v>
      </c>
      <c r="Z13" t="n">
        <v>38467.25</v>
      </c>
      <c r="AA13" t="n">
        <v>2808.658203125</v>
      </c>
      <c r="AB13" t="n">
        <v>1172.243408203125</v>
      </c>
      <c r="AC13" t="n">
        <v>3.080923080444336</v>
      </c>
      <c r="AD13" t="n">
        <v>16.50898170471191</v>
      </c>
      <c r="AE13" t="n">
        <v>64.59690856933594</v>
      </c>
      <c r="AF13" t="n">
        <v>7.670340538024902</v>
      </c>
      <c r="AG13" t="n">
        <v>3.043315410614014</v>
      </c>
      <c r="AH13" t="n">
        <v>2.998163461685181</v>
      </c>
      <c r="AI13" t="n">
        <v>29.10528755187988</v>
      </c>
    </row>
    <row r="14">
      <c r="A14" s="47" t="n">
        <v>45334</v>
      </c>
      <c r="B14" t="n">
        <v>96.86946105957031</v>
      </c>
      <c r="C14" t="n">
        <v>170.8926239013672</v>
      </c>
      <c r="D14" t="n">
        <v>12.4959135055542</v>
      </c>
      <c r="E14" t="n">
        <v>8.659223556518555</v>
      </c>
      <c r="G14" t="n">
        <v>8.069999694824219</v>
      </c>
      <c r="I14" t="n">
        <v>41.20413970947266</v>
      </c>
      <c r="J14" t="n">
        <v>174.2568664550781</v>
      </c>
      <c r="K14" t="n">
        <v>40.42881774902344</v>
      </c>
      <c r="L14" t="n">
        <v>31.73999977111816</v>
      </c>
      <c r="M14" t="n">
        <v>6.680053234100342</v>
      </c>
      <c r="N14" t="n">
        <v>449.6000061035156</v>
      </c>
      <c r="O14" t="n">
        <v>16.68129539489746</v>
      </c>
      <c r="P14" t="n">
        <v>58.19931411743164</v>
      </c>
      <c r="R14" t="n">
        <v>32.941162109375</v>
      </c>
      <c r="S14" t="n">
        <v>18.22481155395508</v>
      </c>
      <c r="T14" t="n">
        <v>143.8300018310547</v>
      </c>
      <c r="U14" t="n">
        <v>118.9800033569336</v>
      </c>
      <c r="V14" t="n">
        <v>77.1651611328125</v>
      </c>
      <c r="W14" t="n">
        <v>2.5</v>
      </c>
      <c r="X14" t="n">
        <v>15.97000026702881</v>
      </c>
      <c r="Y14" t="n">
        <v>120.9000015258789</v>
      </c>
      <c r="Z14" t="n">
        <v>40763.08203125</v>
      </c>
      <c r="AA14" t="n">
        <v>2767.463623046875</v>
      </c>
      <c r="AB14" t="n">
        <v>1447.647094726562</v>
      </c>
      <c r="AC14" t="n">
        <v>3.222862482070923</v>
      </c>
      <c r="AD14" t="n">
        <v>18.82059669494629</v>
      </c>
      <c r="AE14" t="n">
        <v>71.68292999267578</v>
      </c>
      <c r="AF14" t="n">
        <v>8.091457366943359</v>
      </c>
      <c r="AG14" t="n">
        <v>3.380589723587036</v>
      </c>
      <c r="AH14" t="n">
        <v>3.104076623916626</v>
      </c>
    </row>
    <row r="15">
      <c r="A15" s="47" t="n">
        <v>45341</v>
      </c>
      <c r="B15" t="n">
        <v>98.85345458984375</v>
      </c>
      <c r="C15" t="n">
        <v>183.0521240234375</v>
      </c>
      <c r="D15" t="n">
        <v>13.68095302581787</v>
      </c>
      <c r="E15" t="n">
        <v>9.248988151550293</v>
      </c>
      <c r="G15" t="n">
        <v>8.430000305175781</v>
      </c>
      <c r="I15" t="n">
        <v>41.7114372253418</v>
      </c>
      <c r="J15" t="n">
        <v>181.5701599121094</v>
      </c>
      <c r="K15" t="n">
        <v>40.52460098266602</v>
      </c>
      <c r="L15" t="n">
        <v>32.20000076293945</v>
      </c>
      <c r="M15" t="n">
        <v>6.314261913299561</v>
      </c>
      <c r="N15" t="n">
        <v>457.8900146484375</v>
      </c>
      <c r="O15" t="n">
        <v>16.98017692565918</v>
      </c>
      <c r="P15" t="n">
        <v>58.58713150024414</v>
      </c>
      <c r="R15" t="n">
        <v>33.81857299804688</v>
      </c>
      <c r="S15" t="n">
        <v>17.93889427185059</v>
      </c>
      <c r="T15" t="n">
        <v>146.7466735839844</v>
      </c>
      <c r="U15" t="n">
        <v>118.3099975585938</v>
      </c>
      <c r="V15" t="n">
        <v>78.72579193115234</v>
      </c>
      <c r="W15" t="n">
        <v>2.410000085830688</v>
      </c>
      <c r="X15" t="n">
        <v>15.53999996185303</v>
      </c>
      <c r="Y15" t="n">
        <v>122.8199996948242</v>
      </c>
      <c r="Z15" t="n">
        <v>41915.83984375</v>
      </c>
      <c r="AA15" t="n">
        <v>2724.720458984375</v>
      </c>
      <c r="AB15" t="n">
        <v>1539.121337890625</v>
      </c>
      <c r="AC15" t="n">
        <v>3.256260395050049</v>
      </c>
      <c r="AD15" t="n">
        <v>18.5106086730957</v>
      </c>
      <c r="AE15" t="n">
        <v>72.551513671875</v>
      </c>
      <c r="AF15" t="n">
        <v>7.880898475646973</v>
      </c>
      <c r="AG15" t="n">
        <v>3.372746467590332</v>
      </c>
      <c r="AH15" t="n">
        <v>3.381081342697144</v>
      </c>
      <c r="AI15" t="n">
        <v>27.20170021057129</v>
      </c>
    </row>
    <row r="16">
      <c r="A16" s="47" t="n">
        <v>45348</v>
      </c>
      <c r="B16" t="n">
        <v>95.68466949462891</v>
      </c>
      <c r="C16" t="n">
        <v>181.3261260986328</v>
      </c>
      <c r="D16" t="n">
        <v>14.01815986633301</v>
      </c>
      <c r="E16" t="n">
        <v>9.501740455627441</v>
      </c>
      <c r="G16" t="n">
        <v>8.890000343322754</v>
      </c>
      <c r="I16" t="n">
        <v>40.1237678527832</v>
      </c>
      <c r="J16" t="n">
        <v>178.2459259033203</v>
      </c>
      <c r="K16" t="n">
        <v>40.08401107788086</v>
      </c>
      <c r="L16" t="n">
        <v>34.65000152587891</v>
      </c>
      <c r="M16" t="n">
        <v>6.638681411743164</v>
      </c>
      <c r="N16" t="n">
        <v>458.5</v>
      </c>
      <c r="O16" t="n">
        <v>17.03621482849121</v>
      </c>
      <c r="P16" t="n">
        <v>54.55204772949219</v>
      </c>
      <c r="R16" t="n">
        <v>33.00791931152344</v>
      </c>
      <c r="S16" t="n">
        <v>17.57919311523438</v>
      </c>
      <c r="T16" t="n">
        <v>150.54833984375</v>
      </c>
      <c r="U16" t="n">
        <v>124.8099975585938</v>
      </c>
      <c r="V16" t="n">
        <v>77.26984405517578</v>
      </c>
      <c r="W16" t="n">
        <v>2.359999895095825</v>
      </c>
      <c r="X16" t="n">
        <v>17.65999984741211</v>
      </c>
      <c r="Y16" t="n">
        <v>131.3699951171875</v>
      </c>
      <c r="Z16" t="n">
        <v>43154.984375</v>
      </c>
      <c r="AA16" t="n">
        <v>2757.242431640625</v>
      </c>
      <c r="AB16" t="n">
        <v>1567.569091796875</v>
      </c>
      <c r="AC16" t="n">
        <v>3.314705610275269</v>
      </c>
      <c r="AD16" t="n">
        <v>17.75778579711914</v>
      </c>
      <c r="AE16" t="n">
        <v>69.62568664550781</v>
      </c>
      <c r="AF16" t="n">
        <v>8.046338081359863</v>
      </c>
      <c r="AG16" t="n">
        <v>3.45118236541748</v>
      </c>
      <c r="AH16" t="n">
        <v>3.446258068084717</v>
      </c>
      <c r="AI16" t="n">
        <v>27.44187355041504</v>
      </c>
    </row>
    <row r="17">
      <c r="A17" s="47" t="n">
        <v>45355</v>
      </c>
      <c r="B17" t="n">
        <v>93.13008880615234</v>
      </c>
      <c r="C17" t="n">
        <v>183.4011840820312</v>
      </c>
      <c r="D17" t="n">
        <v>13.92181491851807</v>
      </c>
      <c r="E17" t="n">
        <v>9.361321449279785</v>
      </c>
      <c r="G17" t="n">
        <v>8.439999580383301</v>
      </c>
      <c r="I17" t="n">
        <v>39.64550399780273</v>
      </c>
      <c r="J17" t="n">
        <v>169.612548828125</v>
      </c>
      <c r="K17" t="n">
        <v>39.72004699707031</v>
      </c>
      <c r="L17" t="n">
        <v>33.09000015258789</v>
      </c>
      <c r="M17" t="n">
        <v>6.911262512207031</v>
      </c>
      <c r="N17" t="n">
        <v>460.3900146484375</v>
      </c>
      <c r="O17" t="n">
        <v>17.01753616333008</v>
      </c>
      <c r="P17" t="n">
        <v>57.14448165893555</v>
      </c>
      <c r="R17" t="n">
        <v>32.49291610717773</v>
      </c>
      <c r="S17" t="n">
        <v>19.2946891784668</v>
      </c>
      <c r="T17" t="n">
        <v>152.0333404541016</v>
      </c>
      <c r="U17" t="n">
        <v>125.0400009155273</v>
      </c>
      <c r="V17" t="n">
        <v>77.07209777832031</v>
      </c>
      <c r="W17" t="n">
        <v>2.440000057220459</v>
      </c>
      <c r="X17" t="n">
        <v>15.48999977111816</v>
      </c>
      <c r="Y17" t="n">
        <v>118.6399993896484</v>
      </c>
      <c r="Z17" t="n">
        <v>42240.7265625</v>
      </c>
      <c r="AA17" t="n">
        <v>2999.14404296875</v>
      </c>
      <c r="AB17" t="n">
        <v>1560.702392578125</v>
      </c>
      <c r="AC17" t="n">
        <v>3.348103523254395</v>
      </c>
      <c r="AD17" t="n">
        <v>17.02267265319824</v>
      </c>
      <c r="AE17" t="n">
        <v>68.43706512451172</v>
      </c>
      <c r="AF17" t="n">
        <v>8.181696891784668</v>
      </c>
      <c r="AG17" t="n">
        <v>3.278623342514038</v>
      </c>
      <c r="AH17" t="n">
        <v>3.495141506195068</v>
      </c>
      <c r="AI17" t="n">
        <v>27.39739799499512</v>
      </c>
    </row>
    <row r="18">
      <c r="A18" s="47" t="n">
        <v>45362</v>
      </c>
      <c r="B18" t="n">
        <v>93.58087921142578</v>
      </c>
      <c r="C18" t="n">
        <v>198.7799682617188</v>
      </c>
      <c r="D18" t="n">
        <v>14.20121383666992</v>
      </c>
      <c r="E18" t="n">
        <v>9.501740455627441</v>
      </c>
      <c r="G18" t="n">
        <v>7.150000095367432</v>
      </c>
      <c r="I18" t="n">
        <v>39.30560684204102</v>
      </c>
      <c r="J18" t="n">
        <v>174.9795074462891</v>
      </c>
      <c r="K18" t="n">
        <v>40.02654266357422</v>
      </c>
      <c r="L18" t="n">
        <v>33.22999954223633</v>
      </c>
      <c r="M18" t="n">
        <v>7.19263744354248</v>
      </c>
      <c r="N18" t="n">
        <v>464.9400024414062</v>
      </c>
      <c r="O18" t="n">
        <v>16.98951721191406</v>
      </c>
      <c r="P18" t="n">
        <v>54.93802261352539</v>
      </c>
      <c r="R18" t="n">
        <v>32.78667068481445</v>
      </c>
      <c r="S18" t="n">
        <v>21.75724983215332</v>
      </c>
      <c r="T18" t="n">
        <v>151.6333312988281</v>
      </c>
      <c r="U18" t="n">
        <v>128.1699981689453</v>
      </c>
      <c r="V18" t="n">
        <v>76.15510559082031</v>
      </c>
      <c r="W18" t="n">
        <v>2.829999923706055</v>
      </c>
      <c r="X18" t="n">
        <v>15.13000011444092</v>
      </c>
      <c r="Y18" t="n">
        <v>125.8899993896484</v>
      </c>
      <c r="Z18" t="n">
        <v>42814.5703125</v>
      </c>
      <c r="AA18" t="n">
        <v>3031.975830078125</v>
      </c>
      <c r="AB18" t="n">
        <v>1585.716674804688</v>
      </c>
      <c r="AC18" t="n">
        <v>3.423247575759888</v>
      </c>
      <c r="AD18" t="n">
        <v>18.33347320556641</v>
      </c>
      <c r="AE18" t="n">
        <v>71.59147644042969</v>
      </c>
      <c r="AF18" t="n">
        <v>8.91865062713623</v>
      </c>
      <c r="AG18" t="n">
        <v>3.710021018981934</v>
      </c>
      <c r="AH18" t="n">
        <v>3.641790628433228</v>
      </c>
      <c r="AI18" t="n">
        <v>27.85105514526367</v>
      </c>
    </row>
    <row r="19">
      <c r="A19" s="47" t="n">
        <v>45369</v>
      </c>
      <c r="B19" t="n">
        <v>88.15235900878906</v>
      </c>
      <c r="C19" t="n">
        <v>194.1741027832031</v>
      </c>
      <c r="D19" t="n">
        <v>14.08560085296631</v>
      </c>
      <c r="E19" t="n">
        <v>9.838748931884766</v>
      </c>
      <c r="G19" t="n">
        <v>7.150000095367432</v>
      </c>
      <c r="I19" t="n">
        <v>38.84296417236328</v>
      </c>
      <c r="J19" t="n">
        <v>180.7607727050781</v>
      </c>
      <c r="K19" t="n">
        <v>37.54583740234375</v>
      </c>
      <c r="L19" t="n">
        <v>34.70999908447266</v>
      </c>
      <c r="M19" t="n">
        <v>6.735403537750244</v>
      </c>
      <c r="N19" t="n">
        <v>403.1900024414062</v>
      </c>
      <c r="O19" t="n">
        <v>17.42849731445312</v>
      </c>
      <c r="P19" t="n">
        <v>53.38325881958008</v>
      </c>
      <c r="R19" t="n">
        <v>35.91469955444336</v>
      </c>
      <c r="S19" t="n">
        <v>25.89841461181641</v>
      </c>
      <c r="T19" t="n">
        <v>153.7400054931641</v>
      </c>
      <c r="U19" t="n">
        <v>141.6199951171875</v>
      </c>
      <c r="V19" t="n">
        <v>74.05374145507812</v>
      </c>
      <c r="W19" t="n">
        <v>2.299999952316284</v>
      </c>
      <c r="X19" t="n">
        <v>16.27000045776367</v>
      </c>
      <c r="Y19" t="n">
        <v>134.9700012207031</v>
      </c>
      <c r="Z19" t="n">
        <v>46111.7421875</v>
      </c>
      <c r="AA19" t="n">
        <v>3097.329345703125</v>
      </c>
      <c r="AB19" t="n">
        <v>1712.505493164062</v>
      </c>
      <c r="AC19" t="n">
        <v>3.373151540756226</v>
      </c>
      <c r="AD19" t="n">
        <v>18.11205291748047</v>
      </c>
      <c r="AE19" t="n">
        <v>72.68866729736328</v>
      </c>
      <c r="AF19" t="n">
        <v>9.324728012084961</v>
      </c>
      <c r="AG19" t="n">
        <v>3.819831132888794</v>
      </c>
      <c r="AH19" t="n">
        <v>3.658084630966187</v>
      </c>
      <c r="AI19" t="n">
        <v>26.48118591308594</v>
      </c>
    </row>
    <row r="20">
      <c r="A20" s="47" t="n">
        <v>45376</v>
      </c>
      <c r="B20" t="n">
        <v>88.26507568359375</v>
      </c>
      <c r="C20" t="n">
        <v>200.7192993164062</v>
      </c>
      <c r="D20" t="n">
        <v>14.11450386047363</v>
      </c>
      <c r="E20" t="n">
        <v>10.58790683746338</v>
      </c>
      <c r="G20" t="n">
        <v>7.380000114440918</v>
      </c>
      <c r="I20" t="n">
        <v>39.9193115234375</v>
      </c>
      <c r="J20" t="n">
        <v>181.6598968505859</v>
      </c>
      <c r="K20" t="n">
        <v>40.2468376159668</v>
      </c>
      <c r="L20" t="n">
        <v>35.38000106811523</v>
      </c>
      <c r="M20" t="n">
        <v>7.060741901397705</v>
      </c>
      <c r="N20" t="n">
        <v>390.6499938964844</v>
      </c>
      <c r="O20" t="n">
        <v>18.67071914672852</v>
      </c>
      <c r="P20" t="n">
        <v>56.09244918823242</v>
      </c>
      <c r="R20" t="n">
        <v>35.62684631347656</v>
      </c>
      <c r="S20" t="n">
        <v>25.40958976745605</v>
      </c>
      <c r="T20" t="n">
        <v>156.8766632080078</v>
      </c>
      <c r="U20" t="n">
        <v>143.8000030517578</v>
      </c>
      <c r="V20" t="n">
        <v>77.54010772705078</v>
      </c>
      <c r="W20" t="n">
        <v>2.299999952316284</v>
      </c>
      <c r="X20" t="n">
        <v>16.29999923706055</v>
      </c>
      <c r="Y20" t="n">
        <v>125.3300018310547</v>
      </c>
      <c r="Z20" t="n">
        <v>45654.609375</v>
      </c>
      <c r="AA20" t="n">
        <v>3103.040771484375</v>
      </c>
      <c r="AB20" t="n">
        <v>1790.246337890625</v>
      </c>
      <c r="AC20" t="n">
        <v>3.264609575271606</v>
      </c>
      <c r="AD20" t="n">
        <v>18.42204093933105</v>
      </c>
      <c r="AE20" t="n">
        <v>76.07166290283203</v>
      </c>
      <c r="AF20" t="n">
        <v>9.3848876953125</v>
      </c>
      <c r="AG20" t="n">
        <v>3.804144144058228</v>
      </c>
      <c r="AH20" t="n">
        <v>3.747703790664673</v>
      </c>
      <c r="AI20" t="n">
        <v>25.96526145935059</v>
      </c>
    </row>
    <row r="21">
      <c r="A21" s="47" t="n">
        <v>45383</v>
      </c>
      <c r="B21" t="n">
        <v>83.43764495849609</v>
      </c>
      <c r="C21" t="n">
        <v>195.4831390380859</v>
      </c>
      <c r="D21" t="n">
        <v>11.52283096313477</v>
      </c>
      <c r="E21" t="n">
        <v>9.152256965637207</v>
      </c>
      <c r="G21" t="n">
        <v>6.820000171661377</v>
      </c>
      <c r="I21" t="n">
        <v>38.67301177978516</v>
      </c>
      <c r="J21" t="n">
        <v>166.363525390625</v>
      </c>
      <c r="K21" t="n">
        <v>40.36177444458008</v>
      </c>
      <c r="L21" t="n">
        <v>31.97999954223633</v>
      </c>
      <c r="M21" t="n">
        <v>6.357306003570557</v>
      </c>
      <c r="N21" t="n">
        <v>356.8699951171875</v>
      </c>
      <c r="O21" t="n">
        <v>19.19376564025879</v>
      </c>
      <c r="P21" t="n">
        <v>52.48950958251953</v>
      </c>
      <c r="R21" t="n">
        <v>34.71530532836914</v>
      </c>
      <c r="S21" t="n">
        <v>22.3659725189209</v>
      </c>
      <c r="T21" t="n">
        <v>146.6483306884766</v>
      </c>
      <c r="U21" t="n">
        <v>134.0899963378906</v>
      </c>
      <c r="V21" t="n">
        <v>72.08614349365234</v>
      </c>
      <c r="W21" t="n">
        <v>2.329999923706055</v>
      </c>
      <c r="X21" t="n">
        <v>15.34000015258789</v>
      </c>
      <c r="Y21" t="n">
        <v>120.7900009155273</v>
      </c>
      <c r="Z21" t="n">
        <v>42950.73828125</v>
      </c>
      <c r="AA21" t="n">
        <v>3020.464599609375</v>
      </c>
      <c r="AB21" t="n">
        <v>1719.862548828125</v>
      </c>
      <c r="AC21" t="n">
        <v>3.348103523254395</v>
      </c>
      <c r="AD21" t="n">
        <v>18.37775802612305</v>
      </c>
      <c r="AE21" t="n">
        <v>81.19187927246094</v>
      </c>
      <c r="AF21" t="n">
        <v>9.821044921875</v>
      </c>
      <c r="AG21" t="n">
        <v>3.764925956726074</v>
      </c>
      <c r="AH21" t="n">
        <v>3.739557266235352</v>
      </c>
      <c r="AI21" t="n">
        <v>26.49897575378418</v>
      </c>
    </row>
    <row r="22">
      <c r="A22" s="47" t="n">
        <v>45390</v>
      </c>
      <c r="B22" t="n">
        <v>86.40549468994141</v>
      </c>
      <c r="C22" t="n">
        <v>190.44091796875</v>
      </c>
      <c r="D22" t="n">
        <v>10.89659023284912</v>
      </c>
      <c r="E22" t="n">
        <v>8.613888740539551</v>
      </c>
      <c r="G22" t="n">
        <v>6.559999942779541</v>
      </c>
      <c r="I22" t="n">
        <v>36.90742492675781</v>
      </c>
      <c r="J22" t="n">
        <v>155.0823669433594</v>
      </c>
      <c r="K22" t="n">
        <v>38.68561935424805</v>
      </c>
      <c r="L22" t="n">
        <v>32.86999893188477</v>
      </c>
      <c r="M22" t="n">
        <v>6.260583400726318</v>
      </c>
      <c r="N22" t="n">
        <v>336.1300048828125</v>
      </c>
      <c r="O22" t="n">
        <v>17.96088027954102</v>
      </c>
      <c r="P22" t="n">
        <v>50.23649597167969</v>
      </c>
      <c r="R22" t="n">
        <v>34.14919281005859</v>
      </c>
      <c r="S22" t="n">
        <v>20.8853588104248</v>
      </c>
      <c r="T22" t="n">
        <v>135.7283325195312</v>
      </c>
      <c r="U22" t="n">
        <v>125.5400009155273</v>
      </c>
      <c r="V22" t="n">
        <v>71.4461669921875</v>
      </c>
      <c r="W22" t="n">
        <v>2.369999885559082</v>
      </c>
      <c r="X22" t="n">
        <v>14.1899995803833</v>
      </c>
      <c r="Y22" t="n">
        <v>111.8300018310547</v>
      </c>
      <c r="Z22" t="n">
        <v>41005.50390625</v>
      </c>
      <c r="AA22" t="n">
        <v>2935.690673828125</v>
      </c>
      <c r="AB22" t="n">
        <v>1757.874755859375</v>
      </c>
      <c r="AC22" t="n">
        <v>3.298007249832153</v>
      </c>
      <c r="AD22" t="n">
        <v>16.82782745361328</v>
      </c>
      <c r="AE22" t="n">
        <v>77.85459136962891</v>
      </c>
      <c r="AF22" t="n">
        <v>10.24215984344482</v>
      </c>
      <c r="AG22" t="n">
        <v>3.725708246231079</v>
      </c>
      <c r="AH22" t="n">
        <v>3.780292749404907</v>
      </c>
      <c r="AI22" t="n">
        <v>25.86741256713867</v>
      </c>
    </row>
    <row r="23">
      <c r="A23" s="47" t="n">
        <v>45397</v>
      </c>
      <c r="B23" t="n">
        <v>88.78162384033203</v>
      </c>
      <c r="C23" t="n">
        <v>217.7852783203125</v>
      </c>
      <c r="D23" t="n">
        <v>11.08927917480469</v>
      </c>
      <c r="E23" t="n">
        <v>9.237264633178711</v>
      </c>
      <c r="G23" t="n">
        <v>6.730000019073486</v>
      </c>
      <c r="I23" t="n">
        <v>36.93574523925781</v>
      </c>
      <c r="J23" t="n">
        <v>153.3118286132812</v>
      </c>
      <c r="K23" t="n">
        <v>40.76405334472656</v>
      </c>
      <c r="L23" t="n">
        <v>31.57999992370605</v>
      </c>
      <c r="M23" t="n">
        <v>6.049552440643311</v>
      </c>
      <c r="N23" t="n">
        <v>352.4700012207031</v>
      </c>
      <c r="O23" t="n">
        <v>19.19376564025879</v>
      </c>
      <c r="P23" t="n">
        <v>52.5546760559082</v>
      </c>
      <c r="R23" t="n">
        <v>33.77497482299805</v>
      </c>
      <c r="S23" t="n">
        <v>19.27022361755371</v>
      </c>
      <c r="T23" t="n">
        <v>133.3966674804688</v>
      </c>
      <c r="U23" t="n">
        <v>120.5400009155273</v>
      </c>
      <c r="V23" t="n">
        <v>73.11769866943359</v>
      </c>
      <c r="W23" t="n">
        <v>2.319999933242798</v>
      </c>
      <c r="X23" t="n">
        <v>13.77000045776367</v>
      </c>
      <c r="Y23" t="n">
        <v>110.3600006103516</v>
      </c>
      <c r="Z23" t="n">
        <v>39410.41796875</v>
      </c>
      <c r="AA23" t="n">
        <v>2822.65869140625</v>
      </c>
      <c r="AB23" t="n">
        <v>1626.9169921875</v>
      </c>
      <c r="AC23" t="n">
        <v>3.606934785842896</v>
      </c>
      <c r="AD23" t="n">
        <v>14.82620048522949</v>
      </c>
      <c r="AE23" t="n">
        <v>76.62026214599609</v>
      </c>
      <c r="AF23" t="n">
        <v>10.51287841796875</v>
      </c>
      <c r="AG23" t="n">
        <v>3.568836688995361</v>
      </c>
      <c r="AH23" t="n">
        <v>3.633643627166748</v>
      </c>
      <c r="AI23" t="n">
        <v>26.38333702087402</v>
      </c>
    </row>
    <row r="24">
      <c r="A24" s="47" t="n">
        <v>45404</v>
      </c>
      <c r="B24" t="n">
        <v>88.39656829833984</v>
      </c>
      <c r="C24" t="n">
        <v>223.8941192626953</v>
      </c>
      <c r="D24" t="n">
        <v>11.59027099609375</v>
      </c>
      <c r="E24" t="n">
        <v>10.29511070251465</v>
      </c>
      <c r="G24" t="n">
        <v>6.800000190734863</v>
      </c>
      <c r="I24" t="n">
        <v>38.21981430053711</v>
      </c>
      <c r="J24" t="n">
        <v>161.0712738037109</v>
      </c>
      <c r="K24" t="n">
        <v>41.86552047729492</v>
      </c>
      <c r="L24" t="n">
        <v>32.79000091552734</v>
      </c>
      <c r="M24" t="n">
        <v>6.849711418151855</v>
      </c>
      <c r="N24" t="n">
        <v>364.7000122070312</v>
      </c>
      <c r="O24" t="n">
        <v>19.7354850769043</v>
      </c>
      <c r="P24" t="n">
        <v>57.90789794921875</v>
      </c>
      <c r="R24" t="n">
        <v>33.87092590332031</v>
      </c>
      <c r="S24" t="n">
        <v>19.81788635253906</v>
      </c>
      <c r="T24" t="n">
        <v>138.9100036621094</v>
      </c>
      <c r="U24" t="n">
        <v>125.4000015258789</v>
      </c>
      <c r="V24" t="n">
        <v>76.41301727294922</v>
      </c>
      <c r="W24" t="n">
        <v>2.75</v>
      </c>
      <c r="X24" t="n">
        <v>15.03999996185303</v>
      </c>
      <c r="Y24" t="n">
        <v>122.0800018310547</v>
      </c>
      <c r="Z24" t="n">
        <v>40256.5859375</v>
      </c>
      <c r="AA24" t="n">
        <v>2985.927001953125</v>
      </c>
      <c r="AB24" t="n">
        <v>1645.309814453125</v>
      </c>
      <c r="AC24" t="n">
        <v>3.790620565414429</v>
      </c>
      <c r="AD24" t="n">
        <v>18.68774604797363</v>
      </c>
      <c r="AE24" t="n">
        <v>82.28904724121094</v>
      </c>
      <c r="AF24" t="n">
        <v>10.42263984680176</v>
      </c>
      <c r="AG24" t="n">
        <v>3.968859434127808</v>
      </c>
      <c r="AH24" t="n">
        <v>3.869911670684814</v>
      </c>
      <c r="AI24" t="n">
        <v>26.41892051696777</v>
      </c>
    </row>
    <row r="25">
      <c r="A25" s="47" t="n">
        <v>45411</v>
      </c>
      <c r="B25" t="n">
        <v>86.54636383056641</v>
      </c>
      <c r="C25" t="n">
        <v>218.1731567382812</v>
      </c>
      <c r="D25" t="n">
        <v>12.24541664123535</v>
      </c>
      <c r="E25" t="n">
        <v>10.15343379974365</v>
      </c>
      <c r="G25" t="n">
        <v>6.739999771118164</v>
      </c>
      <c r="I25" t="n">
        <v>37.37950897216797</v>
      </c>
      <c r="J25" t="n">
        <v>161.2260437011719</v>
      </c>
      <c r="K25" t="n">
        <v>42.88079452514648</v>
      </c>
      <c r="L25" t="n">
        <v>33.27000045776367</v>
      </c>
      <c r="M25" t="n">
        <v>6.735403537750244</v>
      </c>
      <c r="N25" t="n">
        <v>355.1499938964844</v>
      </c>
      <c r="O25" t="n">
        <v>20.54806709289551</v>
      </c>
      <c r="P25" t="n">
        <v>61.11983108520508</v>
      </c>
      <c r="R25" t="n">
        <v>31.7599925994873</v>
      </c>
      <c r="S25" t="n">
        <v>20.04066276550293</v>
      </c>
      <c r="T25" t="n">
        <v>140.3899993896484</v>
      </c>
      <c r="U25" t="n">
        <v>124.2799987792969</v>
      </c>
      <c r="V25" t="n">
        <v>77.37772369384766</v>
      </c>
      <c r="W25" t="n">
        <v>2.75</v>
      </c>
      <c r="X25" t="n">
        <v>14.47999954223633</v>
      </c>
      <c r="Y25" t="n">
        <v>128.7599945068359</v>
      </c>
      <c r="Z25" t="n">
        <v>39702.19921875</v>
      </c>
      <c r="AA25" t="n">
        <v>2936.004638671875</v>
      </c>
      <c r="AB25" t="n">
        <v>1658.062255859375</v>
      </c>
      <c r="AC25" t="n">
        <v>3.874114513397217</v>
      </c>
      <c r="AD25" t="n">
        <v>19.44056701660156</v>
      </c>
      <c r="AE25" t="n">
        <v>85.53490447998047</v>
      </c>
      <c r="AF25" t="n">
        <v>10.69335746765137</v>
      </c>
      <c r="AG25" t="n">
        <v>4.133574962615967</v>
      </c>
      <c r="AH25" t="n">
        <v>3.97817850112915</v>
      </c>
      <c r="AI25" t="n">
        <v>26.55234718322754</v>
      </c>
    </row>
    <row r="26">
      <c r="A26" s="47" t="n">
        <v>45418</v>
      </c>
      <c r="B26" t="n">
        <v>85.40994262695312</v>
      </c>
      <c r="C26" t="n">
        <v>217.5913543701172</v>
      </c>
      <c r="D26" t="n">
        <v>11.86967182159424</v>
      </c>
      <c r="E26" t="n">
        <v>12.74137878417969</v>
      </c>
      <c r="G26" t="n">
        <v>6.710000038146973</v>
      </c>
      <c r="I26" t="n">
        <v>39.06012344360352</v>
      </c>
      <c r="J26" t="n">
        <v>161.7194366455078</v>
      </c>
      <c r="K26" t="n">
        <v>48.67549514770508</v>
      </c>
      <c r="L26" t="n">
        <v>30.39999961853027</v>
      </c>
      <c r="M26" t="n">
        <v>7.113500595092773</v>
      </c>
      <c r="N26" t="n">
        <v>352.9599914550781</v>
      </c>
      <c r="O26" t="n">
        <v>21.24171447753906</v>
      </c>
      <c r="P26" t="n">
        <v>63.48455429077148</v>
      </c>
      <c r="R26" t="n">
        <v>32.23015594482422</v>
      </c>
      <c r="S26" t="n">
        <v>21.12670135498047</v>
      </c>
      <c r="T26" t="n">
        <v>143.6649932861328</v>
      </c>
      <c r="U26" t="n">
        <v>143.2700042724609</v>
      </c>
      <c r="V26" t="n">
        <v>80.30052185058594</v>
      </c>
      <c r="W26" t="n">
        <v>2.740000009536743</v>
      </c>
      <c r="X26" t="n">
        <v>14.8100004196167</v>
      </c>
      <c r="Y26" t="n">
        <v>129.7100067138672</v>
      </c>
      <c r="Z26" t="n">
        <v>39604.9375</v>
      </c>
      <c r="AA26" t="n">
        <v>2923.759765625</v>
      </c>
      <c r="AB26" t="n">
        <v>1777.984130859375</v>
      </c>
      <c r="AC26" t="n">
        <v>3.824018239974976</v>
      </c>
      <c r="AD26" t="n">
        <v>19.75055313110352</v>
      </c>
      <c r="AE26" t="n">
        <v>84.30057525634766</v>
      </c>
      <c r="AF26" t="n">
        <v>11.12951374053955</v>
      </c>
      <c r="AG26" t="n">
        <v>4.326409816741943</v>
      </c>
      <c r="AH26" t="n">
        <v>3.994964599609375</v>
      </c>
      <c r="AI26" t="n">
        <v>26.4100227355957</v>
      </c>
    </row>
    <row r="27">
      <c r="A27" s="47" t="n">
        <v>45425</v>
      </c>
      <c r="B27" t="n">
        <v>86.57453918457031</v>
      </c>
      <c r="C27" t="n">
        <v>222.6315002441406</v>
      </c>
      <c r="D27" t="n">
        <v>12.70787048339844</v>
      </c>
      <c r="E27" t="n">
        <v>12.71304512023926</v>
      </c>
      <c r="G27" t="n">
        <v>6.78000020980835</v>
      </c>
      <c r="I27" t="n">
        <v>39.33393478393555</v>
      </c>
      <c r="J27" t="n">
        <v>162.42578125</v>
      </c>
      <c r="K27" t="n">
        <v>49.25017547607422</v>
      </c>
      <c r="L27" t="n">
        <v>38.11999893188477</v>
      </c>
      <c r="M27" t="n">
        <v>7.131085872650146</v>
      </c>
      <c r="N27" t="n">
        <v>334.9500122070312</v>
      </c>
      <c r="O27" t="n">
        <v>20.7346134185791</v>
      </c>
      <c r="P27" t="n">
        <v>65.32791900634766</v>
      </c>
      <c r="R27" t="n">
        <v>33.94768905639648</v>
      </c>
      <c r="S27" t="n">
        <v>20.04994583129883</v>
      </c>
      <c r="T27" t="n">
        <v>148.0933380126953</v>
      </c>
      <c r="U27" t="n">
        <v>140.9499969482422</v>
      </c>
      <c r="V27" t="n">
        <v>80.14495086669922</v>
      </c>
      <c r="W27" t="n">
        <v>3.150000095367432</v>
      </c>
      <c r="X27" t="n">
        <v>16.14999961853027</v>
      </c>
      <c r="Y27" t="n">
        <v>139.6100006103516</v>
      </c>
      <c r="Z27" t="n">
        <v>39886.99609375</v>
      </c>
      <c r="AA27" t="n">
        <v>2520.926025390625</v>
      </c>
      <c r="AB27" t="n">
        <v>1998.209106445312</v>
      </c>
      <c r="AC27" t="n">
        <v>3.932560443878174</v>
      </c>
      <c r="AD27" t="n">
        <v>19.4848518371582</v>
      </c>
      <c r="AE27" t="n">
        <v>82.58769989013672</v>
      </c>
      <c r="AF27" t="n">
        <v>10.97922134399414</v>
      </c>
      <c r="AG27" t="n">
        <v>4.716822624206543</v>
      </c>
      <c r="AH27" t="n">
        <v>3.961393356323242</v>
      </c>
      <c r="AI27" t="n">
        <v>28.27802848815918</v>
      </c>
    </row>
    <row r="28">
      <c r="A28" s="47" t="n">
        <v>45432</v>
      </c>
      <c r="B28" t="n">
        <v>86.17066955566406</v>
      </c>
      <c r="C28" t="n">
        <v>217.7684173583984</v>
      </c>
      <c r="D28" t="n">
        <v>12.15870666503906</v>
      </c>
      <c r="E28" t="n">
        <v>12.70359802246094</v>
      </c>
      <c r="G28" t="n">
        <v>6.650000095367432</v>
      </c>
      <c r="I28" t="n">
        <v>40.44804763793945</v>
      </c>
      <c r="J28" t="n">
        <v>167.8148193359375</v>
      </c>
      <c r="K28" t="n">
        <v>46.48202133178711</v>
      </c>
      <c r="L28" t="n">
        <v>40.22999954223633</v>
      </c>
      <c r="M28" t="n">
        <v>6.911262512207031</v>
      </c>
      <c r="N28" t="n">
        <v>303.010009765625</v>
      </c>
      <c r="O28" t="n">
        <v>20.79096031188965</v>
      </c>
      <c r="P28" t="n">
        <v>67.54368591308594</v>
      </c>
      <c r="R28" t="n">
        <v>36.30390930175781</v>
      </c>
      <c r="S28" t="n">
        <v>19.47443389892578</v>
      </c>
      <c r="T28" t="n">
        <v>172.1499938964844</v>
      </c>
      <c r="U28" t="n">
        <v>148.9199981689453</v>
      </c>
      <c r="V28" t="n">
        <v>80.54753875732422</v>
      </c>
      <c r="W28" t="n">
        <v>2.710000038146973</v>
      </c>
      <c r="X28" t="n">
        <v>14.81999969482422</v>
      </c>
      <c r="Y28" t="n">
        <v>150.1699981689453</v>
      </c>
      <c r="Z28" t="n">
        <v>39206.1640625</v>
      </c>
      <c r="AA28" t="n">
        <v>2580.58203125</v>
      </c>
      <c r="AB28" t="n">
        <v>2072.76171875</v>
      </c>
      <c r="AC28" t="n">
        <v>3.965957880020142</v>
      </c>
      <c r="AD28" t="n">
        <v>18.86487770080566</v>
      </c>
      <c r="AE28" t="n">
        <v>80.45820617675781</v>
      </c>
      <c r="AF28" t="n">
        <v>10.88511371612549</v>
      </c>
      <c r="AG28" t="n">
        <v>4.509665012359619</v>
      </c>
      <c r="AH28" t="n">
        <v>3.617289304733276</v>
      </c>
      <c r="AI28" t="n">
        <v>27.23728370666504</v>
      </c>
    </row>
    <row r="29">
      <c r="A29" s="47" t="n">
        <v>45439</v>
      </c>
      <c r="B29" t="n">
        <v>89.27001190185547</v>
      </c>
      <c r="C29" t="n">
        <v>225.1603088378906</v>
      </c>
      <c r="D29" t="n">
        <v>11.86967182159424</v>
      </c>
      <c r="E29" t="n">
        <v>12.86416435241699</v>
      </c>
      <c r="G29" t="n">
        <v>7.190000057220459</v>
      </c>
      <c r="I29" t="n">
        <v>41.96815490722656</v>
      </c>
      <c r="J29" t="n">
        <v>180.8085021972656</v>
      </c>
      <c r="K29" t="n">
        <v>46.30672836303711</v>
      </c>
      <c r="L29" t="n">
        <v>42.54000091552734</v>
      </c>
      <c r="M29" t="n">
        <v>6.852373123168945</v>
      </c>
      <c r="N29" t="n">
        <v>311.989990234375</v>
      </c>
      <c r="O29" t="n">
        <v>22.54701805114746</v>
      </c>
      <c r="P29" t="n">
        <v>68.2791748046875</v>
      </c>
      <c r="R29" t="n">
        <v>36.93117141723633</v>
      </c>
      <c r="S29" t="n">
        <v>26.88177490234375</v>
      </c>
      <c r="T29" t="n">
        <v>182.3200073242188</v>
      </c>
      <c r="U29" t="n">
        <v>155.6399993896484</v>
      </c>
      <c r="V29" t="n">
        <v>82.07164764404297</v>
      </c>
      <c r="W29" t="n">
        <v>2.670000076293945</v>
      </c>
      <c r="X29" t="n">
        <v>15.36999988555908</v>
      </c>
      <c r="Y29" t="n">
        <v>172.8699951171875</v>
      </c>
      <c r="Z29" t="n">
        <v>39108.8984375</v>
      </c>
      <c r="AA29" t="n">
        <v>2566.453125</v>
      </c>
      <c r="AB29" t="n">
        <v>2133.5810546875</v>
      </c>
      <c r="AC29" t="n">
        <v>3.773922204971313</v>
      </c>
      <c r="AD29" t="n">
        <v>18.02348709106445</v>
      </c>
      <c r="AE29" t="n">
        <v>77.07877349853516</v>
      </c>
      <c r="AF29" t="n">
        <v>11.63797473907471</v>
      </c>
      <c r="AG29" t="n">
        <v>4.318442821502686</v>
      </c>
      <c r="AH29" t="n">
        <v>3.743180751800537</v>
      </c>
      <c r="AI29" t="n">
        <v>27.45966529846191</v>
      </c>
    </row>
    <row r="30">
      <c r="A30" s="47" t="n">
        <v>45446</v>
      </c>
      <c r="B30" t="n">
        <v>91.03315734863281</v>
      </c>
      <c r="C30" t="n">
        <v>224.6739959716797</v>
      </c>
      <c r="D30" t="n">
        <v>11.85040283203125</v>
      </c>
      <c r="E30" t="n">
        <v>12.37302207946777</v>
      </c>
      <c r="G30" t="n">
        <v>6.909999847412109</v>
      </c>
      <c r="I30" t="n">
        <v>42.04368591308594</v>
      </c>
      <c r="J30" t="n">
        <v>175.8644714355469</v>
      </c>
      <c r="K30" t="n">
        <v>46.22882080078125</v>
      </c>
      <c r="L30" t="n">
        <v>42.34999847412109</v>
      </c>
      <c r="M30" t="n">
        <v>6.541707992553711</v>
      </c>
      <c r="N30" t="n">
        <v>317.8599853515625</v>
      </c>
      <c r="O30" t="n">
        <v>22.09626388549805</v>
      </c>
      <c r="P30" t="n">
        <v>68.38159942626953</v>
      </c>
      <c r="R30" t="n">
        <v>37.00836944580078</v>
      </c>
      <c r="S30" t="n">
        <v>23.6422233581543</v>
      </c>
      <c r="T30" t="n">
        <v>174.0516662597656</v>
      </c>
      <c r="U30" t="n">
        <v>147</v>
      </c>
      <c r="V30" t="n">
        <v>79.39727020263672</v>
      </c>
      <c r="W30" t="n">
        <v>2.460000038146973</v>
      </c>
      <c r="X30" t="n">
        <v>14.6899995803833</v>
      </c>
      <c r="Y30" t="n">
        <v>175.1900024414062</v>
      </c>
      <c r="Z30" t="n">
        <v>39955.07421875</v>
      </c>
      <c r="AA30" t="n">
        <v>2730.34912109375</v>
      </c>
      <c r="AB30" t="n">
        <v>2298.136962890625</v>
      </c>
      <c r="AC30" t="n">
        <v>3.865765571594238</v>
      </c>
      <c r="AD30" t="n">
        <v>18.46632385253906</v>
      </c>
      <c r="AE30" t="n">
        <v>80.78224945068359</v>
      </c>
      <c r="AF30" t="n">
        <v>11.30859756469727</v>
      </c>
      <c r="AG30" t="n">
        <v>4.230798721313477</v>
      </c>
      <c r="AH30" t="n">
        <v>3.869072437286377</v>
      </c>
      <c r="AI30" t="n">
        <v>26.29438400268555</v>
      </c>
    </row>
    <row r="31">
      <c r="A31" s="47" t="n">
        <v>45453</v>
      </c>
      <c r="B31" t="n">
        <v>88.0537109375</v>
      </c>
      <c r="C31" t="n">
        <v>218.7410430908203</v>
      </c>
      <c r="D31" t="n">
        <v>11.22416210174561</v>
      </c>
      <c r="E31" t="n">
        <v>11.84409809112549</v>
      </c>
      <c r="G31" t="n">
        <v>6.679999828338623</v>
      </c>
      <c r="I31" t="n">
        <v>41.46501922607422</v>
      </c>
      <c r="J31" t="n">
        <v>173.8424072265625</v>
      </c>
      <c r="K31" t="n">
        <v>43.8818359375</v>
      </c>
      <c r="L31" t="n">
        <v>42</v>
      </c>
      <c r="M31" t="n">
        <v>6.186662673950195</v>
      </c>
      <c r="N31" t="n">
        <v>306.010009765625</v>
      </c>
      <c r="O31" t="n">
        <v>21.45769691467285</v>
      </c>
      <c r="P31" t="n">
        <v>63.46973037719727</v>
      </c>
      <c r="R31" t="n">
        <v>36.24600601196289</v>
      </c>
      <c r="S31" t="n">
        <v>23.19667053222656</v>
      </c>
      <c r="T31" t="n">
        <v>170.625</v>
      </c>
      <c r="U31" t="n">
        <v>156.9799957275391</v>
      </c>
      <c r="V31" t="n">
        <v>77.27885437011719</v>
      </c>
      <c r="W31" t="n">
        <v>2.359999895095825</v>
      </c>
      <c r="X31" t="n">
        <v>14.44999980926514</v>
      </c>
      <c r="Y31" t="n">
        <v>186.0599975585938</v>
      </c>
      <c r="Z31" t="n">
        <v>39293.69921875</v>
      </c>
      <c r="AA31" t="n">
        <v>2735.058837890625</v>
      </c>
      <c r="AB31" t="n">
        <v>2267.72705078125</v>
      </c>
      <c r="AC31" t="n">
        <v>3.757223129272461</v>
      </c>
      <c r="AD31" t="n">
        <v>16.70383262634277</v>
      </c>
      <c r="AE31" t="n">
        <v>75.04186248779297</v>
      </c>
      <c r="AF31" t="n">
        <v>11.13606548309326</v>
      </c>
      <c r="AG31" t="n">
        <v>3.928029298782349</v>
      </c>
      <c r="AH31" t="n">
        <v>3.541753768920898</v>
      </c>
      <c r="AI31" t="n">
        <v>25.69840240478516</v>
      </c>
    </row>
    <row r="32">
      <c r="A32" s="47" t="n">
        <v>45460</v>
      </c>
      <c r="B32" t="n">
        <v>91.62716674804688</v>
      </c>
      <c r="C32" t="n">
        <v>211.8354949951172</v>
      </c>
      <c r="D32" t="n">
        <v>11.41685199737549</v>
      </c>
      <c r="E32" t="n">
        <v>13.1002893447876</v>
      </c>
      <c r="G32" t="n">
        <v>6.989999771118164</v>
      </c>
      <c r="I32" t="n">
        <v>41.33220291137695</v>
      </c>
      <c r="J32" t="n">
        <v>176.6772155761719</v>
      </c>
      <c r="K32" t="n">
        <v>42.89824295043945</v>
      </c>
      <c r="L32" t="n">
        <v>39.72000122070312</v>
      </c>
      <c r="M32" t="n">
        <v>5.947007656097412</v>
      </c>
      <c r="N32" t="n">
        <v>311.8200073242188</v>
      </c>
      <c r="O32" t="n">
        <v>21.60795021057129</v>
      </c>
      <c r="P32" t="n">
        <v>63.31039047241211</v>
      </c>
      <c r="R32" t="n">
        <v>36.46796417236328</v>
      </c>
      <c r="S32" t="n">
        <v>22.9274845123291</v>
      </c>
      <c r="T32" t="n">
        <v>163.3566741943359</v>
      </c>
      <c r="U32" t="n">
        <v>154.7400054931641</v>
      </c>
      <c r="V32" t="n">
        <v>80.10659027099609</v>
      </c>
      <c r="W32" t="n">
        <v>2.390000104904175</v>
      </c>
      <c r="X32" t="n">
        <v>14.18000030517578</v>
      </c>
      <c r="Y32" t="n">
        <v>174.5</v>
      </c>
      <c r="Z32" t="n">
        <v>39245.0703125</v>
      </c>
      <c r="AA32" t="n">
        <v>2692.98583984375</v>
      </c>
      <c r="AB32" t="n">
        <v>2399.910888671875</v>
      </c>
      <c r="AC32" t="n">
        <v>3.732174873352051</v>
      </c>
      <c r="AD32" t="n">
        <v>15.66845893859863</v>
      </c>
      <c r="AE32" t="n">
        <v>72.31053161621094</v>
      </c>
      <c r="AF32" t="n">
        <v>11.05764389038086</v>
      </c>
      <c r="AG32" t="n">
        <v>3.864288806915283</v>
      </c>
      <c r="AH32" t="n">
        <v>3.483004570007324</v>
      </c>
      <c r="AI32" t="n">
        <v>23.57243537902832</v>
      </c>
    </row>
    <row r="33">
      <c r="A33" s="47" t="n">
        <v>45467</v>
      </c>
      <c r="B33" t="n">
        <v>71.06336975097656</v>
      </c>
      <c r="C33" t="n">
        <v>216.8930816650391</v>
      </c>
      <c r="D33" t="n">
        <v>11.40721702575684</v>
      </c>
      <c r="E33" t="n">
        <v>12.76971435546875</v>
      </c>
      <c r="G33" t="n">
        <v>6.670000076293945</v>
      </c>
      <c r="I33" t="n">
        <v>40.1274299621582</v>
      </c>
      <c r="J33" t="n">
        <v>170.1707763671875</v>
      </c>
      <c r="K33" t="n">
        <v>41.74909591674805</v>
      </c>
      <c r="L33" t="n">
        <v>38.79999923706055</v>
      </c>
      <c r="M33" t="n">
        <v>5.689600467681885</v>
      </c>
      <c r="N33" t="n">
        <v>298.7000122070312</v>
      </c>
      <c r="O33" t="n">
        <v>18.10522651672363</v>
      </c>
      <c r="P33" t="n">
        <v>62.00742721557617</v>
      </c>
      <c r="R33" t="n">
        <v>36.59341049194336</v>
      </c>
      <c r="S33" t="n">
        <v>22.17560768127441</v>
      </c>
      <c r="T33" t="n">
        <v>161.3249969482422</v>
      </c>
      <c r="U33" t="n">
        <v>145.9400024414062</v>
      </c>
      <c r="V33" t="n">
        <v>75.80268096923828</v>
      </c>
      <c r="W33" t="n">
        <v>2.339999914169312</v>
      </c>
      <c r="X33" t="n">
        <v>12.56999969482422</v>
      </c>
      <c r="Y33" t="n">
        <v>177.8399963378906</v>
      </c>
      <c r="Z33" t="n">
        <v>39449.31640625</v>
      </c>
      <c r="AA33" t="n">
        <v>2767.3984375</v>
      </c>
      <c r="AB33" t="n">
        <v>2423.8984375</v>
      </c>
      <c r="AC33" t="n">
        <v>4.066150188446045</v>
      </c>
      <c r="AD33" t="n">
        <v>15.13125610351562</v>
      </c>
      <c r="AE33" t="n">
        <v>69.44034576416016</v>
      </c>
      <c r="AF33" t="n">
        <v>12.42220401763916</v>
      </c>
      <c r="AG33" t="n">
        <v>3.832418203353882</v>
      </c>
      <c r="AH33" t="n">
        <v>3.382291555404663</v>
      </c>
      <c r="AI33" t="n">
        <v>21.49983978271484</v>
      </c>
    </row>
    <row r="34">
      <c r="A34" s="47" t="n">
        <v>45474</v>
      </c>
      <c r="B34" t="n">
        <v>71.11993408203125</v>
      </c>
      <c r="C34" t="n">
        <v>214.2670288085938</v>
      </c>
      <c r="D34" t="n">
        <v>11.06859302520752</v>
      </c>
      <c r="E34" t="n">
        <v>12.34151935577393</v>
      </c>
      <c r="G34" t="n">
        <v>6.400000095367432</v>
      </c>
      <c r="I34" t="n">
        <v>39.80489730834961</v>
      </c>
      <c r="J34" t="n">
        <v>163.959228515625</v>
      </c>
      <c r="K34" t="n">
        <v>42.57687377929688</v>
      </c>
      <c r="L34" t="n">
        <v>37.18999862670898</v>
      </c>
      <c r="M34" t="n">
        <v>5.37893533706665</v>
      </c>
      <c r="N34" t="n">
        <v>298.1400146484375</v>
      </c>
      <c r="O34" t="n">
        <v>17.96436309814453</v>
      </c>
      <c r="P34" t="n">
        <v>60.76072311401367</v>
      </c>
      <c r="R34" t="n">
        <v>36.96977233886719</v>
      </c>
      <c r="S34" t="n">
        <v>21.6001033782959</v>
      </c>
      <c r="T34" t="n">
        <v>156.5533294677734</v>
      </c>
      <c r="U34" t="n">
        <v>143.5399932861328</v>
      </c>
      <c r="V34" t="n">
        <v>73.00370788574219</v>
      </c>
      <c r="W34" t="n">
        <v>2.589999914169312</v>
      </c>
      <c r="X34" t="n">
        <v>11.98999977111816</v>
      </c>
      <c r="Y34" t="n">
        <v>171.5399932861328</v>
      </c>
      <c r="Z34" t="n">
        <v>40947.14453125</v>
      </c>
      <c r="AA34" t="n">
        <v>2831.135986328125</v>
      </c>
      <c r="AB34" t="n">
        <v>2459.848388671875</v>
      </c>
      <c r="AC34" t="n">
        <v>3.406548976898193</v>
      </c>
      <c r="AD34" t="n">
        <v>13.89568614959717</v>
      </c>
      <c r="AE34" t="n">
        <v>65.78314208984375</v>
      </c>
      <c r="AF34" t="n">
        <v>11.68502712249756</v>
      </c>
      <c r="AG34" t="n">
        <v>3.696969032287598</v>
      </c>
      <c r="AH34" t="n">
        <v>3.273185014724731</v>
      </c>
      <c r="AI34" t="n">
        <v>21.10844802856445</v>
      </c>
    </row>
    <row r="35">
      <c r="A35" s="47" t="n">
        <v>45481</v>
      </c>
      <c r="B35" t="n">
        <v>69.22480773925781</v>
      </c>
      <c r="C35" t="n">
        <v>224.8685302734375</v>
      </c>
      <c r="D35" t="n">
        <v>11.05885028839111</v>
      </c>
      <c r="E35" t="n">
        <v>12.09411907196045</v>
      </c>
      <c r="G35" t="n">
        <v>6.869999885559082</v>
      </c>
      <c r="I35" t="n">
        <v>42.25238418579102</v>
      </c>
      <c r="J35" t="n">
        <v>176.5086669921875</v>
      </c>
      <c r="K35" t="n">
        <v>43.53125</v>
      </c>
      <c r="L35" t="n">
        <v>37.5099983215332</v>
      </c>
      <c r="M35" t="n">
        <v>5.52095365524292</v>
      </c>
      <c r="N35" t="n">
        <v>291.0599975585938</v>
      </c>
      <c r="O35" t="n">
        <v>17.94558715820312</v>
      </c>
      <c r="P35" t="n">
        <v>61.2012825012207</v>
      </c>
      <c r="R35" t="n">
        <v>38.17604446411133</v>
      </c>
      <c r="S35" t="n">
        <v>22.39422035217285</v>
      </c>
      <c r="T35" t="n">
        <v>149.6766662597656</v>
      </c>
      <c r="U35" t="n">
        <v>139.2400054931641</v>
      </c>
      <c r="V35" t="n">
        <v>75.53429412841797</v>
      </c>
      <c r="W35" t="n">
        <v>2.849999904632568</v>
      </c>
      <c r="X35" t="n">
        <v>11.94999980926514</v>
      </c>
      <c r="Y35" t="n">
        <v>173.2400054931641</v>
      </c>
      <c r="Z35" t="n">
        <v>41832.22265625</v>
      </c>
      <c r="AA35" t="n">
        <v>2954.215087890625</v>
      </c>
      <c r="AB35" t="n">
        <v>2525.345947265625</v>
      </c>
      <c r="AC35" t="n">
        <v>3.490042686462402</v>
      </c>
      <c r="AD35" t="n">
        <v>14.52242279052734</v>
      </c>
      <c r="AE35" t="n">
        <v>70.50508880615234</v>
      </c>
      <c r="AF35" t="n">
        <v>11.87324333190918</v>
      </c>
      <c r="AG35" t="n">
        <v>4.151122570037842</v>
      </c>
      <c r="AH35" t="n">
        <v>3.348719835281372</v>
      </c>
      <c r="AI35" t="n">
        <v>20.7259521484375</v>
      </c>
    </row>
    <row r="36">
      <c r="A36" s="47" t="n">
        <v>45488</v>
      </c>
      <c r="B36" t="n">
        <v>68.54592895507812</v>
      </c>
      <c r="C36" t="n">
        <v>220.8808135986328</v>
      </c>
      <c r="D36" t="n">
        <v>10.83475017547607</v>
      </c>
      <c r="E36" t="n">
        <v>13.1693639755249</v>
      </c>
      <c r="G36" t="n">
        <v>6.699999809265137</v>
      </c>
      <c r="I36" t="n">
        <v>41.55039596557617</v>
      </c>
      <c r="J36" t="n">
        <v>160.6930541992188</v>
      </c>
      <c r="K36" t="n">
        <v>42.82033538818359</v>
      </c>
      <c r="L36" t="n">
        <v>40.06000137329102</v>
      </c>
      <c r="M36" t="n">
        <v>5.689600467681885</v>
      </c>
      <c r="N36" t="n">
        <v>280.239990234375</v>
      </c>
      <c r="O36" t="n">
        <v>17.21310997009277</v>
      </c>
      <c r="P36" t="n">
        <v>64.16340637207031</v>
      </c>
      <c r="R36" t="n">
        <v>38.01199340820312</v>
      </c>
      <c r="S36" t="n">
        <v>21.1609992980957</v>
      </c>
      <c r="T36" t="n">
        <v>145.2066650390625</v>
      </c>
      <c r="U36" t="n">
        <v>133.5</v>
      </c>
      <c r="V36" t="n">
        <v>74.41277313232422</v>
      </c>
      <c r="W36" t="n">
        <v>2.450000047683716</v>
      </c>
      <c r="X36" t="n">
        <v>11</v>
      </c>
      <c r="Y36" t="n">
        <v>158.5099945068359</v>
      </c>
      <c r="Z36" t="n">
        <v>40538.6484375</v>
      </c>
      <c r="AA36" t="n">
        <v>2965.20458984375</v>
      </c>
      <c r="AB36" t="n">
        <v>2620.883544921875</v>
      </c>
      <c r="AC36" t="n">
        <v>3.348103523254395</v>
      </c>
      <c r="AD36" t="n">
        <v>13.48382949829102</v>
      </c>
      <c r="AE36" t="n">
        <v>67.21823120117188</v>
      </c>
      <c r="AF36" t="n">
        <v>9.834244728088379</v>
      </c>
      <c r="AG36" t="n">
        <v>3.864288806915283</v>
      </c>
      <c r="AH36" t="n">
        <v>3.063365459442139</v>
      </c>
      <c r="AI36" t="n">
        <v>20.15665626525879</v>
      </c>
    </row>
    <row r="37">
      <c r="A37" s="47" t="n">
        <v>45495</v>
      </c>
      <c r="B37" t="n">
        <v>68.41392517089844</v>
      </c>
      <c r="C37" t="n">
        <v>226.6192321777344</v>
      </c>
      <c r="D37" t="n">
        <v>10.83475017547607</v>
      </c>
      <c r="E37" t="n">
        <v>13.80689716339111</v>
      </c>
      <c r="G37" t="n">
        <v>6.889999866485596</v>
      </c>
      <c r="I37" t="n">
        <v>41.75909805297852</v>
      </c>
      <c r="J37" t="n">
        <v>163.4051513671875</v>
      </c>
      <c r="K37" t="n">
        <v>44.15451431274414</v>
      </c>
      <c r="L37" t="n">
        <v>40.22000122070312</v>
      </c>
      <c r="M37" t="n">
        <v>7.908633232116699</v>
      </c>
      <c r="N37" t="n">
        <v>253.5</v>
      </c>
      <c r="O37" t="n">
        <v>16.79052925109863</v>
      </c>
      <c r="P37" t="n">
        <v>64.86642456054688</v>
      </c>
      <c r="R37" t="n">
        <v>38.53310012817383</v>
      </c>
      <c r="S37" t="n">
        <v>20.03054428100586</v>
      </c>
      <c r="T37" t="n">
        <v>149.1166687011719</v>
      </c>
      <c r="U37" t="n">
        <v>130.5</v>
      </c>
      <c r="V37" t="n">
        <v>73.21457672119141</v>
      </c>
      <c r="W37" t="n">
        <v>2.5</v>
      </c>
      <c r="X37" t="n">
        <v>11.03999996185303</v>
      </c>
      <c r="Y37" t="n">
        <v>152.5899963378906</v>
      </c>
      <c r="Z37" t="n">
        <v>39731.37109375</v>
      </c>
      <c r="AA37" t="n">
        <v>2925.95751953125</v>
      </c>
      <c r="AB37" t="n">
        <v>2257.446533203125</v>
      </c>
      <c r="AC37" t="n">
        <v>3.12266993522644</v>
      </c>
      <c r="AD37" t="n">
        <v>13.08987998962402</v>
      </c>
      <c r="AE37" t="n">
        <v>64.53321838378906</v>
      </c>
      <c r="AF37" t="n">
        <v>9.677399635314941</v>
      </c>
      <c r="AG37" t="n">
        <v>3.752742290496826</v>
      </c>
      <c r="AH37" t="n">
        <v>2.903902769088745</v>
      </c>
      <c r="AI37" t="n">
        <v>19.43614196777344</v>
      </c>
    </row>
    <row r="38">
      <c r="A38" s="47" t="n">
        <v>45502</v>
      </c>
      <c r="B38" t="n">
        <v>69.78108978271484</v>
      </c>
      <c r="C38" t="n">
        <v>212.7108306884766</v>
      </c>
      <c r="D38" t="n">
        <v>10.86398029327393</v>
      </c>
      <c r="E38" t="n">
        <v>13.05517673492432</v>
      </c>
      <c r="G38" t="n">
        <v>6.5</v>
      </c>
      <c r="I38" t="n">
        <v>39.47287368774414</v>
      </c>
      <c r="J38" t="n">
        <v>159.8084716796875</v>
      </c>
      <c r="K38" t="n">
        <v>42.39183807373047</v>
      </c>
      <c r="L38" t="n">
        <v>38.66999816894531</v>
      </c>
      <c r="M38" t="n">
        <v>7.313931465148926</v>
      </c>
      <c r="N38" t="n">
        <v>236</v>
      </c>
      <c r="O38" t="n">
        <v>16.22303009033203</v>
      </c>
      <c r="P38" t="n">
        <v>64.79144287109375</v>
      </c>
      <c r="R38" t="n">
        <v>39.89377212524414</v>
      </c>
      <c r="S38" t="n">
        <v>20.2734546661377</v>
      </c>
      <c r="T38" t="n">
        <v>144.2216644287109</v>
      </c>
      <c r="U38" t="n">
        <v>123.3099975585938</v>
      </c>
      <c r="V38" t="n">
        <v>74.96872711181641</v>
      </c>
      <c r="W38" t="n">
        <v>2.279999971389771</v>
      </c>
      <c r="X38" t="n">
        <v>10.75</v>
      </c>
      <c r="Y38" t="n">
        <v>132.1999969482422</v>
      </c>
      <c r="Z38" t="n">
        <v>39235.34375</v>
      </c>
      <c r="AA38" t="n">
        <v>2738.19873046875</v>
      </c>
      <c r="AB38" t="n">
        <v>2135.316162109375</v>
      </c>
      <c r="AC38" t="n">
        <v>3.256260395050049</v>
      </c>
      <c r="AD38" t="n">
        <v>12.23035144805908</v>
      </c>
      <c r="AE38" t="n">
        <v>63.00553131103516</v>
      </c>
      <c r="AF38" t="n">
        <v>10.03814506530762</v>
      </c>
      <c r="AG38" t="n">
        <v>3.752742290496826</v>
      </c>
      <c r="AH38" t="n">
        <v>2.736047029495239</v>
      </c>
      <c r="AI38" t="n">
        <v>18.42208099365234</v>
      </c>
    </row>
    <row r="39">
      <c r="A39" s="47" t="n">
        <v>45509</v>
      </c>
      <c r="B39" t="n">
        <v>70.09223937988281</v>
      </c>
      <c r="C39" t="n">
        <v>208.7231292724609</v>
      </c>
      <c r="D39" t="n">
        <v>9.918863296508789</v>
      </c>
      <c r="E39" t="n">
        <v>11.97993278503418</v>
      </c>
      <c r="G39" t="n">
        <v>7.900000095367432</v>
      </c>
      <c r="I39" t="n">
        <v>40.86737823486328</v>
      </c>
      <c r="J39" t="n">
        <v>157.6310577392578</v>
      </c>
      <c r="K39" t="n">
        <v>33.99722290039062</v>
      </c>
      <c r="L39" t="n">
        <v>40.22999954223633</v>
      </c>
      <c r="M39" t="n">
        <v>6.293177127838135</v>
      </c>
      <c r="N39" t="n">
        <v>238.7200012207031</v>
      </c>
      <c r="O39" t="n">
        <v>16.57303237915039</v>
      </c>
      <c r="P39" t="n">
        <v>66.46933746337891</v>
      </c>
      <c r="R39" t="n">
        <v>40.24116897583008</v>
      </c>
      <c r="S39" t="n">
        <v>21.1609992980957</v>
      </c>
      <c r="T39" t="n">
        <v>148.375</v>
      </c>
      <c r="U39" t="n">
        <v>132.2700042724609</v>
      </c>
      <c r="V39" t="n">
        <v>77.18299865722656</v>
      </c>
      <c r="W39" t="n">
        <v>2.269999980926514</v>
      </c>
      <c r="X39" t="n">
        <v>11.47000026702881</v>
      </c>
      <c r="Y39" t="n">
        <v>146.8800048828125</v>
      </c>
      <c r="Z39" t="n">
        <v>38554.50390625</v>
      </c>
      <c r="AA39" t="n">
        <v>2627.678466796875</v>
      </c>
      <c r="AB39" t="n">
        <v>2170.28076171875</v>
      </c>
      <c r="AC39" t="n">
        <v>3.247910976409912</v>
      </c>
      <c r="AD39" t="n">
        <v>12.73174381256104</v>
      </c>
      <c r="AE39" t="n">
        <v>65.04245758056641</v>
      </c>
      <c r="AF39" t="n">
        <v>10.03814506530762</v>
      </c>
      <c r="AG39" t="n">
        <v>3.848353385925293</v>
      </c>
      <c r="AH39" t="n">
        <v>2.853545904159546</v>
      </c>
      <c r="AI39" t="n">
        <v>18.35091972351074</v>
      </c>
    </row>
    <row r="40">
      <c r="A40" s="47" t="n">
        <v>45516</v>
      </c>
      <c r="B40" t="n">
        <v>78.47425842285156</v>
      </c>
      <c r="C40" t="n">
        <v>211.0573883056641</v>
      </c>
      <c r="D40" t="n">
        <v>9.987067222595215</v>
      </c>
      <c r="E40" t="n">
        <v>12.47473621368408</v>
      </c>
      <c r="G40" t="n">
        <v>8</v>
      </c>
      <c r="I40" t="n">
        <v>41.90139007568359</v>
      </c>
      <c r="J40" t="n">
        <v>158.7197570800781</v>
      </c>
      <c r="K40" t="n">
        <v>35.87675857543945</v>
      </c>
      <c r="L40" t="n">
        <v>42.54000091552734</v>
      </c>
      <c r="M40" t="n">
        <v>6.506203651428223</v>
      </c>
      <c r="N40" t="n">
        <v>258.1000061035156</v>
      </c>
      <c r="O40" t="n">
        <v>17.96357727050781</v>
      </c>
      <c r="P40" t="n">
        <v>67.24736022949219</v>
      </c>
      <c r="R40" t="n">
        <v>40.71403121948242</v>
      </c>
      <c r="S40" t="n">
        <v>22.62778854370117</v>
      </c>
      <c r="T40" t="n">
        <v>158.4216613769531</v>
      </c>
      <c r="U40" t="n">
        <v>136.0500030517578</v>
      </c>
      <c r="V40" t="n">
        <v>77.05091094970703</v>
      </c>
      <c r="W40" t="n">
        <v>2.299999952316284</v>
      </c>
      <c r="X40" t="n">
        <v>11.46000003814697</v>
      </c>
      <c r="Y40" t="n">
        <v>165.0800018310547</v>
      </c>
      <c r="Z40" t="n">
        <v>42551.96484375</v>
      </c>
      <c r="AA40" t="n">
        <v>2621.712890625</v>
      </c>
      <c r="AB40" t="n">
        <v>2582.471435546875</v>
      </c>
      <c r="AC40" t="n">
        <v>3.289657592773438</v>
      </c>
      <c r="AD40" t="n">
        <v>11.72896099090576</v>
      </c>
      <c r="AE40" t="n">
        <v>63.05181884765625</v>
      </c>
      <c r="AF40" t="n">
        <v>10.88511371612549</v>
      </c>
      <c r="AG40" t="n">
        <v>3.784612417221069</v>
      </c>
      <c r="AH40" t="n">
        <v>3.004616022109985</v>
      </c>
      <c r="AI40" t="n">
        <v>17.53403091430664</v>
      </c>
    </row>
    <row r="41">
      <c r="A41" s="47" t="n">
        <v>45523</v>
      </c>
      <c r="B41" t="n">
        <v>79.24740600585938</v>
      </c>
      <c r="C41" t="n">
        <v>213.1971588134766</v>
      </c>
      <c r="D41" t="n">
        <v>10.15270709991455</v>
      </c>
      <c r="E41" t="n">
        <v>12.8553524017334</v>
      </c>
      <c r="G41" t="n">
        <v>8.579999923706055</v>
      </c>
      <c r="I41" t="n">
        <v>42.84054565429688</v>
      </c>
      <c r="J41" t="n">
        <v>169.7041778564453</v>
      </c>
      <c r="K41" t="n">
        <v>36.509765625</v>
      </c>
      <c r="L41" t="n">
        <v>44.56999969482422</v>
      </c>
      <c r="M41" t="n">
        <v>6.568337440490723</v>
      </c>
      <c r="N41" t="n">
        <v>268.5499877929688</v>
      </c>
      <c r="O41" t="n">
        <v>18.44601058959961</v>
      </c>
      <c r="P41" t="n">
        <v>69.00962066650391</v>
      </c>
      <c r="R41" t="n">
        <v>41.24055099487305</v>
      </c>
      <c r="S41" t="n">
        <v>23.00149345397949</v>
      </c>
      <c r="T41" t="n">
        <v>162.4266662597656</v>
      </c>
      <c r="U41" t="n">
        <v>144.6900024414062</v>
      </c>
      <c r="V41" t="n">
        <v>80.57246398925781</v>
      </c>
      <c r="W41" t="n">
        <v>2.289999961853027</v>
      </c>
      <c r="X41" t="n">
        <v>14.11999988555908</v>
      </c>
      <c r="Y41" t="n">
        <v>169.8300018310547</v>
      </c>
      <c r="Z41" t="n">
        <v>44438.8359375</v>
      </c>
      <c r="AA41" t="n">
        <v>2803.81982421875</v>
      </c>
      <c r="AB41" t="n">
        <v>2619.898681640625</v>
      </c>
      <c r="AC41" t="n">
        <v>3.399943590164185</v>
      </c>
      <c r="AD41" t="n">
        <v>12.74964904785156</v>
      </c>
      <c r="AE41" t="n">
        <v>63.93140029907227</v>
      </c>
      <c r="AF41" t="n">
        <v>11.54386711120605</v>
      </c>
      <c r="AG41" t="n">
        <v>4.031608581542969</v>
      </c>
      <c r="AH41" t="n">
        <v>3.069370985031128</v>
      </c>
      <c r="AI41" t="n">
        <v>17.04723167419434</v>
      </c>
    </row>
    <row r="42">
      <c r="A42" s="47" t="n">
        <v>45530</v>
      </c>
      <c r="B42" t="n">
        <v>78.55911254882812</v>
      </c>
      <c r="C42" t="n">
        <v>225.6466217041016</v>
      </c>
      <c r="D42" t="n">
        <v>10.29885864257812</v>
      </c>
      <c r="E42" t="n">
        <v>13.0456600189209</v>
      </c>
      <c r="G42" t="n">
        <v>7.690000057220459</v>
      </c>
      <c r="I42" t="n">
        <v>42.78361892700195</v>
      </c>
      <c r="J42" t="n">
        <v>166.4768676757812</v>
      </c>
      <c r="K42" t="n">
        <v>38.06792831420898</v>
      </c>
      <c r="L42" t="n">
        <v>46.97999954223633</v>
      </c>
      <c r="M42" t="n">
        <v>6.354616641998291</v>
      </c>
      <c r="N42" t="n">
        <v>259.4700012207031</v>
      </c>
      <c r="O42" t="n">
        <v>18.22844314575195</v>
      </c>
      <c r="P42" t="n">
        <v>70.16260528564453</v>
      </c>
      <c r="R42" t="n">
        <v>44.24655532836914</v>
      </c>
      <c r="S42" t="n">
        <v>20.95546340942383</v>
      </c>
      <c r="T42" t="n">
        <v>159.8816680908203</v>
      </c>
      <c r="U42" t="n">
        <v>146.1699981689453</v>
      </c>
      <c r="V42" t="n">
        <v>77.67633056640625</v>
      </c>
      <c r="W42" t="n">
        <v>2.289999961853027</v>
      </c>
      <c r="X42" t="n">
        <v>13.64999961853027</v>
      </c>
      <c r="Y42" t="n">
        <v>147.5700073242188</v>
      </c>
      <c r="Z42" t="n">
        <v>45594.59765625</v>
      </c>
      <c r="AA42" t="n">
        <v>2824.8564453125</v>
      </c>
      <c r="AB42" t="n">
        <v>2832.14990234375</v>
      </c>
      <c r="AC42" t="n">
        <v>3.364802122116089</v>
      </c>
      <c r="AD42" t="n">
        <v>13.51847171783447</v>
      </c>
      <c r="AE42" t="n">
        <v>71.10690307617188</v>
      </c>
      <c r="AF42" t="n">
        <v>11.59092044830322</v>
      </c>
      <c r="AG42" t="n">
        <v>4.135187149047852</v>
      </c>
      <c r="AH42" t="n">
        <v>3.095755100250244</v>
      </c>
      <c r="AI42" t="n">
        <v>17.77742576599121</v>
      </c>
    </row>
    <row r="43">
      <c r="A43" s="47" t="n">
        <v>45537</v>
      </c>
      <c r="B43" t="n">
        <v>76.36192321777344</v>
      </c>
      <c r="C43" t="n">
        <v>214.6560668945312</v>
      </c>
      <c r="D43" t="n">
        <v>9.655789375305176</v>
      </c>
      <c r="E43" t="n">
        <v>13.31209373474121</v>
      </c>
      <c r="G43" t="n">
        <v>7.789999961853027</v>
      </c>
      <c r="I43" t="n">
        <v>40.89583206176758</v>
      </c>
      <c r="J43" t="n">
        <v>168.0225067138672</v>
      </c>
      <c r="K43" t="n">
        <v>37.97054672241211</v>
      </c>
      <c r="L43" t="n">
        <v>44.43999862670898</v>
      </c>
      <c r="M43" t="n">
        <v>6.820682048797607</v>
      </c>
      <c r="N43" t="n">
        <v>253.8399963378906</v>
      </c>
      <c r="O43" t="n">
        <v>17.6041145324707</v>
      </c>
      <c r="P43" t="n">
        <v>67.79103851318359</v>
      </c>
      <c r="R43" t="n">
        <v>42.68537521362305</v>
      </c>
      <c r="S43" t="n">
        <v>18.69455146789551</v>
      </c>
      <c r="T43" t="n">
        <v>143.32666015625</v>
      </c>
      <c r="U43" t="n">
        <v>129.8200073242188</v>
      </c>
      <c r="V43" t="n">
        <v>78.43642425537109</v>
      </c>
      <c r="W43" t="n">
        <v>2.299999952316284</v>
      </c>
      <c r="X43" t="n">
        <v>14.02000045776367</v>
      </c>
      <c r="Y43" t="n">
        <v>130.9299926757812</v>
      </c>
      <c r="Z43" t="n">
        <v>43102.2890625</v>
      </c>
      <c r="AA43" t="n">
        <v>2610.409912109375</v>
      </c>
      <c r="AB43" t="n">
        <v>2613.49658203125</v>
      </c>
      <c r="AC43" t="n">
        <v>3.285733699798584</v>
      </c>
      <c r="AD43" t="n">
        <v>13.0942907333374</v>
      </c>
      <c r="AE43" t="n">
        <v>69.85697174072266</v>
      </c>
      <c r="AF43" t="n">
        <v>12.022705078125</v>
      </c>
      <c r="AG43" t="n">
        <v>4.03908109664917</v>
      </c>
      <c r="AH43" t="n">
        <v>2.981423377990723</v>
      </c>
      <c r="AI43" t="n">
        <v>16.52298927307129</v>
      </c>
    </row>
    <row r="44">
      <c r="A44" s="47" t="n">
        <v>45544</v>
      </c>
      <c r="B44" t="n">
        <v>74.82766723632812</v>
      </c>
      <c r="C44" t="n">
        <v>212.5163269042969</v>
      </c>
      <c r="D44" t="n">
        <v>9.694762229919434</v>
      </c>
      <c r="E44" t="n">
        <v>13.99720668792725</v>
      </c>
      <c r="G44" t="n">
        <v>7.650000095367432</v>
      </c>
      <c r="I44" t="n">
        <v>43.47440338134766</v>
      </c>
      <c r="J44" t="n">
        <v>173.6508026123047</v>
      </c>
      <c r="K44" t="n">
        <v>37.298583984375</v>
      </c>
      <c r="L44" t="n">
        <v>48.63000106811523</v>
      </c>
      <c r="M44" t="n">
        <v>7.017863273620605</v>
      </c>
      <c r="N44" t="n">
        <v>266.760009765625</v>
      </c>
      <c r="O44" t="n">
        <v>18.85276794433594</v>
      </c>
      <c r="P44" t="n">
        <v>70.68088531494141</v>
      </c>
      <c r="R44" t="n">
        <v>43.63566589355469</v>
      </c>
      <c r="S44" t="n">
        <v>19.8156623840332</v>
      </c>
      <c r="T44" t="n">
        <v>155.8450012207031</v>
      </c>
      <c r="U44" t="n">
        <v>128.7700042724609</v>
      </c>
      <c r="V44" t="n">
        <v>79.54291534423828</v>
      </c>
      <c r="W44" t="n">
        <v>2.5</v>
      </c>
      <c r="X44" t="n">
        <v>14.51000022888184</v>
      </c>
      <c r="Y44" t="n">
        <v>142.1900024414062</v>
      </c>
      <c r="Z44" t="n">
        <v>42906.81640625</v>
      </c>
      <c r="AA44" t="n">
        <v>2428.61669921875</v>
      </c>
      <c r="AB44" t="n">
        <v>2679.97900390625</v>
      </c>
      <c r="AC44" t="n">
        <v>3.180309057235718</v>
      </c>
      <c r="AD44" t="n">
        <v>12.06150150299072</v>
      </c>
      <c r="AE44" t="n">
        <v>65.93405151367188</v>
      </c>
      <c r="AF44" t="n">
        <v>11.89148902893066</v>
      </c>
      <c r="AG44" t="n">
        <v>3.948721885681152</v>
      </c>
      <c r="AH44" t="n">
        <v>2.875886201858521</v>
      </c>
      <c r="AI44" t="n">
        <v>15.61493015289307</v>
      </c>
    </row>
    <row r="45">
      <c r="A45" s="47" t="n">
        <v>45551</v>
      </c>
      <c r="B45" t="n">
        <v>81.94013214111328</v>
      </c>
      <c r="C45" t="n">
        <v>211.8354949951172</v>
      </c>
      <c r="D45" t="n">
        <v>8.252728462219238</v>
      </c>
      <c r="E45" t="n">
        <v>14.60619354248047</v>
      </c>
      <c r="G45" t="n">
        <v>7.989999771118164</v>
      </c>
      <c r="I45" t="n">
        <v>45.247314453125</v>
      </c>
      <c r="J45" t="n">
        <v>180.1344909667969</v>
      </c>
      <c r="K45" t="n">
        <v>34.34780883789062</v>
      </c>
      <c r="L45" t="n">
        <v>49.95000076293945</v>
      </c>
      <c r="M45" t="n">
        <v>6.668314933776855</v>
      </c>
      <c r="N45" t="n">
        <v>262.6099853515625</v>
      </c>
      <c r="O45" t="n">
        <v>19.07033538818359</v>
      </c>
      <c r="P45" t="n">
        <v>74.30554962158203</v>
      </c>
      <c r="R45" t="n">
        <v>44.33383560180664</v>
      </c>
      <c r="S45" t="n">
        <v>18.98416900634766</v>
      </c>
      <c r="T45" t="n">
        <v>150.7299957275391</v>
      </c>
      <c r="U45" t="n">
        <v>139.0500030517578</v>
      </c>
      <c r="V45" t="n">
        <v>79.11957550048828</v>
      </c>
      <c r="W45" t="n">
        <v>2.680000066757202</v>
      </c>
      <c r="X45" t="n">
        <v>15.14000034332275</v>
      </c>
      <c r="Y45" t="n">
        <v>141.8000030517578</v>
      </c>
      <c r="Z45" t="n">
        <v>46728.359375</v>
      </c>
      <c r="AA45" t="n">
        <v>2485.760498046875</v>
      </c>
      <c r="AB45" t="n">
        <v>2897.15478515625</v>
      </c>
      <c r="AC45" t="n">
        <v>3.268162965774536</v>
      </c>
      <c r="AD45" t="n">
        <v>13.37093067169189</v>
      </c>
      <c r="AE45" t="n">
        <v>70.1666259765625</v>
      </c>
      <c r="AF45" t="n">
        <v>12.54757022857666</v>
      </c>
      <c r="AG45" t="n">
        <v>4.274017333984375</v>
      </c>
      <c r="AH45" t="n">
        <v>2.902270317077637</v>
      </c>
      <c r="AI45" t="n">
        <v>15.72726535797119</v>
      </c>
    </row>
    <row r="46">
      <c r="A46" s="47" t="n">
        <v>45558</v>
      </c>
      <c r="B46" t="n">
        <v>84.70558166503906</v>
      </c>
      <c r="C46" t="n">
        <v>233.7193298339844</v>
      </c>
      <c r="D46" t="n">
        <v>9.499893188476562</v>
      </c>
      <c r="E46" t="n">
        <v>16.66152954101562</v>
      </c>
      <c r="G46" t="n">
        <v>8.939999580383301</v>
      </c>
      <c r="I46" t="n">
        <v>46.41018295288086</v>
      </c>
      <c r="J46" t="n">
        <v>191.8420257568359</v>
      </c>
      <c r="K46" t="n">
        <v>37.6102180480957</v>
      </c>
      <c r="L46" t="n">
        <v>51.13000106811523</v>
      </c>
      <c r="M46" t="n">
        <v>6.838607311248779</v>
      </c>
      <c r="N46" t="n">
        <v>280.010009765625</v>
      </c>
      <c r="O46" t="n">
        <v>20.47980117797852</v>
      </c>
      <c r="P46" t="n">
        <v>77.52431488037109</v>
      </c>
      <c r="R46" t="n">
        <v>45.42956924438477</v>
      </c>
      <c r="S46" t="n">
        <v>20.01185989379883</v>
      </c>
      <c r="T46" t="n">
        <v>159.4199981689453</v>
      </c>
      <c r="U46" t="n">
        <v>144.3099975585938</v>
      </c>
      <c r="V46" t="n">
        <v>79.62953186035156</v>
      </c>
      <c r="W46" t="n">
        <v>3.430000066757202</v>
      </c>
      <c r="X46" t="n">
        <v>16.3799991607666</v>
      </c>
      <c r="Y46" t="n">
        <v>144.5</v>
      </c>
      <c r="Z46" t="n">
        <v>47998.94921875</v>
      </c>
      <c r="AA46" t="n">
        <v>2624.869140625</v>
      </c>
      <c r="AB46" t="n">
        <v>3045.385986328125</v>
      </c>
      <c r="AC46" t="n">
        <v>3.681075811386108</v>
      </c>
      <c r="AD46" t="n">
        <v>17.20700263977051</v>
      </c>
      <c r="AE46" t="n">
        <v>85.87417602539062</v>
      </c>
      <c r="AF46" t="n">
        <v>11.97349834442139</v>
      </c>
      <c r="AG46" t="n">
        <v>5.240866661071777</v>
      </c>
      <c r="AH46" t="n">
        <v>3.588261604309082</v>
      </c>
      <c r="AI46" t="n">
        <v>20.65139770507812</v>
      </c>
    </row>
    <row r="47">
      <c r="A47" s="47" t="n">
        <v>45565</v>
      </c>
      <c r="B47" t="n">
        <v>77.89617156982422</v>
      </c>
      <c r="C47" t="n">
        <v>231.6768341064453</v>
      </c>
      <c r="D47" t="n">
        <v>8.681441307067871</v>
      </c>
      <c r="E47" t="n">
        <v>17.02569770812988</v>
      </c>
      <c r="G47" t="n">
        <v>8.840000152587891</v>
      </c>
      <c r="I47" t="n">
        <v>47.03927993774414</v>
      </c>
      <c r="J47" t="n">
        <v>191.4906463623047</v>
      </c>
      <c r="K47" t="n">
        <v>36.13970184326172</v>
      </c>
      <c r="L47" t="n">
        <v>51.70999908447266</v>
      </c>
      <c r="M47" t="n">
        <v>6.704165458679199</v>
      </c>
      <c r="N47" t="n">
        <v>270.3800048828125</v>
      </c>
      <c r="O47" t="n">
        <v>18.74871253967285</v>
      </c>
      <c r="P47" t="n">
        <v>75.52320861816406</v>
      </c>
      <c r="R47" t="n">
        <v>45.54593276977539</v>
      </c>
      <c r="S47" t="n">
        <v>19.85303497314453</v>
      </c>
      <c r="T47" t="n">
        <v>166.8099975585938</v>
      </c>
      <c r="U47" t="n">
        <v>141.9299926757812</v>
      </c>
      <c r="V47" t="n">
        <v>79.31201171875</v>
      </c>
      <c r="W47" t="n">
        <v>4.21999979019165</v>
      </c>
      <c r="X47" t="n">
        <v>17.20999908447266</v>
      </c>
      <c r="Y47" t="n">
        <v>146.3200073242188</v>
      </c>
      <c r="Z47" t="n">
        <v>48096.68359375</v>
      </c>
      <c r="AA47" t="n">
        <v>2698.071044921875</v>
      </c>
      <c r="AB47" t="n">
        <v>2842.98388671875</v>
      </c>
      <c r="AC47" t="n">
        <v>4.014921188354492</v>
      </c>
      <c r="AD47" t="n">
        <v>17.64962768554688</v>
      </c>
      <c r="AE47" t="n">
        <v>96.220458984375</v>
      </c>
      <c r="AF47" t="n">
        <v>11.72746849060059</v>
      </c>
      <c r="AG47" t="n">
        <v>5.819169044494629</v>
      </c>
      <c r="AH47" t="n">
        <v>3.860899448394775</v>
      </c>
      <c r="AI47" t="n">
        <v>22.72028350830078</v>
      </c>
    </row>
    <row r="48">
      <c r="A48" s="47" t="n">
        <v>45572</v>
      </c>
      <c r="B48" t="n">
        <v>77.80146789550781</v>
      </c>
      <c r="C48" t="n">
        <v>227.2028045654297</v>
      </c>
      <c r="D48" t="n">
        <v>8.564518928527832</v>
      </c>
      <c r="E48" t="n">
        <v>15.81025791168213</v>
      </c>
      <c r="G48" t="n">
        <v>8.310000419616699</v>
      </c>
      <c r="I48" t="n">
        <v>45.63811874389648</v>
      </c>
      <c r="J48" t="n">
        <v>197.0741882324219</v>
      </c>
      <c r="K48" t="n">
        <v>35.25349426269531</v>
      </c>
      <c r="L48" t="n">
        <v>50</v>
      </c>
      <c r="M48" t="n">
        <v>6.811719417572021</v>
      </c>
      <c r="N48" t="n">
        <v>278.25</v>
      </c>
      <c r="O48" t="n">
        <v>18.10546875</v>
      </c>
      <c r="P48" t="n">
        <v>77.316650390625</v>
      </c>
      <c r="R48" t="n">
        <v>46.21501541137695</v>
      </c>
      <c r="S48" t="n">
        <v>20.51568603515625</v>
      </c>
      <c r="T48" t="n">
        <v>161.25</v>
      </c>
      <c r="U48" t="n">
        <v>139.5500030517578</v>
      </c>
      <c r="V48" t="n">
        <v>77.09901428222656</v>
      </c>
      <c r="W48" t="n">
        <v>3.630000114440918</v>
      </c>
      <c r="X48" t="n">
        <v>19.55999946594238</v>
      </c>
      <c r="Y48" t="n">
        <v>149.75</v>
      </c>
      <c r="Z48" t="n">
        <v>53257.23046875</v>
      </c>
      <c r="AA48" t="n">
        <v>2656.421630859375</v>
      </c>
      <c r="AB48" t="n">
        <v>2760.742919921875</v>
      </c>
      <c r="AC48" t="n">
        <v>4.357551097869873</v>
      </c>
      <c r="AD48" t="n">
        <v>16.63528442382812</v>
      </c>
      <c r="AE48" t="n">
        <v>94.15119934082031</v>
      </c>
      <c r="AF48" t="n">
        <v>12.2195291519165</v>
      </c>
      <c r="AG48" t="n">
        <v>5.611341953277588</v>
      </c>
      <c r="AH48" t="n">
        <v>3.878488779067993</v>
      </c>
      <c r="AI48" t="n">
        <v>19.49057579040527</v>
      </c>
    </row>
    <row r="49">
      <c r="A49" s="47" t="n">
        <v>45579</v>
      </c>
      <c r="B49" t="n">
        <v>78.53070068359375</v>
      </c>
      <c r="C49" t="n">
        <v>221.6589050292969</v>
      </c>
      <c r="D49" t="n">
        <v>8.174779891967773</v>
      </c>
      <c r="E49" t="n">
        <v>16.41319274902344</v>
      </c>
      <c r="G49" t="n">
        <v>9.359999656677246</v>
      </c>
      <c r="I49" t="n">
        <v>46.28627777099609</v>
      </c>
      <c r="J49" t="n">
        <v>201.3204345703125</v>
      </c>
      <c r="K49" t="n">
        <v>38.34060668945312</v>
      </c>
      <c r="L49" t="n">
        <v>48.33000183105469</v>
      </c>
      <c r="M49" t="n">
        <v>7.053714275360107</v>
      </c>
      <c r="N49" t="n">
        <v>291.6300048828125</v>
      </c>
      <c r="O49" t="n">
        <v>17.65141105651855</v>
      </c>
      <c r="P49" t="n">
        <v>79.03459167480469</v>
      </c>
      <c r="R49" t="n">
        <v>46.09865951538086</v>
      </c>
      <c r="S49" t="n">
        <v>21.17444801330566</v>
      </c>
      <c r="T49" t="n">
        <v>161.8500061035156</v>
      </c>
      <c r="U49" t="n">
        <v>139.3999938964844</v>
      </c>
      <c r="V49" t="n">
        <v>81.1978759765625</v>
      </c>
      <c r="W49" t="n">
        <v>3.339999914169312</v>
      </c>
      <c r="X49" t="n">
        <v>18.89999961853027</v>
      </c>
      <c r="Y49" t="n">
        <v>156.75</v>
      </c>
      <c r="Z49" t="n">
        <v>52358.04296875</v>
      </c>
      <c r="AA49" t="n">
        <v>2635.28125</v>
      </c>
      <c r="AB49" t="n">
        <v>2740.059326171875</v>
      </c>
      <c r="AC49" t="n">
        <v>4.313623428344727</v>
      </c>
      <c r="AD49" t="n">
        <v>14.95699787139893</v>
      </c>
      <c r="AE49" t="n">
        <v>81.97079467773438</v>
      </c>
      <c r="AF49" t="n">
        <v>12.44915771484375</v>
      </c>
      <c r="AG49" t="n">
        <v>5.18665075302124</v>
      </c>
      <c r="AH49" t="n">
        <v>3.632235527038574</v>
      </c>
      <c r="AI49" t="n">
        <v>19.3595142364502</v>
      </c>
    </row>
    <row r="50">
      <c r="A50" s="47" t="n">
        <v>45586</v>
      </c>
      <c r="B50" t="n">
        <v>74.6761474609375</v>
      </c>
      <c r="C50" t="n">
        <v>211.0573883056641</v>
      </c>
      <c r="D50" t="n">
        <v>7.824014663696289</v>
      </c>
      <c r="E50" t="n">
        <v>15.13076114654541</v>
      </c>
      <c r="G50" t="n">
        <v>8.630000114440918</v>
      </c>
      <c r="I50" t="n">
        <v>43.17892074584961</v>
      </c>
      <c r="J50" t="n">
        <v>192.8767547607422</v>
      </c>
      <c r="K50" t="n">
        <v>41.42772674560547</v>
      </c>
      <c r="L50" t="n">
        <v>50.65000152587891</v>
      </c>
      <c r="M50" t="n">
        <v>7.824512481689453</v>
      </c>
      <c r="N50" t="n">
        <v>304.1499938964844</v>
      </c>
      <c r="O50" t="n">
        <v>16.53519630432129</v>
      </c>
      <c r="P50" t="n">
        <v>72.56873321533203</v>
      </c>
      <c r="R50" t="n">
        <v>46.61257934570312</v>
      </c>
      <c r="S50" t="n">
        <v>20.33688163757324</v>
      </c>
      <c r="T50" t="n">
        <v>168.1100006103516</v>
      </c>
      <c r="U50" t="n">
        <v>133.75</v>
      </c>
      <c r="V50" t="n">
        <v>72.33625030517578</v>
      </c>
      <c r="W50" t="n">
        <v>3.160000085830688</v>
      </c>
      <c r="X50" t="n">
        <v>18.15999984741211</v>
      </c>
      <c r="Y50" t="n">
        <v>141.5299987792969</v>
      </c>
      <c r="Z50" t="n">
        <v>48722.203125</v>
      </c>
      <c r="AA50" t="n">
        <v>2494.24072265625</v>
      </c>
      <c r="AB50" t="n">
        <v>2599.707763671875</v>
      </c>
      <c r="AC50" t="n">
        <v>4.269697189331055</v>
      </c>
      <c r="AD50" t="n">
        <v>14.64347362518311</v>
      </c>
      <c r="AE50" t="n">
        <v>81.50051116943359</v>
      </c>
      <c r="AF50" t="n">
        <v>12.44915771484375</v>
      </c>
      <c r="AG50" t="n">
        <v>4.996895790100098</v>
      </c>
      <c r="AH50" t="n">
        <v>3.579467058181763</v>
      </c>
      <c r="AI50" t="n">
        <v>19.86503410339355</v>
      </c>
    </row>
    <row r="51">
      <c r="A51" s="47" t="n">
        <v>45593</v>
      </c>
      <c r="B51" t="n">
        <v>73.92795562744141</v>
      </c>
      <c r="C51" t="n">
        <v>216.0177459716797</v>
      </c>
      <c r="D51" t="n">
        <v>7.405045032501221</v>
      </c>
      <c r="E51" t="n">
        <v>14.70009517669678</v>
      </c>
      <c r="G51" t="n">
        <v>8.520000457763672</v>
      </c>
      <c r="I51" t="n">
        <v>42.65467071533203</v>
      </c>
      <c r="J51" t="n">
        <v>192.9450988769531</v>
      </c>
      <c r="K51" t="n">
        <v>41.95360565185547</v>
      </c>
      <c r="L51" t="n">
        <v>46.5</v>
      </c>
      <c r="M51" t="n">
        <v>7.87829065322876</v>
      </c>
      <c r="N51" t="n">
        <v>321.1700134277344</v>
      </c>
      <c r="O51" t="n">
        <v>16.3814582824707</v>
      </c>
      <c r="P51" t="n">
        <v>77.07123565673828</v>
      </c>
      <c r="R51" t="n">
        <v>48.15438461303711</v>
      </c>
      <c r="S51" t="n">
        <v>19.51813507080078</v>
      </c>
      <c r="T51" t="n">
        <v>158.1199951171875</v>
      </c>
      <c r="U51" t="n">
        <v>106.2099990844727</v>
      </c>
      <c r="V51" t="n">
        <v>77.31068420410156</v>
      </c>
      <c r="W51" t="n">
        <v>3</v>
      </c>
      <c r="X51" t="n">
        <v>17.81999969482422</v>
      </c>
      <c r="Y51" t="n">
        <v>131.2599945068359</v>
      </c>
      <c r="Z51" t="n">
        <v>47050.89453125</v>
      </c>
      <c r="AA51" t="n">
        <v>2462.688232421875</v>
      </c>
      <c r="AB51" t="n">
        <v>2573.607177734375</v>
      </c>
      <c r="AC51" t="n">
        <v>3.865569353103638</v>
      </c>
      <c r="AD51" t="n">
        <v>14.66191673278809</v>
      </c>
      <c r="AE51" t="n">
        <v>79.19611358642578</v>
      </c>
      <c r="AF51" t="n">
        <v>11.77667427062988</v>
      </c>
      <c r="AG51" t="n">
        <v>5.249902248382568</v>
      </c>
      <c r="AH51" t="n">
        <v>3.561877489089966</v>
      </c>
      <c r="AI51" t="n">
        <v>17.73062133789062</v>
      </c>
    </row>
    <row r="52">
      <c r="A52" s="47" t="n">
        <v>45600</v>
      </c>
      <c r="B52" t="n">
        <v>71.86336517333984</v>
      </c>
      <c r="C52" t="n">
        <v>213.0026245117188</v>
      </c>
      <c r="D52" t="n">
        <v>7.278379440307617</v>
      </c>
      <c r="E52" t="n">
        <v>21.02611351013184</v>
      </c>
      <c r="G52" t="n">
        <v>9.680000305175781</v>
      </c>
      <c r="I52" t="n">
        <v>42.54029083251953</v>
      </c>
      <c r="J52" t="n">
        <v>217.2706604003906</v>
      </c>
      <c r="K52" t="n">
        <v>44.5440559387207</v>
      </c>
      <c r="L52" t="n">
        <v>51.4900016784668</v>
      </c>
      <c r="M52" t="n">
        <v>8.263691902160645</v>
      </c>
      <c r="N52" t="n">
        <v>308.5299987792969</v>
      </c>
      <c r="O52" t="n">
        <v>16.13368606567383</v>
      </c>
      <c r="P52" t="n">
        <v>85.00961303710938</v>
      </c>
      <c r="R52" t="n">
        <v>47.77619934082031</v>
      </c>
      <c r="S52" t="n">
        <v>20.39334297180176</v>
      </c>
      <c r="T52" t="n">
        <v>175.6100006103516</v>
      </c>
      <c r="U52" t="n">
        <v>101.3000030517578</v>
      </c>
      <c r="V52" t="n">
        <v>80.29341888427734</v>
      </c>
      <c r="W52" t="n">
        <v>2.730000019073486</v>
      </c>
      <c r="X52" t="n">
        <v>19.3700008392334</v>
      </c>
      <c r="Y52" t="n">
        <v>143.9700012207031</v>
      </c>
      <c r="Z52" t="n">
        <v>48135.77734375</v>
      </c>
      <c r="AA52" t="n">
        <v>2779.79296875</v>
      </c>
      <c r="AB52" t="n">
        <v>2569.175048828125</v>
      </c>
      <c r="AC52" t="n">
        <v>4.067632675170898</v>
      </c>
      <c r="AD52" t="n">
        <v>16.02667427062988</v>
      </c>
      <c r="AE52" t="n">
        <v>84.13410949707031</v>
      </c>
      <c r="AF52" t="n">
        <v>11.74386978149414</v>
      </c>
      <c r="AG52" t="n">
        <v>5.267974376678467</v>
      </c>
      <c r="AH52" t="n">
        <v>3.632235527038574</v>
      </c>
      <c r="AI52" t="n">
        <v>19.05058860778809</v>
      </c>
    </row>
    <row r="53">
      <c r="A53" s="47" t="n">
        <v>45607</v>
      </c>
      <c r="B53" t="n">
        <v>72.60206604003906</v>
      </c>
      <c r="C53" t="n">
        <v>209.1121673583984</v>
      </c>
      <c r="D53" t="n">
        <v>7.219918727874756</v>
      </c>
      <c r="E53" t="n">
        <v>20.85384559631348</v>
      </c>
      <c r="G53" t="n">
        <v>9.939999580383301</v>
      </c>
      <c r="I53" t="n">
        <v>41.20584106445312</v>
      </c>
      <c r="J53" t="n">
        <v>203.4093780517578</v>
      </c>
      <c r="K53" t="n">
        <v>45.32313919067383</v>
      </c>
      <c r="L53" t="n">
        <v>51.91999816894531</v>
      </c>
      <c r="M53" t="n">
        <v>7.887254238128662</v>
      </c>
      <c r="N53" t="n">
        <v>320.010009765625</v>
      </c>
      <c r="O53" t="n">
        <v>15.79061889648438</v>
      </c>
      <c r="P53" t="n">
        <v>85.08513641357422</v>
      </c>
      <c r="R53" t="n">
        <v>46.82591247558594</v>
      </c>
      <c r="S53" t="n">
        <v>20.25218391418457</v>
      </c>
      <c r="T53" t="n">
        <v>175.6600036621094</v>
      </c>
      <c r="U53" t="n">
        <v>97.77999877929688</v>
      </c>
      <c r="V53" t="n">
        <v>80.44738006591797</v>
      </c>
      <c r="W53" t="n">
        <v>2.430000066757202</v>
      </c>
      <c r="X53" t="n">
        <v>19.32999992370605</v>
      </c>
      <c r="Y53" t="n">
        <v>144.6399993896484</v>
      </c>
      <c r="Z53" t="n">
        <v>49103.3828125</v>
      </c>
      <c r="AA53" t="n">
        <v>2624.869140625</v>
      </c>
      <c r="AB53" t="n">
        <v>2678.994140625</v>
      </c>
      <c r="AC53" t="n">
        <v>3.689861059188843</v>
      </c>
      <c r="AD53" t="n">
        <v>14.79101657867432</v>
      </c>
      <c r="AE53" t="n">
        <v>75.48085784912109</v>
      </c>
      <c r="AF53" t="n">
        <v>10.95657157897949</v>
      </c>
      <c r="AG53" t="n">
        <v>4.716780185699463</v>
      </c>
      <c r="AH53" t="n">
        <v>3.315623998641968</v>
      </c>
      <c r="AI53" t="n">
        <v>18.47953796386719</v>
      </c>
    </row>
    <row r="54">
      <c r="A54" s="47" t="n">
        <v>45614</v>
      </c>
      <c r="B54" t="n">
        <v>73.30290222167969</v>
      </c>
      <c r="C54" t="n">
        <v>208.5285949707031</v>
      </c>
      <c r="D54" t="n">
        <v>7.502479553222656</v>
      </c>
      <c r="E54" t="n">
        <v>22.39467620849609</v>
      </c>
      <c r="G54" t="n">
        <v>9.520000457763672</v>
      </c>
      <c r="I54" t="n">
        <v>41.36788940429688</v>
      </c>
      <c r="J54" t="n">
        <v>207.0894317626953</v>
      </c>
      <c r="K54" t="n">
        <v>42.68399810791016</v>
      </c>
      <c r="L54" t="n">
        <v>58.13000106811523</v>
      </c>
      <c r="M54" t="n">
        <v>8.174062728881836</v>
      </c>
      <c r="N54" t="n">
        <v>317.1099853515625</v>
      </c>
      <c r="O54" t="n">
        <v>15.55237865447998</v>
      </c>
      <c r="P54" t="n">
        <v>86.25559234619141</v>
      </c>
      <c r="R54" t="n">
        <v>48.52218627929688</v>
      </c>
      <c r="S54" t="n">
        <v>23.40482330322266</v>
      </c>
      <c r="T54" t="n">
        <v>192.1499938964844</v>
      </c>
      <c r="U54" t="n">
        <v>106.0800018310547</v>
      </c>
      <c r="V54" t="n">
        <v>80.61677551269531</v>
      </c>
      <c r="W54" t="n">
        <v>2.369999885559082</v>
      </c>
      <c r="X54" t="n">
        <v>24.29999923706055</v>
      </c>
      <c r="Y54" t="n">
        <v>151.9900054931641</v>
      </c>
      <c r="Z54" t="n">
        <v>47910.98046875</v>
      </c>
      <c r="AA54" t="n">
        <v>2696.493896484375</v>
      </c>
      <c r="AB54" t="n">
        <v>2818.36083984375</v>
      </c>
      <c r="AC54" t="n">
        <v>3.821642398834229</v>
      </c>
      <c r="AD54" t="n">
        <v>14.4590482711792</v>
      </c>
      <c r="AE54" t="n">
        <v>73.78782653808594</v>
      </c>
      <c r="AF54" t="n">
        <v>11.21900463104248</v>
      </c>
      <c r="AG54" t="n">
        <v>4.590276718139648</v>
      </c>
      <c r="AH54" t="n">
        <v>3.254060745239258</v>
      </c>
      <c r="AI54" t="n">
        <v>17.50594520568848</v>
      </c>
    </row>
    <row r="55">
      <c r="A55" s="47" t="n">
        <v>45621</v>
      </c>
      <c r="B55" t="n">
        <v>74.60037994384766</v>
      </c>
      <c r="C55" t="n">
        <v>216.9903411865234</v>
      </c>
      <c r="D55" t="n">
        <v>7.88247537612915</v>
      </c>
      <c r="E55" t="n">
        <v>22.19370079040527</v>
      </c>
      <c r="G55" t="n">
        <v>9.710000038146973</v>
      </c>
      <c r="I55" t="n">
        <v>43.44580459594727</v>
      </c>
      <c r="J55" t="n">
        <v>225.8802642822266</v>
      </c>
      <c r="K55" t="n">
        <v>43.14170455932617</v>
      </c>
      <c r="L55" t="n">
        <v>58.33000183105469</v>
      </c>
      <c r="M55" t="n">
        <v>8.65871524810791</v>
      </c>
      <c r="N55" t="n">
        <v>320.6600036621094</v>
      </c>
      <c r="O55" t="n">
        <v>16.63875770568848</v>
      </c>
      <c r="P55" t="n">
        <v>86.63317108154297</v>
      </c>
      <c r="R55" t="n">
        <v>48.31769180297852</v>
      </c>
      <c r="S55" t="n">
        <v>22.82135009765625</v>
      </c>
      <c r="T55" t="n">
        <v>195.9600067138672</v>
      </c>
      <c r="U55" t="n">
        <v>105.5999984741211</v>
      </c>
      <c r="V55" t="n">
        <v>84.247802734375</v>
      </c>
      <c r="W55" t="n">
        <v>2.549999952316284</v>
      </c>
      <c r="X55" t="n">
        <v>26.32999992370605</v>
      </c>
      <c r="Y55" t="n">
        <v>149.6900024414062</v>
      </c>
      <c r="Z55" t="n">
        <v>49953.69921875</v>
      </c>
      <c r="AA55" t="n">
        <v>2805.034912109375</v>
      </c>
      <c r="AB55" t="n">
        <v>2957.7275390625</v>
      </c>
      <c r="AC55" t="n">
        <v>3.558080911636353</v>
      </c>
      <c r="AD55" t="n">
        <v>14.71724510192871</v>
      </c>
      <c r="AE55" t="n">
        <v>72.32993316650391</v>
      </c>
      <c r="AF55" t="n">
        <v>11.66186046600342</v>
      </c>
      <c r="AG55" t="n">
        <v>4.75292444229126</v>
      </c>
      <c r="AH55" t="n">
        <v>3.500313997268677</v>
      </c>
      <c r="AI55" t="n">
        <v>18.13316345214844</v>
      </c>
    </row>
    <row r="56">
      <c r="A56" s="48" t="n">
        <v>45628</v>
      </c>
      <c r="B56" t="n">
        <v>79.09</v>
      </c>
      <c r="C56" t="n">
        <v>230.2</v>
      </c>
      <c r="D56" t="n">
        <v>8.199999999999999</v>
      </c>
      <c r="E56" t="n">
        <v>23.53</v>
      </c>
      <c r="F56" t="n">
        <v>41.92</v>
      </c>
      <c r="G56" t="n">
        <v>10.16</v>
      </c>
      <c r="I56" t="n">
        <v>46.18</v>
      </c>
      <c r="J56" t="n">
        <v>233.41</v>
      </c>
      <c r="K56" t="n">
        <v>43.16</v>
      </c>
      <c r="L56" t="n">
        <v>58.53</v>
      </c>
      <c r="M56" t="n">
        <v>9.76</v>
      </c>
      <c r="N56" t="n">
        <v>334.4</v>
      </c>
      <c r="O56" t="n">
        <v>18.18</v>
      </c>
      <c r="P56" t="n">
        <v>94.19</v>
      </c>
      <c r="R56" t="n">
        <v>50.11</v>
      </c>
      <c r="S56" t="n">
        <v>25.81</v>
      </c>
      <c r="T56" t="n">
        <v>201.9</v>
      </c>
      <c r="U56" t="n">
        <v>109.68</v>
      </c>
      <c r="V56" t="n">
        <v>88.09999999999999</v>
      </c>
      <c r="W56" t="n">
        <v>2.77</v>
      </c>
      <c r="X56" t="n">
        <v>26.13</v>
      </c>
      <c r="Y56" t="n">
        <v>157.31</v>
      </c>
      <c r="Z56" t="n">
        <v>50430</v>
      </c>
      <c r="AA56" t="n">
        <v>2945</v>
      </c>
      <c r="AB56" t="n">
        <v>3134</v>
      </c>
      <c r="AC56" t="n">
        <v>4.13</v>
      </c>
      <c r="AD56" t="n">
        <v>16.32</v>
      </c>
      <c r="AE56" t="n">
        <v>78.2</v>
      </c>
      <c r="AF56" t="n">
        <v>14.02</v>
      </c>
      <c r="AG56" t="n">
        <v>5.32</v>
      </c>
      <c r="AH56" t="n">
        <v>3.94</v>
      </c>
      <c r="AI56" t="n">
        <v>19.61</v>
      </c>
    </row>
    <row r="57">
      <c r="A57" s="48" t="n">
        <v>45635</v>
      </c>
      <c r="B57" t="n">
        <v>77.64</v>
      </c>
      <c r="C57" t="n">
        <v>238.6</v>
      </c>
      <c r="D57" t="n">
        <v>8.49</v>
      </c>
      <c r="E57" t="n">
        <v>22.59</v>
      </c>
      <c r="F57" t="n">
        <v>47.2</v>
      </c>
      <c r="G57" t="n">
        <v>10.18</v>
      </c>
      <c r="I57" t="n">
        <v>43.84</v>
      </c>
      <c r="J57" t="n">
        <v>228.13</v>
      </c>
      <c r="K57" t="n">
        <v>46.29</v>
      </c>
      <c r="L57" t="n">
        <v>55.02</v>
      </c>
      <c r="M57" t="n">
        <v>11.51</v>
      </c>
      <c r="N57" t="n">
        <v>404.79</v>
      </c>
      <c r="O57" t="n">
        <v>17.55</v>
      </c>
      <c r="P57" t="n">
        <v>87.87</v>
      </c>
      <c r="R57" t="n">
        <v>47.84</v>
      </c>
      <c r="S57" t="n">
        <v>25.41</v>
      </c>
      <c r="T57" t="n">
        <v>201.55</v>
      </c>
      <c r="U57" t="n">
        <v>110.59</v>
      </c>
      <c r="V57" t="n">
        <v>90.65000000000001</v>
      </c>
      <c r="W57" t="n">
        <v>2.9</v>
      </c>
      <c r="X57" t="n">
        <v>25.79</v>
      </c>
      <c r="Y57" t="n">
        <v>140.07</v>
      </c>
      <c r="Z57" t="n">
        <v>53670</v>
      </c>
      <c r="AA57" t="n">
        <v>2866.33</v>
      </c>
      <c r="AB57" t="n">
        <v>3053</v>
      </c>
      <c r="AC57" t="n">
        <v>4.02</v>
      </c>
      <c r="AD57" t="n">
        <v>17.44</v>
      </c>
      <c r="AE57" t="n">
        <v>83.75</v>
      </c>
      <c r="AF57" t="n">
        <v>14.8</v>
      </c>
      <c r="AG57" t="n">
        <v>5.59</v>
      </c>
      <c r="AH57" t="n">
        <v>4.26</v>
      </c>
      <c r="AI57" t="n">
        <v>19.15</v>
      </c>
    </row>
    <row r="58">
      <c r="A58" s="48" t="n">
        <v>45642</v>
      </c>
      <c r="B58" t="n">
        <v>77.2</v>
      </c>
      <c r="C58" t="n">
        <v>243</v>
      </c>
      <c r="D58" t="n">
        <v>8.869999999999999</v>
      </c>
      <c r="E58" t="n">
        <v>23.36</v>
      </c>
      <c r="F58" t="n">
        <v>45.89</v>
      </c>
      <c r="G58" t="n">
        <v>8.32</v>
      </c>
      <c r="I58" t="n">
        <v>43.82</v>
      </c>
      <c r="J58" t="n">
        <v>231.66</v>
      </c>
      <c r="K58" t="n">
        <v>45.14</v>
      </c>
      <c r="L58" t="n">
        <v>57.88</v>
      </c>
      <c r="M58" t="n">
        <v>10.84</v>
      </c>
      <c r="N58" t="n">
        <v>389.74</v>
      </c>
      <c r="O58" t="n">
        <v>17.11</v>
      </c>
      <c r="P58" t="n">
        <v>89.95</v>
      </c>
      <c r="R58" t="n">
        <v>48.64</v>
      </c>
      <c r="S58" t="n">
        <v>24.84</v>
      </c>
      <c r="T58" t="n">
        <v>211.12</v>
      </c>
      <c r="U58" t="n">
        <v>108.96</v>
      </c>
      <c r="V58" t="n">
        <v>89.84999999999999</v>
      </c>
      <c r="W58" t="n">
        <v>3.7</v>
      </c>
      <c r="X58" t="n">
        <v>27.65</v>
      </c>
      <c r="Y58" t="n">
        <v>146.85</v>
      </c>
      <c r="Z58" t="n">
        <v>52780</v>
      </c>
      <c r="AA58" t="n">
        <v>2749.33</v>
      </c>
      <c r="AB58" t="n">
        <v>3029</v>
      </c>
      <c r="AC58" t="n">
        <v>4</v>
      </c>
      <c r="AD58" t="n">
        <v>16.72</v>
      </c>
      <c r="AE58" t="n">
        <v>81.34999999999999</v>
      </c>
      <c r="AF58" t="n">
        <v>14.7</v>
      </c>
      <c r="AG58" t="n">
        <v>5.83</v>
      </c>
      <c r="AH58" t="n">
        <v>4.25</v>
      </c>
      <c r="AI58" t="n">
        <v>22.41</v>
      </c>
    </row>
    <row r="59">
      <c r="A59" s="48" t="n">
        <v>45649</v>
      </c>
      <c r="B59" t="n">
        <v>76.76000000000001</v>
      </c>
      <c r="C59" t="n">
        <v>234.9</v>
      </c>
      <c r="D59" t="n">
        <v>8.51</v>
      </c>
      <c r="E59" t="n">
        <v>22.72</v>
      </c>
      <c r="F59" t="n">
        <v>42.18</v>
      </c>
      <c r="G59" t="n">
        <v>8.43</v>
      </c>
      <c r="I59" t="n">
        <v>42.47</v>
      </c>
      <c r="J59" t="n">
        <v>230.41</v>
      </c>
      <c r="K59" t="n">
        <v>45.13</v>
      </c>
      <c r="L59" t="n">
        <v>56.65</v>
      </c>
      <c r="M59" t="n">
        <v>10.05</v>
      </c>
      <c r="N59" t="n">
        <v>383.49</v>
      </c>
      <c r="O59" t="n">
        <v>17.32</v>
      </c>
      <c r="P59" t="n">
        <v>86.56999999999999</v>
      </c>
      <c r="R59" t="n">
        <v>46.75</v>
      </c>
      <c r="S59" t="n">
        <v>24.01</v>
      </c>
      <c r="T59" t="n">
        <v>207.65</v>
      </c>
      <c r="U59" t="n">
        <v>113.27</v>
      </c>
      <c r="V59" t="n">
        <v>87.23</v>
      </c>
      <c r="W59" t="n">
        <v>3.06</v>
      </c>
      <c r="X59" t="n">
        <v>28.56</v>
      </c>
      <c r="Y59" t="n">
        <v>152.96</v>
      </c>
      <c r="Z59" t="n">
        <v>53180</v>
      </c>
      <c r="AA59" t="n">
        <v>2839</v>
      </c>
      <c r="AB59" t="n">
        <v>3100</v>
      </c>
      <c r="AC59" t="n">
        <v>4.13</v>
      </c>
      <c r="AD59" t="n">
        <v>16.56</v>
      </c>
      <c r="AE59" t="n">
        <v>80</v>
      </c>
      <c r="AF59" t="n">
        <v>15.96</v>
      </c>
      <c r="AG59" t="n">
        <v>5.69</v>
      </c>
      <c r="AH59" t="n">
        <v>4.23</v>
      </c>
      <c r="AI59" t="n">
        <v>20.55</v>
      </c>
    </row>
    <row r="60">
      <c r="A60" s="48" t="n">
        <v>45656</v>
      </c>
      <c r="B60" t="n">
        <v>74.65000000000001</v>
      </c>
      <c r="C60" t="n">
        <v>236.8</v>
      </c>
      <c r="D60" t="n">
        <v>8.25</v>
      </c>
      <c r="E60" t="n">
        <v>22.05</v>
      </c>
      <c r="F60" t="n">
        <v>41.89</v>
      </c>
      <c r="G60" t="n">
        <v>8.210000000000001</v>
      </c>
      <c r="I60" t="n">
        <v>42.23</v>
      </c>
      <c r="J60" t="n">
        <v>232.22</v>
      </c>
      <c r="K60" t="n">
        <v>44.36</v>
      </c>
      <c r="L60" t="n">
        <v>55.19</v>
      </c>
      <c r="M60" t="n">
        <v>10</v>
      </c>
      <c r="N60" t="n">
        <v>384.05</v>
      </c>
      <c r="O60" t="n">
        <v>17.34</v>
      </c>
      <c r="P60" t="n">
        <v>85.20999999999999</v>
      </c>
      <c r="R60" t="n">
        <v>46.28</v>
      </c>
      <c r="S60" t="n">
        <v>23.55</v>
      </c>
      <c r="T60" t="n">
        <v>205.76</v>
      </c>
      <c r="U60" t="n">
        <v>108.71</v>
      </c>
      <c r="V60" t="n">
        <v>83.47</v>
      </c>
      <c r="W60" t="n">
        <v>2.76</v>
      </c>
      <c r="X60" t="n">
        <v>28.4</v>
      </c>
      <c r="Y60" t="n">
        <v>154.65</v>
      </c>
      <c r="Z60" t="n">
        <v>53820</v>
      </c>
      <c r="AA60" t="n">
        <v>2948.33</v>
      </c>
      <c r="AB60" t="n">
        <v>3110</v>
      </c>
      <c r="AC60" t="n">
        <v>4.03</v>
      </c>
      <c r="AD60" t="n">
        <v>16.3</v>
      </c>
      <c r="AE60" t="n">
        <v>78</v>
      </c>
      <c r="AF60" t="n">
        <v>16.3</v>
      </c>
      <c r="AG60" t="n">
        <v>5.76</v>
      </c>
      <c r="AH60" t="n">
        <v>4.22</v>
      </c>
      <c r="AI60" t="n">
        <v>20.56</v>
      </c>
    </row>
    <row r="61">
      <c r="A61" s="48" t="n">
        <v>45663</v>
      </c>
      <c r="B61" t="n">
        <v>72</v>
      </c>
      <c r="C61" t="n">
        <v>239.5</v>
      </c>
      <c r="D61" t="n">
        <v>8</v>
      </c>
      <c r="E61" t="n">
        <v>22.35</v>
      </c>
      <c r="F61" t="n">
        <v>39.72</v>
      </c>
      <c r="G61" t="n">
        <v>8.470000000000001</v>
      </c>
      <c r="I61" t="n">
        <v>42.15</v>
      </c>
      <c r="J61" t="n">
        <v>242.96</v>
      </c>
      <c r="K61" t="n">
        <v>44.71</v>
      </c>
      <c r="L61" t="n">
        <v>54.62</v>
      </c>
      <c r="M61" t="n">
        <v>10.17</v>
      </c>
      <c r="N61" t="n">
        <v>395.31</v>
      </c>
      <c r="O61" t="n">
        <v>17.84</v>
      </c>
      <c r="P61" t="n">
        <v>86.8</v>
      </c>
      <c r="R61" t="n">
        <v>47.1</v>
      </c>
      <c r="S61" t="n">
        <v>24.08</v>
      </c>
      <c r="T61" t="n">
        <v>208.47</v>
      </c>
      <c r="U61" t="n">
        <v>112.07</v>
      </c>
      <c r="V61" t="n">
        <v>83.09999999999999</v>
      </c>
      <c r="W61" t="n">
        <v>2.97</v>
      </c>
      <c r="X61" t="n">
        <v>29.86</v>
      </c>
      <c r="Y61" t="n">
        <v>156.22</v>
      </c>
      <c r="Z61" t="n">
        <v>51550</v>
      </c>
      <c r="AA61" t="n">
        <v>2874.67</v>
      </c>
      <c r="AB61" t="n">
        <v>3059</v>
      </c>
      <c r="AC61" t="n">
        <v>3.64</v>
      </c>
      <c r="AD61" t="n">
        <v>15.8</v>
      </c>
      <c r="AE61" t="n">
        <v>75.15000000000001</v>
      </c>
      <c r="AF61" t="n">
        <v>16.08</v>
      </c>
      <c r="AG61" t="n">
        <v>5.49</v>
      </c>
      <c r="AH61" t="n">
        <v>4.08</v>
      </c>
      <c r="AI61" t="n">
        <v>19.58</v>
      </c>
    </row>
    <row r="62">
      <c r="A62" s="48" t="n">
        <v>45670</v>
      </c>
      <c r="B62" t="n">
        <v>72.08</v>
      </c>
      <c r="C62" t="n">
        <v>238.8</v>
      </c>
      <c r="D62" t="n">
        <v>7.63</v>
      </c>
      <c r="E62" t="n">
        <v>22.67</v>
      </c>
      <c r="F62" t="n">
        <v>35.82</v>
      </c>
      <c r="G62" t="n">
        <v>8.300000000000001</v>
      </c>
      <c r="I62" t="n">
        <v>40.26</v>
      </c>
      <c r="J62" t="n">
        <v>236.5</v>
      </c>
      <c r="K62" t="n">
        <v>41.52</v>
      </c>
      <c r="L62" t="n">
        <v>55.38</v>
      </c>
      <c r="M62" t="n">
        <v>9.710000000000001</v>
      </c>
      <c r="N62" t="n">
        <v>398.86</v>
      </c>
      <c r="O62" t="n">
        <v>17.42</v>
      </c>
      <c r="P62" t="n">
        <v>84.3</v>
      </c>
      <c r="R62" t="n">
        <v>47.97</v>
      </c>
      <c r="S62" t="n">
        <v>23.06</v>
      </c>
      <c r="T62" t="n">
        <v>204.59</v>
      </c>
      <c r="U62" t="n">
        <v>105.77</v>
      </c>
      <c r="V62" t="n">
        <v>83.2</v>
      </c>
      <c r="W62" t="n">
        <v>2.71</v>
      </c>
      <c r="X62" t="n">
        <v>29.1</v>
      </c>
      <c r="Y62" t="n">
        <v>135.72</v>
      </c>
      <c r="Z62" t="n">
        <v>48700</v>
      </c>
      <c r="AA62" t="n">
        <v>2845</v>
      </c>
      <c r="AB62" t="n">
        <v>3251</v>
      </c>
      <c r="AC62" t="n">
        <v>3.58</v>
      </c>
      <c r="AD62" t="n">
        <v>14.66</v>
      </c>
      <c r="AE62" t="n">
        <v>78</v>
      </c>
      <c r="AF62" t="n">
        <v>17.42</v>
      </c>
      <c r="AG62" t="n">
        <v>5.51</v>
      </c>
      <c r="AH62" t="n">
        <v>3.87</v>
      </c>
      <c r="AI62" t="n">
        <v>18.33</v>
      </c>
    </row>
    <row r="63">
      <c r="A63" s="48" t="n">
        <v>45677</v>
      </c>
      <c r="B63" t="n">
        <v>70.84</v>
      </c>
      <c r="C63" t="n">
        <v>243.3</v>
      </c>
      <c r="D63" t="n">
        <v>8.31</v>
      </c>
      <c r="E63" t="n">
        <v>22.79</v>
      </c>
      <c r="F63" t="n">
        <v>37.1</v>
      </c>
      <c r="G63" t="n">
        <v>8.199999999999999</v>
      </c>
      <c r="I63" t="n">
        <v>41.12</v>
      </c>
      <c r="J63" t="n">
        <v>240.46</v>
      </c>
      <c r="K63" t="n">
        <v>40.44</v>
      </c>
      <c r="L63" t="n">
        <v>57.98</v>
      </c>
      <c r="M63" t="n">
        <v>10.12</v>
      </c>
      <c r="N63" t="n">
        <v>373.7</v>
      </c>
      <c r="O63" t="n">
        <v>17.37</v>
      </c>
      <c r="P63" t="n">
        <v>85.98</v>
      </c>
      <c r="R63" t="n">
        <v>49.75</v>
      </c>
      <c r="S63" t="n">
        <v>23.46</v>
      </c>
      <c r="T63" t="n">
        <v>209.91</v>
      </c>
      <c r="U63" t="n">
        <v>99.97</v>
      </c>
      <c r="V63" t="n">
        <v>83.62</v>
      </c>
      <c r="W63" t="n">
        <v>2.88</v>
      </c>
      <c r="X63" t="n">
        <v>29.76</v>
      </c>
      <c r="Y63" t="n">
        <v>130.35</v>
      </c>
      <c r="Z63" t="n">
        <v>48500</v>
      </c>
      <c r="AA63" t="n">
        <v>2730.67</v>
      </c>
      <c r="AB63" t="n">
        <v>3300</v>
      </c>
      <c r="AC63" t="n">
        <v>3.68</v>
      </c>
      <c r="AD63" t="n">
        <v>15.56</v>
      </c>
      <c r="AE63" t="n">
        <v>81.05</v>
      </c>
      <c r="AF63" t="n">
        <v>17.48</v>
      </c>
      <c r="AG63" t="n">
        <v>5.74</v>
      </c>
      <c r="AH63" t="n">
        <v>4.05</v>
      </c>
      <c r="AI63" t="n">
        <v>19.34</v>
      </c>
    </row>
    <row r="64">
      <c r="A64" s="48" t="n">
        <v>45684</v>
      </c>
      <c r="B64" t="n">
        <v>75.58</v>
      </c>
      <c r="C64" t="n">
        <v>255.1</v>
      </c>
      <c r="D64" t="n">
        <v>9.52</v>
      </c>
      <c r="E64" t="n">
        <v>23.22</v>
      </c>
      <c r="F64" t="n">
        <v>37.34</v>
      </c>
      <c r="G64" t="n">
        <v>8.26</v>
      </c>
      <c r="I64" t="n">
        <v>41.23</v>
      </c>
      <c r="J64" t="n">
        <v>247.71</v>
      </c>
      <c r="K64" t="n">
        <v>31.75</v>
      </c>
      <c r="L64" t="n">
        <v>59.91</v>
      </c>
      <c r="M64" t="n">
        <v>10.59</v>
      </c>
      <c r="N64" t="n">
        <v>402.9</v>
      </c>
      <c r="O64" t="n">
        <v>18.24</v>
      </c>
      <c r="P64" t="n">
        <v>91.59</v>
      </c>
      <c r="R64" t="n">
        <v>51.14</v>
      </c>
      <c r="S64" t="n">
        <v>24.21</v>
      </c>
      <c r="T64" t="n">
        <v>211.9</v>
      </c>
      <c r="U64" t="n">
        <v>102.42</v>
      </c>
      <c r="V64" t="n">
        <v>89.58</v>
      </c>
      <c r="W64" t="n">
        <v>3.06</v>
      </c>
      <c r="X64" t="n">
        <v>30.44</v>
      </c>
      <c r="Y64" t="n">
        <v>119.53</v>
      </c>
      <c r="Z64" t="n">
        <v>50000</v>
      </c>
      <c r="AA64" t="n">
        <v>2701.33</v>
      </c>
      <c r="AB64" t="n">
        <v>3551</v>
      </c>
      <c r="AC64" t="n">
        <v>3.71</v>
      </c>
      <c r="AD64" t="n">
        <v>15.78</v>
      </c>
      <c r="AE64" t="n">
        <v>82.15000000000001</v>
      </c>
      <c r="AF64" t="n">
        <v>17.8</v>
      </c>
      <c r="AG64" t="n">
        <v>5.96</v>
      </c>
      <c r="AH64" t="n">
        <v>4.14</v>
      </c>
      <c r="AI64" t="n">
        <v>19.02</v>
      </c>
    </row>
    <row r="65">
      <c r="A65" s="48" t="n">
        <v>45691</v>
      </c>
      <c r="B65" t="n">
        <v>76.59</v>
      </c>
      <c r="C65" t="n">
        <v>253.5</v>
      </c>
      <c r="D65" t="n">
        <v>8.84</v>
      </c>
      <c r="E65" t="n">
        <v>21.89</v>
      </c>
      <c r="F65" t="n">
        <v>34.91</v>
      </c>
      <c r="G65" t="n">
        <v>8.25</v>
      </c>
      <c r="I65" t="n">
        <v>38.32</v>
      </c>
      <c r="J65" t="n">
        <v>246</v>
      </c>
      <c r="K65" t="n">
        <v>29.52</v>
      </c>
      <c r="L65" t="n">
        <v>58.52</v>
      </c>
      <c r="M65" t="n">
        <v>9.59</v>
      </c>
      <c r="N65" t="n">
        <v>410.29</v>
      </c>
      <c r="O65" t="n">
        <v>18.66</v>
      </c>
      <c r="P65" t="n">
        <v>86.51000000000001</v>
      </c>
      <c r="R65" t="n">
        <v>51.09</v>
      </c>
      <c r="S65" t="n">
        <v>23.11</v>
      </c>
      <c r="T65" t="n">
        <v>170.63</v>
      </c>
      <c r="U65" t="n">
        <v>96.73999999999999</v>
      </c>
      <c r="V65" t="n">
        <v>85.19</v>
      </c>
      <c r="W65" t="n">
        <v>3.1</v>
      </c>
      <c r="X65" t="n">
        <v>30.94</v>
      </c>
      <c r="Y65" t="n">
        <v>115.55</v>
      </c>
      <c r="Z65" t="n">
        <v>49200</v>
      </c>
      <c r="AA65" t="n">
        <v>2678</v>
      </c>
      <c r="AB65" t="n">
        <v>3371</v>
      </c>
      <c r="AC65" t="n">
        <v>3.69</v>
      </c>
      <c r="AD65" t="n">
        <v>15.56</v>
      </c>
      <c r="AE65" t="n">
        <v>82.34999999999999</v>
      </c>
      <c r="AF65" t="n">
        <v>18.06</v>
      </c>
      <c r="AG65" t="n">
        <v>5.95</v>
      </c>
      <c r="AH65" t="n">
        <v>4.1</v>
      </c>
      <c r="AI65" t="n">
        <v>19.02</v>
      </c>
    </row>
    <row r="66">
      <c r="A66" s="48" t="n">
        <v>45698</v>
      </c>
      <c r="B66" t="n">
        <v>70.94</v>
      </c>
      <c r="C66" t="n">
        <v>257.3</v>
      </c>
      <c r="D66" t="n">
        <v>8.779999999999999</v>
      </c>
      <c r="E66" t="n">
        <v>20.8</v>
      </c>
      <c r="F66" t="n">
        <v>32.8</v>
      </c>
      <c r="G66" t="n">
        <v>7.28</v>
      </c>
      <c r="I66" t="n">
        <v>37.73</v>
      </c>
      <c r="J66" t="n">
        <v>268.55</v>
      </c>
      <c r="K66" t="n">
        <v>29.15</v>
      </c>
      <c r="L66" t="n">
        <v>55.71</v>
      </c>
      <c r="M66" t="n">
        <v>7.01</v>
      </c>
      <c r="N66" t="n">
        <v>399.71</v>
      </c>
      <c r="O66" t="n">
        <v>18.21</v>
      </c>
      <c r="P66" t="n">
        <v>84.33</v>
      </c>
      <c r="R66" t="n">
        <v>50.69</v>
      </c>
      <c r="S66" t="n">
        <v>22.6</v>
      </c>
      <c r="T66" t="n">
        <v>161.65</v>
      </c>
      <c r="U66" t="n">
        <v>90.76000000000001</v>
      </c>
      <c r="V66" t="n">
        <v>78</v>
      </c>
      <c r="W66" t="n">
        <v>3.52</v>
      </c>
      <c r="X66" t="n">
        <v>30.61</v>
      </c>
      <c r="Y66" t="n">
        <v>113.19</v>
      </c>
      <c r="Z66" t="n">
        <v>48280</v>
      </c>
      <c r="AA66" t="n">
        <v>2593.67</v>
      </c>
      <c r="AB66" t="n">
        <v>3295</v>
      </c>
      <c r="AC66" t="n">
        <v>3.87</v>
      </c>
      <c r="AD66" t="n">
        <v>16.06</v>
      </c>
      <c r="AE66" t="n">
        <v>86.7</v>
      </c>
      <c r="AF66" t="n">
        <v>17.2</v>
      </c>
      <c r="AG66" t="n">
        <v>5.54</v>
      </c>
      <c r="AH66" t="n">
        <v>4.05</v>
      </c>
      <c r="AI66" t="n">
        <v>19.02</v>
      </c>
    </row>
    <row r="67">
      <c r="A67" s="48" t="n">
        <v>45705</v>
      </c>
      <c r="B67" t="n">
        <v>73.04000000000001</v>
      </c>
      <c r="C67" t="n">
        <v>259.8</v>
      </c>
      <c r="D67" t="n">
        <v>8.92</v>
      </c>
      <c r="E67" t="n">
        <v>18.53</v>
      </c>
      <c r="F67" t="n">
        <v>32.83</v>
      </c>
      <c r="G67" t="n">
        <v>7.1</v>
      </c>
      <c r="I67" t="n">
        <v>39.63</v>
      </c>
      <c r="J67" t="n">
        <v>282.63</v>
      </c>
      <c r="K67" t="n">
        <v>29.72</v>
      </c>
      <c r="L67" t="n">
        <v>52.03</v>
      </c>
      <c r="M67" t="n">
        <v>7.06</v>
      </c>
      <c r="N67" t="n">
        <v>366.68</v>
      </c>
      <c r="O67" t="n">
        <v>18.27</v>
      </c>
      <c r="P67" t="n">
        <v>83.73</v>
      </c>
      <c r="R67" t="n">
        <v>50.95</v>
      </c>
      <c r="S67" t="n">
        <v>22.78</v>
      </c>
      <c r="T67" t="n">
        <v>155.07</v>
      </c>
      <c r="U67" t="n">
        <v>108.43</v>
      </c>
      <c r="V67" t="n">
        <v>84.58</v>
      </c>
      <c r="W67" t="n">
        <v>3.75</v>
      </c>
      <c r="X67" t="n">
        <v>30.99</v>
      </c>
      <c r="Y67" t="n">
        <v>112.07</v>
      </c>
      <c r="Z67" t="n">
        <v>49800</v>
      </c>
      <c r="AA67" t="n">
        <v>2448</v>
      </c>
      <c r="AB67" t="n">
        <v>3803</v>
      </c>
      <c r="AC67" t="n">
        <v>3.85</v>
      </c>
      <c r="AD67" t="n">
        <v>16.42</v>
      </c>
      <c r="AE67" t="n">
        <v>85.15000000000001</v>
      </c>
      <c r="AF67" t="n">
        <v>17.46</v>
      </c>
      <c r="AG67" t="n">
        <v>5.45</v>
      </c>
      <c r="AH67" t="n">
        <v>3.97</v>
      </c>
      <c r="AI67" t="n">
        <v>18.73</v>
      </c>
    </row>
    <row r="68">
      <c r="A68" s="48" t="n">
        <v>45712</v>
      </c>
      <c r="B68" t="n">
        <v>80.28</v>
      </c>
      <c r="C68" t="n">
        <v>245.2</v>
      </c>
      <c r="D68" t="n">
        <v>8.58</v>
      </c>
      <c r="E68" t="n">
        <v>15.27</v>
      </c>
      <c r="F68" t="n">
        <v>28.61</v>
      </c>
      <c r="G68" t="n">
        <v>7.21</v>
      </c>
      <c r="I68" t="n">
        <v>38.53</v>
      </c>
      <c r="J68" t="n">
        <v>275.65</v>
      </c>
      <c r="K68" t="n">
        <v>29.75</v>
      </c>
      <c r="L68" t="n">
        <v>48.75</v>
      </c>
      <c r="M68" t="n">
        <v>6.45</v>
      </c>
      <c r="N68" t="n">
        <v>368.22</v>
      </c>
      <c r="O68" t="n">
        <v>18.91</v>
      </c>
      <c r="P68" t="n">
        <v>86.17</v>
      </c>
      <c r="R68" t="n">
        <v>54.12</v>
      </c>
      <c r="S68" t="n">
        <v>22.74</v>
      </c>
      <c r="T68" t="n">
        <v>140.11</v>
      </c>
      <c r="U68" t="n">
        <v>106.1</v>
      </c>
      <c r="V68" t="n">
        <v>92.08</v>
      </c>
      <c r="W68" t="n">
        <v>3.32</v>
      </c>
      <c r="X68" t="n">
        <v>28.6</v>
      </c>
      <c r="Y68" t="n">
        <v>102.15</v>
      </c>
      <c r="Z68" t="n">
        <v>46980</v>
      </c>
      <c r="AA68" t="n">
        <v>2401.67</v>
      </c>
      <c r="AB68" t="n">
        <v>3530</v>
      </c>
      <c r="AC68" t="n">
        <v>3.88</v>
      </c>
      <c r="AD68" t="n">
        <v>17.06</v>
      </c>
      <c r="AE68" t="n">
        <v>86.59999999999999</v>
      </c>
      <c r="AF68" t="n">
        <v>17.08</v>
      </c>
      <c r="AG68" t="n">
        <v>5.29</v>
      </c>
      <c r="AH68" t="n">
        <v>3.99</v>
      </c>
      <c r="AI68" t="n">
        <v>18.71</v>
      </c>
    </row>
    <row r="69">
      <c r="A69" s="48" t="n">
        <v>45719</v>
      </c>
      <c r="B69" t="n">
        <v>78.41</v>
      </c>
      <c r="C69" t="n">
        <v>248.2</v>
      </c>
      <c r="D69" t="n">
        <v>8.34</v>
      </c>
      <c r="E69" t="n">
        <v>14.34</v>
      </c>
      <c r="F69" t="n">
        <v>24.01</v>
      </c>
      <c r="G69" t="n">
        <v>6.72</v>
      </c>
      <c r="I69" t="n">
        <v>30.45</v>
      </c>
      <c r="J69" t="n">
        <v>262.36</v>
      </c>
      <c r="K69" t="n">
        <v>28.91</v>
      </c>
      <c r="L69" t="n">
        <v>47.85</v>
      </c>
      <c r="M69" t="n">
        <v>6.27</v>
      </c>
      <c r="N69" t="n">
        <v>347.81</v>
      </c>
      <c r="O69" t="n">
        <v>17.23</v>
      </c>
      <c r="P69" t="n">
        <v>63.14</v>
      </c>
      <c r="R69" t="n">
        <v>52.92</v>
      </c>
      <c r="S69" t="n">
        <v>21.35</v>
      </c>
      <c r="T69" t="n">
        <v>137.24</v>
      </c>
      <c r="U69" t="n">
        <v>100.38</v>
      </c>
      <c r="V69" t="n">
        <v>84.16</v>
      </c>
      <c r="W69" t="n">
        <v>3.06</v>
      </c>
      <c r="X69" t="n">
        <v>29.79</v>
      </c>
      <c r="Y69" t="n">
        <v>96.70999999999999</v>
      </c>
      <c r="Z69" t="n">
        <v>46970</v>
      </c>
      <c r="AA69" t="n">
        <v>2439.67</v>
      </c>
      <c r="AB69" t="n">
        <v>3429</v>
      </c>
      <c r="AC69" t="n">
        <v>3.7</v>
      </c>
      <c r="AD69" t="n">
        <v>17.24</v>
      </c>
      <c r="AE69" t="n">
        <v>90.09999999999999</v>
      </c>
      <c r="AF69" t="n">
        <v>16.7</v>
      </c>
      <c r="AG69" t="n">
        <v>5.21</v>
      </c>
      <c r="AH69" t="n">
        <v>4.09</v>
      </c>
      <c r="AI69" t="n">
        <v>18.4</v>
      </c>
    </row>
    <row r="70">
      <c r="A70" s="48" t="n">
        <v>45726</v>
      </c>
      <c r="B70" t="n">
        <v>76.40000000000001</v>
      </c>
      <c r="C70" t="n">
        <v>226.8</v>
      </c>
      <c r="D70" t="n">
        <v>7.55</v>
      </c>
      <c r="E70" t="n">
        <v>14.02</v>
      </c>
      <c r="F70" t="n">
        <v>16.78</v>
      </c>
      <c r="G70" t="n">
        <v>7.26</v>
      </c>
      <c r="I70" t="n">
        <v>28</v>
      </c>
      <c r="J70" t="n">
        <v>218.4</v>
      </c>
      <c r="K70" t="n">
        <v>30.02</v>
      </c>
      <c r="L70" t="n">
        <v>44.23</v>
      </c>
      <c r="M70" t="n">
        <v>6.73</v>
      </c>
      <c r="N70" t="n">
        <v>333.77</v>
      </c>
      <c r="O70" t="n">
        <v>16.19</v>
      </c>
      <c r="P70" t="n">
        <v>59.37</v>
      </c>
      <c r="R70" t="n">
        <v>49.24</v>
      </c>
      <c r="S70" t="n">
        <v>22.36</v>
      </c>
      <c r="T70" t="n">
        <v>121.11</v>
      </c>
      <c r="U70" t="n">
        <v>101.1</v>
      </c>
      <c r="V70" t="n">
        <v>85.23999999999999</v>
      </c>
      <c r="W70" t="n">
        <v>3.23</v>
      </c>
      <c r="X70" t="n">
        <v>25.6</v>
      </c>
      <c r="Y70" t="n">
        <v>78.17</v>
      </c>
      <c r="Z70" t="n">
        <v>45660</v>
      </c>
      <c r="AA70" t="n">
        <v>2380</v>
      </c>
      <c r="AB70" t="n">
        <v>3007</v>
      </c>
      <c r="AC70" t="n">
        <v>4.1</v>
      </c>
      <c r="AD70" t="n">
        <v>17.82</v>
      </c>
      <c r="AE70" t="n">
        <v>96.15000000000001</v>
      </c>
      <c r="AF70" t="n">
        <v>18.34</v>
      </c>
      <c r="AG70" t="n">
        <v>5.41</v>
      </c>
      <c r="AH70" t="n">
        <v>4.44</v>
      </c>
      <c r="AI70" t="n">
        <v>18.47</v>
      </c>
    </row>
    <row r="71">
      <c r="A71" s="48" t="n">
        <v>45733</v>
      </c>
      <c r="B71" t="n">
        <v>73.7</v>
      </c>
      <c r="C71" t="n">
        <v>223</v>
      </c>
      <c r="D71" t="n">
        <v>7.4</v>
      </c>
      <c r="E71" t="n">
        <v>13.64</v>
      </c>
      <c r="F71" t="n">
        <v>20.06</v>
      </c>
      <c r="G71" t="n">
        <v>6.94</v>
      </c>
      <c r="I71" t="n">
        <v>25.76</v>
      </c>
      <c r="J71" t="n">
        <v>220.02</v>
      </c>
      <c r="K71" t="n">
        <v>23.16</v>
      </c>
      <c r="L71" t="n">
        <v>48.06</v>
      </c>
      <c r="M71" t="n">
        <v>6.64</v>
      </c>
      <c r="N71" t="n">
        <v>327.09</v>
      </c>
      <c r="O71" t="n">
        <v>16.44</v>
      </c>
      <c r="P71" t="n">
        <v>63.31</v>
      </c>
      <c r="R71" t="n">
        <v>46.82</v>
      </c>
      <c r="S71" t="n">
        <v>20.1</v>
      </c>
      <c r="T71" t="n">
        <v>117.48</v>
      </c>
      <c r="U71" t="n">
        <v>103.87</v>
      </c>
      <c r="V71" t="n">
        <v>79.54000000000001</v>
      </c>
      <c r="W71" t="n">
        <v>3.49</v>
      </c>
      <c r="X71" t="n">
        <v>28.5</v>
      </c>
      <c r="Y71" t="n">
        <v>82.64</v>
      </c>
      <c r="Z71" t="n">
        <v>45420</v>
      </c>
      <c r="AA71" t="n">
        <v>2478</v>
      </c>
      <c r="AB71" t="n">
        <v>3232</v>
      </c>
      <c r="AC71" t="n">
        <v>4.3</v>
      </c>
      <c r="AD71" t="n">
        <v>18.98</v>
      </c>
      <c r="AE71" t="n">
        <v>99.15000000000001</v>
      </c>
      <c r="AF71" t="n">
        <v>17.66</v>
      </c>
      <c r="AG71" t="n">
        <v>5.69</v>
      </c>
      <c r="AH71" t="n">
        <v>4.82</v>
      </c>
      <c r="AI71" t="n">
        <v>19.19</v>
      </c>
    </row>
    <row r="72">
      <c r="A72" s="48" t="n">
        <v>45740</v>
      </c>
      <c r="B72" t="n">
        <v>67.39</v>
      </c>
      <c r="C72" t="n">
        <v>222.1</v>
      </c>
      <c r="D72" t="n">
        <v>7.31</v>
      </c>
      <c r="E72" t="n">
        <v>14.43</v>
      </c>
      <c r="F72" t="n">
        <v>21.38</v>
      </c>
      <c r="G72" t="n">
        <v>6.61</v>
      </c>
      <c r="I72" t="n">
        <v>27.43</v>
      </c>
      <c r="J72" t="n">
        <v>236.04</v>
      </c>
      <c r="K72" t="n">
        <v>23.84</v>
      </c>
      <c r="L72" t="n">
        <v>48.32</v>
      </c>
      <c r="M72" t="n">
        <v>6.73</v>
      </c>
      <c r="N72" t="n">
        <v>334.96</v>
      </c>
      <c r="O72" t="n">
        <v>16.04</v>
      </c>
      <c r="P72" t="n">
        <v>64.92</v>
      </c>
      <c r="R72" t="n">
        <v>45.55</v>
      </c>
      <c r="S72" t="n">
        <v>21.67</v>
      </c>
      <c r="T72" t="n">
        <v>124.68</v>
      </c>
      <c r="U72" t="n">
        <v>110.92</v>
      </c>
      <c r="V72" t="n">
        <v>77.97</v>
      </c>
      <c r="W72" t="n">
        <v>3.02</v>
      </c>
      <c r="X72" t="n">
        <v>29.47</v>
      </c>
      <c r="Y72" t="n">
        <v>79.34</v>
      </c>
      <c r="Z72" t="n">
        <v>45280</v>
      </c>
      <c r="AA72" t="n">
        <v>2657</v>
      </c>
      <c r="AB72" t="n">
        <v>3356</v>
      </c>
      <c r="AC72" t="n">
        <v>3.93</v>
      </c>
      <c r="AD72" t="n">
        <v>17.02</v>
      </c>
      <c r="AE72" t="n">
        <v>89.2</v>
      </c>
      <c r="AF72" t="n">
        <v>18.02</v>
      </c>
      <c r="AG72" t="n">
        <v>5.27</v>
      </c>
      <c r="AH72" t="n">
        <v>4.52</v>
      </c>
      <c r="AI72" t="n">
        <v>18.79</v>
      </c>
    </row>
    <row r="73">
      <c r="A73" s="48" t="n">
        <v>45747</v>
      </c>
      <c r="B73" t="n">
        <v>63.48</v>
      </c>
      <c r="C73" t="n">
        <v>216.7</v>
      </c>
      <c r="D73" t="n">
        <v>7.4</v>
      </c>
      <c r="E73" t="n">
        <v>13.91</v>
      </c>
      <c r="F73" t="n">
        <v>18.58</v>
      </c>
      <c r="G73" t="n">
        <v>6.25</v>
      </c>
      <c r="I73" t="n">
        <v>26.64</v>
      </c>
      <c r="J73" t="n">
        <v>220.74</v>
      </c>
      <c r="K73" t="n">
        <v>22.39</v>
      </c>
      <c r="L73" t="n">
        <v>43.92</v>
      </c>
      <c r="M73" t="n">
        <v>6.2</v>
      </c>
      <c r="N73" t="n">
        <v>283.06</v>
      </c>
      <c r="O73" t="n">
        <v>15.59</v>
      </c>
      <c r="P73" t="n">
        <v>64.13</v>
      </c>
      <c r="R73" t="n">
        <v>44.22</v>
      </c>
      <c r="S73" t="n">
        <v>20.61</v>
      </c>
      <c r="T73" t="n">
        <v>111.81</v>
      </c>
      <c r="U73" t="n">
        <v>106.2</v>
      </c>
      <c r="V73" t="n">
        <v>75.69</v>
      </c>
      <c r="W73" t="n">
        <v>2.73</v>
      </c>
      <c r="X73" t="n">
        <v>26.73</v>
      </c>
      <c r="Y73" t="n">
        <v>76.37</v>
      </c>
      <c r="Z73" t="n">
        <v>44060</v>
      </c>
      <c r="AA73" t="n">
        <v>2753</v>
      </c>
      <c r="AB73" t="n">
        <v>3145</v>
      </c>
      <c r="AC73" t="n">
        <v>3.99</v>
      </c>
      <c r="AD73" t="n">
        <v>15.92</v>
      </c>
      <c r="AE73" t="n">
        <v>85.40000000000001</v>
      </c>
      <c r="AF73" t="n">
        <v>17.32</v>
      </c>
      <c r="AG73" t="n">
        <v>5.07</v>
      </c>
      <c r="AH73" t="n">
        <v>4.43</v>
      </c>
      <c r="AI73" t="n">
        <v>18.47</v>
      </c>
    </row>
    <row r="74">
      <c r="A74" s="48" t="n">
        <v>45754</v>
      </c>
      <c r="B74" t="n">
        <v>55.61</v>
      </c>
      <c r="C74" t="n">
        <v>186.35</v>
      </c>
      <c r="D74" t="n">
        <v>6.48</v>
      </c>
      <c r="E74" t="n">
        <v>11.13</v>
      </c>
      <c r="F74" t="n">
        <v>17.21</v>
      </c>
      <c r="G74" t="n">
        <v>5.24</v>
      </c>
      <c r="I74" t="n">
        <v>22.26</v>
      </c>
      <c r="J74" t="n">
        <v>193.17</v>
      </c>
      <c r="K74" t="n">
        <v>18.7</v>
      </c>
      <c r="L74" t="n">
        <v>40.97</v>
      </c>
      <c r="M74" t="n">
        <v>4.89</v>
      </c>
      <c r="N74" t="n">
        <v>265</v>
      </c>
      <c r="O74" t="n">
        <v>13.5</v>
      </c>
      <c r="P74" t="n">
        <v>56.08</v>
      </c>
      <c r="R74" t="n">
        <v>39.15</v>
      </c>
      <c r="S74" t="n">
        <v>18.7</v>
      </c>
      <c r="T74" t="n">
        <v>106.13</v>
      </c>
      <c r="U74" t="n">
        <v>95.83</v>
      </c>
      <c r="V74" t="n">
        <v>65.55</v>
      </c>
      <c r="W74" t="n">
        <v>2.34</v>
      </c>
      <c r="X74" t="n">
        <v>22.57</v>
      </c>
      <c r="Y74" t="n">
        <v>72.70999999999999</v>
      </c>
      <c r="Z74" t="n">
        <v>41650</v>
      </c>
      <c r="AA74" t="n">
        <v>2523.67</v>
      </c>
      <c r="AB74" t="n">
        <v>2675</v>
      </c>
      <c r="AC74" t="n">
        <v>3.67</v>
      </c>
      <c r="AD74" t="n">
        <v>13.96</v>
      </c>
      <c r="AE74" t="n">
        <v>75.5</v>
      </c>
      <c r="AF74" t="n">
        <v>13.84</v>
      </c>
      <c r="AG74" t="n">
        <v>4.49</v>
      </c>
      <c r="AH74" t="n">
        <v>4.08</v>
      </c>
      <c r="AI74" t="n">
        <v>16.85</v>
      </c>
    </row>
    <row r="75">
      <c r="A75" s="48" t="n">
        <v>45761</v>
      </c>
      <c r="B75" t="n">
        <v>55.41</v>
      </c>
      <c r="C75" t="n">
        <v>202.3</v>
      </c>
      <c r="D75" t="n">
        <v>6.85</v>
      </c>
      <c r="E75" t="n">
        <v>11.06</v>
      </c>
      <c r="F75" t="n">
        <v>16.28</v>
      </c>
      <c r="G75" t="n">
        <v>5.44</v>
      </c>
      <c r="I75" t="n">
        <v>21.01</v>
      </c>
      <c r="J75" t="n">
        <v>201.75</v>
      </c>
      <c r="K75" t="n">
        <v>19.58</v>
      </c>
      <c r="L75" t="n">
        <v>43.17</v>
      </c>
      <c r="M75" t="n">
        <v>4.99</v>
      </c>
      <c r="N75" t="n">
        <v>259.76</v>
      </c>
      <c r="O75" t="n">
        <v>14.96</v>
      </c>
      <c r="P75" t="n">
        <v>56.04</v>
      </c>
      <c r="R75" t="n">
        <v>41.53</v>
      </c>
      <c r="S75" t="n">
        <v>19.25</v>
      </c>
      <c r="T75" t="n">
        <v>107.15</v>
      </c>
      <c r="U75" t="n">
        <v>90.8</v>
      </c>
      <c r="V75" t="n">
        <v>67.55</v>
      </c>
      <c r="W75" t="n">
        <v>2.27</v>
      </c>
      <c r="X75" t="n">
        <v>22.75</v>
      </c>
      <c r="Y75" t="n">
        <v>72.84999999999999</v>
      </c>
      <c r="Z75" t="n">
        <v>45410</v>
      </c>
      <c r="AA75" t="n">
        <v>2702.67</v>
      </c>
      <c r="AB75" t="n">
        <v>2859.5</v>
      </c>
      <c r="AC75" t="n">
        <v>3.98</v>
      </c>
      <c r="AD75" t="n">
        <v>15.48</v>
      </c>
      <c r="AE75" t="n">
        <v>85.59999999999999</v>
      </c>
      <c r="AF75" t="n">
        <v>14.08</v>
      </c>
      <c r="AG75" t="n">
        <v>4.87</v>
      </c>
      <c r="AH75" t="n">
        <v>4.27</v>
      </c>
      <c r="AI75" t="n">
        <v>17.73</v>
      </c>
    </row>
    <row r="76">
      <c r="A76" s="48" t="n">
        <v>45768</v>
      </c>
      <c r="B76" t="n">
        <v>56.12</v>
      </c>
      <c r="C76" t="n">
        <v>198.65</v>
      </c>
      <c r="D76" t="n">
        <v>7.01</v>
      </c>
      <c r="E76" t="n">
        <v>11.46</v>
      </c>
      <c r="F76" t="n">
        <v>16.37</v>
      </c>
      <c r="G76" t="n">
        <v>5.74</v>
      </c>
      <c r="I76" t="n">
        <v>19.99</v>
      </c>
      <c r="J76" t="n">
        <v>204.04</v>
      </c>
      <c r="K76" t="n">
        <v>20.62</v>
      </c>
      <c r="L76" t="n">
        <v>41.31</v>
      </c>
      <c r="M76" t="n">
        <v>4.55</v>
      </c>
      <c r="N76" t="n">
        <v>253.91</v>
      </c>
      <c r="O76" t="n">
        <v>15.02</v>
      </c>
      <c r="P76" t="n">
        <v>57.33</v>
      </c>
      <c r="R76" t="n">
        <v>40.82</v>
      </c>
      <c r="S76" t="n">
        <v>19.09</v>
      </c>
      <c r="T76" t="n">
        <v>103.55</v>
      </c>
      <c r="U76" t="n">
        <v>89.45999999999999</v>
      </c>
      <c r="V76" t="n">
        <v>63.08</v>
      </c>
      <c r="W76" t="n">
        <v>2.2</v>
      </c>
      <c r="X76" t="n">
        <v>21.66</v>
      </c>
      <c r="Y76" t="n">
        <v>72.77</v>
      </c>
      <c r="Z76" t="n">
        <v>46250</v>
      </c>
      <c r="AA76" t="n">
        <v>2701.67</v>
      </c>
      <c r="AB76" t="n">
        <v>2780</v>
      </c>
      <c r="AC76" t="n">
        <v>3.9</v>
      </c>
      <c r="AD76" t="n">
        <v>14.94</v>
      </c>
      <c r="AE76" t="n">
        <v>89.90000000000001</v>
      </c>
      <c r="AF76" t="n">
        <v>13.46</v>
      </c>
      <c r="AG76" t="n">
        <v>4.9</v>
      </c>
      <c r="AH76" t="n">
        <v>4.21</v>
      </c>
      <c r="AI76" t="n">
        <v>17.41</v>
      </c>
    </row>
    <row r="77">
      <c r="A77" s="48" t="n">
        <v>45775</v>
      </c>
      <c r="B77" t="n">
        <v>57.31</v>
      </c>
      <c r="C77" t="n">
        <v>217.4</v>
      </c>
      <c r="D77" t="n">
        <v>7.88</v>
      </c>
      <c r="E77" t="n">
        <v>12.98</v>
      </c>
      <c r="F77" t="n">
        <v>18.96</v>
      </c>
      <c r="G77" t="n">
        <v>5.79</v>
      </c>
      <c r="I77" t="n">
        <v>20.92</v>
      </c>
      <c r="J77" t="n">
        <v>221.95</v>
      </c>
      <c r="K77" t="n">
        <v>22.91</v>
      </c>
      <c r="L77" t="n">
        <v>46.59</v>
      </c>
      <c r="M77" t="n">
        <v>5.11</v>
      </c>
      <c r="N77" t="n">
        <v>268.52</v>
      </c>
      <c r="O77" t="n">
        <v>15.88</v>
      </c>
      <c r="P77" t="n">
        <v>60.95</v>
      </c>
      <c r="R77" t="n">
        <v>42.66</v>
      </c>
      <c r="S77" t="n">
        <v>21.47</v>
      </c>
      <c r="T77" t="n">
        <v>109.15</v>
      </c>
      <c r="U77" t="n">
        <v>96.23</v>
      </c>
      <c r="V77" t="n">
        <v>64</v>
      </c>
      <c r="W77" t="n">
        <v>2.38</v>
      </c>
      <c r="X77" t="n">
        <v>24.26</v>
      </c>
      <c r="Y77" t="n">
        <v>70.67</v>
      </c>
      <c r="Z77" t="n">
        <v>47960</v>
      </c>
      <c r="AA77" t="n">
        <v>2726</v>
      </c>
      <c r="AB77" t="n">
        <v>3102</v>
      </c>
      <c r="AC77" t="n">
        <v>4.11</v>
      </c>
      <c r="AD77" t="n">
        <v>15</v>
      </c>
      <c r="AE77" t="n">
        <v>91.45</v>
      </c>
      <c r="AF77" t="n">
        <v>14.04</v>
      </c>
      <c r="AG77" t="n">
        <v>5.24</v>
      </c>
      <c r="AH77" t="n">
        <v>4.27</v>
      </c>
      <c r="AI77" t="n">
        <v>17.12</v>
      </c>
    </row>
    <row r="78">
      <c r="A78" s="48" t="n">
        <v>45782</v>
      </c>
      <c r="B78" t="n">
        <v>57.35</v>
      </c>
      <c r="C78" t="n">
        <v>207.4</v>
      </c>
      <c r="D78" t="n">
        <v>8.109999999999999</v>
      </c>
      <c r="E78" t="n">
        <v>14.22</v>
      </c>
      <c r="F78" t="n">
        <v>19.26</v>
      </c>
      <c r="G78" t="n">
        <v>5.9</v>
      </c>
      <c r="I78" t="n">
        <v>20.68</v>
      </c>
      <c r="J78" t="n">
        <v>237.81</v>
      </c>
      <c r="K78" t="n">
        <v>23.81</v>
      </c>
      <c r="L78" t="n">
        <v>48.89</v>
      </c>
      <c r="M78" t="n">
        <v>5.1</v>
      </c>
      <c r="N78" t="n">
        <v>278.55</v>
      </c>
      <c r="O78" t="n">
        <v>16.29</v>
      </c>
      <c r="P78" t="n">
        <v>63.45</v>
      </c>
      <c r="R78" t="n">
        <v>47.78</v>
      </c>
      <c r="S78" t="n">
        <v>22.87</v>
      </c>
      <c r="T78" t="n">
        <v>118.33</v>
      </c>
      <c r="U78" t="n">
        <v>100.79</v>
      </c>
      <c r="V78" t="n">
        <v>62.14</v>
      </c>
      <c r="W78" t="n">
        <v>2.85</v>
      </c>
      <c r="X78" t="n">
        <v>25.72</v>
      </c>
      <c r="Y78" t="n">
        <v>69.44</v>
      </c>
      <c r="Z78" t="n">
        <v>47990</v>
      </c>
      <c r="AA78" t="n">
        <v>2713.33</v>
      </c>
      <c r="AB78" t="n">
        <v>3223</v>
      </c>
      <c r="AC78" t="n">
        <v>4.06</v>
      </c>
      <c r="AD78" t="n">
        <v>15.24</v>
      </c>
      <c r="AE78" t="n">
        <v>92.90000000000001</v>
      </c>
      <c r="AF78" t="n">
        <v>14.06</v>
      </c>
      <c r="AG78" t="n">
        <v>5.25</v>
      </c>
      <c r="AH78" t="n">
        <v>4.15</v>
      </c>
      <c r="AI78" t="n">
        <v>16.48</v>
      </c>
    </row>
    <row r="79">
      <c r="A79" s="48" t="n">
        <v>45789</v>
      </c>
      <c r="B79" t="n">
        <v>62.58</v>
      </c>
      <c r="C79" t="n">
        <v>216.9</v>
      </c>
      <c r="D79" t="n">
        <v>8.539999999999999</v>
      </c>
      <c r="E79" t="n">
        <v>16.67</v>
      </c>
      <c r="F79" t="n">
        <v>21.92</v>
      </c>
      <c r="G79" t="n">
        <v>6.21</v>
      </c>
      <c r="I79" t="n">
        <v>26.41</v>
      </c>
      <c r="J79" t="n">
        <v>264.51</v>
      </c>
      <c r="K79" t="n">
        <v>24.03</v>
      </c>
      <c r="L79" t="n">
        <v>51.31</v>
      </c>
      <c r="M79" t="n">
        <v>6.01</v>
      </c>
      <c r="N79" t="n">
        <v>304.2</v>
      </c>
      <c r="O79" t="n">
        <v>17.74</v>
      </c>
      <c r="P79" t="n">
        <v>72.66</v>
      </c>
      <c r="R79" t="n">
        <v>48.42</v>
      </c>
      <c r="S79" t="n">
        <v>24.8</v>
      </c>
      <c r="T79" t="n">
        <v>126.08</v>
      </c>
      <c r="U79" t="n">
        <v>118.85</v>
      </c>
      <c r="V79" t="n">
        <v>69.59</v>
      </c>
      <c r="W79" t="n">
        <v>3.89</v>
      </c>
      <c r="X79" t="n">
        <v>30.04</v>
      </c>
      <c r="Y79" t="n">
        <v>78.17</v>
      </c>
      <c r="Z79" t="n">
        <v>48660</v>
      </c>
      <c r="AA79" t="n">
        <v>2755</v>
      </c>
      <c r="AB79" t="n">
        <v>3372</v>
      </c>
      <c r="AC79" t="n">
        <v>4.09</v>
      </c>
      <c r="AD79" t="n">
        <v>15.64</v>
      </c>
      <c r="AE79" t="n">
        <v>94.7</v>
      </c>
      <c r="AF79" t="n">
        <v>16.52</v>
      </c>
      <c r="AG79" t="n">
        <v>5.59</v>
      </c>
      <c r="AH79" t="n">
        <v>4.36</v>
      </c>
      <c r="AI79" t="n">
        <v>16.68</v>
      </c>
    </row>
    <row r="80">
      <c r="A80" s="48" t="n">
        <v>45796</v>
      </c>
      <c r="B80" t="n">
        <v>62.08</v>
      </c>
      <c r="C80" t="n">
        <v>218.3</v>
      </c>
      <c r="D80" t="n">
        <v>8.58</v>
      </c>
      <c r="E80" t="n">
        <v>17.07</v>
      </c>
      <c r="F80" t="n">
        <v>22.79</v>
      </c>
      <c r="G80" t="n">
        <v>6.55</v>
      </c>
      <c r="I80" t="n">
        <v>25.77</v>
      </c>
      <c r="J80" t="n">
        <v>277.67</v>
      </c>
      <c r="K80" t="n">
        <v>23.29</v>
      </c>
      <c r="L80" t="n">
        <v>59.99</v>
      </c>
      <c r="M80" t="n">
        <v>5.69</v>
      </c>
      <c r="N80" t="n">
        <v>323.7</v>
      </c>
      <c r="O80" t="n">
        <v>17.58</v>
      </c>
      <c r="P80" t="n">
        <v>73.39</v>
      </c>
      <c r="R80" t="n">
        <v>50.11</v>
      </c>
      <c r="S80" t="n">
        <v>27.96</v>
      </c>
      <c r="T80" t="n">
        <v>127.41</v>
      </c>
      <c r="U80" t="n">
        <v>114.73</v>
      </c>
      <c r="V80" t="n">
        <v>65.65000000000001</v>
      </c>
      <c r="W80" t="n">
        <v>3.32</v>
      </c>
      <c r="X80" t="n">
        <v>31.39</v>
      </c>
      <c r="Y80" t="n">
        <v>78.06</v>
      </c>
      <c r="Z80" t="n">
        <v>48470</v>
      </c>
      <c r="AA80" t="n">
        <v>2866</v>
      </c>
      <c r="AB80" t="n">
        <v>3223</v>
      </c>
      <c r="AC80" t="n">
        <v>4.58</v>
      </c>
      <c r="AD80" t="n">
        <v>15.08</v>
      </c>
      <c r="AE80" t="n">
        <v>90.25</v>
      </c>
      <c r="AF80" t="n">
        <v>16.52</v>
      </c>
      <c r="AG80" t="n">
        <v>5.6</v>
      </c>
      <c r="AH80" t="n">
        <v>4.28</v>
      </c>
      <c r="AI80" t="n">
        <v>16.41</v>
      </c>
    </row>
    <row r="81">
      <c r="A81" s="48" t="n">
        <v>45803</v>
      </c>
      <c r="B81" t="n">
        <v>60.02</v>
      </c>
      <c r="C81" t="n">
        <v>218.7</v>
      </c>
      <c r="D81" t="n">
        <v>8.41</v>
      </c>
      <c r="E81" t="n">
        <v>16.36</v>
      </c>
      <c r="F81" t="n">
        <v>22.27</v>
      </c>
      <c r="G81" t="n">
        <v>6.69</v>
      </c>
      <c r="I81" t="n">
        <v>24.55</v>
      </c>
      <c r="J81" t="n">
        <v>274.08</v>
      </c>
      <c r="K81" t="n">
        <v>22.32</v>
      </c>
      <c r="L81" t="n">
        <v>58.44</v>
      </c>
      <c r="M81" t="n">
        <v>5.48</v>
      </c>
      <c r="N81" t="n">
        <v>310.76</v>
      </c>
      <c r="O81" t="n">
        <v>17.74</v>
      </c>
      <c r="P81" t="n">
        <v>69.62</v>
      </c>
      <c r="R81" t="n">
        <v>49.01</v>
      </c>
      <c r="S81" t="n">
        <v>28.46</v>
      </c>
      <c r="T81" t="n">
        <v>101.05</v>
      </c>
      <c r="U81" t="n">
        <v>108.29</v>
      </c>
      <c r="V81" t="n">
        <v>63.8</v>
      </c>
      <c r="W81" t="n">
        <v>3.05</v>
      </c>
      <c r="X81" t="n">
        <v>37.04</v>
      </c>
      <c r="Y81" t="n">
        <v>73.17</v>
      </c>
      <c r="Z81" t="n">
        <v>47160</v>
      </c>
      <c r="AA81" t="n">
        <v>2757</v>
      </c>
      <c r="AB81" t="n">
        <v>3400</v>
      </c>
      <c r="AC81" t="n">
        <v>4.43</v>
      </c>
      <c r="AD81" t="n">
        <v>15.06</v>
      </c>
      <c r="AE81" t="n">
        <v>92.25</v>
      </c>
      <c r="AF81" t="n">
        <v>14.54</v>
      </c>
      <c r="AG81" t="n">
        <v>5.8</v>
      </c>
      <c r="AH81" t="n">
        <v>4.25</v>
      </c>
      <c r="AI81" t="n">
        <v>16.24</v>
      </c>
    </row>
    <row r="82">
      <c r="A82" s="48" t="n">
        <v>45810</v>
      </c>
      <c r="B82" t="n">
        <v>61.57</v>
      </c>
      <c r="C82" t="n">
        <v>218.1</v>
      </c>
      <c r="D82" t="n">
        <v>8.51</v>
      </c>
      <c r="E82" t="n">
        <v>16.61</v>
      </c>
      <c r="F82" t="n">
        <v>20.83</v>
      </c>
      <c r="G82" t="n">
        <v>6.51</v>
      </c>
      <c r="I82" t="n">
        <v>24.25</v>
      </c>
      <c r="J82" t="n">
        <v>275.93</v>
      </c>
      <c r="K82" t="n">
        <v>22.58</v>
      </c>
      <c r="L82" t="n">
        <v>59.14</v>
      </c>
      <c r="M82" t="n">
        <v>5.05</v>
      </c>
      <c r="N82" t="n">
        <v>322.95</v>
      </c>
      <c r="O82" t="n">
        <v>17.09</v>
      </c>
      <c r="P82" t="n">
        <v>69.56999999999999</v>
      </c>
      <c r="R82" t="n">
        <v>46.66</v>
      </c>
      <c r="S82" t="n">
        <v>22.43</v>
      </c>
      <c r="T82" t="n">
        <v>105.01</v>
      </c>
      <c r="U82" t="n">
        <v>101.42</v>
      </c>
      <c r="V82" t="n">
        <v>61.27</v>
      </c>
      <c r="W82" t="n">
        <v>2.87</v>
      </c>
      <c r="X82" t="n">
        <v>36.81</v>
      </c>
      <c r="Y82" t="n">
        <v>78.34</v>
      </c>
      <c r="Z82" t="n">
        <v>47800</v>
      </c>
      <c r="AA82" t="n">
        <v>2742.33</v>
      </c>
      <c r="AB82" t="n">
        <v>3560</v>
      </c>
      <c r="AC82" t="n">
        <v>4.31</v>
      </c>
      <c r="AD82" t="n">
        <v>14.88</v>
      </c>
      <c r="AE82" t="n">
        <v>94.25</v>
      </c>
      <c r="AF82" t="n">
        <v>14.34</v>
      </c>
      <c r="AG82" t="n">
        <v>5.84</v>
      </c>
      <c r="AH82" t="n">
        <v>4.34</v>
      </c>
      <c r="AI82" t="n">
        <v>16.31</v>
      </c>
    </row>
    <row r="83">
      <c r="A83" s="48" t="n">
        <v>45817</v>
      </c>
      <c r="B83" t="n">
        <v>61.91</v>
      </c>
      <c r="C83" t="n">
        <v>213.5</v>
      </c>
      <c r="D83" t="n">
        <v>8.640000000000001</v>
      </c>
      <c r="E83" t="n">
        <v>18.63</v>
      </c>
      <c r="F83" t="n">
        <v>22.72</v>
      </c>
      <c r="G83" t="n">
        <v>6.75</v>
      </c>
      <c r="I83" t="n">
        <v>26.1</v>
      </c>
      <c r="J83" t="n">
        <v>270.32</v>
      </c>
      <c r="K83" t="n">
        <v>22.63</v>
      </c>
      <c r="L83" t="n">
        <v>56.46</v>
      </c>
      <c r="M83" t="n">
        <v>5.61</v>
      </c>
      <c r="N83" t="n">
        <v>259.04</v>
      </c>
      <c r="O83" t="n">
        <v>17.52</v>
      </c>
      <c r="P83" t="n">
        <v>68.27</v>
      </c>
      <c r="R83" t="n">
        <v>47.87</v>
      </c>
      <c r="S83" t="n">
        <v>22.25</v>
      </c>
      <c r="T83" t="n">
        <v>110.91</v>
      </c>
      <c r="U83" t="n">
        <v>102.24</v>
      </c>
      <c r="V83" t="n">
        <v>62.25</v>
      </c>
      <c r="W83" t="n">
        <v>2.8</v>
      </c>
      <c r="X83" t="n">
        <v>37.67</v>
      </c>
      <c r="Y83" t="n">
        <v>81.98</v>
      </c>
      <c r="Z83" t="n">
        <v>48930</v>
      </c>
      <c r="AA83" t="n">
        <v>2874.67</v>
      </c>
      <c r="AB83" t="n">
        <v>3527</v>
      </c>
      <c r="AC83" t="n">
        <v>4.52</v>
      </c>
      <c r="AD83" t="n">
        <v>15.68</v>
      </c>
      <c r="AE83" t="n">
        <v>96.7</v>
      </c>
      <c r="AF83" t="n">
        <v>14.1</v>
      </c>
      <c r="AG83" t="n">
        <v>5.69</v>
      </c>
      <c r="AH83" t="n">
        <v>4.52</v>
      </c>
      <c r="AI83" t="n">
        <v>16.84</v>
      </c>
    </row>
    <row r="84">
      <c r="A84" s="48" t="n">
        <v>45824</v>
      </c>
      <c r="B84" t="n">
        <v>61.9</v>
      </c>
      <c r="C84" t="n">
        <v>201.3</v>
      </c>
      <c r="D84" t="n">
        <v>9.039999999999999</v>
      </c>
      <c r="E84" t="n">
        <v>17.88</v>
      </c>
      <c r="F84" t="n">
        <v>18.62</v>
      </c>
      <c r="G84" t="n">
        <v>6.64</v>
      </c>
      <c r="I84" t="n">
        <v>24.23</v>
      </c>
      <c r="J84" t="n">
        <v>270.32</v>
      </c>
      <c r="K84" t="n">
        <v>21.68</v>
      </c>
      <c r="L84" t="n">
        <v>53.01</v>
      </c>
      <c r="M84" t="n">
        <v>5.78</v>
      </c>
      <c r="N84" t="n">
        <v>241.29</v>
      </c>
      <c r="O84" t="n">
        <v>17.55</v>
      </c>
      <c r="P84" t="n">
        <v>64.39</v>
      </c>
      <c r="R84" t="n">
        <v>47.86</v>
      </c>
      <c r="S84" t="n">
        <v>21.16</v>
      </c>
      <c r="T84" t="n">
        <v>103.63</v>
      </c>
      <c r="U84" t="n">
        <v>102.24</v>
      </c>
      <c r="V84" t="n">
        <v>61.67</v>
      </c>
      <c r="W84" t="n">
        <v>3.02</v>
      </c>
      <c r="X84" t="n">
        <v>37.12</v>
      </c>
      <c r="Y84" t="n">
        <v>75</v>
      </c>
      <c r="Z84" t="n">
        <v>46900</v>
      </c>
      <c r="AA84" t="n">
        <v>2729.33</v>
      </c>
      <c r="AB84" t="n">
        <v>3400</v>
      </c>
      <c r="AC84" t="n">
        <v>4.66</v>
      </c>
      <c r="AD84" t="n">
        <v>15.28</v>
      </c>
      <c r="AE84" t="n">
        <v>94.34999999999999</v>
      </c>
      <c r="AF84" t="n">
        <v>14.02</v>
      </c>
      <c r="AG84" t="n">
        <v>5.55</v>
      </c>
      <c r="AH84" t="n">
        <v>4.57</v>
      </c>
      <c r="AI84" t="n">
        <v>16.31</v>
      </c>
    </row>
    <row r="85">
      <c r="A85" s="48" t="n">
        <v>45831</v>
      </c>
      <c r="B85" t="n">
        <v>60.78</v>
      </c>
      <c r="C85" t="n">
        <v>196.95</v>
      </c>
      <c r="D85" t="n">
        <v>8.74</v>
      </c>
      <c r="E85" t="n">
        <v>17.34</v>
      </c>
      <c r="F85" t="n">
        <v>18.58</v>
      </c>
      <c r="G85" t="n">
        <v>6.87</v>
      </c>
      <c r="I85" t="n">
        <v>23.93</v>
      </c>
      <c r="J85" t="n">
        <v>270.55</v>
      </c>
      <c r="K85" t="n">
        <v>21.06</v>
      </c>
      <c r="L85" t="n">
        <v>53.07</v>
      </c>
      <c r="M85" t="n">
        <v>5.28</v>
      </c>
      <c r="N85" t="n">
        <v>225.56</v>
      </c>
      <c r="O85" t="n">
        <v>18.01</v>
      </c>
      <c r="P85" t="n">
        <v>64.59999999999999</v>
      </c>
      <c r="R85" t="n">
        <v>47.22</v>
      </c>
      <c r="S85" t="n">
        <v>21.43</v>
      </c>
      <c r="T85" t="n">
        <v>100.44</v>
      </c>
      <c r="U85" t="n">
        <v>97.37</v>
      </c>
      <c r="V85" t="n">
        <v>60.27</v>
      </c>
      <c r="W85" t="n">
        <v>2.54</v>
      </c>
      <c r="X85" t="n">
        <v>37.12</v>
      </c>
      <c r="Y85" t="n">
        <v>76.76000000000001</v>
      </c>
      <c r="Z85" t="n">
        <v>46360</v>
      </c>
      <c r="AA85" t="n">
        <v>2629.67</v>
      </c>
      <c r="AB85" t="n">
        <v>3368</v>
      </c>
      <c r="AC85" t="n">
        <v>4.68</v>
      </c>
      <c r="AD85" t="n">
        <v>15.8</v>
      </c>
      <c r="AE85" t="n">
        <v>90.95</v>
      </c>
      <c r="AF85" t="n">
        <v>13.8</v>
      </c>
      <c r="AG85" t="n">
        <v>5.5</v>
      </c>
      <c r="AH85" t="n">
        <v>4.63</v>
      </c>
      <c r="AI85" t="n">
        <v>15.61</v>
      </c>
    </row>
    <row r="86">
      <c r="A86" s="48" t="n">
        <v>45838</v>
      </c>
      <c r="B86" t="n">
        <v>71.04000000000001</v>
      </c>
      <c r="C86" t="n">
        <v>197.95</v>
      </c>
      <c r="D86" t="n">
        <v>8.550000000000001</v>
      </c>
      <c r="E86" t="n">
        <v>18.08</v>
      </c>
      <c r="F86" t="n">
        <v>18.52</v>
      </c>
      <c r="G86" t="n">
        <v>6.83</v>
      </c>
      <c r="I86" t="n">
        <v>23.98</v>
      </c>
      <c r="J86" t="n">
        <v>274.28</v>
      </c>
      <c r="K86" t="n">
        <v>23.18</v>
      </c>
      <c r="L86" t="n">
        <v>52.05</v>
      </c>
      <c r="M86" t="n">
        <v>5.4</v>
      </c>
      <c r="N86" t="n">
        <v>237.58</v>
      </c>
      <c r="O86" t="n">
        <v>18.49</v>
      </c>
      <c r="P86" t="n">
        <v>65.97</v>
      </c>
      <c r="R86" t="n">
        <v>49.24</v>
      </c>
      <c r="S86" t="n">
        <v>21.81</v>
      </c>
      <c r="T86" t="n">
        <v>103.07</v>
      </c>
      <c r="U86" t="n">
        <v>101.28</v>
      </c>
      <c r="V86" t="n">
        <v>61.08</v>
      </c>
      <c r="W86" t="n">
        <v>2.5</v>
      </c>
      <c r="X86" t="n">
        <v>38.76</v>
      </c>
      <c r="Y86" t="n">
        <v>82.84999999999999</v>
      </c>
      <c r="Z86" t="n">
        <v>49520</v>
      </c>
      <c r="AA86" t="n">
        <v>2705.67</v>
      </c>
      <c r="AB86" t="n">
        <v>3680</v>
      </c>
      <c r="AC86" t="n">
        <v>4.64</v>
      </c>
      <c r="AD86" t="n">
        <v>16.92</v>
      </c>
      <c r="AE86" t="n">
        <v>94.5</v>
      </c>
      <c r="AF86" t="n">
        <v>14.5</v>
      </c>
      <c r="AG86" t="n">
        <v>5.63</v>
      </c>
      <c r="AH86" t="n">
        <v>4.99</v>
      </c>
      <c r="AI86" t="n">
        <v>16.05</v>
      </c>
    </row>
    <row r="87">
      <c r="A87" s="48" t="n">
        <v>45845</v>
      </c>
      <c r="B87" t="n">
        <v>76.53</v>
      </c>
      <c r="C87" t="n">
        <v>209.3</v>
      </c>
      <c r="D87" t="n">
        <v>8.99</v>
      </c>
      <c r="E87" t="n">
        <v>19.54</v>
      </c>
      <c r="F87" t="n">
        <v>20.46</v>
      </c>
      <c r="G87" t="n">
        <v>6.98</v>
      </c>
      <c r="I87" t="n">
        <v>25</v>
      </c>
      <c r="J87" t="n">
        <v>285.81</v>
      </c>
      <c r="K87" t="n">
        <v>22.87</v>
      </c>
      <c r="L87" t="n">
        <v>54.36</v>
      </c>
      <c r="M87" t="n">
        <v>5.72</v>
      </c>
      <c r="N87" t="n">
        <v>237.57</v>
      </c>
      <c r="O87" t="n">
        <v>19.55</v>
      </c>
      <c r="P87" t="n">
        <v>70.89</v>
      </c>
      <c r="R87" t="n">
        <v>50.88</v>
      </c>
      <c r="S87" t="n">
        <v>22.66</v>
      </c>
      <c r="T87" t="n">
        <v>105.75</v>
      </c>
      <c r="U87" t="n">
        <v>106.35</v>
      </c>
      <c r="V87" t="n">
        <v>62.95</v>
      </c>
      <c r="W87" t="n">
        <v>2.56</v>
      </c>
      <c r="X87" t="n">
        <v>38.31</v>
      </c>
      <c r="Y87" t="n">
        <v>88.78</v>
      </c>
      <c r="Z87" t="n">
        <v>47560</v>
      </c>
      <c r="AA87" t="n">
        <v>2646.67</v>
      </c>
      <c r="AB87" t="n">
        <v>3709</v>
      </c>
      <c r="AC87" t="n">
        <v>4.49</v>
      </c>
      <c r="AD87" t="n">
        <v>16.7</v>
      </c>
      <c r="AE87" t="n">
        <v>91</v>
      </c>
      <c r="AF87" t="n">
        <v>14.92</v>
      </c>
      <c r="AG87" t="n">
        <v>5.44</v>
      </c>
      <c r="AH87" t="n">
        <v>5.15</v>
      </c>
      <c r="AI87" t="n">
        <v>15.9</v>
      </c>
    </row>
    <row r="88">
      <c r="A88" s="48" t="n">
        <v>45852</v>
      </c>
      <c r="B88" t="n">
        <v>72.25</v>
      </c>
      <c r="C88" t="n">
        <v>206.6</v>
      </c>
      <c r="D88" t="n">
        <v>8.800000000000001</v>
      </c>
      <c r="E88" t="n">
        <v>19.33</v>
      </c>
      <c r="F88" t="n">
        <v>18.95</v>
      </c>
      <c r="G88" t="n">
        <v>6.99</v>
      </c>
      <c r="I88" t="n">
        <v>24.84</v>
      </c>
      <c r="J88" t="n">
        <v>288.99</v>
      </c>
      <c r="K88" t="n">
        <v>22.14</v>
      </c>
      <c r="L88" t="n">
        <v>53.26</v>
      </c>
      <c r="M88" t="n">
        <v>5.64</v>
      </c>
      <c r="N88" t="n">
        <v>228.89</v>
      </c>
      <c r="O88" t="n">
        <v>21.37</v>
      </c>
      <c r="P88" t="n">
        <v>66.52</v>
      </c>
      <c r="R88" t="n">
        <v>50.93</v>
      </c>
      <c r="S88" t="n">
        <v>21.43</v>
      </c>
      <c r="T88" t="n">
        <v>98.38</v>
      </c>
      <c r="U88" t="n">
        <v>102.01</v>
      </c>
      <c r="V88" t="n">
        <v>60.44</v>
      </c>
      <c r="W88" t="n">
        <v>2.59</v>
      </c>
      <c r="X88" t="n">
        <v>39.01</v>
      </c>
      <c r="Y88" t="n">
        <v>92.09999999999999</v>
      </c>
      <c r="Z88" t="n">
        <v>44140</v>
      </c>
      <c r="AA88" t="n">
        <v>2676</v>
      </c>
      <c r="AB88" t="n">
        <v>3620</v>
      </c>
      <c r="AC88" t="n">
        <v>4.25</v>
      </c>
      <c r="AD88" t="n">
        <v>16.06</v>
      </c>
      <c r="AE88" t="n">
        <v>88.7</v>
      </c>
      <c r="AF88" t="n">
        <v>14.46</v>
      </c>
      <c r="AG88" t="n">
        <v>5.35</v>
      </c>
      <c r="AH88" t="n">
        <v>4.94</v>
      </c>
      <c r="AI88" t="n">
        <v>16.12</v>
      </c>
    </row>
    <row r="89">
      <c r="A89" s="48" t="n">
        <v>45859</v>
      </c>
      <c r="B89" t="n">
        <v>74.02</v>
      </c>
      <c r="C89" t="n">
        <v>205</v>
      </c>
      <c r="D89" t="n">
        <v>8.949999999999999</v>
      </c>
      <c r="E89" t="n">
        <v>20.88</v>
      </c>
      <c r="F89" t="n">
        <v>19.92</v>
      </c>
      <c r="G89" t="n">
        <v>6.98</v>
      </c>
      <c r="I89" t="n">
        <v>26.07</v>
      </c>
      <c r="J89" t="n">
        <v>288.76</v>
      </c>
      <c r="K89" t="n">
        <v>22.37</v>
      </c>
      <c r="L89" t="n">
        <v>53.21</v>
      </c>
      <c r="M89" t="n">
        <v>5.63</v>
      </c>
      <c r="N89" t="n">
        <v>223.21</v>
      </c>
      <c r="O89" t="n">
        <v>20.74</v>
      </c>
      <c r="P89" t="n">
        <v>63.03</v>
      </c>
      <c r="R89" t="n">
        <v>51.61</v>
      </c>
      <c r="S89" t="n">
        <v>20.63</v>
      </c>
      <c r="T89" t="n">
        <v>105.1</v>
      </c>
      <c r="U89" t="n">
        <v>103.64</v>
      </c>
      <c r="V89" t="n">
        <v>59.88</v>
      </c>
      <c r="W89" t="n">
        <v>3.07</v>
      </c>
      <c r="X89" t="n">
        <v>38.18</v>
      </c>
      <c r="Y89" t="n">
        <v>95.31</v>
      </c>
      <c r="Z89" t="n">
        <v>44310</v>
      </c>
      <c r="AA89" t="n">
        <v>2630</v>
      </c>
      <c r="AB89" t="n">
        <v>3598</v>
      </c>
      <c r="AC89" t="n">
        <v>4.41</v>
      </c>
      <c r="AD89" t="n">
        <v>16.62</v>
      </c>
      <c r="AE89" t="n">
        <v>92.8</v>
      </c>
      <c r="AF89" t="n">
        <v>14.86</v>
      </c>
      <c r="AG89" t="n">
        <v>5.55</v>
      </c>
      <c r="AH89" t="n">
        <v>5.35</v>
      </c>
      <c r="AI89" t="n">
        <v>16.33</v>
      </c>
    </row>
    <row r="90">
      <c r="A90" s="48" t="n">
        <v>45866</v>
      </c>
      <c r="B90" t="n">
        <v>79.23999999999999</v>
      </c>
      <c r="C90" t="n">
        <v>196.6</v>
      </c>
      <c r="D90" t="n">
        <v>9.050000000000001</v>
      </c>
      <c r="E90" t="n">
        <v>23.81</v>
      </c>
      <c r="F90" t="n">
        <v>20.8</v>
      </c>
      <c r="G90" t="n">
        <v>7.16</v>
      </c>
      <c r="I90" t="n">
        <v>27</v>
      </c>
      <c r="J90" t="n">
        <v>301.72</v>
      </c>
      <c r="K90" t="n">
        <v>20.35</v>
      </c>
      <c r="L90" t="n">
        <v>50.95</v>
      </c>
      <c r="M90" t="n">
        <v>6.17</v>
      </c>
      <c r="N90" t="n">
        <v>216.59</v>
      </c>
      <c r="O90" t="n">
        <v>20.65</v>
      </c>
      <c r="P90" t="n">
        <v>62</v>
      </c>
      <c r="R90" t="n">
        <v>52.55</v>
      </c>
      <c r="S90" t="n">
        <v>20.4</v>
      </c>
      <c r="T90" t="n">
        <v>112.39</v>
      </c>
      <c r="U90" t="n">
        <v>105.64</v>
      </c>
      <c r="V90" t="n">
        <v>60.37</v>
      </c>
      <c r="W90" t="n">
        <v>2.78</v>
      </c>
      <c r="X90" t="n">
        <v>38.6</v>
      </c>
      <c r="Y90" t="n">
        <v>98.63</v>
      </c>
      <c r="Z90" t="n">
        <v>47040</v>
      </c>
      <c r="AA90" t="n">
        <v>2647</v>
      </c>
      <c r="AB90" t="n">
        <v>3594</v>
      </c>
      <c r="AC90" t="n">
        <v>4.49</v>
      </c>
      <c r="AD90" t="n">
        <v>16.82</v>
      </c>
      <c r="AE90" t="n">
        <v>91.2</v>
      </c>
      <c r="AF90" t="n">
        <v>16.04</v>
      </c>
      <c r="AG90" t="n">
        <v>5.68</v>
      </c>
      <c r="AH90" t="n">
        <v>5.8</v>
      </c>
      <c r="AI90" t="n">
        <v>16.43</v>
      </c>
    </row>
    <row r="91">
      <c r="A91" s="48" t="n">
        <v>45873</v>
      </c>
      <c r="B91" t="n">
        <v>74.81999999999999</v>
      </c>
      <c r="C91" t="n">
        <v>166.8</v>
      </c>
      <c r="D91" t="n">
        <v>7.86</v>
      </c>
      <c r="E91" t="n">
        <v>22.88</v>
      </c>
      <c r="F91" t="n">
        <v>20.56</v>
      </c>
      <c r="G91" t="n">
        <v>6.74</v>
      </c>
      <c r="I91" t="n">
        <v>25.1</v>
      </c>
      <c r="J91" t="n">
        <v>304.45</v>
      </c>
      <c r="K91" t="n">
        <v>17.8</v>
      </c>
      <c r="L91" t="n">
        <v>47.6</v>
      </c>
      <c r="M91" t="n">
        <v>4.97</v>
      </c>
      <c r="N91" t="n">
        <v>196.45</v>
      </c>
      <c r="O91" t="n">
        <v>19.94</v>
      </c>
      <c r="P91" t="n">
        <v>56.77</v>
      </c>
      <c r="R91" t="n">
        <v>52.08</v>
      </c>
      <c r="S91" t="n">
        <v>19.52</v>
      </c>
      <c r="T91" t="n">
        <v>105.13</v>
      </c>
      <c r="U91" t="n">
        <v>100.36</v>
      </c>
      <c r="V91" t="n">
        <v>51.08</v>
      </c>
      <c r="W91" t="n">
        <v>2.67</v>
      </c>
      <c r="X91" t="n">
        <v>38.71</v>
      </c>
      <c r="Y91" t="n">
        <v>99.11</v>
      </c>
      <c r="Z91" t="n">
        <v>45520</v>
      </c>
      <c r="AA91" t="n">
        <v>2585</v>
      </c>
      <c r="AB91" t="n">
        <v>3480</v>
      </c>
      <c r="AC91" t="n">
        <v>4.4</v>
      </c>
      <c r="AD91" t="n">
        <v>16.38</v>
      </c>
      <c r="AE91" t="n">
        <v>91</v>
      </c>
      <c r="AF91" t="n">
        <v>15.52</v>
      </c>
      <c r="AG91" t="n">
        <v>5.66</v>
      </c>
      <c r="AH91" t="n">
        <v>6.42</v>
      </c>
      <c r="AI91" t="n">
        <v>16.55</v>
      </c>
    </row>
    <row r="92">
      <c r="A92" s="48" t="n">
        <v>45880</v>
      </c>
      <c r="B92" t="n">
        <v>74.02</v>
      </c>
      <c r="C92" t="n">
        <v>164.2</v>
      </c>
      <c r="D92" t="n">
        <v>7.71</v>
      </c>
      <c r="E92" t="n">
        <v>26.75</v>
      </c>
      <c r="F92" t="n">
        <v>21.32</v>
      </c>
      <c r="G92" t="n">
        <v>5.12</v>
      </c>
      <c r="I92" t="n">
        <v>24.61</v>
      </c>
      <c r="J92" t="n">
        <v>288.56</v>
      </c>
      <c r="K92" t="n">
        <v>17.25</v>
      </c>
      <c r="L92" t="n">
        <v>45.72</v>
      </c>
      <c r="M92" t="n">
        <v>4.83</v>
      </c>
      <c r="N92" t="n">
        <v>186.44</v>
      </c>
      <c r="O92" t="n">
        <v>20.22</v>
      </c>
      <c r="P92" t="n">
        <v>67.26000000000001</v>
      </c>
      <c r="R92" t="n">
        <v>50.94</v>
      </c>
      <c r="S92" t="n">
        <v>19.7</v>
      </c>
      <c r="T92" t="n">
        <v>100.47</v>
      </c>
      <c r="U92" t="n">
        <v>76.56</v>
      </c>
      <c r="V92" t="n">
        <v>49.42</v>
      </c>
      <c r="W92" t="n">
        <v>2.63</v>
      </c>
      <c r="X92" t="n">
        <v>36.67</v>
      </c>
      <c r="Y92" t="n">
        <v>100.12</v>
      </c>
      <c r="Z92" t="n">
        <v>46280</v>
      </c>
      <c r="AA92" t="n">
        <v>2394.67</v>
      </c>
      <c r="AB92" t="n">
        <v>3490</v>
      </c>
      <c r="AC92" t="n">
        <v>4.46</v>
      </c>
      <c r="AD92" t="n">
        <v>16.72</v>
      </c>
      <c r="AE92" t="n">
        <v>89.05</v>
      </c>
      <c r="AF92" t="n">
        <v>15.8</v>
      </c>
      <c r="AG92" t="n">
        <v>5.77</v>
      </c>
      <c r="AH92" t="n">
        <v>6.27</v>
      </c>
      <c r="AI92" t="n">
        <v>16.12</v>
      </c>
    </row>
    <row r="93">
      <c r="A93" s="48" t="n">
        <v>45887</v>
      </c>
      <c r="B93" t="n">
        <v>77.43000000000001</v>
      </c>
      <c r="C93" t="n">
        <v>166.9</v>
      </c>
      <c r="D93" t="n">
        <v>8</v>
      </c>
      <c r="E93" t="n">
        <v>28.15</v>
      </c>
      <c r="F93" t="n">
        <v>22.72</v>
      </c>
      <c r="G93" t="n">
        <v>5.17</v>
      </c>
      <c r="I93" t="n">
        <v>26.92</v>
      </c>
      <c r="J93" t="n">
        <v>289.66</v>
      </c>
      <c r="K93" t="n">
        <v>17.29</v>
      </c>
      <c r="L93" t="n">
        <v>45.22</v>
      </c>
      <c r="M93" t="n">
        <v>5.87</v>
      </c>
      <c r="N93" t="n">
        <v>203.62</v>
      </c>
      <c r="O93" t="n">
        <v>21.04</v>
      </c>
      <c r="P93" t="n">
        <v>71.58</v>
      </c>
      <c r="R93" t="n">
        <v>56.5</v>
      </c>
      <c r="S93" t="n">
        <v>20.91</v>
      </c>
      <c r="T93" t="n">
        <v>105.58</v>
      </c>
      <c r="U93" t="n">
        <v>82.88</v>
      </c>
      <c r="V93" t="n">
        <v>53.81</v>
      </c>
      <c r="W93" t="n">
        <v>2.84</v>
      </c>
      <c r="X93" t="n">
        <v>37.5</v>
      </c>
      <c r="Y93" t="n">
        <v>95.69</v>
      </c>
      <c r="Z93" t="n">
        <v>49870</v>
      </c>
      <c r="AA93" t="n">
        <v>2390</v>
      </c>
      <c r="AB93" t="n">
        <v>4243</v>
      </c>
      <c r="AC93" t="n">
        <v>4.86</v>
      </c>
      <c r="AD93" t="n">
        <v>18.01</v>
      </c>
      <c r="AE93" t="n">
        <v>93.2</v>
      </c>
      <c r="AF93" t="n">
        <v>16.28</v>
      </c>
      <c r="AG93" t="n">
        <v>6.15</v>
      </c>
      <c r="AH93" t="n">
        <v>6.09</v>
      </c>
      <c r="AI93" t="n">
        <v>16.06</v>
      </c>
    </row>
    <row r="94">
      <c r="A94" s="48" t="n">
        <v>45894</v>
      </c>
      <c r="B94" t="n">
        <v>79.17</v>
      </c>
      <c r="C94" t="n">
        <v>168.95</v>
      </c>
      <c r="D94" t="n">
        <v>8.199999999999999</v>
      </c>
      <c r="E94" t="n">
        <v>30.52</v>
      </c>
      <c r="F94" t="n">
        <v>21.76</v>
      </c>
      <c r="G94" t="n">
        <v>5.07</v>
      </c>
      <c r="I94" t="n">
        <v>28.03</v>
      </c>
      <c r="J94" t="n">
        <v>287.39</v>
      </c>
      <c r="K94" t="n">
        <v>21.73</v>
      </c>
      <c r="L94" t="n">
        <v>45.59</v>
      </c>
      <c r="M94" t="n">
        <v>5.82</v>
      </c>
      <c r="N94" t="n">
        <v>202.44</v>
      </c>
      <c r="O94" t="n">
        <v>21.43</v>
      </c>
      <c r="P94" t="n">
        <v>76.33</v>
      </c>
      <c r="R94" t="n">
        <v>54.67</v>
      </c>
      <c r="S94" t="n">
        <v>21.5</v>
      </c>
      <c r="T94" t="n">
        <v>113.03</v>
      </c>
      <c r="U94" t="n">
        <v>86.29000000000001</v>
      </c>
      <c r="V94" t="n">
        <v>55.4</v>
      </c>
      <c r="W94" t="n">
        <v>3.05</v>
      </c>
      <c r="X94" t="n">
        <v>40.69</v>
      </c>
      <c r="Y94" t="n">
        <v>99.76000000000001</v>
      </c>
      <c r="Z94" t="n">
        <v>48510</v>
      </c>
      <c r="AA94" t="n">
        <v>2388</v>
      </c>
      <c r="AB94" t="n">
        <v>4182</v>
      </c>
      <c r="AC94" t="n">
        <v>4.67</v>
      </c>
      <c r="AD94" t="n">
        <v>20.28</v>
      </c>
      <c r="AE94" t="n">
        <v>104.4</v>
      </c>
      <c r="AF94" t="n">
        <v>17.12</v>
      </c>
      <c r="AG94" t="n">
        <v>6.65</v>
      </c>
      <c r="AH94" t="n">
        <v>6.07</v>
      </c>
      <c r="AI94" t="n">
        <v>16.59</v>
      </c>
    </row>
    <row r="95">
      <c r="A95" s="48" t="n">
        <v>45901</v>
      </c>
      <c r="B95" t="n">
        <v>77.37</v>
      </c>
      <c r="C95" t="n">
        <v>166</v>
      </c>
      <c r="D95" t="n">
        <v>8.44</v>
      </c>
      <c r="E95" t="n">
        <v>31.94</v>
      </c>
      <c r="F95" t="n">
        <v>23.02</v>
      </c>
      <c r="G95" t="n">
        <v>5</v>
      </c>
      <c r="I95" t="n">
        <v>29.04</v>
      </c>
      <c r="J95" t="n">
        <v>296.93</v>
      </c>
      <c r="K95" t="n">
        <v>20.96</v>
      </c>
      <c r="L95" t="n">
        <v>45.08</v>
      </c>
      <c r="M95" t="n">
        <v>5.92</v>
      </c>
      <c r="N95" t="n">
        <v>202.2</v>
      </c>
      <c r="O95" t="n">
        <v>22.37</v>
      </c>
      <c r="P95" t="n">
        <v>77.25</v>
      </c>
      <c r="R95" t="n">
        <v>54.6</v>
      </c>
      <c r="S95" t="n">
        <v>22.01</v>
      </c>
      <c r="T95" t="n">
        <v>119.63</v>
      </c>
      <c r="U95" t="n">
        <v>87.2</v>
      </c>
      <c r="V95" t="n">
        <v>55.72</v>
      </c>
      <c r="W95" t="n">
        <v>3.39</v>
      </c>
      <c r="X95" t="n">
        <v>39.32</v>
      </c>
      <c r="Y95" t="n">
        <v>93.53</v>
      </c>
      <c r="Z95" t="n">
        <v>46210</v>
      </c>
      <c r="AA95" t="n">
        <v>2427.67</v>
      </c>
      <c r="AB95" t="n">
        <v>3986</v>
      </c>
      <c r="AC95" t="n">
        <v>4.4</v>
      </c>
      <c r="AD95" t="n">
        <v>18.77</v>
      </c>
      <c r="AE95" t="n">
        <v>94.84999999999999</v>
      </c>
      <c r="AF95" t="n">
        <v>16.69</v>
      </c>
      <c r="AG95" t="n">
        <v>6.52</v>
      </c>
      <c r="AH95" t="n">
        <v>6.35</v>
      </c>
      <c r="AI95" t="n">
        <v>16.76</v>
      </c>
    </row>
    <row r="96">
      <c r="A96" s="48" t="n">
        <v>45908</v>
      </c>
      <c r="B96" t="n">
        <v>74.15000000000001</v>
      </c>
      <c r="C96" t="n">
        <v>182.05</v>
      </c>
      <c r="D96" t="n">
        <v>9.02</v>
      </c>
      <c r="E96" t="n">
        <v>31.74</v>
      </c>
      <c r="F96" t="n">
        <v>25.65</v>
      </c>
      <c r="G96" t="n">
        <v>5.1</v>
      </c>
      <c r="I96" t="n">
        <v>30.5</v>
      </c>
      <c r="J96" t="n">
        <v>308.99</v>
      </c>
      <c r="K96" t="n">
        <v>20.07</v>
      </c>
      <c r="L96" t="n">
        <v>45.2</v>
      </c>
      <c r="M96" t="n">
        <v>6.33</v>
      </c>
      <c r="N96" t="n">
        <v>168.1</v>
      </c>
      <c r="O96" t="n">
        <v>22.13</v>
      </c>
      <c r="P96" t="n">
        <v>79.81999999999999</v>
      </c>
      <c r="R96" t="n">
        <v>55.77</v>
      </c>
      <c r="S96" t="n">
        <v>24.14</v>
      </c>
      <c r="T96" t="n">
        <v>117.17</v>
      </c>
      <c r="U96" t="n">
        <v>87.19</v>
      </c>
      <c r="V96" t="n">
        <v>56.55</v>
      </c>
      <c r="W96" t="n">
        <v>3.92</v>
      </c>
      <c r="X96" t="n">
        <v>36.64</v>
      </c>
      <c r="Y96" t="n">
        <v>95.39</v>
      </c>
      <c r="Z96" t="n">
        <v>49180</v>
      </c>
      <c r="AA96" t="n">
        <v>2525.67</v>
      </c>
      <c r="AB96" t="n">
        <v>4114</v>
      </c>
      <c r="AC96" t="n">
        <v>4.72</v>
      </c>
      <c r="AD96" t="n">
        <v>18.87</v>
      </c>
      <c r="AE96" t="n">
        <v>95.34999999999999</v>
      </c>
      <c r="AF96" t="n">
        <v>15.28</v>
      </c>
      <c r="AG96" t="n">
        <v>6.44</v>
      </c>
      <c r="AH96" t="n">
        <v>6.18</v>
      </c>
      <c r="AI96" t="n">
        <v>16.92</v>
      </c>
    </row>
    <row r="97">
      <c r="A97" s="48" t="n">
        <v>45915</v>
      </c>
      <c r="B97" t="n">
        <v>73.03</v>
      </c>
      <c r="C97" t="n">
        <v>178.3</v>
      </c>
      <c r="D97" t="n">
        <v>9.4</v>
      </c>
      <c r="E97" t="n">
        <v>30.18</v>
      </c>
      <c r="F97" t="n">
        <v>27.7</v>
      </c>
      <c r="G97" t="n">
        <v>4.88</v>
      </c>
      <c r="I97" t="n">
        <v>31.37</v>
      </c>
      <c r="J97" t="n">
        <v>315.77</v>
      </c>
      <c r="K97" t="n">
        <v>19.38</v>
      </c>
      <c r="L97" t="n">
        <v>42.67</v>
      </c>
      <c r="M97" t="n">
        <v>5.84</v>
      </c>
      <c r="N97" t="n">
        <v>159.98</v>
      </c>
      <c r="O97" t="n">
        <v>22.59</v>
      </c>
      <c r="P97" t="n">
        <v>82.01000000000001</v>
      </c>
      <c r="R97" t="n">
        <v>54.91</v>
      </c>
      <c r="S97" t="n">
        <v>23.92</v>
      </c>
      <c r="T97" t="n">
        <v>118.66</v>
      </c>
      <c r="U97" t="n">
        <v>77.58</v>
      </c>
      <c r="V97" t="n">
        <v>54.11</v>
      </c>
      <c r="W97" t="n">
        <v>4.6</v>
      </c>
      <c r="X97" t="n">
        <v>37.24</v>
      </c>
      <c r="Y97" t="n">
        <v>87.62</v>
      </c>
      <c r="Z97" t="n">
        <v>48320</v>
      </c>
      <c r="AA97" t="n">
        <v>2487.67</v>
      </c>
      <c r="AB97" t="n">
        <v>4161</v>
      </c>
      <c r="AC97" t="n">
        <v>4.55</v>
      </c>
      <c r="AD97" t="n">
        <v>18.07</v>
      </c>
      <c r="AE97" t="n">
        <v>93.90000000000001</v>
      </c>
      <c r="AF97" t="n">
        <v>14.89</v>
      </c>
      <c r="AG97" t="n">
        <v>6.29</v>
      </c>
      <c r="AH97" t="n">
        <v>5.93</v>
      </c>
      <c r="AI97" t="n">
        <v>16.5</v>
      </c>
    </row>
    <row r="98">
      <c r="A98" s="48" t="n">
        <v>45922</v>
      </c>
      <c r="B98" t="n">
        <v>71.28</v>
      </c>
      <c r="C98" t="n">
        <v>178.95</v>
      </c>
      <c r="D98" t="n">
        <v>9.44</v>
      </c>
      <c r="E98" t="n">
        <v>29.1</v>
      </c>
      <c r="F98" t="n">
        <v>25.56</v>
      </c>
      <c r="G98" t="n">
        <v>4.78</v>
      </c>
      <c r="I98" t="n">
        <v>33.16</v>
      </c>
      <c r="J98" t="n">
        <v>307.65</v>
      </c>
      <c r="K98" t="n">
        <v>21.5</v>
      </c>
      <c r="L98" t="n">
        <v>45.59</v>
      </c>
      <c r="M98" t="n">
        <v>5.49</v>
      </c>
      <c r="N98" t="n">
        <v>173.41</v>
      </c>
      <c r="O98" t="n">
        <v>22.9</v>
      </c>
      <c r="P98" t="n">
        <v>79.20999999999999</v>
      </c>
      <c r="R98" t="n">
        <v>56.32</v>
      </c>
      <c r="S98" t="n">
        <v>22.61</v>
      </c>
      <c r="T98" t="n">
        <v>113.22</v>
      </c>
      <c r="U98" t="n">
        <v>77.14</v>
      </c>
      <c r="V98" t="n">
        <v>53.04</v>
      </c>
      <c r="W98" t="n">
        <v>4.35</v>
      </c>
      <c r="X98" t="n">
        <v>35.27</v>
      </c>
      <c r="Y98" t="n">
        <v>87.77</v>
      </c>
      <c r="Z98" t="n">
        <v>46600</v>
      </c>
      <c r="AA98" t="n">
        <v>2499</v>
      </c>
      <c r="AB98" t="n">
        <v>3846</v>
      </c>
      <c r="AC98" t="n">
        <v>4.69</v>
      </c>
      <c r="AD98" t="n">
        <v>17.84</v>
      </c>
      <c r="AE98" t="n">
        <v>94.65000000000001</v>
      </c>
      <c r="AF98" t="n">
        <v>15.4</v>
      </c>
      <c r="AG98" t="n">
        <v>5.98</v>
      </c>
      <c r="AH98" t="n">
        <v>5.65</v>
      </c>
      <c r="AI98" t="n">
        <v>16</v>
      </c>
    </row>
    <row r="99">
      <c r="A99" s="48" t="n">
        <v>45929</v>
      </c>
      <c r="B99" t="n">
        <v>69.55</v>
      </c>
      <c r="C99" t="n">
        <v>181.1</v>
      </c>
      <c r="D99" t="n">
        <v>9.15</v>
      </c>
      <c r="E99" t="n">
        <v>27.27</v>
      </c>
      <c r="F99" t="n">
        <v>26.49</v>
      </c>
      <c r="G99" t="n">
        <v>5</v>
      </c>
      <c r="I99" t="n">
        <v>33.89</v>
      </c>
      <c r="J99" t="n">
        <v>308.64</v>
      </c>
      <c r="K99" t="n">
        <v>20.23</v>
      </c>
      <c r="L99" t="n">
        <v>43.59</v>
      </c>
      <c r="M99" t="n">
        <v>5.09</v>
      </c>
      <c r="N99" t="n">
        <v>179.11</v>
      </c>
      <c r="O99" t="n">
        <v>23.29</v>
      </c>
      <c r="P99" t="n">
        <v>78.69</v>
      </c>
      <c r="R99" t="n">
        <v>57.48</v>
      </c>
      <c r="S99" t="n">
        <v>21.34</v>
      </c>
      <c r="T99" t="n">
        <v>103.28</v>
      </c>
      <c r="U99" t="n">
        <v>83.76000000000001</v>
      </c>
      <c r="V99" t="n">
        <v>51.65</v>
      </c>
      <c r="W99" t="n">
        <v>4.04</v>
      </c>
      <c r="X99" t="n">
        <v>34.61</v>
      </c>
      <c r="Y99" t="n">
        <v>84.77</v>
      </c>
      <c r="Z99" t="n">
        <v>45390</v>
      </c>
      <c r="AA99" t="n">
        <v>2499</v>
      </c>
      <c r="AB99" t="n">
        <v>3918</v>
      </c>
      <c r="AC99" t="n">
        <v>4.62</v>
      </c>
      <c r="AD99" t="n">
        <v>17.18</v>
      </c>
      <c r="AE99" t="n">
        <v>91.65000000000001</v>
      </c>
      <c r="AF99" t="n">
        <v>15.46</v>
      </c>
      <c r="AG99" t="n">
        <v>5.77</v>
      </c>
      <c r="AH99" t="n">
        <v>5.88</v>
      </c>
      <c r="AI99" t="n">
        <v>15.9</v>
      </c>
    </row>
    <row r="100">
      <c r="A100" s="48" t="n">
        <v>45936</v>
      </c>
      <c r="B100" t="n">
        <v>71.17</v>
      </c>
      <c r="C100" t="n">
        <v>187.45</v>
      </c>
      <c r="D100" t="n">
        <v>10.21</v>
      </c>
      <c r="E100" t="n">
        <v>25.08</v>
      </c>
      <c r="F100" t="n">
        <v>29.2</v>
      </c>
      <c r="G100" t="n">
        <v>5</v>
      </c>
      <c r="I100" t="n">
        <v>33.7</v>
      </c>
      <c r="J100" t="n">
        <v>321.1</v>
      </c>
      <c r="K100" t="n">
        <v>21.41</v>
      </c>
      <c r="L100" t="n">
        <v>42.57</v>
      </c>
      <c r="M100" t="n">
        <v>5.25</v>
      </c>
      <c r="N100" t="n">
        <v>174.12</v>
      </c>
      <c r="O100" t="n">
        <v>24.3</v>
      </c>
      <c r="P100" t="n">
        <v>81.95999999999999</v>
      </c>
      <c r="R100" t="n">
        <v>61.06</v>
      </c>
      <c r="S100" t="n">
        <v>21.51</v>
      </c>
      <c r="T100" t="n">
        <v>102.04</v>
      </c>
      <c r="U100" t="n">
        <v>80.64</v>
      </c>
      <c r="V100" t="n">
        <v>53.45</v>
      </c>
      <c r="W100" t="n">
        <v>3.84</v>
      </c>
      <c r="X100" t="n">
        <v>34.12</v>
      </c>
      <c r="Y100" t="n">
        <v>77.88</v>
      </c>
      <c r="Z100" t="n">
        <v>47710</v>
      </c>
      <c r="AA100" t="n">
        <v>2480.5</v>
      </c>
      <c r="AB100" t="n">
        <v>3975</v>
      </c>
      <c r="AC100" t="n">
        <v>4.67</v>
      </c>
      <c r="AD100" t="n">
        <v>17.14</v>
      </c>
      <c r="AE100" t="n">
        <v>91.45</v>
      </c>
      <c r="AF100" t="n">
        <v>15.3</v>
      </c>
      <c r="AG100" t="n">
        <v>5.77</v>
      </c>
      <c r="AH100" t="n">
        <v>6.04</v>
      </c>
      <c r="AI100" t="n">
        <v>15.83</v>
      </c>
    </row>
    <row r="101">
      <c r="A101" s="48" t="n">
        <v>45943</v>
      </c>
      <c r="B101" t="n">
        <v>67.38</v>
      </c>
      <c r="C101" t="n">
        <v>188.75</v>
      </c>
      <c r="D101" t="n">
        <v>8.76</v>
      </c>
      <c r="E101" t="n">
        <v>25.36</v>
      </c>
      <c r="F101" t="n">
        <v>29.06</v>
      </c>
      <c r="G101" t="n">
        <v>4.84</v>
      </c>
      <c r="I101" t="n">
        <v>34.32</v>
      </c>
      <c r="J101" t="n">
        <v>317.23</v>
      </c>
      <c r="K101" t="n">
        <v>21.24</v>
      </c>
      <c r="L101" t="n">
        <v>42.97</v>
      </c>
      <c r="M101" t="n">
        <v>4.83</v>
      </c>
      <c r="N101" t="n">
        <v>169.85</v>
      </c>
      <c r="O101" t="n">
        <v>21.16</v>
      </c>
      <c r="P101" t="n">
        <v>78.55</v>
      </c>
      <c r="R101" t="n">
        <v>60.48</v>
      </c>
      <c r="S101" t="n">
        <v>20.61</v>
      </c>
      <c r="T101" t="n">
        <v>98.31</v>
      </c>
      <c r="U101" t="n">
        <v>81.48999999999999</v>
      </c>
      <c r="V101" t="n">
        <v>50.72</v>
      </c>
      <c r="W101" t="n">
        <v>3.54</v>
      </c>
      <c r="X101" t="n">
        <v>30.95</v>
      </c>
      <c r="Y101" t="n">
        <v>72.90000000000001</v>
      </c>
      <c r="Z101" t="n">
        <v>51500</v>
      </c>
      <c r="AA101" t="n">
        <v>2569.5</v>
      </c>
      <c r="AB101" t="n">
        <v>3805</v>
      </c>
      <c r="AC101" t="n">
        <v>4.52</v>
      </c>
      <c r="AD101" t="n">
        <v>16.92</v>
      </c>
      <c r="AE101" t="n">
        <v>86.7</v>
      </c>
      <c r="AF101" t="n">
        <v>15.71</v>
      </c>
      <c r="AG101" t="n">
        <v>5.83</v>
      </c>
      <c r="AH101" t="n">
        <v>5.94</v>
      </c>
      <c r="AI101" t="n">
        <v>15.65</v>
      </c>
    </row>
    <row r="102">
      <c r="A102" s="48" t="n">
        <v>45950</v>
      </c>
      <c r="B102" t="n">
        <v>67.62</v>
      </c>
      <c r="C102" t="n">
        <v>194.9</v>
      </c>
      <c r="D102" t="n">
        <v>10.52</v>
      </c>
      <c r="E102" t="n">
        <v>26.74</v>
      </c>
      <c r="F102" t="n">
        <v>31.52</v>
      </c>
      <c r="G102" t="n">
        <v>4.73</v>
      </c>
      <c r="I102" t="n">
        <v>34.96</v>
      </c>
      <c r="J102" t="n">
        <v>333</v>
      </c>
      <c r="K102" t="n">
        <v>21.47</v>
      </c>
      <c r="L102" t="n">
        <v>41.47</v>
      </c>
      <c r="M102" t="n">
        <v>4.85</v>
      </c>
      <c r="N102" t="n">
        <v>172.43</v>
      </c>
      <c r="O102" t="n">
        <v>20.57</v>
      </c>
      <c r="P102" t="n">
        <v>84.54000000000001</v>
      </c>
      <c r="R102" t="n">
        <v>59.91</v>
      </c>
      <c r="S102" t="n">
        <v>21.98</v>
      </c>
      <c r="T102" t="n">
        <v>100.19</v>
      </c>
      <c r="U102" t="n">
        <v>82.34</v>
      </c>
      <c r="V102" t="n">
        <v>52.53</v>
      </c>
      <c r="W102" t="n">
        <v>3.66</v>
      </c>
      <c r="X102" t="n">
        <v>30.86</v>
      </c>
      <c r="Y102" t="n">
        <v>66.65000000000001</v>
      </c>
      <c r="Z102" t="n">
        <v>53550</v>
      </c>
      <c r="AA102" t="n">
        <v>2552.5</v>
      </c>
      <c r="AB102" t="n">
        <v>3723</v>
      </c>
      <c r="AC102" t="n">
        <v>4.5</v>
      </c>
      <c r="AD102" t="n">
        <v>16.87</v>
      </c>
      <c r="AE102" t="n">
        <v>85.7</v>
      </c>
      <c r="AF102" t="n">
        <v>15.46</v>
      </c>
      <c r="AG102" t="n">
        <v>5.72</v>
      </c>
      <c r="AH102" t="n">
        <v>5.95</v>
      </c>
      <c r="AI102" t="n">
        <v>15.86</v>
      </c>
    </row>
    <row r="103">
      <c r="A103" s="48" t="n">
        <v>45957</v>
      </c>
      <c r="B103" t="n">
        <v>68.59</v>
      </c>
      <c r="C103" t="n">
        <v>187.35</v>
      </c>
      <c r="D103" t="n">
        <v>10.48</v>
      </c>
      <c r="E103" t="n">
        <v>24.85</v>
      </c>
      <c r="F103" t="n">
        <v>34.87</v>
      </c>
      <c r="G103" t="n">
        <v>4.85</v>
      </c>
      <c r="I103" t="n">
        <v>35.44</v>
      </c>
      <c r="J103" t="n">
        <v>337.57</v>
      </c>
      <c r="K103" t="n">
        <v>21.85</v>
      </c>
      <c r="L103" t="n">
        <v>42.21</v>
      </c>
      <c r="M103" t="n">
        <v>5.09</v>
      </c>
      <c r="N103" t="n">
        <v>181.39</v>
      </c>
      <c r="O103" t="n">
        <v>21.42</v>
      </c>
      <c r="P103" t="n">
        <v>86.02</v>
      </c>
      <c r="R103" t="n">
        <v>61.02</v>
      </c>
      <c r="S103" t="n">
        <v>23.87</v>
      </c>
      <c r="T103" t="n">
        <v>90.47</v>
      </c>
      <c r="U103" t="n">
        <v>87.29000000000001</v>
      </c>
      <c r="V103" t="n">
        <v>54.89</v>
      </c>
      <c r="W103" t="n">
        <v>3.66</v>
      </c>
      <c r="X103" t="n">
        <v>32.56</v>
      </c>
      <c r="Y103" t="n">
        <v>73.91</v>
      </c>
      <c r="Z103" t="n">
        <v>56620</v>
      </c>
      <c r="AA103" t="n">
        <v>2609</v>
      </c>
      <c r="AB103" t="n">
        <v>4116</v>
      </c>
      <c r="AC103" t="n">
        <v>4.92</v>
      </c>
      <c r="AD103" t="n">
        <v>17.63</v>
      </c>
      <c r="AE103" t="n">
        <v>87.8</v>
      </c>
      <c r="AF103" t="n">
        <v>16.5</v>
      </c>
      <c r="AG103" t="n">
        <v>5.66</v>
      </c>
      <c r="AH103" t="n">
        <v>6.16</v>
      </c>
      <c r="AI103" t="n">
        <v>15.99</v>
      </c>
    </row>
    <row r="104">
      <c r="A104" s="48" t="n">
        <v>45964</v>
      </c>
      <c r="B104" t="n">
        <v>62.65</v>
      </c>
      <c r="C104" t="n">
        <v>162.15</v>
      </c>
      <c r="D104" t="n">
        <v>9.960000000000001</v>
      </c>
      <c r="E104" t="n">
        <v>22.34</v>
      </c>
      <c r="F104" t="n">
        <v>36.01</v>
      </c>
      <c r="G104" t="n">
        <v>4.57</v>
      </c>
      <c r="I104" t="n">
        <v>32.8</v>
      </c>
      <c r="J104" t="n">
        <v>314.95</v>
      </c>
      <c r="K104" t="n">
        <v>17.5</v>
      </c>
      <c r="L104" t="n">
        <v>36.46</v>
      </c>
      <c r="M104" t="n">
        <v>3.23</v>
      </c>
      <c r="N104" t="n">
        <v>165.47</v>
      </c>
      <c r="O104" t="n">
        <v>19.99</v>
      </c>
      <c r="P104" t="n">
        <v>73.45</v>
      </c>
      <c r="R104" t="n">
        <v>57.96</v>
      </c>
      <c r="S104" t="n">
        <v>22.81</v>
      </c>
      <c r="T104" t="n">
        <v>81.12</v>
      </c>
      <c r="U104" t="n">
        <v>81.16</v>
      </c>
      <c r="V104" t="n">
        <v>50.38</v>
      </c>
      <c r="W104" t="n">
        <v>3.32</v>
      </c>
      <c r="X104" t="n">
        <v>31.47</v>
      </c>
      <c r="Y104" t="n">
        <v>70.15000000000001</v>
      </c>
      <c r="Z104" t="n">
        <v>56660</v>
      </c>
      <c r="AA104" t="n">
        <v>2550</v>
      </c>
      <c r="AB104" t="n">
        <v>3943</v>
      </c>
      <c r="AC104" t="n">
        <v>4.82</v>
      </c>
      <c r="AD104" t="n">
        <v>16.95</v>
      </c>
      <c r="AE104" t="n">
        <v>81.34999999999999</v>
      </c>
      <c r="AF104" t="n">
        <v>16.7</v>
      </c>
      <c r="AG104" t="n">
        <v>5.62</v>
      </c>
      <c r="AH104" t="n">
        <v>5.9</v>
      </c>
      <c r="AI104" t="n">
        <v>16.01</v>
      </c>
    </row>
    <row r="105">
      <c r="A105" s="48" t="n">
        <v>45971</v>
      </c>
      <c r="B105" t="n">
        <v>60.8</v>
      </c>
      <c r="C105" t="n">
        <v>157.7</v>
      </c>
      <c r="D105" t="n">
        <v>9.98</v>
      </c>
      <c r="E105" t="n">
        <v>16.34</v>
      </c>
      <c r="F105" t="n">
        <v>34.99</v>
      </c>
      <c r="G105" t="n">
        <v>4.48</v>
      </c>
      <c r="I105" t="n">
        <v>37.71</v>
      </c>
      <c r="J105" t="n">
        <v>334.71</v>
      </c>
      <c r="K105" t="n">
        <v>16.22</v>
      </c>
      <c r="L105" t="n">
        <v>34.96</v>
      </c>
      <c r="M105" t="n">
        <v>3.23</v>
      </c>
      <c r="N105" t="n">
        <v>170.35</v>
      </c>
      <c r="O105" t="n">
        <v>21.09</v>
      </c>
      <c r="P105" t="n">
        <v>71.93000000000001</v>
      </c>
      <c r="R105" t="n">
        <v>55.67</v>
      </c>
      <c r="S105" t="n">
        <v>24.09</v>
      </c>
      <c r="T105" t="n">
        <v>79.84</v>
      </c>
      <c r="U105" t="n">
        <v>74.09</v>
      </c>
      <c r="V105" t="n">
        <v>51.06</v>
      </c>
      <c r="W105" t="n">
        <v>3.16</v>
      </c>
      <c r="X105" t="n">
        <v>30.14</v>
      </c>
      <c r="Y105" t="n">
        <v>71.67</v>
      </c>
      <c r="Z105" t="n">
        <v>58230</v>
      </c>
      <c r="AA105" t="n">
        <v>3040</v>
      </c>
      <c r="AB105" t="n">
        <v>3713</v>
      </c>
      <c r="AC105" t="n">
        <v>4.97</v>
      </c>
      <c r="AD105" t="n">
        <v>17.51</v>
      </c>
      <c r="AE105" t="n">
        <v>82.84999999999999</v>
      </c>
      <c r="AF105" t="n">
        <v>15.96</v>
      </c>
      <c r="AG105" t="n">
        <v>5.77</v>
      </c>
      <c r="AH105" t="n">
        <v>6.06</v>
      </c>
      <c r="AI105" t="n">
        <v>16.4</v>
      </c>
    </row>
    <row r="106">
      <c r="A106" s="48" t="n">
        <v>45978</v>
      </c>
      <c r="B106" t="n">
        <v>62.9</v>
      </c>
      <c r="C106" t="n">
        <v>160</v>
      </c>
      <c r="D106" t="n">
        <v>9.699999999999999</v>
      </c>
      <c r="E106" t="n">
        <v>14.73</v>
      </c>
      <c r="F106" t="n">
        <v>35.09</v>
      </c>
      <c r="G106" t="n">
        <v>4.26</v>
      </c>
      <c r="I106" t="n">
        <v>36.98</v>
      </c>
      <c r="J106" t="n">
        <v>324.1</v>
      </c>
      <c r="K106" t="n">
        <v>15.95</v>
      </c>
      <c r="L106" t="n">
        <v>41.4</v>
      </c>
      <c r="M106" t="n">
        <v>3.34</v>
      </c>
      <c r="N106" t="n">
        <v>164.16</v>
      </c>
      <c r="O106" t="n">
        <v>20.47</v>
      </c>
      <c r="P106" t="n">
        <v>69.98</v>
      </c>
      <c r="R106" t="n">
        <v>56.8</v>
      </c>
      <c r="S106" t="n">
        <v>23.77</v>
      </c>
      <c r="T106" t="n">
        <v>80.72</v>
      </c>
      <c r="U106" t="n">
        <v>77.15000000000001</v>
      </c>
      <c r="V106" t="n">
        <v>51.45</v>
      </c>
      <c r="W106" t="n">
        <v>2.91</v>
      </c>
      <c r="X106" t="n">
        <v>30.76</v>
      </c>
      <c r="Y106" t="n">
        <v>69.58</v>
      </c>
      <c r="Z106" t="n">
        <v>53510</v>
      </c>
      <c r="AA106" t="n">
        <v>2980.5</v>
      </c>
      <c r="AB106" t="n">
        <v>3642</v>
      </c>
      <c r="AC106" t="n">
        <v>5.2</v>
      </c>
      <c r="AD106" t="n">
        <v>17.56</v>
      </c>
      <c r="AE106" t="n">
        <v>80.8</v>
      </c>
      <c r="AF106" t="n">
        <v>15.91</v>
      </c>
      <c r="AG106" t="n">
        <v>5.95</v>
      </c>
      <c r="AH106" t="n">
        <v>6.12</v>
      </c>
      <c r="AI106" t="n">
        <v>16.38</v>
      </c>
    </row>
    <row r="107">
      <c r="A107" s="48" t="n">
        <v>45985</v>
      </c>
      <c r="B107" t="n">
        <v>61.93</v>
      </c>
      <c r="C107" t="n">
        <v>152.35</v>
      </c>
      <c r="D107" t="n">
        <v>10.32</v>
      </c>
      <c r="E107" t="n">
        <v>15.42</v>
      </c>
      <c r="F107" t="n">
        <v>36.67</v>
      </c>
      <c r="G107" t="n">
        <v>4.4</v>
      </c>
      <c r="I107" t="n">
        <v>40.65</v>
      </c>
      <c r="J107" t="n">
        <v>349.98</v>
      </c>
      <c r="K107" t="n">
        <v>15.57</v>
      </c>
      <c r="L107" t="n">
        <v>40.79</v>
      </c>
      <c r="M107" t="n">
        <v>3.46</v>
      </c>
      <c r="N107" t="n">
        <v>169.67</v>
      </c>
      <c r="O107" t="n">
        <v>20.75</v>
      </c>
      <c r="P107" t="n">
        <v>70.59999999999999</v>
      </c>
      <c r="R107" t="n">
        <v>56.88</v>
      </c>
      <c r="S107" t="n">
        <v>24.75</v>
      </c>
      <c r="T107" t="n">
        <v>83.13</v>
      </c>
      <c r="U107" t="n">
        <v>80.33</v>
      </c>
      <c r="V107" t="n">
        <v>52.31</v>
      </c>
      <c r="W107" t="n">
        <v>2.92</v>
      </c>
      <c r="X107" t="n">
        <v>36.05</v>
      </c>
      <c r="Y107" t="n">
        <v>65.61</v>
      </c>
      <c r="Z107" t="n">
        <v>54800</v>
      </c>
      <c r="AA107" t="n">
        <v>2860.5</v>
      </c>
      <c r="AB107" t="n">
        <v>3744</v>
      </c>
      <c r="AC107" t="n">
        <v>5.11</v>
      </c>
      <c r="AD107" t="n">
        <v>17.71</v>
      </c>
      <c r="AE107" t="n">
        <v>83.59999999999999</v>
      </c>
      <c r="AF107" t="n">
        <v>16.08</v>
      </c>
      <c r="AG107" t="n">
        <v>5.59</v>
      </c>
      <c r="AH107" t="n">
        <v>5.96</v>
      </c>
      <c r="AI107" t="n">
        <v>15.63</v>
      </c>
    </row>
    <row r="108">
      <c r="A108" s="49" t="n">
        <v>45992</v>
      </c>
      <c r="B108" s="11" t="n">
        <v>65.38999938964839</v>
      </c>
      <c r="C108" s="11" t="n">
        <v>161.149993896484</v>
      </c>
      <c r="D108" s="11" t="n">
        <v>10.5500001907349</v>
      </c>
      <c r="E108" s="11" t="n">
        <v>17.0200004577637</v>
      </c>
      <c r="F108" s="11" t="n">
        <v>44.12</v>
      </c>
      <c r="G108" s="11" t="n">
        <v>4.57999992370605</v>
      </c>
      <c r="H108" s="11" t="n"/>
      <c r="I108" s="11" t="n">
        <v>42.9300003051758</v>
      </c>
      <c r="J108" s="11" t="n">
        <v>365.880004882813</v>
      </c>
      <c r="K108" s="11" t="n">
        <v>20.7099990844727</v>
      </c>
      <c r="L108" s="11" t="n">
        <v>44.6800003051758</v>
      </c>
      <c r="M108" s="11" t="n">
        <v>3.80999994277954</v>
      </c>
      <c r="N108" s="11" t="n">
        <v>182.410003662109</v>
      </c>
      <c r="O108" s="11" t="n">
        <v>22.2900009155273</v>
      </c>
      <c r="P108" s="11" t="n">
        <v>75.1600036621094</v>
      </c>
      <c r="Q108" s="11" t="n"/>
      <c r="R108" s="11" t="n">
        <v>57.5999984741211</v>
      </c>
      <c r="S108" s="11" t="n">
        <v>27.5</v>
      </c>
      <c r="T108" s="11" t="n">
        <v>92.01999664306641</v>
      </c>
      <c r="U108" s="11" t="n">
        <v>86.629997253418</v>
      </c>
      <c r="V108" s="11" t="n">
        <v>55.3300018310547</v>
      </c>
      <c r="W108" s="11" t="n">
        <v>2.89000010490417</v>
      </c>
      <c r="X108" s="11" t="n">
        <v>37.0299987792969</v>
      </c>
      <c r="Y108" s="11" t="n">
        <v>101.900001525879</v>
      </c>
      <c r="Z108" s="11" t="n">
        <v>55950</v>
      </c>
      <c r="AA108" s="11" t="n">
        <v>2907.5</v>
      </c>
      <c r="AB108" s="11" t="n">
        <v>3704</v>
      </c>
      <c r="AC108" s="11" t="n">
        <v>5.01000022888184</v>
      </c>
      <c r="AD108" s="11" t="n">
        <v>17.4799995422363</v>
      </c>
      <c r="AE108" s="11" t="n">
        <v>84.09999847412109</v>
      </c>
      <c r="AF108" s="11" t="n">
        <v>16.4300003051758</v>
      </c>
      <c r="AG108" s="11" t="n">
        <v>5.59999990463257</v>
      </c>
      <c r="AH108" s="11" t="n">
        <v>5.96999979019165</v>
      </c>
      <c r="AI108" s="11" t="n">
        <v>15.6999998092651</v>
      </c>
    </row>
    <row r="109">
      <c r="A109" s="49" t="n">
        <v>45996</v>
      </c>
      <c r="B109" s="11" t="n">
        <v>65.86000061035161</v>
      </c>
      <c r="C109" s="11" t="n">
        <v>164.300003051758</v>
      </c>
      <c r="D109" s="11" t="n">
        <v>10.6400003433228</v>
      </c>
      <c r="E109" s="11" t="n">
        <v>17.4099998474121</v>
      </c>
      <c r="F109" s="11" t="n">
        <v>49.05</v>
      </c>
      <c r="G109" s="11" t="n">
        <v>4.55000019073486</v>
      </c>
      <c r="H109" s="11" t="n"/>
      <c r="I109" s="11" t="n">
        <v>43.8800010681152</v>
      </c>
      <c r="J109" s="11" t="n">
        <v>368.420013427734</v>
      </c>
      <c r="K109" s="11" t="n">
        <v>21.0900001525879</v>
      </c>
      <c r="L109" s="11" t="n">
        <v>48.1399993896484</v>
      </c>
      <c r="M109" s="11" t="n">
        <v>3.72000002861023</v>
      </c>
      <c r="N109" s="11" t="n">
        <v>190.009994506836</v>
      </c>
      <c r="O109" s="11" t="n">
        <v>22.2700004577637</v>
      </c>
      <c r="P109" s="11" t="n">
        <v>76.1999969482422</v>
      </c>
      <c r="Q109" s="11" t="n"/>
      <c r="R109" s="11" t="n">
        <v>58.7900009155273</v>
      </c>
      <c r="S109" s="11" t="n">
        <v>26.5599994659424</v>
      </c>
      <c r="T109" s="11" t="n">
        <v>99.6999969482422</v>
      </c>
      <c r="U109" s="11" t="n">
        <v>89.6999969482422</v>
      </c>
      <c r="V109" s="11" t="n">
        <v>55.1100006103516</v>
      </c>
      <c r="W109" s="11" t="n">
        <v>3.04999995231628</v>
      </c>
      <c r="X109" s="11" t="n">
        <v>35.810001373291</v>
      </c>
      <c r="Y109" s="11" t="n">
        <v>94.870002746582</v>
      </c>
      <c r="Z109" s="11" t="n">
        <v>56740</v>
      </c>
      <c r="AA109" s="11" t="n">
        <v>2902</v>
      </c>
      <c r="AB109" s="11" t="n">
        <v>3710</v>
      </c>
      <c r="AC109" s="11" t="n">
        <v>4.94000005722046</v>
      </c>
      <c r="AD109" s="11" t="n">
        <v>16.8899993896484</v>
      </c>
      <c r="AE109" s="11" t="n">
        <v>83.5</v>
      </c>
      <c r="AF109" s="11" t="n">
        <v>16.3199996948242</v>
      </c>
      <c r="AG109" s="11" t="n">
        <v>5.53999996185303</v>
      </c>
      <c r="AH109" s="11" t="n">
        <v>5.90999984741211</v>
      </c>
      <c r="AI109" s="11" t="n">
        <v>15.4700002670288</v>
      </c>
    </row>
    <row r="110">
      <c r="A110" s="49" t="n">
        <v>46003</v>
      </c>
      <c r="B110" s="11" t="n">
        <v>67.4700012207031</v>
      </c>
      <c r="C110" s="11" t="n">
        <v>167.5</v>
      </c>
      <c r="D110" s="11" t="n">
        <v>10.460000038147</v>
      </c>
      <c r="E110" s="11" t="n">
        <v>18.1200008392334</v>
      </c>
      <c r="F110" s="11" t="n">
        <v>54.49</v>
      </c>
      <c r="G110" s="11" t="n">
        <v>4.32999992370605</v>
      </c>
      <c r="H110" s="11" t="n"/>
      <c r="I110" s="11" t="n">
        <v>43.6100006103516</v>
      </c>
      <c r="J110" s="11" t="n">
        <v>370.220001220703</v>
      </c>
      <c r="K110" s="11" t="n">
        <v>21.75</v>
      </c>
      <c r="L110" s="11" t="n">
        <v>48.7599983215332</v>
      </c>
      <c r="M110" s="11" t="n">
        <v>3.80999994277954</v>
      </c>
      <c r="N110" s="11" t="n">
        <v>204.970001220703</v>
      </c>
      <c r="O110" s="11" t="n">
        <v>21.5</v>
      </c>
      <c r="P110" s="11" t="n">
        <v>66.5400009155273</v>
      </c>
      <c r="Q110" s="11" t="n"/>
      <c r="R110" s="11" t="n">
        <v>60.5200004577637</v>
      </c>
      <c r="S110" s="11" t="n">
        <v>26.3400001525879</v>
      </c>
      <c r="T110" s="11" t="n">
        <v>101.180000305176</v>
      </c>
      <c r="U110" s="11" t="n">
        <v>89.9100036621094</v>
      </c>
      <c r="V110" s="11" t="n">
        <v>57.1800003051758</v>
      </c>
      <c r="W110" s="11" t="n">
        <v>2.75999999046326</v>
      </c>
      <c r="X110" s="11" t="n">
        <v>38.3600006103516</v>
      </c>
      <c r="Y110" s="11" t="n">
        <v>112.089996337891</v>
      </c>
      <c r="Z110" s="11" t="n">
        <v>57120</v>
      </c>
      <c r="AA110" s="11" t="n">
        <v>2877</v>
      </c>
      <c r="AB110" s="11" t="n">
        <v>3906</v>
      </c>
      <c r="AC110" s="11" t="n">
        <v>4.76999998092651</v>
      </c>
      <c r="AD110" s="11" t="n">
        <v>17.6800003051758</v>
      </c>
      <c r="AE110" s="11" t="n">
        <v>81.8000030517578</v>
      </c>
      <c r="AF110" s="11" t="n">
        <v>15.75</v>
      </c>
      <c r="AG110" s="11" t="n">
        <v>5.36999988555908</v>
      </c>
      <c r="AH110" s="11" t="n">
        <v>5.86999988555908</v>
      </c>
      <c r="AI110" s="11" t="n">
        <v>15.3500003814697</v>
      </c>
    </row>
    <row r="111">
      <c r="A111" s="49" t="n">
        <v>46010</v>
      </c>
      <c r="B111" s="11" t="n">
        <v>58.7099990844727</v>
      </c>
      <c r="C111" s="11" t="n">
        <v>165.100006103516</v>
      </c>
      <c r="D111" s="11" t="n">
        <v>10.6199998855591</v>
      </c>
      <c r="E111" s="11" t="n">
        <v>18.2999992370606</v>
      </c>
      <c r="F111" s="11" t="n">
        <v>56.7</v>
      </c>
      <c r="G111" s="11" t="n">
        <v>4.53000020980835</v>
      </c>
      <c r="H111" s="11" t="n"/>
      <c r="I111" s="11" t="n">
        <v>43.0499992370605</v>
      </c>
      <c r="J111" s="11" t="n">
        <v>362.529998779297</v>
      </c>
      <c r="K111" s="11" t="n">
        <v>22.4200000762939</v>
      </c>
      <c r="L111" s="11" t="n">
        <v>48.5699996948242</v>
      </c>
      <c r="M111" s="11" t="n">
        <v>3.72000002861023</v>
      </c>
      <c r="N111" s="11" t="n">
        <v>209.449996948242</v>
      </c>
      <c r="O111" s="11" t="n">
        <v>21.7099990844727</v>
      </c>
      <c r="P111" s="11" t="n">
        <v>64.11000061035161</v>
      </c>
      <c r="Q111" s="11" t="n"/>
      <c r="R111" s="11" t="n">
        <v>63.3899993896484</v>
      </c>
      <c r="S111" s="11" t="n">
        <v>28.0200004577637</v>
      </c>
      <c r="T111" s="11" t="n">
        <v>99.4700012207031</v>
      </c>
      <c r="U111" s="11" t="n">
        <v>89.30999755859369</v>
      </c>
      <c r="V111" s="11" t="n">
        <v>55.2200012207031</v>
      </c>
      <c r="W111" s="11" t="n">
        <v>2.73000001907349</v>
      </c>
      <c r="X111" s="11" t="n">
        <v>38.2099990844727</v>
      </c>
      <c r="Y111" s="11" t="n">
        <v>121.059997558594</v>
      </c>
      <c r="Z111" s="11" t="n">
        <v>56350</v>
      </c>
      <c r="AA111" s="11" t="n">
        <v>2714</v>
      </c>
      <c r="AB111" s="11" t="n">
        <v>3826</v>
      </c>
      <c r="AC111" s="11" t="n">
        <v>4.59999990463257</v>
      </c>
      <c r="AD111" s="11" t="n">
        <v>19</v>
      </c>
      <c r="AE111" s="11" t="n">
        <v>81.5</v>
      </c>
      <c r="AF111" s="11" t="n">
        <v>15.9700002670288</v>
      </c>
      <c r="AG111" s="11" t="n">
        <v>5.69000005722046</v>
      </c>
      <c r="AH111" s="11" t="n">
        <v>6.01999998092651</v>
      </c>
      <c r="AI111" s="11" t="n">
        <v>15.25</v>
      </c>
    </row>
    <row r="112">
      <c r="A112" s="49" t="n">
        <v>46017</v>
      </c>
      <c r="B112" s="11" t="n">
        <v>60.9300003051758</v>
      </c>
      <c r="C112" s="11" t="n">
        <v>164.399993896484</v>
      </c>
      <c r="D112" s="11" t="n">
        <v>10.4700002670288</v>
      </c>
      <c r="E112" s="11" t="n">
        <v>17.9400005340576</v>
      </c>
      <c r="F112" s="11" t="n">
        <v>53.81</v>
      </c>
      <c r="G112" s="11" t="n">
        <v>4.65000009536743</v>
      </c>
      <c r="H112" s="11" t="n"/>
      <c r="I112" s="11" t="n">
        <v>43.0400009155273</v>
      </c>
      <c r="J112" s="11" t="n">
        <v>358.109985351563</v>
      </c>
      <c r="K112" s="11" t="n">
        <v>21.5499992370606</v>
      </c>
      <c r="L112" s="11" t="n">
        <v>46.7799987792969</v>
      </c>
      <c r="M112" s="11" t="n">
        <v>3.78999996185303</v>
      </c>
      <c r="N112" s="11" t="n">
        <v>208.970001220703</v>
      </c>
      <c r="O112" s="11" t="n">
        <v>21.1100006103516</v>
      </c>
      <c r="P112" s="11" t="n">
        <v>62.9000015258789</v>
      </c>
      <c r="Q112" s="11" t="n"/>
      <c r="R112" s="11" t="n">
        <v>63.5499992370605</v>
      </c>
      <c r="S112" s="11" t="n">
        <v>26.1800003051758</v>
      </c>
      <c r="T112" s="11" t="n">
        <v>103.089996337891</v>
      </c>
      <c r="U112" s="11" t="n">
        <v>91.629997253418</v>
      </c>
      <c r="V112" s="11" t="n">
        <v>55.5800018310547</v>
      </c>
      <c r="W112" s="11" t="n">
        <v>2.70000004768372</v>
      </c>
      <c r="X112" s="11" t="n">
        <v>38.3699989318848</v>
      </c>
      <c r="Y112" s="11" t="n">
        <v>126.839996337891</v>
      </c>
      <c r="Z112" s="11" t="n">
        <v>57270</v>
      </c>
      <c r="AA112" s="11" t="n">
        <v>2567.5</v>
      </c>
      <c r="AB112" s="11" t="n">
        <v>3882</v>
      </c>
      <c r="AC112" s="11" t="n">
        <v>4.59999990463257</v>
      </c>
      <c r="AD112" s="11" t="n">
        <v>19.0100002288818</v>
      </c>
      <c r="AE112" s="11" t="n">
        <v>81.5500030517578</v>
      </c>
      <c r="AF112" s="11" t="n">
        <v>15.7600002288818</v>
      </c>
      <c r="AG112" s="11" t="n">
        <v>5.59999990463257</v>
      </c>
      <c r="AH112" s="11" t="n">
        <v>5.76999998092651</v>
      </c>
      <c r="AI112" s="11" t="n">
        <v>15.1400003433228</v>
      </c>
    </row>
    <row r="113">
      <c r="A113" s="49" t="n">
        <v>46024</v>
      </c>
      <c r="B113" s="11" t="n">
        <v>63.2799987792969</v>
      </c>
      <c r="C113" s="11" t="n">
        <v>167.399993896484</v>
      </c>
      <c r="D113" s="11" t="n">
        <v>10.4300003051758</v>
      </c>
      <c r="E113" s="11" t="n">
        <v>18.2099990844727</v>
      </c>
      <c r="F113" s="11" t="n">
        <v>53.36</v>
      </c>
      <c r="G113" s="11" t="n">
        <v>5.28999996185303</v>
      </c>
      <c r="H113" s="11" t="n"/>
      <c r="I113" s="11" t="n">
        <v>42.2000007629395</v>
      </c>
      <c r="J113" s="11" t="n">
        <v>362.529998779297</v>
      </c>
      <c r="K113" s="11" t="n">
        <v>22.3999996185303</v>
      </c>
      <c r="L113" s="11" t="n">
        <v>46.9500007629395</v>
      </c>
      <c r="M113" s="11" t="n">
        <v>3.72000002861023</v>
      </c>
      <c r="N113" s="11" t="n">
        <v>210.809997558594</v>
      </c>
      <c r="O113" s="11" t="n">
        <v>20.8199996948242</v>
      </c>
      <c r="P113" s="11" t="n">
        <v>61.5</v>
      </c>
      <c r="Q113" s="11" t="n"/>
      <c r="R113" s="11" t="n">
        <v>62.9300003051758</v>
      </c>
      <c r="S113" s="11" t="n">
        <v>25.1900005340576</v>
      </c>
      <c r="T113" s="11" t="n">
        <v>106.790000915527</v>
      </c>
      <c r="U113" s="11" t="n">
        <v>86.9499969482422</v>
      </c>
      <c r="V113" s="11" t="n">
        <v>56.0299987792969</v>
      </c>
      <c r="W113" s="11" t="n">
        <v>2.80999994277954</v>
      </c>
      <c r="X113" s="11" t="n">
        <v>37.5</v>
      </c>
      <c r="Y113" s="11" t="n">
        <v>123.73999786377</v>
      </c>
      <c r="Z113" s="11" t="n">
        <v>56940</v>
      </c>
      <c r="AA113" s="11" t="n">
        <v>2509.5</v>
      </c>
      <c r="AB113" s="11" t="n">
        <v>3755</v>
      </c>
      <c r="AC113" s="11" t="n">
        <v>4.51999998092651</v>
      </c>
      <c r="AD113" s="11" t="n">
        <v>18.5599994659424</v>
      </c>
      <c r="AE113" s="11" t="n">
        <v>81.90000152587891</v>
      </c>
      <c r="AF113" s="11" t="n">
        <v>15.2399997711182</v>
      </c>
      <c r="AG113" s="11" t="n">
        <v>5.34999990463257</v>
      </c>
      <c r="AH113" s="11" t="n">
        <v>5.38000011444092</v>
      </c>
      <c r="AI113" s="11" t="n">
        <v>14.960000038147</v>
      </c>
    </row>
    <row r="114">
      <c r="A114" s="49" t="n">
        <v>46031</v>
      </c>
      <c r="B114" s="11" t="n">
        <v>65.9199981689453</v>
      </c>
      <c r="C114" s="11" t="n">
        <v>166.649993896484</v>
      </c>
      <c r="D114" s="11" t="n">
        <v>10.8400001525879</v>
      </c>
      <c r="E114" s="11" t="n">
        <v>19.0300006866455</v>
      </c>
      <c r="F114" s="11" t="n">
        <v>65.90000000000001</v>
      </c>
      <c r="G114" s="11" t="n">
        <v>5.6399998664856</v>
      </c>
      <c r="H114" s="11" t="n"/>
      <c r="I114" s="11" t="n">
        <v>45.0499992370605</v>
      </c>
      <c r="J114" s="11" t="n">
        <v>369.809997558594</v>
      </c>
      <c r="K114" s="11" t="n">
        <v>23.9500007629394</v>
      </c>
      <c r="L114" s="11" t="n">
        <v>49.1199989318848</v>
      </c>
      <c r="M114" s="11" t="n">
        <v>4.21000003814697</v>
      </c>
      <c r="N114" s="11" t="n">
        <v>203.899993896484</v>
      </c>
      <c r="O114" s="11" t="n">
        <v>21.75</v>
      </c>
      <c r="P114" s="11" t="n">
        <v>61.8300018310547</v>
      </c>
      <c r="Q114" s="11" t="n"/>
      <c r="R114" s="11" t="n">
        <v>63.4500007629395</v>
      </c>
      <c r="S114" s="11" t="n">
        <v>28.3199996948242</v>
      </c>
      <c r="T114" s="11" t="n">
        <v>103.76000213623</v>
      </c>
      <c r="U114" s="11" t="n">
        <v>86.0699996948242</v>
      </c>
      <c r="V114" s="11" t="n">
        <v>55.9900016784668</v>
      </c>
      <c r="W114" s="11" t="n">
        <v>2.85999989509583</v>
      </c>
      <c r="X114" s="11" t="n">
        <v>38.5299987792969</v>
      </c>
      <c r="Y114" s="11" t="n">
        <v>124.870002746582</v>
      </c>
      <c r="Z114" s="11" t="n">
        <v>62750</v>
      </c>
      <c r="AA114" s="11" t="n">
        <v>2601.5</v>
      </c>
      <c r="AB114" s="11" t="n">
        <v>4142</v>
      </c>
      <c r="AC114" s="11" t="n">
        <v>4.48000001907349</v>
      </c>
      <c r="AD114" s="11" t="n">
        <v>19.6299991607666</v>
      </c>
      <c r="AE114" s="11" t="n">
        <v>80.3000030517578</v>
      </c>
      <c r="AF114" s="11" t="n">
        <v>15.3000001907349</v>
      </c>
      <c r="AG114" s="11" t="n">
        <v>5.32000017166138</v>
      </c>
      <c r="AH114" s="11" t="n">
        <v>5.80999994277954</v>
      </c>
      <c r="AI114" s="11" t="n">
        <v>15.210000038147</v>
      </c>
    </row>
    <row r="115">
      <c r="A115" s="49" t="n">
        <v>46038</v>
      </c>
      <c r="B115" s="11" t="n">
        <v>64.379997253418</v>
      </c>
      <c r="C115" s="11" t="n">
        <v>159.850006103516</v>
      </c>
      <c r="D115" s="11" t="n">
        <v>9.560000419616699</v>
      </c>
      <c r="E115" s="11" t="n">
        <v>19.2999992370606</v>
      </c>
      <c r="F115" s="11" t="n">
        <v>59.86</v>
      </c>
      <c r="G115" s="11" t="n">
        <v>5.78000020980835</v>
      </c>
      <c r="H115" s="11" t="n"/>
      <c r="I115" s="11" t="n">
        <v>45.5999984741211</v>
      </c>
      <c r="J115" s="11" t="n">
        <v>363.049987792969</v>
      </c>
      <c r="K115" s="11" t="n">
        <v>21.9099998474121</v>
      </c>
      <c r="L115" s="11" t="n">
        <v>45.0499992370605</v>
      </c>
      <c r="M115" s="11" t="n">
        <v>4.21999979019165</v>
      </c>
      <c r="N115" s="11" t="n">
        <v>201.869995117187</v>
      </c>
      <c r="O115" s="11" t="n">
        <v>21.7600002288818</v>
      </c>
      <c r="P115" s="11" t="n">
        <v>59.4199981689453</v>
      </c>
      <c r="Q115" s="11" t="n"/>
      <c r="R115" s="11" t="n">
        <v>63.2200012207031</v>
      </c>
      <c r="S115" s="11" t="n">
        <v>26.7299995422363</v>
      </c>
      <c r="T115" s="11" t="n">
        <v>100.690002441406</v>
      </c>
      <c r="U115" s="11" t="n">
        <v>83.0699996948242</v>
      </c>
      <c r="V115" s="11" t="n">
        <v>53.9300003051758</v>
      </c>
      <c r="W115" s="11" t="n">
        <v>2.78999996185303</v>
      </c>
      <c r="X115" s="11" t="n">
        <v>37.0299987792969</v>
      </c>
      <c r="Y115" s="11" t="n">
        <v>104.129997253418</v>
      </c>
      <c r="Z115" s="11" t="n">
        <v>62650</v>
      </c>
      <c r="AA115" s="11" t="n">
        <v>2643.5</v>
      </c>
      <c r="AB115" s="11" t="n">
        <v>4157</v>
      </c>
      <c r="AC115" s="11" t="n">
        <v>4.51999998092651</v>
      </c>
      <c r="AD115" s="11" t="n">
        <v>20.3999996185303</v>
      </c>
      <c r="AE115" s="11" t="n">
        <v>82.0500030517578</v>
      </c>
      <c r="AF115" s="11" t="n">
        <v>14.7700004577637</v>
      </c>
      <c r="AG115" s="11" t="n">
        <v>5.26000022888184</v>
      </c>
      <c r="AH115" s="11" t="n">
        <v>5.88000011444092</v>
      </c>
      <c r="AI115" s="11" t="n">
        <v>15.210000038147</v>
      </c>
    </row>
    <row r="116">
      <c r="A116" s="49" t="n">
        <v>46045</v>
      </c>
      <c r="B116" s="11" t="n">
        <v>65.0400009155273</v>
      </c>
      <c r="C116" s="11" t="n">
        <v>143.75</v>
      </c>
      <c r="D116" s="11" t="n">
        <v>9.61999988555908</v>
      </c>
      <c r="E116" s="11" t="n">
        <v>18.0200004577637</v>
      </c>
      <c r="F116" s="11" t="n">
        <v>59.75</v>
      </c>
      <c r="G116" s="11" t="n">
        <v>6.34999990463257</v>
      </c>
      <c r="H116" s="11" t="n"/>
      <c r="I116" s="11" t="n">
        <v>45.4900016784668</v>
      </c>
      <c r="J116" s="11" t="n">
        <v>367.369995117188</v>
      </c>
      <c r="K116" s="11" t="n">
        <v>18.5</v>
      </c>
      <c r="L116" s="11" t="n">
        <v>45.9599990844727</v>
      </c>
      <c r="M116" s="11" t="n">
        <v>4.32000017166138</v>
      </c>
      <c r="N116" s="11" t="n">
        <v>191.070007324219</v>
      </c>
      <c r="O116" s="11" t="n">
        <v>21.2399997711182</v>
      </c>
      <c r="P116" s="11" t="n">
        <v>57.8300018310547</v>
      </c>
      <c r="Q116" s="11" t="n"/>
      <c r="R116" s="11" t="n">
        <v>66.9100036621094</v>
      </c>
      <c r="S116" s="11" t="n">
        <v>27.1000003814697</v>
      </c>
      <c r="T116" s="11" t="n">
        <v>99.98000335693359</v>
      </c>
      <c r="U116" s="11" t="n">
        <v>85.8300018310547</v>
      </c>
      <c r="V116" s="11" t="n">
        <v>52.8899993896484</v>
      </c>
      <c r="W116" s="11" t="n">
        <v>2.79999995231628</v>
      </c>
      <c r="X116" s="11" t="n">
        <v>37.7200012207031</v>
      </c>
      <c r="Y116" s="11" t="n">
        <v>96.3000030517578</v>
      </c>
      <c r="Z116" s="11" t="n">
        <v>60500</v>
      </c>
      <c r="AA116" s="11" t="n">
        <v>2586.5</v>
      </c>
      <c r="AB116" s="11" t="n">
        <v>3989</v>
      </c>
      <c r="AC116" s="11" t="n">
        <v>4.63000011444092</v>
      </c>
      <c r="AD116" s="11" t="n">
        <v>21.2800006866455</v>
      </c>
      <c r="AE116" s="11" t="n">
        <v>77.0500030517578</v>
      </c>
      <c r="AF116" s="11" t="n">
        <v>14.5200004577637</v>
      </c>
      <c r="AG116" s="11" t="n">
        <v>5.07999992370605</v>
      </c>
      <c r="AH116" s="11" t="n">
        <v>5.73999977111816</v>
      </c>
      <c r="AI116" s="11" t="n">
        <v>15.3599996566772</v>
      </c>
    </row>
    <row r="117">
      <c r="A117" s="49" t="n">
        <v>46052</v>
      </c>
      <c r="B117" s="11" t="n">
        <v>61.810001373291</v>
      </c>
      <c r="C117" s="11" t="n">
        <v>149.149993896484</v>
      </c>
      <c r="D117" s="11" t="n">
        <v>8.689999580383301</v>
      </c>
      <c r="E117" s="11" t="n">
        <v>17.7199993133545</v>
      </c>
      <c r="F117" s="11" t="n">
        <v>54.51</v>
      </c>
      <c r="G117" s="11" t="n">
        <v>6.17000007629395</v>
      </c>
      <c r="H117" s="11" t="n"/>
      <c r="I117" s="11" t="n">
        <v>43.8800010681152</v>
      </c>
      <c r="J117" s="11" t="n">
        <v>353.410003662109</v>
      </c>
      <c r="K117" s="11" t="n">
        <v>21.6399993896484</v>
      </c>
      <c r="L117" s="11" t="n">
        <v>45.25</v>
      </c>
      <c r="M117" s="11" t="n">
        <v>4.25</v>
      </c>
      <c r="N117" s="11" t="n">
        <v>174.5</v>
      </c>
      <c r="O117" s="11" t="n">
        <v>19.8799991607666</v>
      </c>
      <c r="P117" s="11" t="n">
        <v>59.7299995422363</v>
      </c>
      <c r="Q117" s="11" t="n"/>
      <c r="R117" s="11" t="n">
        <v>64.98000335693359</v>
      </c>
      <c r="S117" s="11" t="n">
        <v>27.9799995422363</v>
      </c>
      <c r="T117" s="11" t="n">
        <v>119.339996337891</v>
      </c>
      <c r="U117" s="11" t="n">
        <v>83.9199981689453</v>
      </c>
      <c r="V117" s="11" t="n">
        <v>55.2799987792969</v>
      </c>
      <c r="W117" s="11" t="n">
        <v>2.6800000667572</v>
      </c>
      <c r="X117" s="11" t="n">
        <v>36.6300010681152</v>
      </c>
      <c r="Y117" s="11" t="n">
        <v>97.629997253418</v>
      </c>
      <c r="Z117" s="11" t="n">
        <v>58800</v>
      </c>
      <c r="AA117" s="11" t="n">
        <v>2577</v>
      </c>
      <c r="AB117" s="11" t="n">
        <v>3715</v>
      </c>
      <c r="AC117" s="11" t="n">
        <v>4.76999998092651</v>
      </c>
      <c r="AD117" s="11" t="n">
        <v>20.4400005340576</v>
      </c>
      <c r="AE117" s="11" t="n">
        <v>78.25</v>
      </c>
      <c r="AF117" s="11" t="n">
        <v>14.4399995803833</v>
      </c>
      <c r="AG117" s="11" t="n">
        <v>5.1399998664856</v>
      </c>
      <c r="AH117" s="11" t="n">
        <v>5.75</v>
      </c>
      <c r="AI117" s="11" t="n">
        <v>15.0900001525879</v>
      </c>
    </row>
    <row r="118">
      <c r="A118" s="49" t="n">
        <v>46059</v>
      </c>
      <c r="B118" s="11" t="n">
        <v>63.9199981689453</v>
      </c>
      <c r="C118" s="11" t="n">
        <v>152.850006103516</v>
      </c>
      <c r="D118" s="11" t="n">
        <v>10.3900003433228</v>
      </c>
      <c r="E118" s="11" t="n">
        <v>18.5900001525879</v>
      </c>
      <c r="F118" s="11" t="n">
        <v>62.44</v>
      </c>
      <c r="G118" s="11" t="n">
        <v>7.55999994277954</v>
      </c>
      <c r="H118" s="11" t="n"/>
      <c r="I118" s="11" t="n">
        <v>35.7099990844727</v>
      </c>
      <c r="J118" s="11" t="n">
        <v>342.890014648438</v>
      </c>
      <c r="K118" s="11" t="n">
        <v>22.7000007629394</v>
      </c>
      <c r="L118" s="11" t="n">
        <v>43.4700012207031</v>
      </c>
      <c r="M118" s="11" t="n">
        <v>4.63000011444092</v>
      </c>
      <c r="N118" s="11" t="n">
        <v>172.850006103516</v>
      </c>
      <c r="O118" s="11" t="n">
        <v>20.5499992370606</v>
      </c>
      <c r="P118" s="11" t="n">
        <v>67.0299987792969</v>
      </c>
      <c r="Q118" s="11" t="n"/>
      <c r="R118" s="11" t="n">
        <v>71.23000335693359</v>
      </c>
      <c r="S118" s="11" t="n">
        <v>29.1299991607666</v>
      </c>
      <c r="T118" s="11" t="n">
        <v>115.449996948242</v>
      </c>
      <c r="U118" s="11" t="n">
        <v>85.80999755859369</v>
      </c>
      <c r="V118" s="11" t="n">
        <v>63.0699996948242</v>
      </c>
      <c r="W118" s="11" t="n">
        <v>2.6800000667572</v>
      </c>
      <c r="X118" s="11" t="n">
        <v>37.5099983215332</v>
      </c>
      <c r="Y118" s="11" t="n">
        <v>97.6600036621094</v>
      </c>
      <c r="Z118" s="11" t="n">
        <v>63500</v>
      </c>
      <c r="AA118" s="11" t="n">
        <v>2462.5</v>
      </c>
      <c r="AB118" s="11" t="n">
        <v>3747</v>
      </c>
      <c r="AC118" s="11" t="n">
        <v>4.96000003814697</v>
      </c>
      <c r="AD118" s="11" t="n">
        <v>21.3199996948242</v>
      </c>
      <c r="AE118" s="11" t="n">
        <v>80.5500030517578</v>
      </c>
      <c r="AF118" s="11" t="n">
        <v>14.670000076294</v>
      </c>
      <c r="AG118" s="11" t="n">
        <v>5.19999980926514</v>
      </c>
      <c r="AH118" s="11" t="n">
        <v>5.59000015258789</v>
      </c>
      <c r="AI118" s="11" t="n">
        <v>15.4700002670288</v>
      </c>
    </row>
    <row r="119">
      <c r="A119" s="49" t="n">
        <v>46066</v>
      </c>
      <c r="B119" s="11" t="n">
        <v>63.1300010681152</v>
      </c>
      <c r="C119" s="11" t="n">
        <v>154.949996948242</v>
      </c>
      <c r="D119" s="11" t="n">
        <v>11.039999961853</v>
      </c>
      <c r="E119" s="11" t="n">
        <v>17.6100006103516</v>
      </c>
      <c r="F119" s="11" t="n">
        <v>58.54</v>
      </c>
      <c r="G119" s="11" t="n">
        <v>7.19000005722046</v>
      </c>
      <c r="H119" s="11" t="n"/>
      <c r="I119" s="11" t="n">
        <v>39.189998626709</v>
      </c>
      <c r="J119" s="11" t="n">
        <v>369.179992675781</v>
      </c>
      <c r="K119" s="11" t="n">
        <v>23.4500007629394</v>
      </c>
      <c r="L119" s="11" t="n">
        <v>45.2900009155273</v>
      </c>
      <c r="M119" s="11" t="n">
        <v>4.69999980926514</v>
      </c>
      <c r="N119" s="11" t="n">
        <v>176.419998168945</v>
      </c>
      <c r="O119" s="11" t="n">
        <v>21.9099998474121</v>
      </c>
      <c r="P119" s="11" t="n">
        <v>67.4599990844727</v>
      </c>
      <c r="Q119" s="11" t="n"/>
      <c r="R119" s="11" t="n">
        <v>72.5800018310547</v>
      </c>
      <c r="S119" s="11" t="n">
        <v>27.6700000762939</v>
      </c>
      <c r="T119" s="11" t="n">
        <v>115.730003356934</v>
      </c>
      <c r="U119" s="11" t="n">
        <v>96.879997253418</v>
      </c>
      <c r="V119" s="11" t="n">
        <v>63.2900009155273</v>
      </c>
      <c r="W119" s="11" t="n">
        <v>2.6800000667572</v>
      </c>
      <c r="X119" s="11" t="n">
        <v>39.810001373291</v>
      </c>
      <c r="Y119" s="11" t="n">
        <v>93.6999969482422</v>
      </c>
      <c r="Z119" s="11" t="n">
        <v>69150</v>
      </c>
      <c r="AA119" s="11" t="n">
        <v>2445</v>
      </c>
      <c r="AB119" s="11" t="n">
        <v>4396</v>
      </c>
      <c r="AC119" s="11" t="n">
        <v>4.82000017166138</v>
      </c>
      <c r="AD119" s="11" t="n">
        <v>21.5799999237061</v>
      </c>
      <c r="AE119" s="11" t="n">
        <v>84.25</v>
      </c>
      <c r="AF119" s="11" t="n">
        <v>15</v>
      </c>
      <c r="AG119" s="11" t="n">
        <v>5.32999992370605</v>
      </c>
      <c r="AH119" s="11" t="n">
        <v>5.63000011444092</v>
      </c>
      <c r="AI119" s="11" t="n">
        <v>15.0200004577637</v>
      </c>
    </row>
    <row r="120">
      <c r="A120" s="49" t="n">
        <v>46073</v>
      </c>
      <c r="B120" s="11" t="n">
        <v>65.40000152587891</v>
      </c>
      <c r="C120" s="11" t="n">
        <v>158.699996948242</v>
      </c>
      <c r="D120" s="11" t="n">
        <v>11.4499998092651</v>
      </c>
      <c r="E120" s="11" t="n">
        <v>18.1599998474121</v>
      </c>
      <c r="F120" s="11" t="n">
        <v>64.37</v>
      </c>
      <c r="G120" s="11" t="n">
        <v>8.14000034332275</v>
      </c>
      <c r="H120" s="11" t="n"/>
      <c r="I120" s="11" t="n">
        <v>39.8899993896484</v>
      </c>
      <c r="J120" s="11" t="n">
        <v>385.029998779297</v>
      </c>
      <c r="K120" s="11" t="n">
        <v>23.25</v>
      </c>
      <c r="L120" s="11" t="n">
        <v>49.4199981689453</v>
      </c>
      <c r="M120" s="11" t="n">
        <v>4.88000011444092</v>
      </c>
      <c r="N120" s="11" t="n">
        <v>187.300003051758</v>
      </c>
      <c r="O120" s="11" t="n">
        <v>22.8799991607666</v>
      </c>
      <c r="P120" s="11" t="n">
        <v>69.7099990844727</v>
      </c>
      <c r="Q120" s="11" t="n"/>
      <c r="R120" s="11" t="n">
        <v>71.55999755859369</v>
      </c>
      <c r="S120" s="11" t="n">
        <v>28.7700004577637</v>
      </c>
      <c r="T120" s="11" t="n">
        <v>118.690002441406</v>
      </c>
      <c r="U120" s="11" t="n">
        <v>100.040000915527</v>
      </c>
      <c r="V120" s="11" t="n">
        <v>64.23000335693359</v>
      </c>
      <c r="W120" s="11" t="n">
        <v>2.75999999046326</v>
      </c>
      <c r="X120" s="11" t="n">
        <v>41.9599990844727</v>
      </c>
      <c r="Y120" s="11" t="n">
        <v>96.4100036621094</v>
      </c>
      <c r="Z120" s="11" t="n">
        <v>66960</v>
      </c>
      <c r="AA120" s="11" t="n">
        <v>2420</v>
      </c>
      <c r="AB120" s="11" t="n">
        <v>4810</v>
      </c>
      <c r="AC120" s="11" t="n">
        <v>4.76000022888184</v>
      </c>
      <c r="AD120" s="11" t="n">
        <v>21.9599990844727</v>
      </c>
      <c r="AE120" s="11" t="n">
        <v>84</v>
      </c>
      <c r="AF120" s="11" t="n">
        <v>15.1899995803833</v>
      </c>
      <c r="AG120" s="11" t="n">
        <v>5.3899998664856</v>
      </c>
      <c r="AH120" s="11" t="n">
        <v>5.55000019073486</v>
      </c>
      <c r="AI120" s="11" t="n">
        <v>15.0200004577637</v>
      </c>
    </row>
    <row r="121">
      <c r="A121" s="49" t="n">
        <v>46080</v>
      </c>
      <c r="B121" s="11" t="n">
        <v>62.1800003051758</v>
      </c>
      <c r="C121" s="11" t="n">
        <v>158.199996948242</v>
      </c>
      <c r="D121" s="11" t="n">
        <v>11.2700004577637</v>
      </c>
      <c r="E121" s="11" t="n">
        <v>17.6700000762939</v>
      </c>
      <c r="F121" s="11" t="n">
        <v>62.7</v>
      </c>
      <c r="G121" s="11" t="n">
        <v>7.42000007629395</v>
      </c>
      <c r="H121" s="11" t="n"/>
      <c r="I121" s="11" t="n">
        <v>36.0999984741211</v>
      </c>
      <c r="J121" s="11" t="n">
        <v>362.600006103516</v>
      </c>
      <c r="K121" s="11" t="n">
        <v>23.7600002288818</v>
      </c>
      <c r="L121" s="11" t="n">
        <v>46.4799995422363</v>
      </c>
      <c r="M121" s="11" t="n">
        <v>4.55000019073486</v>
      </c>
      <c r="N121" s="11" t="n">
        <v>185.169998168945</v>
      </c>
      <c r="O121" s="11" t="n">
        <v>22.1599998474121</v>
      </c>
      <c r="P121" s="11" t="n">
        <v>65.2099990844727</v>
      </c>
      <c r="Q121" s="11" t="n"/>
      <c r="R121" s="11" t="n">
        <v>68.0899963378906</v>
      </c>
      <c r="S121" s="11" t="n">
        <v>28.0400009155273</v>
      </c>
      <c r="T121" s="11" t="n">
        <v>117.269996643066</v>
      </c>
      <c r="U121" s="11" t="n">
        <v>90.7099990844727</v>
      </c>
      <c r="V121" s="11" t="n">
        <v>61.939998626709</v>
      </c>
      <c r="W121" s="11" t="n">
        <v>2.50999999046326</v>
      </c>
      <c r="X121" s="11" t="n">
        <v>37.9799995422363</v>
      </c>
      <c r="Y121" s="11" t="n">
        <v>97.8000030517578</v>
      </c>
      <c r="Z121" s="11" t="n">
        <v>69030</v>
      </c>
      <c r="AA121" s="11" t="n">
        <v>2467</v>
      </c>
      <c r="AB121" s="11" t="n">
        <v>4794</v>
      </c>
      <c r="AC121" s="11" t="n">
        <v>4.8600001335144</v>
      </c>
      <c r="AD121" s="11" t="n">
        <v>22.5200004577637</v>
      </c>
      <c r="AE121" s="11" t="n">
        <v>85.0500030517578</v>
      </c>
      <c r="AF121" s="11" t="n">
        <v>15.1000003814697</v>
      </c>
      <c r="AG121" s="11" t="n">
        <v>5.32999992370605</v>
      </c>
      <c r="AH121" s="11" t="n">
        <v>5.65000009536743</v>
      </c>
      <c r="AI121" s="11" t="n">
        <v>15.5299997329712</v>
      </c>
    </row>
    <row r="122">
      <c r="A122" s="49" t="n">
        <v>46087</v>
      </c>
      <c r="B122" s="11" t="n">
        <v>57.0099983215332</v>
      </c>
      <c r="C122" s="11" t="n">
        <v>142.699996948242</v>
      </c>
      <c r="D122" s="11" t="n">
        <v>10.4700002670288</v>
      </c>
      <c r="E122" s="11" t="n">
        <v>16.4099998474121</v>
      </c>
      <c r="F122" s="11" t="n">
        <v>46.73</v>
      </c>
      <c r="G122" s="11" t="n">
        <v>6.59000015258789</v>
      </c>
      <c r="H122" s="11" t="n"/>
      <c r="I122" s="11" t="n">
        <v>33.8800010681152</v>
      </c>
      <c r="J122" s="11" t="n">
        <v>338.359985351563</v>
      </c>
      <c r="K122" s="11" t="n">
        <v>22.3999996185303</v>
      </c>
      <c r="L122" s="11" t="n">
        <v>41.4599990844727</v>
      </c>
      <c r="M122" s="11" t="n">
        <v>4.23999977111816</v>
      </c>
      <c r="N122" s="11" t="n">
        <v>170.130004882812</v>
      </c>
      <c r="O122" s="11" t="n">
        <v>19.6000003814697</v>
      </c>
      <c r="P122" s="11" t="n">
        <v>76.26999664306641</v>
      </c>
      <c r="Q122" s="11" t="n"/>
      <c r="R122" s="11" t="n">
        <v>62.4300003051758</v>
      </c>
      <c r="S122" s="11" t="n">
        <v>23.2800006866455</v>
      </c>
      <c r="T122" s="11" t="n">
        <v>104.25</v>
      </c>
      <c r="U122" s="11" t="n">
        <v>86</v>
      </c>
      <c r="V122" s="11" t="n">
        <v>58.3199996948242</v>
      </c>
      <c r="W122" s="11" t="n">
        <v>2.38000011444092</v>
      </c>
      <c r="X122" s="11" t="n">
        <v>33.9799995422363</v>
      </c>
      <c r="Y122" s="11" t="n">
        <v>85</v>
      </c>
      <c r="Z122" s="11" t="n">
        <v>65430</v>
      </c>
      <c r="AA122" s="11" t="n">
        <v>2359.5</v>
      </c>
      <c r="AB122" s="11" t="n">
        <v>4607</v>
      </c>
      <c r="AC122" s="11" t="n">
        <v>4.67999982833862</v>
      </c>
      <c r="AD122" s="11" t="n">
        <v>20.4599990844727</v>
      </c>
      <c r="AE122" s="11" t="n">
        <v>80.40000152587891</v>
      </c>
      <c r="AF122" s="11" t="n">
        <v>14.6199998855591</v>
      </c>
      <c r="AG122" s="11" t="n">
        <v>5.15999984741211</v>
      </c>
      <c r="AH122" s="11" t="n">
        <v>5.42000007629395</v>
      </c>
      <c r="AI122" s="11" t="n">
        <v>16.5400009155273</v>
      </c>
    </row>
    <row r="123">
      <c r="A123" s="49" t="n">
        <v>46094</v>
      </c>
      <c r="B123" s="11" t="n">
        <v>53.9799995422363</v>
      </c>
      <c r="C123" s="11" t="n">
        <v>138.899993896484</v>
      </c>
      <c r="D123" s="11" t="n">
        <v>9.69999980926514</v>
      </c>
      <c r="E123" s="11" t="n">
        <v>15.9799995422363</v>
      </c>
      <c r="F123" s="11" t="n">
        <v>44.86</v>
      </c>
      <c r="G123" s="11" t="n">
        <v>6.48999977111816</v>
      </c>
      <c r="H123" s="11" t="n"/>
      <c r="I123" s="11" t="n">
        <v>31.3700008392334</v>
      </c>
      <c r="J123" s="11" t="n">
        <v>330.730010986328</v>
      </c>
      <c r="K123" s="11" t="n">
        <v>21.6100006103516</v>
      </c>
      <c r="L123" s="11" t="n">
        <v>37.9900016784668</v>
      </c>
      <c r="M123" s="11" t="n">
        <v>4.03999996185303</v>
      </c>
      <c r="N123" s="11" t="n">
        <v>157.779998779297</v>
      </c>
      <c r="O123" s="11" t="n">
        <v>17.9099998474121</v>
      </c>
      <c r="P123" s="11" t="n">
        <v>67.4899978637695</v>
      </c>
      <c r="Q123" s="11" t="n"/>
      <c r="R123" s="11" t="n">
        <v>58.6599998474121</v>
      </c>
      <c r="S123" s="11" t="n">
        <v>23.2399997711182</v>
      </c>
      <c r="T123" s="11" t="n">
        <v>100.779998779297</v>
      </c>
      <c r="U123" s="11" t="n">
        <v>77.9499969482422</v>
      </c>
      <c r="V123" s="11" t="n">
        <v>55.25</v>
      </c>
      <c r="W123" s="11" t="n">
        <v>2.40000009536743</v>
      </c>
      <c r="X123" s="11" t="n">
        <v>32.3400001525879</v>
      </c>
      <c r="Y123" s="11" t="n">
        <v>81.86000061035161</v>
      </c>
      <c r="Z123" s="11" t="n">
        <v>65000</v>
      </c>
      <c r="AA123" s="11" t="n">
        <v>2330</v>
      </c>
      <c r="AB123" s="11" t="n">
        <v>4460</v>
      </c>
      <c r="AC123" s="11" t="n">
        <v>4.05000019073486</v>
      </c>
      <c r="AD123" s="11" t="n">
        <v>19.2399997711182</v>
      </c>
      <c r="AE123" s="11" t="n">
        <v>77.6999969482422</v>
      </c>
      <c r="AF123" s="11" t="n">
        <v>14.3100004196167</v>
      </c>
      <c r="AG123" s="11" t="n">
        <v>4.96999979019165</v>
      </c>
      <c r="AH123" s="11" t="n">
        <v>5.25</v>
      </c>
      <c r="AI123" s="11" t="n">
        <v>16.8600006103516</v>
      </c>
    </row>
    <row r="124">
      <c r="A124" s="49" t="n">
        <v>46101</v>
      </c>
      <c r="B124" s="11" t="n">
        <v>52.3699989318848</v>
      </c>
      <c r="C124" s="11" t="n">
        <v>133.5</v>
      </c>
      <c r="D124" s="11" t="n">
        <v>9.680000305175779</v>
      </c>
      <c r="E124" s="11" t="n">
        <v>15.8900003433228</v>
      </c>
      <c r="F124" s="11" t="n">
        <v>44.86</v>
      </c>
      <c r="G124" s="11" t="n">
        <v>5.84999990463257</v>
      </c>
      <c r="H124" s="11" t="n"/>
      <c r="I124" s="11" t="n">
        <v>31.8299999237061</v>
      </c>
      <c r="J124" s="11" t="n">
        <v>329.869995117188</v>
      </c>
      <c r="K124" s="11" t="n">
        <v>20.0599994659424</v>
      </c>
      <c r="L124" s="11" t="n">
        <v>37.6599998474121</v>
      </c>
      <c r="M124" s="11" t="n">
        <v>3.35999989509583</v>
      </c>
      <c r="N124" s="11" t="n">
        <v>162.820007324219</v>
      </c>
      <c r="O124" s="11" t="n">
        <v>17.9300003051758</v>
      </c>
      <c r="P124" s="11" t="n">
        <v>66.9899978637695</v>
      </c>
      <c r="Q124" s="11" t="n"/>
      <c r="R124" s="11" t="n">
        <v>55.9900016784668</v>
      </c>
      <c r="S124" s="11" t="n">
        <v>23.9099998474121</v>
      </c>
      <c r="T124" s="11" t="n">
        <v>100.430000305176</v>
      </c>
      <c r="U124" s="11" t="n">
        <v>75.7799987792969</v>
      </c>
      <c r="V124" s="11" t="n">
        <v>55.2299995422363</v>
      </c>
      <c r="W124" s="11" t="n">
        <v>2.16000008583069</v>
      </c>
      <c r="X124" s="11" t="n">
        <v>30.7399997711182</v>
      </c>
      <c r="Y124" s="11" t="n">
        <v>87.98000335693359</v>
      </c>
      <c r="Z124" s="11" t="n">
        <v>63430</v>
      </c>
      <c r="AA124" s="11" t="n">
        <v>2333.5</v>
      </c>
      <c r="AB124" s="11" t="n">
        <v>4404</v>
      </c>
      <c r="AC124" s="11" t="n">
        <v>4.09999990463257</v>
      </c>
      <c r="AD124" s="11" t="n">
        <v>21.4400005340576</v>
      </c>
      <c r="AE124" s="11" t="n">
        <v>76.65000152587891</v>
      </c>
      <c r="AF124" s="11" t="n">
        <v>14.1000003814697</v>
      </c>
      <c r="AG124" s="11" t="n">
        <v>5.05999994277954</v>
      </c>
      <c r="AH124" s="11" t="n">
        <v>5.3600001335144</v>
      </c>
      <c r="AI124" s="11" t="n">
        <v>16.6200008392334</v>
      </c>
    </row>
    <row r="125">
      <c r="A125" s="49" t="n">
        <v>46108</v>
      </c>
      <c r="B125" s="11" t="n">
        <v>51.3699989318848</v>
      </c>
      <c r="C125" s="11" t="n">
        <v>132.050003051758</v>
      </c>
      <c r="D125" s="11" t="n">
        <v>9.760000228881839</v>
      </c>
      <c r="E125" s="11" t="n">
        <v>15.7799997329712</v>
      </c>
      <c r="F125" s="11" t="n">
        <v>42.47</v>
      </c>
      <c r="G125" s="11" t="n">
        <v>5.73999977111816</v>
      </c>
      <c r="H125" s="11" t="n"/>
      <c r="I125" s="11" t="n">
        <v>33.1100006103516</v>
      </c>
      <c r="J125" s="11" t="n">
        <v>327.820007324219</v>
      </c>
      <c r="K125" s="11" t="n">
        <v>21.4699993133545</v>
      </c>
      <c r="L125" s="11" t="n">
        <v>32.3899993896484</v>
      </c>
      <c r="M125" s="11" t="n">
        <v>3.40000009536743</v>
      </c>
      <c r="N125" s="11" t="n">
        <v>145.850006103516</v>
      </c>
      <c r="O125" s="11" t="n">
        <v>18.2600002288818</v>
      </c>
      <c r="P125" s="11" t="n">
        <v>66.4300003051758</v>
      </c>
      <c r="Q125" s="11" t="n"/>
      <c r="R125" s="11" t="n">
        <v>54.4300003051758</v>
      </c>
      <c r="S125" s="11" t="n">
        <v>24.7399997711182</v>
      </c>
      <c r="T125" s="11" t="n">
        <v>94.0500030517578</v>
      </c>
      <c r="U125" s="11" t="n">
        <v>79.5400009155273</v>
      </c>
      <c r="V125" s="11" t="n">
        <v>54.6100006103516</v>
      </c>
      <c r="W125" s="11" t="n">
        <v>2.09500002861023</v>
      </c>
      <c r="X125" s="11" t="n">
        <v>31.4300003051758</v>
      </c>
      <c r="Y125" s="11" t="n">
        <v>89.129997253418</v>
      </c>
      <c r="Z125" s="11" t="n">
        <v>61780</v>
      </c>
      <c r="AA125" s="11" t="n">
        <v>2282.5</v>
      </c>
      <c r="AB125" s="11" t="n">
        <v>4306</v>
      </c>
      <c r="AC125" s="11" t="n">
        <v>4</v>
      </c>
      <c r="AD125" s="11" t="n">
        <v>21.6800003051758</v>
      </c>
      <c r="AE125" s="11" t="n">
        <v>75.59999847412109</v>
      </c>
      <c r="AF125" s="11" t="n">
        <v>14</v>
      </c>
      <c r="AG125" s="11" t="n">
        <v>4.51000022888184</v>
      </c>
      <c r="AH125" s="11" t="n">
        <v>6</v>
      </c>
      <c r="AI125" s="11" t="n">
        <v>17.3600006103516</v>
      </c>
    </row>
    <row r="126">
      <c r="A126" s="49" t="n">
        <v>46115</v>
      </c>
      <c r="B126" s="11" t="n">
        <v>44.189998626709</v>
      </c>
      <c r="C126" s="11" t="n">
        <v>134.899993896484</v>
      </c>
      <c r="D126" s="11" t="n">
        <v>10.5500001907349</v>
      </c>
      <c r="E126" s="11" t="n">
        <v>15.9499998092651</v>
      </c>
      <c r="F126" s="11" t="n">
        <v>46</v>
      </c>
      <c r="G126" s="11" t="n">
        <v>5.61999988555908</v>
      </c>
      <c r="H126" s="11" t="n"/>
      <c r="I126" s="11" t="n">
        <v>33.9900016784668</v>
      </c>
      <c r="J126" s="11" t="n">
        <v>348.019989013672</v>
      </c>
      <c r="K126" s="11" t="n">
        <v>22.0499992370606</v>
      </c>
      <c r="L126" s="11" t="n">
        <v>33.0299987792969</v>
      </c>
      <c r="M126" s="11" t="n">
        <v>3.39000010490417</v>
      </c>
      <c r="N126" s="11" t="n">
        <v>155.720001220703</v>
      </c>
      <c r="O126" s="11" t="n">
        <v>18.8999996185303</v>
      </c>
      <c r="P126" s="11" t="n">
        <v>69.0100021362305</v>
      </c>
      <c r="Q126" s="11" t="n"/>
      <c r="R126" s="11" t="n">
        <v>54.4500007629395</v>
      </c>
      <c r="S126" s="11" t="n">
        <v>24.6100006103516</v>
      </c>
      <c r="T126" s="11" t="n">
        <v>98.30999755859369</v>
      </c>
      <c r="U126" s="11" t="n">
        <v>83.6600036621094</v>
      </c>
      <c r="V126" s="11" t="n">
        <v>54.4500007629395</v>
      </c>
      <c r="W126" s="11" t="n">
        <v>2.51999998092651</v>
      </c>
      <c r="X126" s="11" t="n">
        <v>33.4000015258789</v>
      </c>
      <c r="Y126" s="11" t="n">
        <v>92.25</v>
      </c>
      <c r="Z126" s="11" t="n">
        <v>64300</v>
      </c>
      <c r="AA126" s="11" t="n">
        <v>2194</v>
      </c>
      <c r="AB126" s="11" t="n">
        <v>4306</v>
      </c>
      <c r="AC126" s="11" t="n">
        <v>4.1399998664856</v>
      </c>
      <c r="AD126" s="11" t="n">
        <v>21.7199993133545</v>
      </c>
      <c r="AE126" s="11" t="n">
        <v>80.5500030517578</v>
      </c>
      <c r="AF126" s="11" t="n">
        <v>14.7600002288818</v>
      </c>
      <c r="AG126" s="11" t="n">
        <v>4.51999998092651</v>
      </c>
      <c r="AH126" s="11" t="n">
        <v>6.76000022888184</v>
      </c>
      <c r="AI126" s="11" t="n">
        <v>17.1399993896484</v>
      </c>
    </row>
    <row r="127">
      <c r="A127" s="49" t="n">
        <v>46122</v>
      </c>
      <c r="B127" s="11" t="n">
        <v>42.6199989318848</v>
      </c>
      <c r="C127" s="11" t="n">
        <v>137.800003051758</v>
      </c>
      <c r="D127" s="11" t="n">
        <v>11.5100002288818</v>
      </c>
      <c r="E127" s="11" t="n">
        <v>16.9899997711182</v>
      </c>
      <c r="F127" s="11" t="n">
        <v>50.37</v>
      </c>
      <c r="G127" s="11" t="n">
        <v>6.11999988555908</v>
      </c>
      <c r="H127" s="11" t="n"/>
      <c r="I127" s="11" t="n">
        <v>37.9599990844727</v>
      </c>
      <c r="J127" s="11" t="n">
        <v>379.869995117188</v>
      </c>
      <c r="K127" s="11" t="n">
        <v>24.75</v>
      </c>
      <c r="L127" s="11" t="n">
        <v>33.5499992370605</v>
      </c>
      <c r="M127" s="11" t="n">
        <v>3.89000010490417</v>
      </c>
      <c r="N127" s="11" t="n">
        <v>163.860000610352</v>
      </c>
      <c r="O127" s="11" t="n">
        <v>22.75</v>
      </c>
      <c r="P127" s="11" t="n">
        <v>71.9199981689453</v>
      </c>
      <c r="Q127" s="11" t="n"/>
      <c r="R127" s="11" t="n">
        <v>57.8400001525879</v>
      </c>
      <c r="S127" s="11" t="n">
        <v>26.2999992370606</v>
      </c>
      <c r="T127" s="11" t="n">
        <v>107.860000610352</v>
      </c>
      <c r="U127" s="11" t="n">
        <v>99.7600021362305</v>
      </c>
      <c r="V127" s="11" t="n">
        <v>57.2599983215332</v>
      </c>
      <c r="W127" s="11" t="n">
        <v>2.42000007629394</v>
      </c>
      <c r="X127" s="11" t="n">
        <v>35.2200012207031</v>
      </c>
      <c r="Y127" s="11" t="n">
        <v>98.38999938964839</v>
      </c>
      <c r="Z127" s="11" t="n">
        <v>75540</v>
      </c>
      <c r="AA127" s="11" t="n">
        <v>2238.5</v>
      </c>
      <c r="AB127" s="11" t="n">
        <v>4567</v>
      </c>
      <c r="AC127" s="11" t="n">
        <v>4.30000019073486</v>
      </c>
      <c r="AD127" s="11" t="n">
        <v>23</v>
      </c>
      <c r="AE127" s="11" t="n">
        <v>83.90000152587891</v>
      </c>
      <c r="AF127" s="11" t="n">
        <v>15.2399997711182</v>
      </c>
      <c r="AG127" s="11" t="n">
        <v>4.63000011444092</v>
      </c>
      <c r="AH127" s="11" t="n">
        <v>6.78999996185303</v>
      </c>
      <c r="AI127" s="11" t="n">
        <v>17.4099998474121</v>
      </c>
    </row>
    <row r="128">
      <c r="A128" s="49" t="n">
        <v>46129</v>
      </c>
      <c r="B128" s="11" t="n">
        <v>46.0299987792969</v>
      </c>
      <c r="C128" s="11" t="n">
        <v>146.399993896484</v>
      </c>
      <c r="D128" s="11" t="n">
        <v>12.1499996185303</v>
      </c>
      <c r="E128" s="11" t="n">
        <v>18.0499992370606</v>
      </c>
      <c r="F128" s="11" t="n">
        <v>54.72</v>
      </c>
      <c r="G128" s="11" t="n">
        <v>6.48999977111816</v>
      </c>
      <c r="H128" s="11" t="n"/>
      <c r="I128" s="11" t="n">
        <v>39.7999992370605</v>
      </c>
      <c r="J128" s="11" t="n">
        <v>386.880004882813</v>
      </c>
      <c r="K128" s="11" t="n">
        <v>25.8099994659424</v>
      </c>
      <c r="L128" s="11" t="n">
        <v>36.9500007629395</v>
      </c>
      <c r="M128" s="11" t="n">
        <v>4.32999992370605</v>
      </c>
      <c r="N128" s="11" t="n">
        <v>167.279998779297</v>
      </c>
      <c r="O128" s="11" t="n">
        <v>22.8999996185303</v>
      </c>
      <c r="P128" s="11" t="n">
        <v>77.2900009155273</v>
      </c>
      <c r="Q128" s="11" t="n"/>
      <c r="R128" s="11" t="n">
        <v>59.8800010681152</v>
      </c>
      <c r="S128" s="11" t="n">
        <v>27.0200004577637</v>
      </c>
      <c r="T128" s="11" t="n">
        <v>112.5</v>
      </c>
      <c r="U128" s="11" t="n">
        <v>105.870002746582</v>
      </c>
      <c r="V128" s="11" t="n">
        <v>60.7900009155273</v>
      </c>
      <c r="W128" s="11" t="n">
        <v>3.14000010490417</v>
      </c>
      <c r="X128" s="11" t="n">
        <v>37.1100006103516</v>
      </c>
      <c r="Y128" s="11" t="n">
        <v>94.36000061035161</v>
      </c>
      <c r="Z128" s="11" t="n">
        <v>74050</v>
      </c>
      <c r="AA128" s="11" t="n">
        <v>2274.5</v>
      </c>
      <c r="AB128" s="11" t="n">
        <v>4595</v>
      </c>
      <c r="AC128" s="11" t="n">
        <v>4.17000007629395</v>
      </c>
      <c r="AD128" s="11" t="n">
        <v>20.9799995422363</v>
      </c>
      <c r="AE128" s="11" t="n">
        <v>85.09999847412109</v>
      </c>
      <c r="AF128" s="11" t="n">
        <v>15.3199996948242</v>
      </c>
      <c r="AG128" s="11" t="n">
        <v>4.53000020980835</v>
      </c>
      <c r="AH128" s="11" t="n">
        <v>6.98000001907349</v>
      </c>
      <c r="AI128" s="11" t="n">
        <v>17.7999992370606</v>
      </c>
    </row>
    <row r="129">
      <c r="A129" s="49" t="n">
        <v>46136</v>
      </c>
      <c r="B129" s="11" t="n">
        <v>44.689998626709</v>
      </c>
      <c r="C129" s="11" t="n">
        <v>136.25</v>
      </c>
      <c r="D129" s="11" t="n">
        <v>11.960000038147</v>
      </c>
      <c r="E129" s="11" t="n">
        <v>17.7399997711182</v>
      </c>
      <c r="F129" s="11" t="n">
        <v>52.78</v>
      </c>
      <c r="G129" s="11" t="n">
        <v>6.19999980926514</v>
      </c>
      <c r="H129" s="11" t="n"/>
      <c r="I129" s="11" t="n">
        <v>38.5800018310547</v>
      </c>
      <c r="J129" s="11" t="n">
        <v>371.239990234375</v>
      </c>
      <c r="K129" s="11" t="n">
        <v>25</v>
      </c>
      <c r="L129" s="11" t="n">
        <v>36.25</v>
      </c>
      <c r="M129" s="11" t="n">
        <v>4.23000001907349</v>
      </c>
      <c r="N129" s="11" t="n">
        <v>143.800003051758</v>
      </c>
      <c r="O129" s="11" t="n">
        <v>22.3099994659424</v>
      </c>
      <c r="P129" s="11" t="n">
        <v>72.7099990844727</v>
      </c>
      <c r="Q129" s="11" t="n"/>
      <c r="R129" s="11" t="n">
        <v>58.5699996948242</v>
      </c>
      <c r="S129" s="11" t="n">
        <v>24.9899997711182</v>
      </c>
      <c r="T129" s="11" t="n">
        <v>108.529998779297</v>
      </c>
      <c r="U129" s="11" t="n">
        <v>102.319999694824</v>
      </c>
      <c r="V129" s="11" t="n">
        <v>60.2599983215332</v>
      </c>
      <c r="W129" s="11" t="n">
        <v>2.78999996185303</v>
      </c>
      <c r="X129" s="11" t="n">
        <v>35.8400001525879</v>
      </c>
      <c r="Y129" s="11" t="n">
        <v>87.09999847412109</v>
      </c>
      <c r="Z129" s="11" t="n">
        <v>70090</v>
      </c>
      <c r="AA129" s="11" t="n">
        <v>2180</v>
      </c>
      <c r="AB129" s="11" t="n">
        <v>4414</v>
      </c>
      <c r="AC129" s="11" t="n">
        <v>4.32000017166138</v>
      </c>
      <c r="AD129" s="11" t="n">
        <v>20.0799999237061</v>
      </c>
      <c r="AE129" s="11" t="n">
        <v>83.4499969482422</v>
      </c>
      <c r="AF129" s="11" t="n">
        <v>15.1400003433228</v>
      </c>
      <c r="AG129" s="11" t="n">
        <v>4.34999990463257</v>
      </c>
      <c r="AH129" s="11" t="n">
        <v>6.82999992370605</v>
      </c>
      <c r="AI129" s="11" t="n">
        <v>18.0400009155273</v>
      </c>
    </row>
    <row r="130">
      <c r="A130" s="49" t="n">
        <v>46143</v>
      </c>
      <c r="B130" s="11" t="n">
        <v>44.4000015258789</v>
      </c>
      <c r="C130" s="11" t="n">
        <v>147.399993896484</v>
      </c>
      <c r="D130" s="11" t="n">
        <v>12.4399995803833</v>
      </c>
      <c r="E130" s="11" t="n">
        <v>17.3299999237061</v>
      </c>
      <c r="F130" s="11" t="n">
        <v>52.36</v>
      </c>
      <c r="G130" s="11" t="n">
        <v>6.28999996185303</v>
      </c>
      <c r="H130" s="11" t="n"/>
      <c r="I130" s="11" t="n">
        <v>37.5</v>
      </c>
      <c r="J130" s="11" t="n">
        <v>362.209991455078</v>
      </c>
      <c r="K130" s="11" t="n">
        <v>25.9799995422363</v>
      </c>
      <c r="L130" s="11" t="n">
        <v>34.5400009155273</v>
      </c>
      <c r="M130" s="11" t="n">
        <v>4.55000019073486</v>
      </c>
      <c r="N130" s="11" t="n">
        <v>133.580001831055</v>
      </c>
      <c r="O130" s="11" t="n">
        <v>22.2800006866455</v>
      </c>
      <c r="P130" s="11" t="n">
        <v>72.1999969482422</v>
      </c>
      <c r="Q130" s="11" t="n"/>
      <c r="R130" s="11" t="n">
        <v>61.5099983215332</v>
      </c>
      <c r="S130" s="11" t="n">
        <v>24.6800003051758</v>
      </c>
      <c r="T130" s="11" t="n">
        <v>100.879997253418</v>
      </c>
      <c r="U130" s="11" t="n">
        <v>103.879997253418</v>
      </c>
      <c r="V130" s="11" t="n">
        <v>62.3499984741211</v>
      </c>
      <c r="W130" s="11" t="n">
        <v>2.74000000953674</v>
      </c>
      <c r="X130" s="11" t="n">
        <v>35.25</v>
      </c>
      <c r="Y130" s="11" t="n">
        <v>84.5400009155273</v>
      </c>
      <c r="Z130" s="11" t="n">
        <v>72890</v>
      </c>
      <c r="AA130" s="11" t="n">
        <v>2212</v>
      </c>
      <c r="AB130" s="11" t="n">
        <v>4341</v>
      </c>
      <c r="AC130" s="11" t="n">
        <v>4.26000022888184</v>
      </c>
      <c r="AD130" s="11" t="n">
        <v>20.2199993133545</v>
      </c>
      <c r="AE130" s="11" t="n">
        <v>81.15000152587891</v>
      </c>
      <c r="AF130" s="11" t="n">
        <v>14.8599996566772</v>
      </c>
      <c r="AG130" s="11" t="n">
        <v>4.28000020980835</v>
      </c>
      <c r="AH130" s="11" t="n">
        <v>5.42000007629395</v>
      </c>
      <c r="AI130" s="11" t="n">
        <v>20.2399997711182</v>
      </c>
    </row>
    <row r="131">
      <c r="A131" s="49" t="n">
        <v>46150</v>
      </c>
      <c r="B131" s="11" t="n">
        <v>44.1399993896484</v>
      </c>
      <c r="C131" s="11" t="n">
        <v>146.850006103516</v>
      </c>
      <c r="D131" s="11" t="n">
        <v>13.1599998474121</v>
      </c>
      <c r="E131" s="11" t="n">
        <v>16.7000007629394</v>
      </c>
      <c r="F131" s="11" t="n">
        <v>48.04</v>
      </c>
      <c r="G131" s="11" t="n">
        <v>6.42999982833862</v>
      </c>
      <c r="H131" s="11" t="n"/>
      <c r="I131" s="11" t="n">
        <v>40.6100006103516</v>
      </c>
      <c r="J131" s="11" t="n">
        <v>358.450012207031</v>
      </c>
      <c r="K131" s="11" t="n">
        <v>25.1700000762939</v>
      </c>
      <c r="L131" s="11" t="n">
        <v>35.2400016784668</v>
      </c>
      <c r="M131" s="11" t="n">
        <v>4.53999996185303</v>
      </c>
      <c r="N131" s="11" t="n">
        <v>131.179992675781</v>
      </c>
      <c r="O131" s="11" t="n">
        <v>22.6700000762939</v>
      </c>
      <c r="P131" s="11" t="n">
        <v>73.65000152587891</v>
      </c>
      <c r="Q131" s="11" t="n"/>
      <c r="R131" s="11" t="n">
        <v>59.2599983215332</v>
      </c>
      <c r="S131" s="11" t="n">
        <v>23.3700008392334</v>
      </c>
      <c r="T131" s="11" t="n">
        <v>100.419998168945</v>
      </c>
      <c r="U131" s="11" t="n">
        <v>103.629997253418</v>
      </c>
      <c r="V131" s="11" t="n">
        <v>63.0400009155273</v>
      </c>
      <c r="W131" s="11" t="n">
        <v>2.75</v>
      </c>
      <c r="X131" s="11" t="n">
        <v>36.0299987792969</v>
      </c>
      <c r="Y131" s="11" t="n">
        <v>77.9899978637695</v>
      </c>
      <c r="Z131" s="11" t="n">
        <v>75000</v>
      </c>
      <c r="AA131" s="11" t="n">
        <v>2215.5</v>
      </c>
      <c r="AB131" s="11" t="n">
        <v>4640</v>
      </c>
      <c r="AC131" s="11" t="n">
        <v>4.3899998664856</v>
      </c>
      <c r="AD131" s="11" t="n">
        <v>19.4400005340576</v>
      </c>
      <c r="AE131" s="11" t="n">
        <v>78.25</v>
      </c>
      <c r="AF131" s="11" t="n">
        <v>15.2399997711182</v>
      </c>
      <c r="AG131" s="11" t="n">
        <v>4.40000009536743</v>
      </c>
      <c r="AH131" s="11" t="n">
        <v>5.48000001907349</v>
      </c>
      <c r="AI131" s="11" t="n">
        <v>19.5900001525879</v>
      </c>
    </row>
    <row r="132">
      <c r="A132" s="49" t="n">
        <v>46157</v>
      </c>
      <c r="B132" s="11" t="n">
        <v>41.8800010681152</v>
      </c>
      <c r="C132" s="11" t="n">
        <v>145.699996948242</v>
      </c>
      <c r="D132" s="11" t="n">
        <v>12.579999923706</v>
      </c>
      <c r="E132" s="11" t="n">
        <v>15.3500003814697</v>
      </c>
      <c r="F132" s="11" t="n">
        <v>45.96</v>
      </c>
      <c r="G132" s="11" t="n">
        <v>5.11999988555908</v>
      </c>
      <c r="H132" s="11" t="n"/>
      <c r="I132" s="11" t="n">
        <v>38.7900009155273</v>
      </c>
      <c r="J132" s="11" t="n">
        <v>326.809997558594</v>
      </c>
      <c r="K132" s="11" t="n">
        <v>26.5100002288818</v>
      </c>
      <c r="L132" s="11" t="n">
        <v>37.2599983215332</v>
      </c>
      <c r="M132" s="11" t="n">
        <v>3.83999991416931</v>
      </c>
      <c r="N132" s="11" t="n">
        <v>119.139999389648</v>
      </c>
      <c r="O132" s="11" t="n">
        <v>20.9799995422363</v>
      </c>
      <c r="P132" s="11" t="n">
        <v>61.7599983215332</v>
      </c>
      <c r="Q132" s="11" t="n"/>
      <c r="R132" s="11" t="n">
        <v>56.4900016784668</v>
      </c>
      <c r="S132" s="11" t="n">
        <v>21.0499992370606</v>
      </c>
      <c r="T132" s="11" t="n">
        <v>93.55999755859369</v>
      </c>
      <c r="U132" s="11" t="n">
        <v>94.94000244140619</v>
      </c>
      <c r="V132" s="11" t="n">
        <v>57.75</v>
      </c>
      <c r="W132" s="11" t="n">
        <v>2.46000003814697</v>
      </c>
      <c r="X132" s="11" t="n">
        <v>32.8400001525879</v>
      </c>
      <c r="Y132" s="11" t="n">
        <v>70.5699996948242</v>
      </c>
      <c r="Z132" s="11" t="n">
        <v>71630</v>
      </c>
      <c r="AA132" s="11" t="n">
        <v>2198</v>
      </c>
      <c r="AB132" s="11" t="n">
        <v>4506</v>
      </c>
      <c r="AC132" s="11" t="n">
        <v>4.28000020980835</v>
      </c>
      <c r="AD132" s="11" t="n">
        <v>18.7199993133545</v>
      </c>
      <c r="AE132" s="11" t="n">
        <v>76.25</v>
      </c>
      <c r="AF132" s="11" t="n">
        <v>14.7600002288818</v>
      </c>
      <c r="AG132" s="11" t="n">
        <v>4.17000007629395</v>
      </c>
      <c r="AH132" s="11" t="n">
        <v>5.09999990463257</v>
      </c>
      <c r="AI132" s="11" t="n">
        <v>21.1399993896484</v>
      </c>
    </row>
    <row r="133">
      <c r="A133" s="49" t="n">
        <v>46164</v>
      </c>
      <c r="B133" s="11" t="n">
        <v>44.6699981689453</v>
      </c>
      <c r="C133" s="11" t="n">
        <v>154.5</v>
      </c>
      <c r="D133" s="11" t="n">
        <v>13.3000001907349</v>
      </c>
      <c r="E133" s="11" t="n">
        <v>16.4099998474121</v>
      </c>
      <c r="F133" s="11" t="n">
        <v>52.45</v>
      </c>
      <c r="G133" s="11" t="n">
        <v>5.5</v>
      </c>
      <c r="H133" s="11" t="n"/>
      <c r="I133" s="11" t="n">
        <v>41.9300003051758</v>
      </c>
      <c r="J133" s="11" t="n">
        <v>377.779998779297</v>
      </c>
      <c r="K133" s="11" t="n">
        <v>28.7800006866455</v>
      </c>
      <c r="L133" s="11" t="n">
        <v>39.810001373291</v>
      </c>
      <c r="M133" s="11" t="n">
        <v>3.64000010490417</v>
      </c>
      <c r="N133" s="11" t="n">
        <v>127.180000305176</v>
      </c>
      <c r="O133" s="11" t="n">
        <v>22.0200004577637</v>
      </c>
      <c r="P133" s="11" t="n">
        <v>69.9100036621094</v>
      </c>
      <c r="Q133" s="11" t="n"/>
      <c r="R133" s="11" t="n">
        <v>58.1800003051758</v>
      </c>
      <c r="S133" s="11" t="n">
        <v>23.3899993896484</v>
      </c>
      <c r="T133" s="11" t="n">
        <v>106.669998168945</v>
      </c>
      <c r="U133" s="11" t="n">
        <v>110.440002441406</v>
      </c>
      <c r="V133" s="11" t="n">
        <v>63.3899993896484</v>
      </c>
      <c r="W133" s="11" t="n">
        <v>2.5</v>
      </c>
      <c r="X133" s="11" t="n">
        <v>35.2599983215332</v>
      </c>
      <c r="Y133" s="11" t="n">
        <v>77.2600021362305</v>
      </c>
      <c r="Z133" s="11" t="n">
        <v>75510</v>
      </c>
      <c r="AA133" s="11" t="n">
        <v>2157.5</v>
      </c>
      <c r="AB133" s="11" t="n">
        <v>4545</v>
      </c>
      <c r="AC133" s="11" t="n">
        <v>4.17000007629395</v>
      </c>
      <c r="AD133" s="11" t="n">
        <v>18.2999992370606</v>
      </c>
      <c r="AE133" s="11" t="n">
        <v>75.15000152587891</v>
      </c>
      <c r="AF133" s="11" t="n">
        <v>13.4099998474121</v>
      </c>
      <c r="AG133" s="11" t="n">
        <v>4.1399998664856</v>
      </c>
      <c r="AH133" s="11" t="n">
        <v>4.96000003814697</v>
      </c>
      <c r="AI133" s="11" t="n">
        <v>20.1700000762939</v>
      </c>
    </row>
    <row r="134">
      <c r="A134" s="49" t="n">
        <v>46171</v>
      </c>
      <c r="B134" s="11" t="n">
        <v>46.2299995422363</v>
      </c>
      <c r="C134" s="11" t="n">
        <v>166.600006103516</v>
      </c>
      <c r="D134" s="11" t="n">
        <v>14.6999998092651</v>
      </c>
      <c r="E134" s="11" t="n">
        <v>17.5499992370606</v>
      </c>
      <c r="F134" s="11" t="n">
        <v>55</v>
      </c>
      <c r="G134" s="11" t="n">
        <v>5.86999988555908</v>
      </c>
      <c r="H134" s="11" t="n"/>
      <c r="I134" s="11" t="n">
        <v>43.439998626709</v>
      </c>
      <c r="J134" s="11" t="n">
        <v>363.899993896484</v>
      </c>
      <c r="K134" s="11" t="n">
        <v>29.0699996948242</v>
      </c>
      <c r="L134" s="11" t="n">
        <v>40.8199996948242</v>
      </c>
      <c r="M134" s="11" t="n">
        <v>3.40000009536743</v>
      </c>
      <c r="N134" s="11" t="n">
        <v>131.179992675781</v>
      </c>
      <c r="O134" s="11" t="n">
        <v>23.2000007629394</v>
      </c>
      <c r="P134" s="11" t="n">
        <v>71.76999664306641</v>
      </c>
      <c r="Q134" s="11" t="n"/>
      <c r="R134" s="11" t="n">
        <v>60.9799995422363</v>
      </c>
      <c r="S134" s="11" t="n">
        <v>21.1499996185303</v>
      </c>
      <c r="T134" s="11" t="n">
        <v>113.849998474121</v>
      </c>
      <c r="U134" s="11" t="n">
        <v>118.669998168945</v>
      </c>
      <c r="V134" s="11" t="n">
        <v>66.1800003051758</v>
      </c>
      <c r="W134" s="11" t="n">
        <v>2.58999991416931</v>
      </c>
      <c r="X134" s="11" t="n">
        <v>35.5800018310547</v>
      </c>
      <c r="Y134" s="11" t="n">
        <v>77.2200012207031</v>
      </c>
      <c r="Z134" s="11" t="n">
        <v>82330</v>
      </c>
      <c r="AA134" s="11" t="n">
        <v>2110</v>
      </c>
      <c r="AB134" s="11" t="n">
        <v>4843</v>
      </c>
      <c r="AC134" s="11" t="n">
        <v>4.25</v>
      </c>
      <c r="AD134" s="11" t="n">
        <v>18.2000007629394</v>
      </c>
      <c r="AE134" s="11" t="n">
        <v>75.8000030517578</v>
      </c>
      <c r="AF134" s="11" t="n">
        <v>13.210000038147</v>
      </c>
      <c r="AG134" s="11" t="n">
        <v>4.23999977111816</v>
      </c>
      <c r="AH134" s="11" t="n">
        <v>4.73000001907349</v>
      </c>
      <c r="AI134" s="11" t="n">
        <v>19.6000003814697</v>
      </c>
    </row>
    <row r="135">
      <c r="A135" s="49" t="n">
        <v>46178</v>
      </c>
      <c r="B135" s="11" t="n">
        <v>42.9799995422363</v>
      </c>
      <c r="C135" s="11" t="n">
        <v>161.449996948242</v>
      </c>
      <c r="D135" s="11" t="n">
        <v>14.6499996185303</v>
      </c>
      <c r="E135" s="11" t="n">
        <v>15.8999996185303</v>
      </c>
      <c r="F135" s="11" t="n">
        <v>80.06</v>
      </c>
      <c r="G135" s="11" t="n">
        <v>5.55999994277954</v>
      </c>
      <c r="H135" s="11" t="n"/>
      <c r="I135" s="11" t="n">
        <v>44.0299987792969</v>
      </c>
      <c r="J135" s="11" t="n">
        <v>366.549987792969</v>
      </c>
      <c r="K135" s="11" t="n">
        <v>26.7399997711182</v>
      </c>
      <c r="L135" s="11" t="n">
        <v>37.0800018310547</v>
      </c>
      <c r="M135" s="11" t="n">
        <v>3.72000002861023</v>
      </c>
      <c r="N135" s="11" t="n">
        <v>114.230003356934</v>
      </c>
      <c r="O135" s="11" t="n">
        <v>22.5300006866455</v>
      </c>
      <c r="P135" s="11" t="n">
        <v>70.0699996948242</v>
      </c>
      <c r="Q135" s="11" t="n"/>
      <c r="R135" s="11" t="n">
        <v>57.6100006103516</v>
      </c>
      <c r="S135" s="11" t="n">
        <v>21.5599994659424</v>
      </c>
      <c r="T135" s="11" t="n">
        <v>108.129997253418</v>
      </c>
      <c r="U135" s="11" t="n">
        <v>119.349998474121</v>
      </c>
      <c r="V135" s="11" t="n">
        <v>64.2200012207031</v>
      </c>
      <c r="W135" s="11" t="n">
        <v>2.65000009536743</v>
      </c>
      <c r="X135" s="11" t="n">
        <v>34.0999984741211</v>
      </c>
      <c r="Y135" s="11" t="n">
        <v>75.3399963378906</v>
      </c>
      <c r="Z135" s="11" t="n">
        <v>78700</v>
      </c>
      <c r="AA135" s="11" t="n">
        <v>2091.5</v>
      </c>
      <c r="AB135" s="11" t="n">
        <v>4424</v>
      </c>
      <c r="AC135" s="11" t="n">
        <v>4.26000022888184</v>
      </c>
      <c r="AD135" s="11" t="n">
        <v>17.7800006866455</v>
      </c>
      <c r="AE135" s="11" t="n">
        <v>74.1999969482422</v>
      </c>
      <c r="AF135" s="11" t="n">
        <v>13.5699996948242</v>
      </c>
      <c r="AG135" s="11" t="n">
        <v>4.53000020980835</v>
      </c>
      <c r="AH135" s="11" t="n">
        <v>4.94999980926514</v>
      </c>
      <c r="AI135" s="11" t="n">
        <v>19.9799995422363</v>
      </c>
    </row>
    <row r="136">
      <c r="A136" s="49" t="n">
        <v>46185</v>
      </c>
      <c r="B136" s="11" t="n">
        <v>44.9300003051758</v>
      </c>
      <c r="C136" s="11" t="n">
        <v>176.350006103516</v>
      </c>
      <c r="D136" s="11" t="n">
        <v>14.6999998092651</v>
      </c>
      <c r="E136" s="11" t="n">
        <v>18.0200004577637</v>
      </c>
      <c r="F136" s="11" t="n">
        <v>80.06</v>
      </c>
      <c r="G136" s="11" t="n">
        <v>6.05000019073486</v>
      </c>
      <c r="H136" s="11" t="n"/>
      <c r="I136" s="11" t="n">
        <v>46.1500015258789</v>
      </c>
      <c r="J136" s="11" t="n">
        <v>403.980010986328</v>
      </c>
      <c r="K136" s="11" t="n">
        <v>28.0499992370606</v>
      </c>
      <c r="L136" s="11" t="n">
        <v>38.5800018310547</v>
      </c>
      <c r="M136" s="11" t="n">
        <v>4.92000007629395</v>
      </c>
      <c r="N136" s="11" t="n">
        <v>118.769996643066</v>
      </c>
      <c r="O136" s="11" t="n">
        <v>24.0100002288818</v>
      </c>
      <c r="P136" s="11" t="n">
        <v>79.0100021362305</v>
      </c>
      <c r="Q136" s="11" t="n"/>
      <c r="R136" s="11" t="n">
        <v>60.7799987792969</v>
      </c>
      <c r="S136" s="11" t="n">
        <v>21.8899993896484</v>
      </c>
      <c r="T136" s="11" t="n">
        <v>113.830001831055</v>
      </c>
      <c r="U136" s="11" t="n">
        <v>124.709999084473</v>
      </c>
      <c r="V136" s="11" t="n">
        <v>66.9899978637695</v>
      </c>
      <c r="W136" s="11" t="n">
        <v>2.75</v>
      </c>
      <c r="X136" s="11" t="n">
        <v>35.4599990844727</v>
      </c>
      <c r="Y136" s="11" t="n">
        <v>90.5699996948242</v>
      </c>
      <c r="Z136" s="11" t="n">
        <v>80530</v>
      </c>
      <c r="AA136" s="11" t="n">
        <v>2171</v>
      </c>
      <c r="AB136" s="11" t="n">
        <v>4450</v>
      </c>
      <c r="AC136" s="11" t="n">
        <v>4.26999998092651</v>
      </c>
      <c r="AD136" s="11" t="n">
        <v>17.9400005340576</v>
      </c>
      <c r="AE136" s="11" t="n">
        <v>76.25</v>
      </c>
      <c r="AF136" s="11" t="n">
        <v>13.75</v>
      </c>
      <c r="AG136" s="11" t="n">
        <v>4.42000007629395</v>
      </c>
      <c r="AH136" s="11" t="n">
        <v>4.82999992370605</v>
      </c>
      <c r="AI136" s="11" t="n">
        <v>21.3700008392334</v>
      </c>
    </row>
    <row r="137">
      <c r="A137" s="49" t="n">
        <v>46192</v>
      </c>
      <c r="B137" s="11" t="n">
        <v>45.2000007629395</v>
      </c>
      <c r="C137" s="11" t="n">
        <v>174.899993896484</v>
      </c>
      <c r="D137" s="11" t="n">
        <v>13.8699998855591</v>
      </c>
      <c r="E137" s="11" t="n">
        <v>17.6000003814697</v>
      </c>
      <c r="F137" s="11" t="n">
        <v>80.06</v>
      </c>
      <c r="G137" s="11" t="n">
        <v>6.05999994277954</v>
      </c>
      <c r="H137" s="11" t="n"/>
      <c r="I137" s="11" t="n">
        <v>44.189998626709</v>
      </c>
      <c r="J137" s="11" t="n">
        <v>413.010009765625</v>
      </c>
      <c r="K137" s="11" t="n">
        <v>28.2299995422363</v>
      </c>
      <c r="L137" s="11" t="n">
        <v>38.8800010681152</v>
      </c>
      <c r="M137" s="11" t="n">
        <v>4.92000007629395</v>
      </c>
      <c r="N137" s="11" t="n">
        <v>111.769996643066</v>
      </c>
      <c r="O137" s="11" t="n">
        <v>23.7000007629394</v>
      </c>
      <c r="P137" s="11" t="n">
        <v>78.1699981689453</v>
      </c>
      <c r="Q137" s="11" t="n"/>
      <c r="R137" s="11" t="n">
        <v>51.8899993896484</v>
      </c>
      <c r="S137" s="11" t="n">
        <v>21.1499996185303</v>
      </c>
      <c r="T137" s="11" t="n">
        <v>109.110000610352</v>
      </c>
      <c r="U137" s="11" t="n">
        <v>125.050003051758</v>
      </c>
      <c r="V137" s="11" t="n">
        <v>66.4599990844727</v>
      </c>
      <c r="W137" s="11" t="n">
        <v>2.78999996185303</v>
      </c>
      <c r="X137" s="11" t="n">
        <v>36.8300018310547</v>
      </c>
      <c r="Y137" s="11" t="n">
        <v>87.2399978637695</v>
      </c>
      <c r="Z137" s="11" t="n">
        <v>83100</v>
      </c>
      <c r="AA137" s="11" t="n">
        <v>2190</v>
      </c>
      <c r="AB137" s="11" t="n">
        <v>4363</v>
      </c>
      <c r="AC137" s="11" t="n">
        <v>3.88000011444092</v>
      </c>
      <c r="AD137" s="11" t="n">
        <v>16.2600002288818</v>
      </c>
      <c r="AE137" s="11" t="n">
        <v>71.0500030517578</v>
      </c>
      <c r="AF137" s="11" t="n">
        <v>12.7799997329712</v>
      </c>
      <c r="AG137" s="11" t="n">
        <v>4.01999998092651</v>
      </c>
      <c r="AH137" s="11" t="n">
        <v>4.32999992370605</v>
      </c>
      <c r="AI137" s="11" t="n">
        <v>20.7999992370606</v>
      </c>
    </row>
    <row r="138">
      <c r="A138" s="49" t="n">
        <v>46199</v>
      </c>
      <c r="B138" s="11" t="n">
        <v>40.75</v>
      </c>
      <c r="C138" s="11" t="n">
        <v>181.699996948242</v>
      </c>
      <c r="D138" s="11" t="n">
        <v>13.1499996185303</v>
      </c>
      <c r="E138" s="11" t="n">
        <v>17.1399993896484</v>
      </c>
      <c r="F138" s="11" t="n">
        <v>80.06</v>
      </c>
      <c r="G138" s="11" t="n">
        <v>6.30000019073486</v>
      </c>
      <c r="H138" s="11" t="n"/>
      <c r="I138" s="11" t="n">
        <v>43.2200012207031</v>
      </c>
      <c r="J138" s="11" t="n">
        <v>411.160003662109</v>
      </c>
      <c r="K138" s="11" t="n">
        <v>26.7999992370606</v>
      </c>
      <c r="L138" s="11" t="n">
        <v>37.0699996948242</v>
      </c>
      <c r="M138" s="11" t="n">
        <v>5.82000017166138</v>
      </c>
      <c r="N138" s="11" t="n">
        <v>117.569999694824</v>
      </c>
      <c r="O138" s="11" t="n">
        <v>24.5400009155273</v>
      </c>
      <c r="P138" s="11" t="n">
        <v>83.2900009155273</v>
      </c>
      <c r="Q138" s="11" t="n"/>
      <c r="R138" s="11" t="n">
        <v>52.8199996948242</v>
      </c>
      <c r="S138" s="11" t="n">
        <v>20.2099990844727</v>
      </c>
      <c r="T138" s="11" t="n">
        <v>104.559997558594</v>
      </c>
      <c r="U138" s="11" t="n">
        <v>127.76000213623</v>
      </c>
      <c r="V138" s="11" t="n">
        <v>64.5100021362305</v>
      </c>
      <c r="W138" s="11" t="n">
        <v>2.76999998092651</v>
      </c>
      <c r="X138" s="11" t="n">
        <v>34.1699981689453</v>
      </c>
      <c r="Y138" s="11" t="n">
        <v>91.5100021362305</v>
      </c>
      <c r="Z138" s="11" t="n">
        <v>84070</v>
      </c>
      <c r="AA138" s="11" t="n">
        <v>2146.5</v>
      </c>
      <c r="AB138" s="11" t="n">
        <v>4456</v>
      </c>
      <c r="AC138" s="11" t="n">
        <v>3.95000004768372</v>
      </c>
      <c r="AD138" s="11" t="n">
        <v>14.920000076294</v>
      </c>
      <c r="AE138" s="11" t="n">
        <v>68.75</v>
      </c>
      <c r="AF138" s="11" t="n">
        <v>12.3999996185303</v>
      </c>
      <c r="AG138" s="11" t="n">
        <v>3.83999991416931</v>
      </c>
      <c r="AH138" s="11" t="n">
        <v>4.05000019073486</v>
      </c>
      <c r="AI138" s="11" t="n">
        <v>20</v>
      </c>
    </row>
    <row r="139">
      <c r="A139" s="49" t="n">
        <v>46206</v>
      </c>
      <c r="B139" s="11" t="n">
        <v>44.0900001525879</v>
      </c>
      <c r="C139" s="11" t="n">
        <v>185.300003051758</v>
      </c>
      <c r="D139" s="11" t="n">
        <v>13.170000076294</v>
      </c>
      <c r="E139" s="11" t="n">
        <v>16.5300006866455</v>
      </c>
      <c r="F139" s="11" t="n">
        <v>80.06</v>
      </c>
      <c r="G139" s="11" t="n">
        <v>6.63000011444092</v>
      </c>
      <c r="H139" s="11" t="n"/>
      <c r="I139" s="11" t="n">
        <v>39.9199981689453</v>
      </c>
      <c r="J139" s="11" t="n">
        <v>398.220001220703</v>
      </c>
      <c r="K139" s="11" t="n">
        <v>26.8899993896484</v>
      </c>
      <c r="L139" s="11" t="n">
        <v>36.8300018310547</v>
      </c>
      <c r="M139" s="11" t="n">
        <v>5.82999992370605</v>
      </c>
      <c r="N139" s="11" t="n">
        <v>118.430000305176</v>
      </c>
      <c r="O139" s="11" t="n">
        <v>24.4099998474121</v>
      </c>
      <c r="P139" s="11" t="n">
        <v>85</v>
      </c>
      <c r="Q139" s="11" t="n"/>
      <c r="R139" s="11" t="n">
        <v>51.5</v>
      </c>
      <c r="S139" s="11" t="n">
        <v>19.25</v>
      </c>
      <c r="T139" s="11" t="n">
        <v>104.690002441406</v>
      </c>
      <c r="U139" s="11" t="n">
        <v>125.279998779297</v>
      </c>
      <c r="V139" s="11" t="n">
        <v>63.3199996948242</v>
      </c>
      <c r="W139" s="11" t="n">
        <v>2.77999997138977</v>
      </c>
      <c r="X139" s="11" t="n">
        <v>35.0499992370605</v>
      </c>
      <c r="Y139" s="11" t="n">
        <v>92.4199981689453</v>
      </c>
      <c r="Z139" s="11" t="n">
        <v>84500</v>
      </c>
      <c r="AA139" s="11" t="n">
        <v>2237.5</v>
      </c>
      <c r="AB139" s="11" t="n">
        <v>4624</v>
      </c>
      <c r="AC139" s="11" t="n">
        <v>4.48999977111816</v>
      </c>
      <c r="AD139" s="11" t="n">
        <v>15.2700004577637</v>
      </c>
      <c r="AE139" s="11" t="n">
        <v>72.75</v>
      </c>
      <c r="AF139" s="11" t="n">
        <v>12.9399995803833</v>
      </c>
      <c r="AG139" s="11" t="n">
        <v>3.83999991416931</v>
      </c>
      <c r="AH139" s="11" t="n">
        <v>4.17000007629395</v>
      </c>
      <c r="AI139" s="11" t="n">
        <v>20.9200000762939</v>
      </c>
    </row>
    <row r="140">
      <c r="A140" s="49" t="n">
        <v>46213</v>
      </c>
      <c r="B140" s="11" t="n">
        <v>44.3699989318848</v>
      </c>
      <c r="C140" s="11" t="n">
        <v>181.850006103516</v>
      </c>
      <c r="D140" s="11" t="n">
        <v>13.4399995803833</v>
      </c>
      <c r="E140" s="11" t="n">
        <v>17.7099990844727</v>
      </c>
      <c r="F140" s="11" t="n">
        <v>80.06</v>
      </c>
      <c r="G140" s="11" t="n">
        <v>6.78999996185303</v>
      </c>
      <c r="H140" s="11" t="n"/>
      <c r="I140" s="11" t="n">
        <v>42.0099983215332</v>
      </c>
      <c r="J140" s="11" t="n">
        <v>394.899993896484</v>
      </c>
      <c r="K140" s="11" t="n">
        <v>28.1800003051758</v>
      </c>
      <c r="L140" s="11" t="n">
        <v>38.5400009155273</v>
      </c>
      <c r="M140" s="11" t="n">
        <v>5.17000007629395</v>
      </c>
      <c r="N140" s="11" t="n">
        <v>119.26000213623</v>
      </c>
      <c r="O140" s="11" t="n">
        <v>24.3099994659424</v>
      </c>
      <c r="P140" s="11" t="n">
        <v>85.6600036621094</v>
      </c>
      <c r="Q140" s="11" t="n"/>
      <c r="R140" s="11" t="n">
        <v>52.5</v>
      </c>
      <c r="S140" s="11" t="n">
        <v>19.4599990844727</v>
      </c>
      <c r="T140" s="11" t="n">
        <v>105.98999786377</v>
      </c>
      <c r="U140" s="11" t="n">
        <v>132.779998779297</v>
      </c>
      <c r="V140" s="11" t="n">
        <v>62.9700012207031</v>
      </c>
      <c r="W140" s="11" t="n">
        <v>2.83999991416931</v>
      </c>
      <c r="X140" s="11" t="n">
        <v>34.7999992370605</v>
      </c>
      <c r="Y140" s="11" t="n">
        <v>93.0699996948242</v>
      </c>
      <c r="Z140" s="11" t="n">
        <v>82110</v>
      </c>
      <c r="AA140" s="11" t="n">
        <v>2241.5</v>
      </c>
      <c r="AB140" s="11" t="n">
        <v>4579</v>
      </c>
      <c r="AC140" s="11" t="n">
        <v>4.75</v>
      </c>
      <c r="AD140" s="11" t="n">
        <v>14.670000076294</v>
      </c>
      <c r="AE140" s="11" t="n">
        <v>72.9499969482422</v>
      </c>
      <c r="AF140" s="11" t="n">
        <v>12.5299997329712</v>
      </c>
      <c r="AG140" s="11" t="n">
        <v>3.61999988555908</v>
      </c>
      <c r="AH140" s="11" t="n">
        <v>4.23000001907349</v>
      </c>
      <c r="AI140" s="11" t="n">
        <v>20.6900005340576</v>
      </c>
    </row>
    <row r="141">
      <c r="A141" s="49" t="n">
        <v>46220</v>
      </c>
      <c r="B141" s="11" t="n">
        <v>43.7599983215332</v>
      </c>
      <c r="C141" s="11" t="n">
        <v>181.100006103516</v>
      </c>
      <c r="D141" s="11" t="n">
        <v>13.8999996185303</v>
      </c>
      <c r="E141" s="11" t="n">
        <v>18.3700008392334</v>
      </c>
      <c r="F141" s="11" t="n">
        <v>80.06</v>
      </c>
      <c r="G141" s="11" t="n">
        <v>7.42999982833862</v>
      </c>
      <c r="H141" s="11" t="n"/>
      <c r="I141" s="11" t="n">
        <v>43.4199981689453</v>
      </c>
      <c r="J141" s="11" t="n">
        <v>380.450012207031</v>
      </c>
      <c r="K141" s="11" t="n">
        <v>28.6800003051758</v>
      </c>
      <c r="L141" s="11" t="n">
        <v>37.2000007629395</v>
      </c>
      <c r="M141" s="11" t="n">
        <v>5.23000001907349</v>
      </c>
      <c r="N141" s="11" t="n">
        <v>116.330001831055</v>
      </c>
      <c r="O141" s="11" t="n">
        <v>24.3600006103516</v>
      </c>
      <c r="P141" s="11" t="n">
        <v>85.5699996948242</v>
      </c>
      <c r="Q141" s="11" t="n"/>
      <c r="R141" s="11" t="n">
        <v>54.0800018310547</v>
      </c>
      <c r="S141" s="11" t="n">
        <v>20.3500003814697</v>
      </c>
      <c r="T141" s="11" t="n">
        <v>106.48999786377</v>
      </c>
      <c r="U141" s="11" t="n">
        <v>137.130004882812</v>
      </c>
      <c r="V141" s="11" t="n">
        <v>63.5</v>
      </c>
      <c r="W141" s="11" t="n">
        <v>2.50999999046326</v>
      </c>
      <c r="X141" s="11" t="n">
        <v>36.439998626709</v>
      </c>
      <c r="Y141" s="11" t="n">
        <v>95.2399978637695</v>
      </c>
      <c r="Z141" s="11" t="n">
        <v>78840</v>
      </c>
      <c r="AA141" s="11" t="n">
        <v>2266</v>
      </c>
      <c r="AB141" s="11" t="n">
        <v>4895</v>
      </c>
      <c r="AC141" s="11" t="n">
        <v>4.76999998092651</v>
      </c>
      <c r="AD141" s="11" t="n">
        <v>14.8000001907349</v>
      </c>
      <c r="AE141" s="11" t="n">
        <v>74.15000152587891</v>
      </c>
      <c r="AF141" s="11" t="n">
        <v>13.6400003433228</v>
      </c>
      <c r="AG141" s="11" t="n">
        <v>3.69000005722046</v>
      </c>
      <c r="AH141" s="11" t="n">
        <v>4.53000020980835</v>
      </c>
      <c r="AI141" s="11" t="n">
        <v>21.0100002288818</v>
      </c>
    </row>
    <row r="142">
      <c r="A142" s="49" t="n">
        <v>46227</v>
      </c>
      <c r="B142" s="11" t="n">
        <v>41.7000007629395</v>
      </c>
      <c r="C142" s="11" t="n">
        <v>173.600006103516</v>
      </c>
      <c r="D142" s="11" t="n">
        <v>14.3199996948242</v>
      </c>
      <c r="E142" s="11" t="n">
        <v>18.7900009155273</v>
      </c>
      <c r="F142" s="11" t="n">
        <v>80.06</v>
      </c>
      <c r="G142" s="11" t="n">
        <v>7.03000020980835</v>
      </c>
      <c r="H142" s="11" t="n"/>
      <c r="I142" s="11" t="n">
        <v>42.75</v>
      </c>
      <c r="J142" s="11" t="n">
        <v>373.579986572266</v>
      </c>
      <c r="K142" s="11" t="n">
        <v>27.9899997711182</v>
      </c>
      <c r="L142" s="11" t="n">
        <v>35.8199996948242</v>
      </c>
      <c r="M142" s="11" t="n">
        <v>5.07999992370605</v>
      </c>
      <c r="N142" s="11" t="n">
        <v>114.279998779297</v>
      </c>
      <c r="O142" s="11" t="n">
        <v>24.5400009155273</v>
      </c>
      <c r="P142" s="11" t="n">
        <v>83.5400009155273</v>
      </c>
      <c r="Q142" s="11" t="n"/>
      <c r="R142" s="11" t="n">
        <v>49.9500007629395</v>
      </c>
      <c r="S142" s="11" t="n">
        <v>19.0100002288818</v>
      </c>
      <c r="T142" s="11" t="n">
        <v>96.0400009155273</v>
      </c>
      <c r="U142" s="11" t="n">
        <v>134.720001220703</v>
      </c>
      <c r="V142" s="11" t="n">
        <v>62.3199996948242</v>
      </c>
      <c r="W142" s="11" t="n">
        <v>2.48000001907349</v>
      </c>
      <c r="X142" s="11" t="n">
        <v>33.9199981689453</v>
      </c>
      <c r="Y142" s="11" t="n">
        <v>93.80999755859369</v>
      </c>
      <c r="Z142" s="11" t="n">
        <v>76220</v>
      </c>
      <c r="AA142" s="11" t="n">
        <v>2301</v>
      </c>
      <c r="AB142" s="11" t="n">
        <v>4793</v>
      </c>
      <c r="AC142" s="11" t="n">
        <v>4.75</v>
      </c>
      <c r="AD142" s="11" t="n">
        <v>14.420000076294</v>
      </c>
      <c r="AE142" s="11" t="n">
        <v>75.84999847412109</v>
      </c>
      <c r="AF142" s="11" t="n">
        <v>13.9799995422363</v>
      </c>
      <c r="AG142" s="11" t="n">
        <v>3.64000010490417</v>
      </c>
      <c r="AH142" s="11" t="n">
        <v>4.57000017166138</v>
      </c>
      <c r="AI142" s="11" t="n">
        <v>22.8099994659424</v>
      </c>
    </row>
    <row r="143">
      <c r="A143" s="49" t="n">
        <v>46234</v>
      </c>
      <c r="B143" s="11" t="n">
        <v>41.7099990844727</v>
      </c>
      <c r="C143" s="11" t="n">
        <v>159.399993896484</v>
      </c>
      <c r="D143" s="11" t="n">
        <v>14.710000038147</v>
      </c>
      <c r="E143" s="11" t="n">
        <v>19.6800003051758</v>
      </c>
      <c r="F143" s="11" t="n">
        <v>80.06</v>
      </c>
      <c r="G143" s="11" t="n">
        <v>6.65000009536743</v>
      </c>
      <c r="H143" s="11" t="n"/>
      <c r="I143" s="11" t="n">
        <v>46.0800018310547</v>
      </c>
      <c r="J143" s="11" t="n">
        <v>380.339996337891</v>
      </c>
      <c r="K143" s="11" t="n">
        <v>27.5</v>
      </c>
      <c r="L143" s="11" t="n">
        <v>36.2400016784668</v>
      </c>
      <c r="M143" s="11" t="n">
        <v>5.59999990463257</v>
      </c>
      <c r="N143" s="11" t="n">
        <v>118.870002746582</v>
      </c>
      <c r="O143" s="11" t="n">
        <v>24.5200004577637</v>
      </c>
      <c r="P143" s="11" t="n">
        <v>83.7399978637695</v>
      </c>
      <c r="Q143" s="11" t="n"/>
      <c r="R143" s="11" t="n">
        <v>55.3800010681152</v>
      </c>
      <c r="S143" s="11" t="n">
        <v>20.0900001525879</v>
      </c>
      <c r="T143" s="11" t="n">
        <v>96.879997253418</v>
      </c>
      <c r="U143" s="11" t="n">
        <v>128.009994506836</v>
      </c>
      <c r="V143" s="11" t="n">
        <v>59.3800010681152</v>
      </c>
      <c r="W143" s="11" t="n">
        <v>2.86999988555908</v>
      </c>
      <c r="X143" s="11" t="n">
        <v>35.5099983215332</v>
      </c>
      <c r="Y143" s="11" t="n">
        <v>99.5400009155273</v>
      </c>
      <c r="Z143" s="11" t="n">
        <v>78190</v>
      </c>
      <c r="AA143" s="11" t="n">
        <v>2291.5</v>
      </c>
      <c r="AB143" s="11" t="n">
        <v>4754</v>
      </c>
      <c r="AC143" s="11" t="n">
        <v>4.94000005722046</v>
      </c>
      <c r="AD143" s="11" t="n">
        <v>15.1499996185303</v>
      </c>
      <c r="AE143" s="11" t="n">
        <v>78.9499969482422</v>
      </c>
      <c r="AF143" s="11" t="n">
        <v>14.5600004196167</v>
      </c>
      <c r="AG143" s="11" t="n">
        <v>3.77999997138977</v>
      </c>
      <c r="AH143" s="11" t="n">
        <v>4.67000007629395</v>
      </c>
      <c r="AI143" s="11" t="n">
        <v>25.9899997711182</v>
      </c>
    </row>
    <row r="144">
      <c r="A144" s="49" t="n">
        <v>46241</v>
      </c>
      <c r="B144" s="11" t="n">
        <v>41.7000007629395</v>
      </c>
      <c r="C144" s="11" t="n">
        <v>164.050003051758</v>
      </c>
      <c r="D144" s="11" t="n">
        <v>14.9099998474121</v>
      </c>
      <c r="E144" s="11" t="n">
        <v>18.9300003051758</v>
      </c>
      <c r="F144" s="11" t="n">
        <v>80.06</v>
      </c>
      <c r="G144" s="11" t="n">
        <v>6.1100001335144</v>
      </c>
      <c r="H144" s="11" t="n"/>
      <c r="I144" s="11" t="n">
        <v>48.5800018310547</v>
      </c>
      <c r="J144" s="11" t="n">
        <v>395.529998779297</v>
      </c>
      <c r="K144" s="11" t="n">
        <v>27.1100006103516</v>
      </c>
      <c r="L144" s="11" t="n">
        <v>37.5499992370605</v>
      </c>
      <c r="M144" s="11" t="n">
        <v>6.01000022888184</v>
      </c>
      <c r="N144" s="11" t="n">
        <v>128.580001831055</v>
      </c>
      <c r="O144" s="11" t="n">
        <v>24.4099998474121</v>
      </c>
      <c r="P144" s="11" t="n">
        <v>77.0500030517578</v>
      </c>
      <c r="Q144" s="11" t="n"/>
      <c r="R144" s="11" t="n">
        <v>57.5</v>
      </c>
      <c r="S144" s="11" t="n">
        <v>20.4699993133545</v>
      </c>
      <c r="T144" s="11" t="n">
        <v>97.4599990844727</v>
      </c>
      <c r="U144" s="11" t="n">
        <v>136.619995117187</v>
      </c>
      <c r="V144" s="11" t="n">
        <v>57.3600006103516</v>
      </c>
      <c r="W144" s="11" t="n">
        <v>2.96000003814697</v>
      </c>
      <c r="X144" s="11" t="n">
        <v>36.8400001525879</v>
      </c>
      <c r="Y144" s="11" t="n">
        <v>112.620002746582</v>
      </c>
      <c r="Z144" s="11" t="n">
        <v>79310</v>
      </c>
      <c r="AA144" s="11" t="n">
        <v>2075</v>
      </c>
      <c r="AB144" s="11" t="n">
        <v>4977</v>
      </c>
      <c r="AC144" s="11" t="n">
        <v>4.73000001907349</v>
      </c>
      <c r="AD144" s="11" t="n">
        <v>14.5299997329712</v>
      </c>
      <c r="AE144" s="11" t="n">
        <v>74.5</v>
      </c>
      <c r="AF144" s="11" t="n">
        <v>14.1400003433228</v>
      </c>
      <c r="AG144" s="11" t="n">
        <v>3.60500001907349</v>
      </c>
      <c r="AH144" s="11" t="n">
        <v>4.63000011444092</v>
      </c>
      <c r="AI144" s="11" t="n">
        <v>24.6200008392334</v>
      </c>
    </row>
    <row r="145">
      <c r="A145" s="49" t="n">
        <v>46248</v>
      </c>
      <c r="B145" s="11" t="n">
        <v>40.7299995422363</v>
      </c>
      <c r="C145" s="11" t="n">
        <v>157.550003051758</v>
      </c>
      <c r="D145" s="11" t="n">
        <v>13.7600002288818</v>
      </c>
      <c r="E145" s="11" t="n">
        <v>21.0300006866455</v>
      </c>
      <c r="F145" s="11" t="n">
        <v>80.06</v>
      </c>
      <c r="G145" s="11" t="n">
        <v>5.3600001335144</v>
      </c>
      <c r="H145" s="11" t="n"/>
      <c r="I145" s="11" t="n">
        <v>47.1399993896484</v>
      </c>
      <c r="J145" s="11" t="n">
        <v>388.920013427734</v>
      </c>
      <c r="K145" s="11" t="n">
        <v>26.5300006866455</v>
      </c>
      <c r="L145" s="11" t="n">
        <v>32.2200012207031</v>
      </c>
      <c r="M145" s="11" t="n">
        <v>6.23999977111816</v>
      </c>
      <c r="N145" s="11" t="n">
        <v>119.550003051758</v>
      </c>
      <c r="O145" s="11" t="n">
        <v>22.5499992370606</v>
      </c>
      <c r="P145" s="11" t="n">
        <v>84.90000152587891</v>
      </c>
      <c r="Q145" s="11" t="n"/>
      <c r="R145" s="11" t="n">
        <v>56.7200012207031</v>
      </c>
      <c r="S145" s="11" t="n">
        <v>20.6000003814697</v>
      </c>
      <c r="T145" s="11" t="n">
        <v>93.0899963378906</v>
      </c>
      <c r="U145" s="11" t="n">
        <v>131.720001220703</v>
      </c>
      <c r="V145" s="11" t="n">
        <v>57.4199981689453</v>
      </c>
      <c r="W145" s="11" t="n">
        <v>2.82999992370605</v>
      </c>
      <c r="X145" s="11" t="n">
        <v>32.8699989318848</v>
      </c>
      <c r="Y145" s="11" t="n">
        <v>108.129997253418</v>
      </c>
      <c r="Z145" s="11" t="n">
        <v>77120</v>
      </c>
      <c r="AA145" s="11" t="n">
        <v>2133.5</v>
      </c>
      <c r="AB145" s="11" t="n">
        <v>5281</v>
      </c>
      <c r="AC145" s="11" t="n">
        <v>4.68499994277954</v>
      </c>
      <c r="AD145" s="11" t="n">
        <v>14.4300003051758</v>
      </c>
      <c r="AE145" s="11" t="n">
        <v>71.9499969482422</v>
      </c>
      <c r="AF145" s="11" t="n">
        <v>14.1199998855591</v>
      </c>
      <c r="AG145" s="11" t="n">
        <v>3.5550000667572</v>
      </c>
      <c r="AH145" s="11" t="n">
        <v>4.69000005722046</v>
      </c>
      <c r="AI145" s="11" t="n">
        <v>26.0799999237061</v>
      </c>
    </row>
    <row r="146">
      <c r="A146" s="49" t="n">
        <v>46255</v>
      </c>
      <c r="B146" s="11" t="n">
        <v>40.7599983215332</v>
      </c>
      <c r="C146" s="11" t="n">
        <v>154.449996948242</v>
      </c>
      <c r="D146" s="11" t="n">
        <v>13.8999996185303</v>
      </c>
      <c r="E146" s="11" t="n">
        <v>20.9599990844727</v>
      </c>
      <c r="F146" s="11" t="n">
        <v>80.06</v>
      </c>
      <c r="G146" s="11" t="n">
        <v>5.3899998664856</v>
      </c>
      <c r="H146" s="11" t="n"/>
      <c r="I146" s="11" t="n">
        <v>46.0800018310547</v>
      </c>
      <c r="J146" s="11" t="n">
        <v>372.589996337891</v>
      </c>
      <c r="K146" s="11" t="n">
        <v>25.0200004577637</v>
      </c>
      <c r="L146" s="11" t="n">
        <v>30.0200004577637</v>
      </c>
      <c r="M146" s="11" t="n">
        <v>6.09000015258789</v>
      </c>
      <c r="N146" s="11" t="n">
        <v>121.069999694824</v>
      </c>
      <c r="O146" s="11" t="n">
        <v>21.4899997711182</v>
      </c>
      <c r="P146" s="11" t="n">
        <v>82.0100021362305</v>
      </c>
      <c r="Q146" s="11" t="n"/>
      <c r="R146" s="11" t="n">
        <v>56.1699981689453</v>
      </c>
      <c r="S146" s="11" t="n">
        <v>19.7999992370606</v>
      </c>
      <c r="T146" s="11" t="n">
        <v>91.6800003051758</v>
      </c>
      <c r="U146" s="11" t="n">
        <v>122.110000610352</v>
      </c>
      <c r="V146" s="11" t="n">
        <v>60.3300018310547</v>
      </c>
      <c r="W146" s="11" t="n">
        <v>2.83999991416931</v>
      </c>
      <c r="X146" s="11" t="n">
        <v>32.6300010681152</v>
      </c>
      <c r="Y146" s="11" t="n">
        <v>109.01000213623</v>
      </c>
      <c r="Z146" s="11" t="n">
        <v>73510</v>
      </c>
      <c r="AA146" s="11" t="n">
        <v>2139</v>
      </c>
      <c r="AB146" s="11" t="n">
        <v>4689</v>
      </c>
      <c r="AC146" s="11" t="n">
        <v>4.65000009536743</v>
      </c>
      <c r="AD146" s="11" t="n">
        <v>14.25</v>
      </c>
      <c r="AE146" s="11" t="n">
        <v>74.09999847412109</v>
      </c>
      <c r="AF146" s="11" t="n">
        <v>13.1499996185303</v>
      </c>
      <c r="AG146" s="11" t="n">
        <v>3.50500011444092</v>
      </c>
      <c r="AH146" s="11" t="n">
        <v>4.90999984741211</v>
      </c>
      <c r="AI146" s="11" t="n">
        <v>24.2900009155273</v>
      </c>
    </row>
    <row r="147">
      <c r="A147" s="49" t="n">
        <v>46262</v>
      </c>
      <c r="B147" s="11" t="n">
        <v>39.5999984741211</v>
      </c>
      <c r="C147" s="11" t="n">
        <v>154.199996948242</v>
      </c>
      <c r="D147" s="11" t="n">
        <v>13.7299995422363</v>
      </c>
      <c r="E147" s="11" t="n">
        <v>20.3400001525879</v>
      </c>
      <c r="F147" s="11" t="n">
        <v>80.06</v>
      </c>
      <c r="G147" s="11" t="n">
        <v>5.07999992370605</v>
      </c>
      <c r="H147" s="11" t="n"/>
      <c r="I147" s="11" t="n">
        <v>44.2400016784668</v>
      </c>
      <c r="J147" s="11" t="n">
        <v>354.040008544922</v>
      </c>
      <c r="K147" s="11" t="n">
        <v>25.6299991607666</v>
      </c>
      <c r="L147" s="11" t="n">
        <v>28.8500003814697</v>
      </c>
      <c r="M147" s="11" t="n">
        <v>6.17000007629395</v>
      </c>
      <c r="N147" s="11" t="n">
        <v>120.809997558594</v>
      </c>
      <c r="O147" s="11" t="n">
        <v>21.2900009155273</v>
      </c>
      <c r="P147" s="11" t="n">
        <v>76.9899978637695</v>
      </c>
      <c r="Q147" s="11" t="n"/>
      <c r="R147" s="11" t="n">
        <v>53.1199989318848</v>
      </c>
      <c r="S147" s="11" t="n">
        <v>23.4799995422363</v>
      </c>
      <c r="T147" s="11" t="n">
        <v>87.7600021362305</v>
      </c>
      <c r="U147" s="11" t="n">
        <v>122.230003356934</v>
      </c>
      <c r="V147" s="11" t="n">
        <v>58.0099983215332</v>
      </c>
      <c r="W147" s="11" t="n">
        <v>3.01999998092651</v>
      </c>
      <c r="X147" s="11" t="n">
        <v>31.0499992370606</v>
      </c>
      <c r="Y147" s="11" t="n">
        <v>148.419998168945</v>
      </c>
      <c r="Z147" s="11" t="n">
        <v>71260</v>
      </c>
      <c r="AA147" s="11" t="n">
        <v>2190</v>
      </c>
      <c r="AB147" s="11" t="n">
        <v>4601</v>
      </c>
      <c r="AC147" s="11" t="n">
        <v>4.41499996185303</v>
      </c>
      <c r="AD147" s="11" t="n">
        <v>13.6499996185303</v>
      </c>
      <c r="AE147" s="11" t="n">
        <v>77.40000152587891</v>
      </c>
      <c r="AF147" s="11" t="n">
        <v>12.4799995422363</v>
      </c>
      <c r="AG147" s="11" t="n">
        <v>3.77999997138977</v>
      </c>
      <c r="AH147" s="11" t="n">
        <v>4.56500005722046</v>
      </c>
      <c r="AI147" s="11" t="n">
        <v>24.4699993133545</v>
      </c>
    </row>
    <row r="148">
      <c r="A148" s="49" t="n">
        <v>46269</v>
      </c>
      <c r="B148" s="11" t="n">
        <v>38.4000015258789</v>
      </c>
      <c r="C148" s="11" t="n">
        <v>149.149993896484</v>
      </c>
      <c r="D148" s="11" t="n">
        <v>12.5600004196167</v>
      </c>
      <c r="E148" s="11" t="n">
        <v>20.7600002288818</v>
      </c>
      <c r="F148" s="11" t="n">
        <v>80.06</v>
      </c>
      <c r="G148" s="11" t="n">
        <v>5.25</v>
      </c>
      <c r="H148" s="11" t="n"/>
      <c r="I148" s="11" t="n">
        <v>43.6800003051758</v>
      </c>
      <c r="J148" s="11" t="n">
        <v>351.200012207031</v>
      </c>
      <c r="K148" s="11" t="n">
        <v>23.8299999237061</v>
      </c>
      <c r="L148" s="11" t="n">
        <v>27.9899997711182</v>
      </c>
      <c r="M148" s="11" t="n">
        <v>6.1100001335144</v>
      </c>
      <c r="N148" s="11" t="n">
        <v>100.610000610352</v>
      </c>
      <c r="O148" s="11" t="n">
        <v>21.0599994659424</v>
      </c>
      <c r="P148" s="11" t="n">
        <v>73.5899963378906</v>
      </c>
      <c r="Q148" s="11" t="n"/>
      <c r="R148" s="11" t="n">
        <v>53.4000015258789</v>
      </c>
      <c r="S148" s="11" t="n">
        <v>22.4300003051758</v>
      </c>
      <c r="T148" s="11" t="n">
        <v>85.80999755859369</v>
      </c>
      <c r="U148" s="11" t="n">
        <v>117.529998779297</v>
      </c>
      <c r="V148" s="11" t="n">
        <v>57.7200012207031</v>
      </c>
      <c r="W148" s="11" t="n">
        <v>2.86999988555908</v>
      </c>
      <c r="X148" s="11" t="n">
        <v>29.5300006866455</v>
      </c>
      <c r="Y148" s="11" t="n">
        <v>149.669998168945</v>
      </c>
      <c r="Z148" s="11" t="n">
        <v>69100</v>
      </c>
      <c r="AA148" s="11" t="n">
        <v>2113</v>
      </c>
      <c r="AB148" s="11" t="n">
        <v>4266</v>
      </c>
      <c r="AC148" s="11" t="n">
        <v>4.34499979019165</v>
      </c>
      <c r="AD148" s="11" t="n">
        <v>13.5299997329712</v>
      </c>
      <c r="AE148" s="11" t="n">
        <v>76.09999847412109</v>
      </c>
      <c r="AF148" s="11" t="n">
        <v>11.8400001525879</v>
      </c>
      <c r="AG148" s="11" t="n">
        <v>3.4300000667572</v>
      </c>
      <c r="AH148" s="11" t="n">
        <v>4.44500017166138</v>
      </c>
      <c r="AI148" s="11" t="n">
        <v>26.6000003814697</v>
      </c>
    </row>
    <row r="149">
      <c r="A149" s="49" t="n">
        <v>46276</v>
      </c>
      <c r="B149" s="11" t="n">
        <v>36.7999992370605</v>
      </c>
      <c r="C149" s="11" t="n">
        <v>142.75</v>
      </c>
      <c r="D149" s="11" t="n">
        <v>11.6099996566772</v>
      </c>
      <c r="E149" s="11" t="n">
        <v>19.9300003051758</v>
      </c>
      <c r="F149" s="11" t="n">
        <v>80.06</v>
      </c>
      <c r="G149" s="11" t="n">
        <v>5.1100001335144</v>
      </c>
      <c r="H149" s="11" t="n"/>
      <c r="I149" s="11" t="n">
        <v>42.9300003051758</v>
      </c>
      <c r="J149" s="11" t="n">
        <v>339.089996337891</v>
      </c>
      <c r="K149" s="11" t="n">
        <v>21.6900005340576</v>
      </c>
      <c r="L149" s="11" t="n">
        <v>27.4099998474121</v>
      </c>
      <c r="M149" s="11" t="n">
        <v>5.84999990463257</v>
      </c>
      <c r="N149" s="11" t="n">
        <v>98.9700012207031</v>
      </c>
      <c r="O149" s="11" t="n">
        <v>20.1599998474121</v>
      </c>
      <c r="P149" s="11" t="n">
        <v>66.620002746582</v>
      </c>
      <c r="Q149" s="11" t="n"/>
      <c r="R149" s="11" t="n">
        <v>48.4500007629395</v>
      </c>
      <c r="S149" s="11" t="n">
        <v>21.5100002288818</v>
      </c>
      <c r="T149" s="11" t="n">
        <v>81.26999664306641</v>
      </c>
      <c r="U149" s="11" t="n">
        <v>112.480003356934</v>
      </c>
      <c r="V149" s="11" t="n">
        <v>56.9199981689453</v>
      </c>
      <c r="W149" s="11" t="n">
        <v>2.73000001907349</v>
      </c>
      <c r="X149" s="11" t="n">
        <v>28.0699996948242</v>
      </c>
      <c r="Y149" s="11" t="n">
        <v>145.229995727539</v>
      </c>
      <c r="Z149" s="11" t="n">
        <v>66480</v>
      </c>
      <c r="AA149" s="11" t="n">
        <v>2090</v>
      </c>
      <c r="AB149" s="11" t="n">
        <v>3989</v>
      </c>
      <c r="AC149" s="11" t="n">
        <v>4.36499977111816</v>
      </c>
      <c r="AD149" s="11" t="n">
        <v>13.0100002288818</v>
      </c>
      <c r="AE149" s="11" t="n">
        <v>72.4499969482422</v>
      </c>
      <c r="AF149" s="11" t="n">
        <v>11.5900001525879</v>
      </c>
      <c r="AG149" s="11" t="n">
        <v>3.28500008583069</v>
      </c>
      <c r="AH149" s="11" t="n">
        <v>4.38000011444092</v>
      </c>
      <c r="AI149" s="11" t="n">
        <v>25.0599994659424</v>
      </c>
    </row>
    <row r="150">
      <c r="A150" s="49" t="n">
        <v>46283</v>
      </c>
      <c r="B150" s="11" t="n">
        <v>35.5099983215332</v>
      </c>
      <c r="C150" s="11" t="n">
        <v>142.25</v>
      </c>
      <c r="D150" s="11" t="n">
        <v>12.289999961853</v>
      </c>
      <c r="E150" s="11" t="n">
        <v>18.9300003051758</v>
      </c>
      <c r="F150" s="11" t="n">
        <v>80.06</v>
      </c>
      <c r="G150" s="11" t="n">
        <v>4.88000011444092</v>
      </c>
      <c r="H150" s="11" t="n"/>
      <c r="I150" s="11" t="n">
        <v>42.1100006103516</v>
      </c>
      <c r="J150" s="11" t="n">
        <v>335.100006103516</v>
      </c>
      <c r="K150" s="11" t="n">
        <v>21.9899997711182</v>
      </c>
      <c r="L150" s="11" t="n">
        <v>27.2600002288818</v>
      </c>
      <c r="M150" s="11" t="n">
        <v>5.48000001907349</v>
      </c>
      <c r="N150" s="11" t="n">
        <v>98.05999755859369</v>
      </c>
      <c r="O150" s="11" t="n">
        <v>19.8199996948242</v>
      </c>
      <c r="P150" s="11" t="n">
        <v>66.36000061035161</v>
      </c>
      <c r="Q150" s="11" t="n"/>
      <c r="R150" s="11" t="n">
        <v>46.8699989318848</v>
      </c>
      <c r="S150" s="11" t="n">
        <v>20.5400009155273</v>
      </c>
      <c r="T150" s="11" t="n">
        <v>78.4300003051758</v>
      </c>
      <c r="U150" s="11" t="n">
        <v>122.23999786377</v>
      </c>
      <c r="V150" s="11" t="n">
        <v>56.8400001525879</v>
      </c>
      <c r="W150" s="11" t="n">
        <v>2.84999990463257</v>
      </c>
      <c r="X150" s="11" t="n">
        <v>26.7299995422363</v>
      </c>
      <c r="Y150" s="11" t="n">
        <v>135.759994506836</v>
      </c>
      <c r="Z150" s="11" t="n">
        <v>67680</v>
      </c>
      <c r="AA150" s="11" t="n">
        <v>2126.5</v>
      </c>
      <c r="AB150" s="11" t="n">
        <v>4066</v>
      </c>
      <c r="AC150" s="11" t="n">
        <v>4.09999990463257</v>
      </c>
      <c r="AD150" s="11" t="n">
        <v>12.5699996948242</v>
      </c>
      <c r="AE150" s="11" t="n">
        <v>71.6999969482422</v>
      </c>
      <c r="AF150" s="11" t="n">
        <v>11.4899997711182</v>
      </c>
      <c r="AG150" s="11" t="n">
        <v>3.49499988555908</v>
      </c>
      <c r="AH150" s="11" t="n">
        <v>4.32499980926514</v>
      </c>
      <c r="AI150" s="11" t="n">
        <v>25.6299991607666</v>
      </c>
    </row>
    <row r="151">
      <c r="A151" s="49" t="n">
        <v>46290</v>
      </c>
      <c r="B151" s="11" t="n">
        <v>36.0999984741211</v>
      </c>
      <c r="C151" s="11" t="n">
        <v>142.25</v>
      </c>
      <c r="D151" s="11" t="n">
        <v>12.420000076294</v>
      </c>
      <c r="E151" s="11" t="n">
        <v>19.4799995422363</v>
      </c>
      <c r="F151" s="11" t="n">
        <v>80.06</v>
      </c>
      <c r="G151" s="11" t="n">
        <v>4.76999998092651</v>
      </c>
      <c r="H151" s="11" t="n"/>
      <c r="I151" s="11" t="n">
        <v>42.8300018310547</v>
      </c>
      <c r="J151" s="11" t="n">
        <v>339.820007324219</v>
      </c>
      <c r="K151" s="11" t="n">
        <v>21.9899997711182</v>
      </c>
      <c r="L151" s="11" t="n">
        <v>27.3199996948242</v>
      </c>
      <c r="M151" s="11" t="n">
        <v>5.59999990463257</v>
      </c>
      <c r="N151" s="11" t="n">
        <v>101.300003051758</v>
      </c>
      <c r="O151" s="11" t="n">
        <v>19.8199996948242</v>
      </c>
      <c r="P151" s="11" t="n">
        <v>66.4100036621094</v>
      </c>
      <c r="Q151" s="11" t="n"/>
      <c r="R151" s="11" t="n">
        <v>46.1599998474121</v>
      </c>
      <c r="S151" s="11" t="n">
        <v>21.25</v>
      </c>
      <c r="T151" s="11" t="n">
        <v>80.23000335693359</v>
      </c>
      <c r="U151" s="11" t="n">
        <v>123.690002441406</v>
      </c>
      <c r="V151" s="11" t="n">
        <v>56.7299995422363</v>
      </c>
      <c r="W151" s="11" t="n">
        <v>2.93499994277954</v>
      </c>
      <c r="X151" s="11" t="n">
        <v>27.4500007629394</v>
      </c>
      <c r="Y151" s="11" t="n">
        <v>136.759994506836</v>
      </c>
      <c r="Z151" s="11" t="n">
        <v>67680</v>
      </c>
      <c r="AA151" s="11" t="n">
        <v>2126.5</v>
      </c>
      <c r="AB151" s="11" t="n">
        <v>4066</v>
      </c>
      <c r="AC151" s="11" t="n">
        <v>3.89499998092651</v>
      </c>
      <c r="AD151" s="11" t="n">
        <v>12.6099996566772</v>
      </c>
      <c r="AE151" s="11" t="n">
        <v>71.5</v>
      </c>
      <c r="AF151" s="11" t="n">
        <v>11.5500001907349</v>
      </c>
      <c r="AG151" s="11" t="n">
        <v>3.55999994277954</v>
      </c>
      <c r="AH151" s="11" t="n">
        <v>4.3899998664856</v>
      </c>
      <c r="AI151" s="11" t="n">
        <v>25.8299999237061</v>
      </c>
    </row>
    <row r="152">
      <c r="A152" s="49" t="n">
        <v>46297</v>
      </c>
      <c r="B152" s="11" t="n">
        <v>33.8699989318848</v>
      </c>
      <c r="C152" s="11" t="n">
        <v>144.050003051758</v>
      </c>
      <c r="D152" s="11" t="n">
        <v>12.5200004577637</v>
      </c>
      <c r="E152" s="11" t="n">
        <v>19.2000007629394</v>
      </c>
      <c r="G152" s="11" t="n">
        <v>4.71000003814697</v>
      </c>
      <c r="I152" s="11" t="n">
        <v>45.9700012207031</v>
      </c>
      <c r="J152" s="11" t="n">
        <v>363.369995117188</v>
      </c>
      <c r="K152" s="11" t="n">
        <v>22.1599998474121</v>
      </c>
      <c r="L152" s="11" t="n">
        <v>30.8500003814697</v>
      </c>
      <c r="M152" s="11" t="n">
        <v>5.40000009536743</v>
      </c>
      <c r="N152" s="11" t="n">
        <v>94.4599990844727</v>
      </c>
      <c r="O152" s="11" t="n">
        <v>19.8700008392334</v>
      </c>
      <c r="P152" s="11" t="n">
        <v>64.7099990844727</v>
      </c>
      <c r="R152" s="11" t="n">
        <v>41</v>
      </c>
      <c r="S152" s="11" t="n">
        <v>22.5100002288818</v>
      </c>
      <c r="T152" s="11" t="n">
        <v>79.120002746582</v>
      </c>
      <c r="U152" s="11" t="n">
        <v>118.089996337891</v>
      </c>
      <c r="V152" s="11" t="n">
        <v>57.2700004577637</v>
      </c>
      <c r="W152" s="11" t="n">
        <v>3.15499997138977</v>
      </c>
      <c r="X152" s="11" t="n">
        <v>27.1700000762939</v>
      </c>
      <c r="Y152" s="11" t="n">
        <v>135.910003662109</v>
      </c>
      <c r="Z152" s="11" t="n">
        <v>71770</v>
      </c>
      <c r="AA152" s="11" t="n">
        <v>2102</v>
      </c>
      <c r="AB152" s="11" t="n">
        <v>4141</v>
      </c>
      <c r="AC152" s="11" t="n">
        <v>3.97000002861023</v>
      </c>
      <c r="AD152" s="11" t="n">
        <v>12.2799997329712</v>
      </c>
      <c r="AE152" s="11" t="n">
        <v>74.15000152587891</v>
      </c>
      <c r="AF152" s="11" t="n">
        <v>12.0299997329712</v>
      </c>
      <c r="AG152" s="11" t="n">
        <v>3.46499991416931</v>
      </c>
      <c r="AH152" s="11" t="n">
        <v>4.36999988555908</v>
      </c>
      <c r="AI152" s="11" t="n">
        <v>25.9300003051758</v>
      </c>
    </row>
    <row r="153">
      <c r="A153" s="49" t="n">
        <v>46304</v>
      </c>
      <c r="B153" s="11" t="n">
        <v>34.7099990844727</v>
      </c>
      <c r="C153" s="11" t="n">
        <v>149.850006103516</v>
      </c>
      <c r="D153" s="11" t="n">
        <v>12.6800003051758</v>
      </c>
      <c r="E153" s="11" t="n">
        <v>19.4300003051758</v>
      </c>
      <c r="G153" s="11" t="n">
        <v>4.92999982833862</v>
      </c>
      <c r="I153" s="11" t="n">
        <v>44.2999992370605</v>
      </c>
      <c r="J153" s="11" t="n">
        <v>371.279998779297</v>
      </c>
      <c r="K153" s="11" t="n">
        <v>22.9799995422363</v>
      </c>
      <c r="L153" s="11" t="n">
        <v>35.0900001525879</v>
      </c>
      <c r="M153" s="11" t="n">
        <v>5.6399998664856</v>
      </c>
      <c r="N153" s="11" t="n">
        <v>94.5</v>
      </c>
      <c r="O153" s="11" t="n">
        <v>18.7000007629394</v>
      </c>
      <c r="P153" s="11" t="n">
        <v>65.620002746582</v>
      </c>
      <c r="R153" s="11" t="n">
        <v>41.9700012207031</v>
      </c>
      <c r="S153" s="11" t="n">
        <v>23.2299995422363</v>
      </c>
      <c r="T153" s="11" t="n">
        <v>82.88999938964839</v>
      </c>
      <c r="U153" s="11" t="n">
        <v>114.980003356934</v>
      </c>
      <c r="V153" s="11" t="n">
        <v>57.0400009155273</v>
      </c>
      <c r="W153" s="11" t="n">
        <v>3.30999994277954</v>
      </c>
      <c r="X153" s="11" t="n">
        <v>28.1399993896484</v>
      </c>
      <c r="Y153" s="11" t="n">
        <v>142.580001831055</v>
      </c>
      <c r="Z153" s="11" t="n">
        <v>71780</v>
      </c>
      <c r="AA153" s="11" t="n">
        <v>2167</v>
      </c>
      <c r="AB153" s="11" t="n">
        <v>4474</v>
      </c>
      <c r="AC153" s="11" t="n">
        <v>4.40500020980835</v>
      </c>
      <c r="AD153" s="11" t="n">
        <v>12.7600002288818</v>
      </c>
      <c r="AE153" s="11" t="n">
        <v>72.65000152587891</v>
      </c>
      <c r="AF153" s="11" t="n">
        <v>12.25</v>
      </c>
      <c r="AG153" s="11" t="n">
        <v>3.52999997138977</v>
      </c>
      <c r="AH153" s="11" t="n">
        <v>4.55999994277954</v>
      </c>
      <c r="AI153" s="11" t="n">
        <v>27.7399997711182</v>
      </c>
    </row>
    <row r="154">
      <c r="A154" s="49" t="n">
        <v>46311</v>
      </c>
      <c r="B154" s="11" t="n">
        <v>34.7099990844727</v>
      </c>
      <c r="C154" s="11" t="n">
        <v>150.949996948242</v>
      </c>
      <c r="D154" s="11" t="n">
        <v>12.6800003051758</v>
      </c>
      <c r="E154" s="11" t="n">
        <v>19.4300003051758</v>
      </c>
      <c r="G154" s="11" t="n">
        <v>4.92999982833862</v>
      </c>
      <c r="I154" s="11" t="n">
        <v>44.2999992370605</v>
      </c>
      <c r="J154" s="11" t="n">
        <v>371.279998779297</v>
      </c>
      <c r="K154" s="11" t="n">
        <v>23.0400009155273</v>
      </c>
      <c r="L154" s="11" t="n">
        <v>35.0900001525879</v>
      </c>
      <c r="M154" s="11" t="n">
        <v>5.6399998664856</v>
      </c>
      <c r="N154" s="11" t="n">
        <v>94.5</v>
      </c>
      <c r="O154" s="11" t="n">
        <v>18.7000007629394</v>
      </c>
      <c r="P154" s="11" t="n">
        <v>65.620002746582</v>
      </c>
      <c r="R154" s="11" t="n">
        <v>41.9700012207031</v>
      </c>
      <c r="S154" s="11" t="n">
        <v>23.2299995422363</v>
      </c>
      <c r="T154" s="11" t="n">
        <v>82.88999938964839</v>
      </c>
      <c r="U154" s="11" t="n">
        <v>114.980003356934</v>
      </c>
      <c r="V154" s="11" t="n">
        <v>57.0400009155273</v>
      </c>
      <c r="W154" s="11" t="n">
        <v>3.30999994277954</v>
      </c>
      <c r="X154" s="11" t="n">
        <v>28.1399993896484</v>
      </c>
      <c r="Y154" s="11" t="n">
        <v>142.580001831055</v>
      </c>
      <c r="Z154" s="11" t="n">
        <v>71780</v>
      </c>
      <c r="AA154" s="11" t="n">
        <v>2167</v>
      </c>
      <c r="AB154" s="11" t="n">
        <v>4474</v>
      </c>
      <c r="AC154" s="11" t="n">
        <v>4.30499982833862</v>
      </c>
      <c r="AD154" s="11" t="n">
        <v>12.6499996185303</v>
      </c>
      <c r="AE154" s="11" t="n">
        <v>71.4499969482422</v>
      </c>
      <c r="AF154" s="11" t="n">
        <v>12.329999923706</v>
      </c>
      <c r="AG154" s="11" t="n">
        <v>3.54500007629394</v>
      </c>
      <c r="AH154" s="11" t="n">
        <v>4.57999992370605</v>
      </c>
      <c r="AI154" s="11" t="n">
        <v>26.7600002288818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01"/>
  <sheetViews>
    <sheetView zoomScale="72" zoomScaleNormal="72" workbookViewId="0">
      <pane xSplit="1" ySplit="2" topLeftCell="B95" activePane="bottomRight" state="frozen"/>
      <selection activeCell="A1" sqref="A1"/>
      <selection pane="topRight" activeCell="A1" sqref="A1"/>
      <selection pane="bottomLeft" activeCell="A1" sqref="A1"/>
      <selection pane="bottomRight" activeCell="L20" sqref="L20"/>
    </sheetView>
  </sheetViews>
  <sheetFormatPr baseColWidth="8" defaultColWidth="9" defaultRowHeight="16.8"/>
  <cols>
    <col width="35.4615384615385" customWidth="1" min="1" max="1"/>
    <col width="11" customWidth="1" min="2" max="35"/>
  </cols>
  <sheetData>
    <row r="1">
      <c r="A1" s="2" t="inlineStr">
        <is>
          <t>运动服饰 归一化（2025-12-01 = 1）</t>
        </is>
      </c>
    </row>
    <row r="2">
      <c r="A2" s="4" t="inlineStr">
        <is>
          <t>Date</t>
        </is>
      </c>
      <c r="B2" s="5" t="inlineStr">
        <is>
          <t>NKE.N</t>
        </is>
      </c>
      <c r="C2" s="5" t="inlineStr">
        <is>
          <t>ADDY</t>
        </is>
      </c>
      <c r="D2" s="5" t="inlineStr">
        <is>
          <t>ZGN.N</t>
        </is>
      </c>
      <c r="E2" s="5" t="inlineStr">
        <is>
          <t>WWW.N</t>
        </is>
      </c>
      <c r="F2" s="5" t="inlineStr">
        <is>
          <t>VSCO.N</t>
        </is>
      </c>
      <c r="G2" s="5" t="inlineStr">
        <is>
          <t>UAA.N</t>
        </is>
      </c>
      <c r="H2" s="5" t="inlineStr">
        <is>
          <t>SKX.N</t>
        </is>
      </c>
      <c r="I2" s="5" t="inlineStr">
        <is>
          <t>SHOO.O</t>
        </is>
      </c>
      <c r="J2" s="5" t="inlineStr">
        <is>
          <t>RL.N</t>
        </is>
      </c>
      <c r="K2" s="5" t="inlineStr">
        <is>
          <t>PUM.DF</t>
        </is>
      </c>
      <c r="L2" s="5" t="inlineStr">
        <is>
          <t>ONON.N</t>
        </is>
      </c>
      <c r="M2" s="5" t="inlineStr">
        <is>
          <t>NWL.O</t>
        </is>
      </c>
      <c r="N2" s="5" t="inlineStr">
        <is>
          <t>LULU.O</t>
        </is>
      </c>
      <c r="O2" s="5" t="inlineStr">
        <is>
          <t>LEVI.N</t>
        </is>
      </c>
      <c r="P2" s="5" t="inlineStr">
        <is>
          <t>KTB.N</t>
        </is>
      </c>
      <c r="Q2" s="5" t="inlineStr">
        <is>
          <t>HBI.N</t>
        </is>
      </c>
      <c r="R2" s="5" t="inlineStr">
        <is>
          <t>GIL.N</t>
        </is>
      </c>
      <c r="S2" s="5" t="inlineStr">
        <is>
          <t>GAP.N</t>
        </is>
      </c>
      <c r="T2" s="5" t="inlineStr">
        <is>
          <t>DECK.N</t>
        </is>
      </c>
      <c r="U2" s="5" t="inlineStr">
        <is>
          <t>CROX.O</t>
        </is>
      </c>
      <c r="V2" s="5" t="inlineStr">
        <is>
          <t>COLM.O</t>
        </is>
      </c>
      <c r="W2" s="5" t="inlineStr">
        <is>
          <t>BZUN.O</t>
        </is>
      </c>
      <c r="X2" s="5" t="inlineStr">
        <is>
          <t>AS.N</t>
        </is>
      </c>
      <c r="Y2" s="5" t="inlineStr">
        <is>
          <t>ANF.N</t>
        </is>
      </c>
      <c r="Z2" s="5" t="inlineStr">
        <is>
          <t>9983.T</t>
        </is>
      </c>
      <c r="AA2" s="5" t="inlineStr">
        <is>
          <t>8111.T</t>
        </is>
      </c>
      <c r="AB2" s="5" t="inlineStr">
        <is>
          <t>7936.T</t>
        </is>
      </c>
      <c r="AC2" s="5" t="inlineStr">
        <is>
          <t>3998.HK</t>
        </is>
      </c>
      <c r="AD2" s="5" t="inlineStr">
        <is>
          <t>2331.HK</t>
        </is>
      </c>
      <c r="AE2" s="5" t="inlineStr">
        <is>
          <t>2020.HK</t>
        </is>
      </c>
      <c r="AF2" s="5" t="inlineStr">
        <is>
          <t>1836.HK</t>
        </is>
      </c>
      <c r="AG2" s="5" t="inlineStr">
        <is>
          <t>1368.HK</t>
        </is>
      </c>
      <c r="AH2" s="5" t="inlineStr">
        <is>
          <t>1361.HK</t>
        </is>
      </c>
      <c r="AI2" s="5" t="inlineStr">
        <is>
          <t>002832.SZ</t>
        </is>
      </c>
    </row>
    <row r="3">
      <c r="A3" s="48" t="n">
        <v>45628</v>
      </c>
      <c r="B3" t="n">
        <v>1.209512</v>
      </c>
      <c r="C3" t="n">
        <v>1.428483</v>
      </c>
      <c r="D3" t="n">
        <v>0.777251</v>
      </c>
      <c r="E3" t="n">
        <v>1.382491</v>
      </c>
      <c r="G3" t="n">
        <v>2.218341</v>
      </c>
      <c r="I3" t="n">
        <v>1.075705</v>
      </c>
      <c r="J3" t="n">
        <v>0.637941</v>
      </c>
      <c r="K3" t="n">
        <v>2.084017</v>
      </c>
      <c r="L3" t="n">
        <v>1.309982</v>
      </c>
      <c r="M3" t="n">
        <v>2.56168</v>
      </c>
      <c r="N3" t="n">
        <v>1.833233</v>
      </c>
      <c r="O3" t="n">
        <v>0.815612</v>
      </c>
      <c r="P3" t="n">
        <v>1.253193</v>
      </c>
      <c r="R3" t="n">
        <v>0.869965</v>
      </c>
      <c r="S3" t="n">
        <v>0.938545</v>
      </c>
      <c r="T3" t="n">
        <v>2.194088</v>
      </c>
      <c r="U3" t="n">
        <v>1.266074</v>
      </c>
      <c r="V3" t="n">
        <v>1.592265</v>
      </c>
      <c r="W3" t="n">
        <v>0.958477</v>
      </c>
      <c r="X3" t="n">
        <v>0.705644</v>
      </c>
      <c r="Y3" t="n">
        <v>1.543768</v>
      </c>
      <c r="Z3" t="n">
        <v>0.90134</v>
      </c>
      <c r="AA3" t="n">
        <v>1.012898</v>
      </c>
      <c r="AB3" t="n">
        <v>0.846112</v>
      </c>
      <c r="AC3" t="n">
        <v>0.8243509999999999</v>
      </c>
      <c r="AD3" t="n">
        <v>0.933638</v>
      </c>
      <c r="AE3" t="n">
        <v>0.929845</v>
      </c>
      <c r="AF3" t="n">
        <v>0.853317</v>
      </c>
      <c r="AG3" t="n">
        <v>0.95</v>
      </c>
      <c r="AH3" t="n">
        <v>0.659967</v>
      </c>
      <c r="AI3" t="n">
        <v>1.249045</v>
      </c>
    </row>
    <row r="4">
      <c r="A4" s="48" t="n">
        <v>45635</v>
      </c>
      <c r="B4" t="n">
        <v>1.187338</v>
      </c>
      <c r="C4" t="n">
        <v>1.480608</v>
      </c>
      <c r="D4" t="n">
        <v>0.804739</v>
      </c>
      <c r="E4" t="n">
        <v>1.327262</v>
      </c>
      <c r="G4" t="n">
        <v>2.222707</v>
      </c>
      <c r="I4" t="n">
        <v>1.021197</v>
      </c>
      <c r="J4" t="n">
        <v>0.62351</v>
      </c>
      <c r="K4" t="n">
        <v>2.235152</v>
      </c>
      <c r="L4" t="n">
        <v>1.231423</v>
      </c>
      <c r="M4" t="n">
        <v>3.020997</v>
      </c>
      <c r="N4" t="n">
        <v>2.219122</v>
      </c>
      <c r="O4" t="n">
        <v>0.787349</v>
      </c>
      <c r="P4" t="n">
        <v>1.169106</v>
      </c>
      <c r="R4" t="n">
        <v>0.830556</v>
      </c>
      <c r="S4" t="n">
        <v>0.924</v>
      </c>
      <c r="T4" t="n">
        <v>2.190285</v>
      </c>
      <c r="U4" t="n">
        <v>1.276579</v>
      </c>
      <c r="V4" t="n">
        <v>1.638352</v>
      </c>
      <c r="W4" t="n">
        <v>1.00346</v>
      </c>
      <c r="X4" t="n">
        <v>0.696462</v>
      </c>
      <c r="Y4" t="n">
        <v>1.374583</v>
      </c>
      <c r="Z4" t="n">
        <v>0.959249</v>
      </c>
      <c r="AA4" t="n">
        <v>0.98584</v>
      </c>
      <c r="AB4" t="n">
        <v>0.824244</v>
      </c>
      <c r="AC4" t="n">
        <v>0.802395</v>
      </c>
      <c r="AD4" t="n">
        <v>0.997712</v>
      </c>
      <c r="AE4" t="n">
        <v>0.995838</v>
      </c>
      <c r="AF4" t="n">
        <v>0.900791</v>
      </c>
      <c r="AG4" t="n">
        <v>0.998214</v>
      </c>
      <c r="AH4" t="n">
        <v>0.713568</v>
      </c>
      <c r="AI4" t="n">
        <v>1.219745</v>
      </c>
    </row>
    <row r="5">
      <c r="A5" s="48" t="n">
        <v>45642</v>
      </c>
      <c r="B5" t="n">
        <v>1.180609</v>
      </c>
      <c r="C5" t="n">
        <v>1.507912</v>
      </c>
      <c r="D5" t="n">
        <v>0.840758</v>
      </c>
      <c r="E5" t="n">
        <v>1.372503</v>
      </c>
      <c r="G5" t="n">
        <v>1.816594</v>
      </c>
      <c r="I5" t="n">
        <v>1.020731</v>
      </c>
      <c r="J5" t="n">
        <v>0.633158</v>
      </c>
      <c r="K5" t="n">
        <v>2.179623</v>
      </c>
      <c r="L5" t="n">
        <v>1.295434</v>
      </c>
      <c r="M5" t="n">
        <v>2.845144</v>
      </c>
      <c r="N5" t="n">
        <v>2.136615</v>
      </c>
      <c r="O5" t="n">
        <v>0.767609</v>
      </c>
      <c r="P5" t="n">
        <v>1.19678</v>
      </c>
      <c r="R5" t="n">
        <v>0.844444</v>
      </c>
      <c r="S5" t="n">
        <v>0.903273</v>
      </c>
      <c r="T5" t="n">
        <v>2.294284</v>
      </c>
      <c r="U5" t="n">
        <v>1.257763</v>
      </c>
      <c r="V5" t="n">
        <v>1.623893</v>
      </c>
      <c r="W5" t="n">
        <v>1.280277</v>
      </c>
      <c r="X5" t="n">
        <v>0.746692</v>
      </c>
      <c r="Y5" t="n">
        <v>1.441119</v>
      </c>
      <c r="Z5" t="n">
        <v>0.943342</v>
      </c>
      <c r="AA5" t="n">
        <v>0.945599</v>
      </c>
      <c r="AB5" t="n">
        <v>0.817765</v>
      </c>
      <c r="AC5" t="n">
        <v>0.798403</v>
      </c>
      <c r="AD5" t="n">
        <v>0.956522</v>
      </c>
      <c r="AE5" t="n">
        <v>0.967301</v>
      </c>
      <c r="AF5" t="n">
        <v>0.894705</v>
      </c>
      <c r="AG5" t="n">
        <v>1.041071</v>
      </c>
      <c r="AH5" t="n">
        <v>0.711893</v>
      </c>
      <c r="AI5" t="n">
        <v>1.427389</v>
      </c>
    </row>
    <row r="6">
      <c r="A6" s="48" t="n">
        <v>45649</v>
      </c>
      <c r="B6" t="n">
        <v>1.17388</v>
      </c>
      <c r="C6" t="n">
        <v>1.457648</v>
      </c>
      <c r="D6" t="n">
        <v>0.806635</v>
      </c>
      <c r="E6" t="n">
        <v>1.3349</v>
      </c>
      <c r="G6" t="n">
        <v>1.840611</v>
      </c>
      <c r="I6" t="n">
        <v>0.989285</v>
      </c>
      <c r="J6" t="n">
        <v>0.629742</v>
      </c>
      <c r="K6" t="n">
        <v>2.179141</v>
      </c>
      <c r="L6" t="n">
        <v>1.267905</v>
      </c>
      <c r="M6" t="n">
        <v>2.637795</v>
      </c>
      <c r="N6" t="n">
        <v>2.102352</v>
      </c>
      <c r="O6" t="n">
        <v>0.77703</v>
      </c>
      <c r="P6" t="n">
        <v>1.151809</v>
      </c>
      <c r="R6" t="n">
        <v>0.811632</v>
      </c>
      <c r="S6" t="n">
        <v>0.873091</v>
      </c>
      <c r="T6" t="n">
        <v>2.256575</v>
      </c>
      <c r="U6" t="n">
        <v>1.307515</v>
      </c>
      <c r="V6" t="n">
        <v>1.576541</v>
      </c>
      <c r="W6" t="n">
        <v>1.058823</v>
      </c>
      <c r="X6" t="n">
        <v>0.771267</v>
      </c>
      <c r="Y6" t="n">
        <v>1.501079</v>
      </c>
      <c r="Z6" t="n">
        <v>0.950492</v>
      </c>
      <c r="AA6" t="n">
        <v>0.97644</v>
      </c>
      <c r="AB6" t="n">
        <v>0.836933</v>
      </c>
      <c r="AC6" t="n">
        <v>0.8243509999999999</v>
      </c>
      <c r="AD6" t="n">
        <v>0.947368</v>
      </c>
      <c r="AE6" t="n">
        <v>0.951249</v>
      </c>
      <c r="AF6" t="n">
        <v>0.971394</v>
      </c>
      <c r="AG6" t="n">
        <v>1.016071</v>
      </c>
      <c r="AH6" t="n">
        <v>0.708543</v>
      </c>
      <c r="AI6" t="n">
        <v>1.308917</v>
      </c>
    </row>
    <row r="7">
      <c r="A7" s="48" t="n">
        <v>45656</v>
      </c>
      <c r="B7" t="n">
        <v>1.141612</v>
      </c>
      <c r="C7" t="n">
        <v>1.469438</v>
      </c>
      <c r="D7" t="n">
        <v>0.781991</v>
      </c>
      <c r="E7" t="n">
        <v>1.295535</v>
      </c>
      <c r="G7" t="n">
        <v>1.792576</v>
      </c>
      <c r="I7" t="n">
        <v>0.983694</v>
      </c>
      <c r="J7" t="n">
        <v>0.6346889999999999</v>
      </c>
      <c r="K7" t="n">
        <v>2.141961</v>
      </c>
      <c r="L7" t="n">
        <v>1.235228</v>
      </c>
      <c r="M7" t="n">
        <v>2.624672</v>
      </c>
      <c r="N7" t="n">
        <v>2.105422</v>
      </c>
      <c r="O7" t="n">
        <v>0.777927</v>
      </c>
      <c r="P7" t="n">
        <v>1.133715</v>
      </c>
      <c r="R7" t="n">
        <v>0.803472</v>
      </c>
      <c r="S7" t="n">
        <v>0.856364</v>
      </c>
      <c r="T7" t="n">
        <v>2.236036</v>
      </c>
      <c r="U7" t="n">
        <v>1.254877</v>
      </c>
      <c r="V7" t="n">
        <v>1.508585</v>
      </c>
      <c r="W7" t="n">
        <v>0.955017</v>
      </c>
      <c r="X7" t="n">
        <v>0.766946</v>
      </c>
      <c r="Y7" t="n">
        <v>1.517664</v>
      </c>
      <c r="Z7" t="n">
        <v>0.96193</v>
      </c>
      <c r="AA7" t="n">
        <v>1.014043</v>
      </c>
      <c r="AB7" t="n">
        <v>0.839633</v>
      </c>
      <c r="AC7" t="n">
        <v>0.804391</v>
      </c>
      <c r="AD7" t="n">
        <v>0.932494</v>
      </c>
      <c r="AE7" t="n">
        <v>0.927467</v>
      </c>
      <c r="AF7" t="n">
        <v>0.992088</v>
      </c>
      <c r="AG7" t="n">
        <v>1.028571</v>
      </c>
      <c r="AH7" t="n">
        <v>0.7068680000000001</v>
      </c>
      <c r="AI7" t="n">
        <v>1.309554</v>
      </c>
    </row>
    <row r="8">
      <c r="A8" s="48" t="n">
        <v>45663</v>
      </c>
      <c r="B8" t="n">
        <v>1.101086</v>
      </c>
      <c r="C8" t="n">
        <v>1.486193</v>
      </c>
      <c r="D8" t="n">
        <v>0.758294</v>
      </c>
      <c r="E8" t="n">
        <v>1.313161</v>
      </c>
      <c r="G8" t="n">
        <v>1.849345</v>
      </c>
      <c r="I8" t="n">
        <v>0.981831</v>
      </c>
      <c r="J8" t="n">
        <v>0.664043</v>
      </c>
      <c r="K8" t="n">
        <v>2.158861</v>
      </c>
      <c r="L8" t="n">
        <v>1.222471</v>
      </c>
      <c r="M8" t="n">
        <v>2.669291</v>
      </c>
      <c r="N8" t="n">
        <v>2.167151</v>
      </c>
      <c r="O8" t="n">
        <v>0.800359</v>
      </c>
      <c r="P8" t="n">
        <v>1.15487</v>
      </c>
      <c r="R8" t="n">
        <v>0.817708</v>
      </c>
      <c r="S8" t="n">
        <v>0.875636</v>
      </c>
      <c r="T8" t="n">
        <v>2.265486</v>
      </c>
      <c r="U8" t="n">
        <v>1.293663</v>
      </c>
      <c r="V8" t="n">
        <v>1.501898</v>
      </c>
      <c r="W8" t="n">
        <v>1.027682</v>
      </c>
      <c r="X8" t="n">
        <v>0.806373</v>
      </c>
      <c r="Y8" t="n">
        <v>1.533072</v>
      </c>
      <c r="Z8" t="n">
        <v>0.921358</v>
      </c>
      <c r="AA8" t="n">
        <v>0.9887089999999999</v>
      </c>
      <c r="AB8" t="n">
        <v>0.825864</v>
      </c>
      <c r="AC8" t="n">
        <v>0.7265470000000001</v>
      </c>
      <c r="AD8" t="n">
        <v>0.90389</v>
      </c>
      <c r="AE8" t="n">
        <v>0.893579</v>
      </c>
      <c r="AF8" t="n">
        <v>0.978697</v>
      </c>
      <c r="AG8" t="n">
        <v>0.980357</v>
      </c>
      <c r="AH8" t="n">
        <v>0.6834170000000001</v>
      </c>
      <c r="AI8" t="n">
        <v>1.247134</v>
      </c>
    </row>
    <row r="9">
      <c r="A9" s="48" t="n">
        <v>45670</v>
      </c>
      <c r="B9" t="n">
        <v>1.102309</v>
      </c>
      <c r="C9" t="n">
        <v>1.481849</v>
      </c>
      <c r="D9" t="n">
        <v>0.7232229999999999</v>
      </c>
      <c r="E9" t="n">
        <v>1.331962</v>
      </c>
      <c r="G9" t="n">
        <v>1.812227</v>
      </c>
      <c r="I9" t="n">
        <v>0.937806</v>
      </c>
      <c r="J9" t="n">
        <v>0.646387</v>
      </c>
      <c r="K9" t="n">
        <v>2.004829</v>
      </c>
      <c r="L9" t="n">
        <v>1.239481</v>
      </c>
      <c r="M9" t="n">
        <v>2.548556</v>
      </c>
      <c r="N9" t="n">
        <v>2.186613</v>
      </c>
      <c r="O9" t="n">
        <v>0.781516</v>
      </c>
      <c r="P9" t="n">
        <v>1.121607</v>
      </c>
      <c r="R9" t="n">
        <v>0.832813</v>
      </c>
      <c r="S9" t="n">
        <v>0.838545</v>
      </c>
      <c r="T9" t="n">
        <v>2.223321</v>
      </c>
      <c r="U9" t="n">
        <v>1.22094</v>
      </c>
      <c r="V9" t="n">
        <v>1.503705</v>
      </c>
      <c r="W9" t="n">
        <v>0.937716</v>
      </c>
      <c r="X9" t="n">
        <v>0.785849</v>
      </c>
      <c r="Y9" t="n">
        <v>1.331894</v>
      </c>
      <c r="Z9" t="n">
        <v>0.87042</v>
      </c>
      <c r="AA9" t="n">
        <v>0.978504</v>
      </c>
      <c r="AB9" t="n">
        <v>0.8777</v>
      </c>
      <c r="AC9" t="n">
        <v>0.714571</v>
      </c>
      <c r="AD9" t="n">
        <v>0.838673</v>
      </c>
      <c r="AE9" t="n">
        <v>0.927467</v>
      </c>
      <c r="AF9" t="n">
        <v>1.060256</v>
      </c>
      <c r="AG9" t="n">
        <v>0.9839290000000001</v>
      </c>
      <c r="AH9" t="n">
        <v>0.648241</v>
      </c>
      <c r="AI9" t="n">
        <v>1.167516</v>
      </c>
    </row>
    <row r="10">
      <c r="A10" s="48" t="n">
        <v>45677</v>
      </c>
      <c r="B10" t="n">
        <v>1.083346</v>
      </c>
      <c r="C10" t="n">
        <v>1.509774</v>
      </c>
      <c r="D10" t="n">
        <v>0.787678</v>
      </c>
      <c r="E10" t="n">
        <v>1.339013</v>
      </c>
      <c r="G10" t="n">
        <v>1.790393</v>
      </c>
      <c r="I10" t="n">
        <v>0.957838</v>
      </c>
      <c r="J10" t="n">
        <v>0.65721</v>
      </c>
      <c r="K10" t="n">
        <v>1.95268</v>
      </c>
      <c r="L10" t="n">
        <v>1.297672</v>
      </c>
      <c r="M10" t="n">
        <v>2.656168</v>
      </c>
      <c r="N10" t="n">
        <v>2.048682</v>
      </c>
      <c r="O10" t="n">
        <v>0.779273</v>
      </c>
      <c r="P10" t="n">
        <v>1.143959</v>
      </c>
      <c r="R10" t="n">
        <v>0.863715</v>
      </c>
      <c r="S10" t="n">
        <v>0.853091</v>
      </c>
      <c r="T10" t="n">
        <v>2.281135</v>
      </c>
      <c r="U10" t="n">
        <v>1.153988</v>
      </c>
      <c r="V10" t="n">
        <v>1.511296</v>
      </c>
      <c r="W10" t="n">
        <v>0.99654</v>
      </c>
      <c r="X10" t="n">
        <v>0.803673</v>
      </c>
      <c r="Y10" t="n">
        <v>1.279195</v>
      </c>
      <c r="Z10" t="n">
        <v>0.866845</v>
      </c>
      <c r="AA10" t="n">
        <v>0.939181</v>
      </c>
      <c r="AB10" t="n">
        <v>0.890929</v>
      </c>
      <c r="AC10" t="n">
        <v>0.734531</v>
      </c>
      <c r="AD10" t="n">
        <v>0.89016</v>
      </c>
      <c r="AE10" t="n">
        <v>0.963734</v>
      </c>
      <c r="AF10" t="n">
        <v>1.063907</v>
      </c>
      <c r="AG10" t="n">
        <v>1.025</v>
      </c>
      <c r="AH10" t="n">
        <v>0.678392</v>
      </c>
      <c r="AI10" t="n">
        <v>1.231847</v>
      </c>
    </row>
    <row r="11">
      <c r="A11" s="48" t="n">
        <v>45684</v>
      </c>
      <c r="B11" t="n">
        <v>1.155834</v>
      </c>
      <c r="C11" t="n">
        <v>1.582997</v>
      </c>
      <c r="D11" t="n">
        <v>0.90237</v>
      </c>
      <c r="E11" t="n">
        <v>1.364277</v>
      </c>
      <c r="G11" t="n">
        <v>1.803493</v>
      </c>
      <c r="I11" t="n">
        <v>0.9604009999999999</v>
      </c>
      <c r="J11" t="n">
        <v>0.677025</v>
      </c>
      <c r="K11" t="n">
        <v>1.533076</v>
      </c>
      <c r="L11" t="n">
        <v>1.340868</v>
      </c>
      <c r="M11" t="n">
        <v>2.779528</v>
      </c>
      <c r="N11" t="n">
        <v>2.20876</v>
      </c>
      <c r="O11" t="n">
        <v>0.818304</v>
      </c>
      <c r="P11" t="n">
        <v>1.2186</v>
      </c>
      <c r="R11" t="n">
        <v>0.8878470000000001</v>
      </c>
      <c r="S11" t="n">
        <v>0.880364</v>
      </c>
      <c r="T11" t="n">
        <v>2.30276</v>
      </c>
      <c r="U11" t="n">
        <v>1.182269</v>
      </c>
      <c r="V11" t="n">
        <v>1.619013</v>
      </c>
      <c r="W11" t="n">
        <v>1.058823</v>
      </c>
      <c r="X11" t="n">
        <v>0.822036</v>
      </c>
      <c r="Y11" t="n">
        <v>1.173013</v>
      </c>
      <c r="Z11" t="n">
        <v>0.893655</v>
      </c>
      <c r="AA11" t="n">
        <v>0.92909</v>
      </c>
      <c r="AB11" t="n">
        <v>0.958693</v>
      </c>
      <c r="AC11" t="n">
        <v>0.740519</v>
      </c>
      <c r="AD11" t="n">
        <v>0.902746</v>
      </c>
      <c r="AE11" t="n">
        <v>0.976813</v>
      </c>
      <c r="AF11" t="n">
        <v>1.083384</v>
      </c>
      <c r="AG11" t="n">
        <v>1.064286</v>
      </c>
      <c r="AH11" t="n">
        <v>0.6934669999999999</v>
      </c>
      <c r="AI11" t="n">
        <v>1.211465</v>
      </c>
    </row>
    <row r="12">
      <c r="A12" s="48" t="n">
        <v>45691</v>
      </c>
      <c r="B12" t="n">
        <v>1.17128</v>
      </c>
      <c r="C12" t="n">
        <v>1.573069</v>
      </c>
      <c r="D12" t="n">
        <v>0.837915</v>
      </c>
      <c r="E12" t="n">
        <v>1.286134</v>
      </c>
      <c r="G12" t="n">
        <v>1.80131</v>
      </c>
      <c r="I12" t="n">
        <v>0.892616</v>
      </c>
      <c r="J12" t="n">
        <v>0.6723519999999999</v>
      </c>
      <c r="K12" t="n">
        <v>1.425398</v>
      </c>
      <c r="L12" t="n">
        <v>1.309758</v>
      </c>
      <c r="M12" t="n">
        <v>2.51706</v>
      </c>
      <c r="N12" t="n">
        <v>2.249274</v>
      </c>
      <c r="O12" t="n">
        <v>0.837147</v>
      </c>
      <c r="P12" t="n">
        <v>1.151011</v>
      </c>
      <c r="R12" t="n">
        <v>0.886979</v>
      </c>
      <c r="S12" t="n">
        <v>0.840364</v>
      </c>
      <c r="T12" t="n">
        <v>1.854271</v>
      </c>
      <c r="U12" t="n">
        <v>1.116703</v>
      </c>
      <c r="V12" t="n">
        <v>1.539671</v>
      </c>
      <c r="W12" t="n">
        <v>1.072664</v>
      </c>
      <c r="X12" t="n">
        <v>0.835539</v>
      </c>
      <c r="Y12" t="n">
        <v>1.133955</v>
      </c>
      <c r="Z12" t="n">
        <v>0.8793570000000001</v>
      </c>
      <c r="AA12" t="n">
        <v>0.9210660000000001</v>
      </c>
      <c r="AB12" t="n">
        <v>0.910097</v>
      </c>
      <c r="AC12" t="n">
        <v>0.736527</v>
      </c>
      <c r="AD12" t="n">
        <v>0.89016</v>
      </c>
      <c r="AE12" t="n">
        <v>0.979191</v>
      </c>
      <c r="AF12" t="n">
        <v>1.099209</v>
      </c>
      <c r="AG12" t="n">
        <v>1.0625</v>
      </c>
      <c r="AH12" t="n">
        <v>0.686767</v>
      </c>
      <c r="AI12" t="n">
        <v>1.211465</v>
      </c>
    </row>
    <row r="13">
      <c r="A13" s="48" t="n">
        <v>45698</v>
      </c>
      <c r="B13" t="n">
        <v>1.084875</v>
      </c>
      <c r="C13" t="n">
        <v>1.596649</v>
      </c>
      <c r="D13" t="n">
        <v>0.8322270000000001</v>
      </c>
      <c r="E13" t="n">
        <v>1.222092</v>
      </c>
      <c r="G13" t="n">
        <v>1.58952</v>
      </c>
      <c r="I13" t="n">
        <v>0.878873</v>
      </c>
      <c r="J13" t="n">
        <v>0.733984</v>
      </c>
      <c r="K13" t="n">
        <v>1.407533</v>
      </c>
      <c r="L13" t="n">
        <v>1.246867</v>
      </c>
      <c r="M13" t="n">
        <v>1.839895</v>
      </c>
      <c r="N13" t="n">
        <v>2.191272</v>
      </c>
      <c r="O13" t="n">
        <v>0.816958</v>
      </c>
      <c r="P13" t="n">
        <v>1.122006</v>
      </c>
      <c r="R13" t="n">
        <v>0.880035</v>
      </c>
      <c r="S13" t="n">
        <v>0.821818</v>
      </c>
      <c r="T13" t="n">
        <v>1.756683</v>
      </c>
      <c r="U13" t="n">
        <v>1.047674</v>
      </c>
      <c r="V13" t="n">
        <v>1.409723</v>
      </c>
      <c r="W13" t="n">
        <v>1.217993</v>
      </c>
      <c r="X13" t="n">
        <v>0.826627</v>
      </c>
      <c r="Y13" t="n">
        <v>1.110795</v>
      </c>
      <c r="Z13" t="n">
        <v>0.862913</v>
      </c>
      <c r="AA13" t="n">
        <v>0.892062</v>
      </c>
      <c r="AB13" t="n">
        <v>0.889579</v>
      </c>
      <c r="AC13" t="n">
        <v>0.772455</v>
      </c>
      <c r="AD13" t="n">
        <v>0.918764</v>
      </c>
      <c r="AE13" t="n">
        <v>1.030916</v>
      </c>
      <c r="AF13" t="n">
        <v>1.046865</v>
      </c>
      <c r="AG13" t="n">
        <v>0.989286</v>
      </c>
      <c r="AH13" t="n">
        <v>0.678392</v>
      </c>
      <c r="AI13" t="n">
        <v>1.211465</v>
      </c>
    </row>
    <row r="14">
      <c r="A14" s="48" t="n">
        <v>45705</v>
      </c>
      <c r="B14" t="n">
        <v>1.11699</v>
      </c>
      <c r="C14" t="n">
        <v>1.612163</v>
      </c>
      <c r="D14" t="n">
        <v>0.845498</v>
      </c>
      <c r="E14" t="n">
        <v>1.088719</v>
      </c>
      <c r="G14" t="n">
        <v>1.550218</v>
      </c>
      <c r="I14" t="n">
        <v>0.923131</v>
      </c>
      <c r="J14" t="n">
        <v>0.772466</v>
      </c>
      <c r="K14" t="n">
        <v>1.435056</v>
      </c>
      <c r="L14" t="n">
        <v>1.164503</v>
      </c>
      <c r="M14" t="n">
        <v>1.853018</v>
      </c>
      <c r="N14" t="n">
        <v>2.010197</v>
      </c>
      <c r="O14" t="n">
        <v>0.81965</v>
      </c>
      <c r="P14" t="n">
        <v>1.114023</v>
      </c>
      <c r="R14" t="n">
        <v>0.884549</v>
      </c>
      <c r="S14" t="n">
        <v>0.828364</v>
      </c>
      <c r="T14" t="n">
        <v>1.685177</v>
      </c>
      <c r="U14" t="n">
        <v>1.251645</v>
      </c>
      <c r="V14" t="n">
        <v>1.528646</v>
      </c>
      <c r="W14" t="n">
        <v>1.297578</v>
      </c>
      <c r="X14" t="n">
        <v>0.836889</v>
      </c>
      <c r="Y14" t="n">
        <v>1.099804</v>
      </c>
      <c r="Z14" t="n">
        <v>0.89008</v>
      </c>
      <c r="AA14" t="n">
        <v>0.84196</v>
      </c>
      <c r="AB14" t="n">
        <v>1.026728</v>
      </c>
      <c r="AC14" t="n">
        <v>0.768463</v>
      </c>
      <c r="AD14" t="n">
        <v>0.9393590000000001</v>
      </c>
      <c r="AE14" t="n">
        <v>1.012485</v>
      </c>
      <c r="AF14" t="n">
        <v>1.06269</v>
      </c>
      <c r="AG14" t="n">
        <v>0.973214</v>
      </c>
      <c r="AH14" t="n">
        <v>0.664992</v>
      </c>
      <c r="AI14" t="n">
        <v>1.192994</v>
      </c>
    </row>
    <row r="15">
      <c r="A15" s="48" t="n">
        <v>45712</v>
      </c>
      <c r="B15" t="n">
        <v>1.227711</v>
      </c>
      <c r="C15" t="n">
        <v>1.521564</v>
      </c>
      <c r="D15" t="n">
        <v>0.81327</v>
      </c>
      <c r="E15" t="n">
        <v>0.89718</v>
      </c>
      <c r="G15" t="n">
        <v>1.574236</v>
      </c>
      <c r="I15" t="n">
        <v>0.897508</v>
      </c>
      <c r="J15" t="n">
        <v>0.753389</v>
      </c>
      <c r="K15" t="n">
        <v>1.436504</v>
      </c>
      <c r="L15" t="n">
        <v>1.091092</v>
      </c>
      <c r="M15" t="n">
        <v>1.692913</v>
      </c>
      <c r="N15" t="n">
        <v>2.018639</v>
      </c>
      <c r="O15" t="n">
        <v>0.8483619999999999</v>
      </c>
      <c r="P15" t="n">
        <v>1.146487</v>
      </c>
      <c r="R15" t="n">
        <v>0.9395829999999999</v>
      </c>
      <c r="S15" t="n">
        <v>0.826909</v>
      </c>
      <c r="T15" t="n">
        <v>1.522604</v>
      </c>
      <c r="U15" t="n">
        <v>1.224749</v>
      </c>
      <c r="V15" t="n">
        <v>1.664197</v>
      </c>
      <c r="W15" t="n">
        <v>1.148789</v>
      </c>
      <c r="X15" t="n">
        <v>0.772347</v>
      </c>
      <c r="Y15" t="n">
        <v>1.002453</v>
      </c>
      <c r="Z15" t="n">
        <v>0.839678</v>
      </c>
      <c r="AA15" t="n">
        <v>0.826026</v>
      </c>
      <c r="AB15" t="n">
        <v>0.953024</v>
      </c>
      <c r="AC15" t="n">
        <v>0.774451</v>
      </c>
      <c r="AD15" t="n">
        <v>0.975973</v>
      </c>
      <c r="AE15" t="n">
        <v>1.029727</v>
      </c>
      <c r="AF15" t="n">
        <v>1.039562</v>
      </c>
      <c r="AG15" t="n">
        <v>0.944643</v>
      </c>
      <c r="AH15" t="n">
        <v>0.668342</v>
      </c>
      <c r="AI15" t="n">
        <v>1.19172</v>
      </c>
    </row>
    <row r="16">
      <c r="A16" s="48" t="n">
        <v>45719</v>
      </c>
      <c r="B16" t="n">
        <v>1.199113</v>
      </c>
      <c r="C16" t="n">
        <v>1.54018</v>
      </c>
      <c r="D16" t="n">
        <v>0.790521</v>
      </c>
      <c r="E16" t="n">
        <v>0.842538</v>
      </c>
      <c r="G16" t="n">
        <v>1.467249</v>
      </c>
      <c r="I16" t="n">
        <v>0.709294</v>
      </c>
      <c r="J16" t="n">
        <v>0.717066</v>
      </c>
      <c r="K16" t="n">
        <v>1.395944</v>
      </c>
      <c r="L16" t="n">
        <v>1.070949</v>
      </c>
      <c r="M16" t="n">
        <v>1.645669</v>
      </c>
      <c r="N16" t="n">
        <v>1.906748</v>
      </c>
      <c r="O16" t="n">
        <v>0.772992</v>
      </c>
      <c r="P16" t="n">
        <v>0.840074</v>
      </c>
      <c r="R16" t="n">
        <v>0.91875</v>
      </c>
      <c r="S16" t="n">
        <v>0.7763640000000001</v>
      </c>
      <c r="T16" t="n">
        <v>1.491415</v>
      </c>
      <c r="U16" t="n">
        <v>1.158721</v>
      </c>
      <c r="V16" t="n">
        <v>1.521055</v>
      </c>
      <c r="W16" t="n">
        <v>1.058823</v>
      </c>
      <c r="X16" t="n">
        <v>0.8044829999999999</v>
      </c>
      <c r="Y16" t="n">
        <v>0.949068</v>
      </c>
      <c r="Z16" t="n">
        <v>0.8395</v>
      </c>
      <c r="AA16" t="n">
        <v>0.839095</v>
      </c>
      <c r="AB16" t="n">
        <v>0.925756</v>
      </c>
      <c r="AC16" t="n">
        <v>0.738523</v>
      </c>
      <c r="AD16" t="n">
        <v>0.98627</v>
      </c>
      <c r="AE16" t="n">
        <v>1.071344</v>
      </c>
      <c r="AF16" t="n">
        <v>1.016433</v>
      </c>
      <c r="AG16" t="n">
        <v>0.930357</v>
      </c>
      <c r="AH16" t="n">
        <v>0.685092</v>
      </c>
      <c r="AI16" t="n">
        <v>1.171975</v>
      </c>
    </row>
    <row r="17">
      <c r="A17" s="48" t="n">
        <v>45726</v>
      </c>
      <c r="B17" t="n">
        <v>1.168374</v>
      </c>
      <c r="C17" t="n">
        <v>1.407384</v>
      </c>
      <c r="D17" t="n">
        <v>0.7156400000000001</v>
      </c>
      <c r="E17" t="n">
        <v>0.8237370000000001</v>
      </c>
      <c r="G17" t="n">
        <v>1.585153</v>
      </c>
      <c r="I17" t="n">
        <v>0.6522250000000001</v>
      </c>
      <c r="J17" t="n">
        <v>0.596917</v>
      </c>
      <c r="K17" t="n">
        <v>1.449541</v>
      </c>
      <c r="L17" t="n">
        <v>0.989928</v>
      </c>
      <c r="M17" t="n">
        <v>1.766404</v>
      </c>
      <c r="N17" t="n">
        <v>1.829779</v>
      </c>
      <c r="O17" t="n">
        <v>0.726335</v>
      </c>
      <c r="P17" t="n">
        <v>0.789915</v>
      </c>
      <c r="R17" t="n">
        <v>0.854861</v>
      </c>
      <c r="S17" t="n">
        <v>0.813091</v>
      </c>
      <c r="T17" t="n">
        <v>1.316127</v>
      </c>
      <c r="U17" t="n">
        <v>1.167032</v>
      </c>
      <c r="V17" t="n">
        <v>1.540575</v>
      </c>
      <c r="W17" t="n">
        <v>1.117647</v>
      </c>
      <c r="X17" t="n">
        <v>0.691331</v>
      </c>
      <c r="Y17" t="n">
        <v>0.7671249999999999</v>
      </c>
      <c r="Z17" t="n">
        <v>0.816086</v>
      </c>
      <c r="AA17" t="n">
        <v>0.818573</v>
      </c>
      <c r="AB17" t="n">
        <v>0.811825</v>
      </c>
      <c r="AC17" t="n">
        <v>0.818363</v>
      </c>
      <c r="AD17" t="n">
        <v>1.019451</v>
      </c>
      <c r="AE17" t="n">
        <v>1.143282</v>
      </c>
      <c r="AF17" t="n">
        <v>1.116251</v>
      </c>
      <c r="AG17" t="n">
        <v>0.966071</v>
      </c>
      <c r="AH17" t="n">
        <v>0.743719</v>
      </c>
      <c r="AI17" t="n">
        <v>1.176433</v>
      </c>
    </row>
    <row r="18">
      <c r="A18" s="48" t="n">
        <v>45733</v>
      </c>
      <c r="B18" t="n">
        <v>1.127084</v>
      </c>
      <c r="C18" t="n">
        <v>1.383804</v>
      </c>
      <c r="D18" t="n">
        <v>0.701422</v>
      </c>
      <c r="E18" t="n">
        <v>0.80141</v>
      </c>
      <c r="G18" t="n">
        <v>1.515284</v>
      </c>
      <c r="I18" t="n">
        <v>0.600047</v>
      </c>
      <c r="J18" t="n">
        <v>0.601345</v>
      </c>
      <c r="K18" t="n">
        <v>1.1183</v>
      </c>
      <c r="L18" t="n">
        <v>1.075649</v>
      </c>
      <c r="M18" t="n">
        <v>1.742782</v>
      </c>
      <c r="N18" t="n">
        <v>1.793158</v>
      </c>
      <c r="O18" t="n">
        <v>0.73755</v>
      </c>
      <c r="P18" t="n">
        <v>0.842336</v>
      </c>
      <c r="R18" t="n">
        <v>0.812847</v>
      </c>
      <c r="S18" t="n">
        <v>0.730909</v>
      </c>
      <c r="T18" t="n">
        <v>1.276679</v>
      </c>
      <c r="U18" t="n">
        <v>1.199007</v>
      </c>
      <c r="V18" t="n">
        <v>1.437556</v>
      </c>
      <c r="W18" t="n">
        <v>1.207612</v>
      </c>
      <c r="X18" t="n">
        <v>0.7696460000000001</v>
      </c>
      <c r="Y18" t="n">
        <v>0.810991</v>
      </c>
      <c r="Z18" t="n">
        <v>0.811796</v>
      </c>
      <c r="AA18" t="n">
        <v>0.852279</v>
      </c>
      <c r="AB18" t="n">
        <v>0.87257</v>
      </c>
      <c r="AC18" t="n">
        <v>0.858283</v>
      </c>
      <c r="AD18" t="n">
        <v>1.085812</v>
      </c>
      <c r="AE18" t="n">
        <v>1.178954</v>
      </c>
      <c r="AF18" t="n">
        <v>1.074863</v>
      </c>
      <c r="AG18" t="n">
        <v>1.016071</v>
      </c>
      <c r="AH18" t="n">
        <v>0.80737</v>
      </c>
      <c r="AI18" t="n">
        <v>1.222293</v>
      </c>
    </row>
    <row r="19">
      <c r="A19" s="48" t="n">
        <v>45740</v>
      </c>
      <c r="B19" t="n">
        <v>1.030586</v>
      </c>
      <c r="C19" t="n">
        <v>1.378219</v>
      </c>
      <c r="D19" t="n">
        <v>0.692891</v>
      </c>
      <c r="E19" t="n">
        <v>0.847826</v>
      </c>
      <c r="G19" t="n">
        <v>1.443231</v>
      </c>
      <c r="I19" t="n">
        <v>0.638947</v>
      </c>
      <c r="J19" t="n">
        <v>0.64513</v>
      </c>
      <c r="K19" t="n">
        <v>1.151135</v>
      </c>
      <c r="L19" t="n">
        <v>1.081468</v>
      </c>
      <c r="M19" t="n">
        <v>1.766404</v>
      </c>
      <c r="N19" t="n">
        <v>1.836303</v>
      </c>
      <c r="O19" t="n">
        <v>0.7196050000000001</v>
      </c>
      <c r="P19" t="n">
        <v>0.863757</v>
      </c>
      <c r="R19" t="n">
        <v>0.790799</v>
      </c>
      <c r="S19" t="n">
        <v>0.788</v>
      </c>
      <c r="T19" t="n">
        <v>1.354923</v>
      </c>
      <c r="U19" t="n">
        <v>1.280388</v>
      </c>
      <c r="V19" t="n">
        <v>1.409181</v>
      </c>
      <c r="W19" t="n">
        <v>1.044983</v>
      </c>
      <c r="X19" t="n">
        <v>0.795841</v>
      </c>
      <c r="Y19" t="n">
        <v>0.778606</v>
      </c>
      <c r="Z19" t="n">
        <v>0.809294</v>
      </c>
      <c r="AA19" t="n">
        <v>0.913844</v>
      </c>
      <c r="AB19" t="n">
        <v>0.906048</v>
      </c>
      <c r="AC19" t="n">
        <v>0.784431</v>
      </c>
      <c r="AD19" t="n">
        <v>0.973684</v>
      </c>
      <c r="AE19" t="n">
        <v>1.060642</v>
      </c>
      <c r="AF19" t="n">
        <v>1.096774</v>
      </c>
      <c r="AG19" t="n">
        <v>0.941071</v>
      </c>
      <c r="AH19" t="n">
        <v>0.757119</v>
      </c>
      <c r="AI19" t="n">
        <v>1.196815</v>
      </c>
    </row>
    <row r="20">
      <c r="A20" s="48" t="n">
        <v>45747</v>
      </c>
      <c r="B20" t="n">
        <v>0.970791</v>
      </c>
      <c r="C20" t="n">
        <v>1.34471</v>
      </c>
      <c r="D20" t="n">
        <v>0.701422</v>
      </c>
      <c r="E20" t="n">
        <v>0.8172739999999999</v>
      </c>
      <c r="G20" t="n">
        <v>1.364629</v>
      </c>
      <c r="I20" t="n">
        <v>0.620545</v>
      </c>
      <c r="J20" t="n">
        <v>0.603313</v>
      </c>
      <c r="K20" t="n">
        <v>1.08112</v>
      </c>
      <c r="L20" t="n">
        <v>0.98299</v>
      </c>
      <c r="M20" t="n">
        <v>1.627297</v>
      </c>
      <c r="N20" t="n">
        <v>1.551779</v>
      </c>
      <c r="O20" t="n">
        <v>0.699417</v>
      </c>
      <c r="P20" t="n">
        <v>0.8532459999999999</v>
      </c>
      <c r="R20" t="n">
        <v>0.7677079999999999</v>
      </c>
      <c r="S20" t="n">
        <v>0.749455</v>
      </c>
      <c r="T20" t="n">
        <v>1.215062</v>
      </c>
      <c r="U20" t="n">
        <v>1.225903</v>
      </c>
      <c r="V20" t="n">
        <v>1.367974</v>
      </c>
      <c r="W20" t="n">
        <v>0.9446369999999999</v>
      </c>
      <c r="X20" t="n">
        <v>0.721847</v>
      </c>
      <c r="Y20" t="n">
        <v>0.74946</v>
      </c>
      <c r="Z20" t="n">
        <v>0.787489</v>
      </c>
      <c r="AA20" t="n">
        <v>0.946862</v>
      </c>
      <c r="AB20" t="n">
        <v>0.849082</v>
      </c>
      <c r="AC20" t="n">
        <v>0.796407</v>
      </c>
      <c r="AD20" t="n">
        <v>0.910755</v>
      </c>
      <c r="AE20" t="n">
        <v>1.015458</v>
      </c>
      <c r="AF20" t="n">
        <v>1.054169</v>
      </c>
      <c r="AG20" t="n">
        <v>0.905357</v>
      </c>
      <c r="AH20" t="n">
        <v>0.742044</v>
      </c>
      <c r="AI20" t="n">
        <v>1.176433</v>
      </c>
    </row>
    <row r="21">
      <c r="A21" s="48" t="n">
        <v>45754</v>
      </c>
      <c r="B21" t="n">
        <v>0.850436</v>
      </c>
      <c r="C21" t="n">
        <v>1.156376</v>
      </c>
      <c r="D21" t="n">
        <v>0.614218</v>
      </c>
      <c r="E21" t="n">
        <v>0.653937</v>
      </c>
      <c r="G21" t="n">
        <v>1.144105</v>
      </c>
      <c r="I21" t="n">
        <v>0.518519</v>
      </c>
      <c r="J21" t="n">
        <v>0.52796</v>
      </c>
      <c r="K21" t="n">
        <v>0.902945</v>
      </c>
      <c r="L21" t="n">
        <v>0.916965</v>
      </c>
      <c r="M21" t="n">
        <v>1.283465</v>
      </c>
      <c r="N21" t="n">
        <v>1.452771</v>
      </c>
      <c r="O21" t="n">
        <v>0.605653</v>
      </c>
      <c r="P21" t="n">
        <v>0.746142</v>
      </c>
      <c r="R21" t="n">
        <v>0.679688</v>
      </c>
      <c r="S21" t="n">
        <v>0.68</v>
      </c>
      <c r="T21" t="n">
        <v>1.153336</v>
      </c>
      <c r="U21" t="n">
        <v>1.106199</v>
      </c>
      <c r="V21" t="n">
        <v>1.18471</v>
      </c>
      <c r="W21" t="n">
        <v>0.809689</v>
      </c>
      <c r="X21" t="n">
        <v>0.609506</v>
      </c>
      <c r="Y21" t="n">
        <v>0.713543</v>
      </c>
      <c r="Z21" t="n">
        <v>0.744415</v>
      </c>
      <c r="AA21" t="n">
        <v>0.867986</v>
      </c>
      <c r="AB21" t="n">
        <v>0.7221919999999999</v>
      </c>
      <c r="AC21" t="n">
        <v>0.732535</v>
      </c>
      <c r="AD21" t="n">
        <v>0.798627</v>
      </c>
      <c r="AE21" t="n">
        <v>0.897741</v>
      </c>
      <c r="AF21" t="n">
        <v>0.8423620000000001</v>
      </c>
      <c r="AG21" t="n">
        <v>0.801786</v>
      </c>
      <c r="AH21" t="n">
        <v>0.6834170000000001</v>
      </c>
      <c r="AI21" t="n">
        <v>1.073248</v>
      </c>
    </row>
    <row r="22">
      <c r="A22" s="48" t="n">
        <v>45761</v>
      </c>
      <c r="B22" t="n">
        <v>0.847377</v>
      </c>
      <c r="C22" t="n">
        <v>1.255352</v>
      </c>
      <c r="D22" t="n">
        <v>0.649289</v>
      </c>
      <c r="E22" t="n">
        <v>0.649824</v>
      </c>
      <c r="G22" t="n">
        <v>1.187773</v>
      </c>
      <c r="I22" t="n">
        <v>0.489401</v>
      </c>
      <c r="J22" t="n">
        <v>0.55141</v>
      </c>
      <c r="K22" t="n">
        <v>0.945437</v>
      </c>
      <c r="L22" t="n">
        <v>0.966204</v>
      </c>
      <c r="M22" t="n">
        <v>1.309711</v>
      </c>
      <c r="N22" t="n">
        <v>1.424045</v>
      </c>
      <c r="O22" t="n">
        <v>0.671153</v>
      </c>
      <c r="P22" t="n">
        <v>0.745609</v>
      </c>
      <c r="R22" t="n">
        <v>0.721007</v>
      </c>
      <c r="S22" t="n">
        <v>0.7</v>
      </c>
      <c r="T22" t="n">
        <v>1.164421</v>
      </c>
      <c r="U22" t="n">
        <v>1.048136</v>
      </c>
      <c r="V22" t="n">
        <v>1.220857</v>
      </c>
      <c r="W22" t="n">
        <v>0.785467</v>
      </c>
      <c r="X22" t="n">
        <v>0.614367</v>
      </c>
      <c r="Y22" t="n">
        <v>0.714917</v>
      </c>
      <c r="Z22" t="n">
        <v>0.811618</v>
      </c>
      <c r="AA22" t="n">
        <v>0.929551</v>
      </c>
      <c r="AB22" t="n">
        <v>0.772003</v>
      </c>
      <c r="AC22" t="n">
        <v>0.794411</v>
      </c>
      <c r="AD22" t="n">
        <v>0.885584</v>
      </c>
      <c r="AE22" t="n">
        <v>1.017836</v>
      </c>
      <c r="AF22" t="n">
        <v>0.856969</v>
      </c>
      <c r="AG22" t="n">
        <v>0.8696430000000001</v>
      </c>
      <c r="AH22" t="n">
        <v>0.715243</v>
      </c>
      <c r="AI22" t="n">
        <v>1.129299</v>
      </c>
    </row>
    <row r="23">
      <c r="A23" s="48" t="n">
        <v>45768</v>
      </c>
      <c r="B23" t="n">
        <v>0.858235</v>
      </c>
      <c r="C23" t="n">
        <v>1.232702</v>
      </c>
      <c r="D23" t="n">
        <v>0.664455</v>
      </c>
      <c r="E23" t="n">
        <v>0.673325</v>
      </c>
      <c r="G23" t="n">
        <v>1.253275</v>
      </c>
      <c r="I23" t="n">
        <v>0.465642</v>
      </c>
      <c r="J23" t="n">
        <v>0.557669</v>
      </c>
      <c r="K23" t="n">
        <v>0.995654</v>
      </c>
      <c r="L23" t="n">
        <v>0.924575</v>
      </c>
      <c r="M23" t="n">
        <v>1.194226</v>
      </c>
      <c r="N23" t="n">
        <v>1.391974</v>
      </c>
      <c r="O23" t="n">
        <v>0.673845</v>
      </c>
      <c r="P23" t="n">
        <v>0.762773</v>
      </c>
      <c r="R23" t="n">
        <v>0.708681</v>
      </c>
      <c r="S23" t="n">
        <v>0.694182</v>
      </c>
      <c r="T23" t="n">
        <v>1.125299</v>
      </c>
      <c r="U23" t="n">
        <v>1.032668</v>
      </c>
      <c r="V23" t="n">
        <v>1.140069</v>
      </c>
      <c r="W23" t="n">
        <v>0.761246</v>
      </c>
      <c r="X23" t="n">
        <v>0.584931</v>
      </c>
      <c r="Y23" t="n">
        <v>0.714131</v>
      </c>
      <c r="Z23" t="n">
        <v>0.826631</v>
      </c>
      <c r="AA23" t="n">
        <v>0.929207</v>
      </c>
      <c r="AB23" t="n">
        <v>0.75054</v>
      </c>
      <c r="AC23" t="n">
        <v>0.778443</v>
      </c>
      <c r="AD23" t="n">
        <v>0.854691</v>
      </c>
      <c r="AE23" t="n">
        <v>1.068966</v>
      </c>
      <c r="AF23" t="n">
        <v>0.819233</v>
      </c>
      <c r="AG23" t="n">
        <v>0.875</v>
      </c>
      <c r="AH23" t="n">
        <v>0.705193</v>
      </c>
      <c r="AI23" t="n">
        <v>1.108917</v>
      </c>
    </row>
    <row r="24">
      <c r="A24" s="48" t="n">
        <v>45775</v>
      </c>
      <c r="B24" t="n">
        <v>0.876434</v>
      </c>
      <c r="C24" t="n">
        <v>1.349054</v>
      </c>
      <c r="D24" t="n">
        <v>0.746919</v>
      </c>
      <c r="E24" t="n">
        <v>0.762632</v>
      </c>
      <c r="G24" t="n">
        <v>1.264192</v>
      </c>
      <c r="I24" t="n">
        <v>0.487305</v>
      </c>
      <c r="J24" t="n">
        <v>0.60662</v>
      </c>
      <c r="K24" t="n">
        <v>1.106229</v>
      </c>
      <c r="L24" t="n">
        <v>1.042748</v>
      </c>
      <c r="M24" t="n">
        <v>1.341207</v>
      </c>
      <c r="N24" t="n">
        <v>1.472068</v>
      </c>
      <c r="O24" t="n">
        <v>0.712427</v>
      </c>
      <c r="P24" t="n">
        <v>0.810937</v>
      </c>
      <c r="R24" t="n">
        <v>0.740625</v>
      </c>
      <c r="S24" t="n">
        <v>0.7807269999999999</v>
      </c>
      <c r="T24" t="n">
        <v>1.186155</v>
      </c>
      <c r="U24" t="n">
        <v>1.110816</v>
      </c>
      <c r="V24" t="n">
        <v>1.156696</v>
      </c>
      <c r="W24" t="n">
        <v>0.823529</v>
      </c>
      <c r="X24" t="n">
        <v>0.6551439999999999</v>
      </c>
      <c r="Y24" t="n">
        <v>0.693523</v>
      </c>
      <c r="Z24" t="n">
        <v>0.857194</v>
      </c>
      <c r="AA24" t="n">
        <v>0.937575</v>
      </c>
      <c r="AB24" t="n">
        <v>0.837473</v>
      </c>
      <c r="AC24" t="n">
        <v>0.8203589999999999</v>
      </c>
      <c r="AD24" t="n">
        <v>0.858124</v>
      </c>
      <c r="AE24" t="n">
        <v>1.087396</v>
      </c>
      <c r="AF24" t="n">
        <v>0.854534</v>
      </c>
      <c r="AG24" t="n">
        <v>0.935714</v>
      </c>
      <c r="AH24" t="n">
        <v>0.715243</v>
      </c>
      <c r="AI24" t="n">
        <v>1.090446</v>
      </c>
    </row>
    <row r="25">
      <c r="A25" s="48" t="n">
        <v>45782</v>
      </c>
      <c r="B25" t="n">
        <v>0.877045</v>
      </c>
      <c r="C25" t="n">
        <v>1.287</v>
      </c>
      <c r="D25" t="n">
        <v>0.76872</v>
      </c>
      <c r="E25" t="n">
        <v>0.835488</v>
      </c>
      <c r="G25" t="n">
        <v>1.28821</v>
      </c>
      <c r="I25" t="n">
        <v>0.481714</v>
      </c>
      <c r="J25" t="n">
        <v>0.649967</v>
      </c>
      <c r="K25" t="n">
        <v>1.149686</v>
      </c>
      <c r="L25" t="n">
        <v>1.094226</v>
      </c>
      <c r="M25" t="n">
        <v>1.338583</v>
      </c>
      <c r="N25" t="n">
        <v>1.527054</v>
      </c>
      <c r="O25" t="n">
        <v>0.7308210000000001</v>
      </c>
      <c r="P25" t="n">
        <v>0.844199</v>
      </c>
      <c r="R25" t="n">
        <v>0.829514</v>
      </c>
      <c r="S25" t="n">
        <v>0.831636</v>
      </c>
      <c r="T25" t="n">
        <v>1.285916</v>
      </c>
      <c r="U25" t="n">
        <v>1.163454</v>
      </c>
      <c r="V25" t="n">
        <v>1.12308</v>
      </c>
      <c r="W25" t="n">
        <v>0.986159</v>
      </c>
      <c r="X25" t="n">
        <v>0.694572</v>
      </c>
      <c r="Y25" t="n">
        <v>0.6814519999999999</v>
      </c>
      <c r="Z25" t="n">
        <v>0.85773</v>
      </c>
      <c r="AA25" t="n">
        <v>0.933218</v>
      </c>
      <c r="AB25" t="n">
        <v>0.87014</v>
      </c>
      <c r="AC25" t="n">
        <v>0.810379</v>
      </c>
      <c r="AD25" t="n">
        <v>0.871854</v>
      </c>
      <c r="AE25" t="n">
        <v>1.104637</v>
      </c>
      <c r="AF25" t="n">
        <v>0.855752</v>
      </c>
      <c r="AG25" t="n">
        <v>0.9375</v>
      </c>
      <c r="AH25" t="n">
        <v>0.695142</v>
      </c>
      <c r="AI25" t="n">
        <v>1.049682</v>
      </c>
    </row>
    <row r="26">
      <c r="A26" s="48" t="n">
        <v>45789</v>
      </c>
      <c r="B26" t="n">
        <v>0.957027</v>
      </c>
      <c r="C26" t="n">
        <v>1.345951</v>
      </c>
      <c r="D26" t="n">
        <v>0.8094789999999999</v>
      </c>
      <c r="E26" t="n">
        <v>0.979436</v>
      </c>
      <c r="G26" t="n">
        <v>1.355895</v>
      </c>
      <c r="I26" t="n">
        <v>0.615188</v>
      </c>
      <c r="J26" t="n">
        <v>0.722942</v>
      </c>
      <c r="K26" t="n">
        <v>1.160309</v>
      </c>
      <c r="L26" t="n">
        <v>1.148389</v>
      </c>
      <c r="M26" t="n">
        <v>1.577428</v>
      </c>
      <c r="N26" t="n">
        <v>1.667672</v>
      </c>
      <c r="O26" t="n">
        <v>0.7958730000000001</v>
      </c>
      <c r="P26" t="n">
        <v>0.966738</v>
      </c>
      <c r="R26" t="n">
        <v>0.840625</v>
      </c>
      <c r="S26" t="n">
        <v>0.901818</v>
      </c>
      <c r="T26" t="n">
        <v>1.370137</v>
      </c>
      <c r="U26" t="n">
        <v>1.371927</v>
      </c>
      <c r="V26" t="n">
        <v>1.257726</v>
      </c>
      <c r="W26" t="n">
        <v>1.346021</v>
      </c>
      <c r="X26" t="n">
        <v>0.811234</v>
      </c>
      <c r="Y26" t="n">
        <v>0.7671249999999999</v>
      </c>
      <c r="Z26" t="n">
        <v>0.869705</v>
      </c>
      <c r="AA26" t="n">
        <v>0.947549</v>
      </c>
      <c r="AB26" t="n">
        <v>0.910367</v>
      </c>
      <c r="AC26" t="n">
        <v>0.816367</v>
      </c>
      <c r="AD26" t="n">
        <v>0.894737</v>
      </c>
      <c r="AE26" t="n">
        <v>1.12604</v>
      </c>
      <c r="AF26" t="n">
        <v>1.005478</v>
      </c>
      <c r="AG26" t="n">
        <v>0.998214</v>
      </c>
      <c r="AH26" t="n">
        <v>0.730318</v>
      </c>
      <c r="AI26" t="n">
        <v>1.06242</v>
      </c>
    </row>
    <row r="27">
      <c r="A27" s="48" t="n">
        <v>45796</v>
      </c>
      <c r="B27" t="n">
        <v>0.949381</v>
      </c>
      <c r="C27" t="n">
        <v>1.354639</v>
      </c>
      <c r="D27" t="n">
        <v>0.81327</v>
      </c>
      <c r="E27" t="n">
        <v>1.002938</v>
      </c>
      <c r="G27" t="n">
        <v>1.430131</v>
      </c>
      <c r="I27" t="n">
        <v>0.60028</v>
      </c>
      <c r="J27" t="n">
        <v>0.75891</v>
      </c>
      <c r="K27" t="n">
        <v>1.124578</v>
      </c>
      <c r="L27" t="n">
        <v>1.342659</v>
      </c>
      <c r="M27" t="n">
        <v>1.493438</v>
      </c>
      <c r="N27" t="n">
        <v>1.774574</v>
      </c>
      <c r="O27" t="n">
        <v>0.788694</v>
      </c>
      <c r="P27" t="n">
        <v>0.97645</v>
      </c>
      <c r="R27" t="n">
        <v>0.869965</v>
      </c>
      <c r="S27" t="n">
        <v>1.016727</v>
      </c>
      <c r="T27" t="n">
        <v>1.38459</v>
      </c>
      <c r="U27" t="n">
        <v>1.324368</v>
      </c>
      <c r="V27" t="n">
        <v>1.186517</v>
      </c>
      <c r="W27" t="n">
        <v>1.148789</v>
      </c>
      <c r="X27" t="n">
        <v>0.847691</v>
      </c>
      <c r="Y27" t="n">
        <v>0.766045</v>
      </c>
      <c r="Z27" t="n">
        <v>0.866309</v>
      </c>
      <c r="AA27" t="n">
        <v>0.985727</v>
      </c>
      <c r="AB27" t="n">
        <v>0.87014</v>
      </c>
      <c r="AC27" t="n">
        <v>0.914172</v>
      </c>
      <c r="AD27" t="n">
        <v>0.8627</v>
      </c>
      <c r="AE27" t="n">
        <v>1.073127</v>
      </c>
      <c r="AF27" t="n">
        <v>1.005478</v>
      </c>
      <c r="AG27" t="n">
        <v>1</v>
      </c>
      <c r="AH27" t="n">
        <v>0.7169180000000001</v>
      </c>
      <c r="AI27" t="n">
        <v>1.045223</v>
      </c>
    </row>
    <row r="28">
      <c r="A28" s="48" t="n">
        <v>45803</v>
      </c>
      <c r="B28" t="n">
        <v>0.9178770000000001</v>
      </c>
      <c r="C28" t="n">
        <v>1.357121</v>
      </c>
      <c r="D28" t="n">
        <v>0.797156</v>
      </c>
      <c r="E28" t="n">
        <v>0.961222</v>
      </c>
      <c r="G28" t="n">
        <v>1.460699</v>
      </c>
      <c r="I28" t="n">
        <v>0.571861</v>
      </c>
      <c r="J28" t="n">
        <v>0.749098</v>
      </c>
      <c r="K28" t="n">
        <v>1.07774</v>
      </c>
      <c r="L28" t="n">
        <v>1.307968</v>
      </c>
      <c r="M28" t="n">
        <v>1.43832</v>
      </c>
      <c r="N28" t="n">
        <v>1.703635</v>
      </c>
      <c r="O28" t="n">
        <v>0.7958730000000001</v>
      </c>
      <c r="P28" t="n">
        <v>0.926291</v>
      </c>
      <c r="R28" t="n">
        <v>0.850868</v>
      </c>
      <c r="S28" t="n">
        <v>1.034909</v>
      </c>
      <c r="T28" t="n">
        <v>1.098131</v>
      </c>
      <c r="U28" t="n">
        <v>1.250029</v>
      </c>
      <c r="V28" t="n">
        <v>1.153081</v>
      </c>
      <c r="W28" t="n">
        <v>1.055363</v>
      </c>
      <c r="X28" t="n">
        <v>1.00027</v>
      </c>
      <c r="Y28" t="n">
        <v>0.7180569999999999</v>
      </c>
      <c r="Z28" t="n">
        <v>0.8428949999999999</v>
      </c>
      <c r="AA28" t="n">
        <v>0.948237</v>
      </c>
      <c r="AB28" t="n">
        <v>0.917927</v>
      </c>
      <c r="AC28" t="n">
        <v>0.884231</v>
      </c>
      <c r="AD28" t="n">
        <v>0.861556</v>
      </c>
      <c r="AE28" t="n">
        <v>1.096908</v>
      </c>
      <c r="AF28" t="n">
        <v>0.8849669999999999</v>
      </c>
      <c r="AG28" t="n">
        <v>1.035714</v>
      </c>
      <c r="AH28" t="n">
        <v>0.711893</v>
      </c>
      <c r="AI28" t="n">
        <v>1.034395</v>
      </c>
    </row>
    <row r="29">
      <c r="A29" s="48" t="n">
        <v>45810</v>
      </c>
      <c r="B29" t="n">
        <v>0.941581</v>
      </c>
      <c r="C29" t="n">
        <v>1.353398</v>
      </c>
      <c r="D29" t="n">
        <v>0.806635</v>
      </c>
      <c r="E29" t="n">
        <v>0.975911</v>
      </c>
      <c r="G29" t="n">
        <v>1.421397</v>
      </c>
      <c r="I29" t="n">
        <v>0.564873</v>
      </c>
      <c r="J29" t="n">
        <v>0.754154</v>
      </c>
      <c r="K29" t="n">
        <v>1.090295</v>
      </c>
      <c r="L29" t="n">
        <v>1.323635</v>
      </c>
      <c r="M29" t="n">
        <v>1.325459</v>
      </c>
      <c r="N29" t="n">
        <v>1.770462</v>
      </c>
      <c r="O29" t="n">
        <v>0.766711</v>
      </c>
      <c r="P29" t="n">
        <v>0.925625</v>
      </c>
      <c r="R29" t="n">
        <v>0.810069</v>
      </c>
      <c r="S29" t="n">
        <v>0.815636</v>
      </c>
      <c r="T29" t="n">
        <v>1.141165</v>
      </c>
      <c r="U29" t="n">
        <v>1.170726</v>
      </c>
      <c r="V29" t="n">
        <v>1.107356</v>
      </c>
      <c r="W29" t="n">
        <v>0.99308</v>
      </c>
      <c r="X29" t="n">
        <v>0.994059</v>
      </c>
      <c r="Y29" t="n">
        <v>0.7687929999999999</v>
      </c>
      <c r="Z29" t="n">
        <v>0.854334</v>
      </c>
      <c r="AA29" t="n">
        <v>0.943192</v>
      </c>
      <c r="AB29" t="n">
        <v>0.9611229999999999</v>
      </c>
      <c r="AC29" t="n">
        <v>0.860279</v>
      </c>
      <c r="AD29" t="n">
        <v>0.851259</v>
      </c>
      <c r="AE29" t="n">
        <v>1.12069</v>
      </c>
      <c r="AF29" t="n">
        <v>0.872794</v>
      </c>
      <c r="AG29" t="n">
        <v>1.042857</v>
      </c>
      <c r="AH29" t="n">
        <v>0.7269679999999999</v>
      </c>
      <c r="AI29" t="n">
        <v>1.038854</v>
      </c>
    </row>
    <row r="30">
      <c r="A30" s="48" t="n">
        <v>45817</v>
      </c>
      <c r="B30" t="n">
        <v>0.946781</v>
      </c>
      <c r="C30" t="n">
        <v>1.324853</v>
      </c>
      <c r="D30" t="n">
        <v>0.818957</v>
      </c>
      <c r="E30" t="n">
        <v>1.094595</v>
      </c>
      <c r="G30" t="n">
        <v>1.473799</v>
      </c>
      <c r="I30" t="n">
        <v>0.607966</v>
      </c>
      <c r="J30" t="n">
        <v>0.7388209999999999</v>
      </c>
      <c r="K30" t="n">
        <v>1.092709</v>
      </c>
      <c r="L30" t="n">
        <v>1.263653</v>
      </c>
      <c r="M30" t="n">
        <v>1.472441</v>
      </c>
      <c r="N30" t="n">
        <v>1.420098</v>
      </c>
      <c r="O30" t="n">
        <v>0.786003</v>
      </c>
      <c r="P30" t="n">
        <v>0.9083290000000001</v>
      </c>
      <c r="R30" t="n">
        <v>0.831076</v>
      </c>
      <c r="S30" t="n">
        <v>0.809091</v>
      </c>
      <c r="T30" t="n">
        <v>1.205282</v>
      </c>
      <c r="U30" t="n">
        <v>1.180192</v>
      </c>
      <c r="V30" t="n">
        <v>1.125068</v>
      </c>
      <c r="W30" t="n">
        <v>0.968858</v>
      </c>
      <c r="X30" t="n">
        <v>1.017283</v>
      </c>
      <c r="Y30" t="n">
        <v>0.804514</v>
      </c>
      <c r="Z30" t="n">
        <v>0.8745309999999999</v>
      </c>
      <c r="AA30" t="n">
        <v>0.9887089999999999</v>
      </c>
      <c r="AB30" t="n">
        <v>0.952214</v>
      </c>
      <c r="AC30" t="n">
        <v>0.902196</v>
      </c>
      <c r="AD30" t="n">
        <v>0.897025</v>
      </c>
      <c r="AE30" t="n">
        <v>1.149822</v>
      </c>
      <c r="AF30" t="n">
        <v>0.858186</v>
      </c>
      <c r="AG30" t="n">
        <v>1.016071</v>
      </c>
      <c r="AH30" t="n">
        <v>0.757119</v>
      </c>
      <c r="AI30" t="n">
        <v>1.072611</v>
      </c>
    </row>
    <row r="31">
      <c r="A31" s="48" t="n">
        <v>45824</v>
      </c>
      <c r="B31" t="n">
        <v>0.946628</v>
      </c>
      <c r="C31" t="n">
        <v>1.249147</v>
      </c>
      <c r="D31" t="n">
        <v>0.856872</v>
      </c>
      <c r="E31" t="n">
        <v>1.050529</v>
      </c>
      <c r="G31" t="n">
        <v>1.449782</v>
      </c>
      <c r="I31" t="n">
        <v>0.564407</v>
      </c>
      <c r="J31" t="n">
        <v>0.7388209999999999</v>
      </c>
      <c r="K31" t="n">
        <v>1.046837</v>
      </c>
      <c r="L31" t="n">
        <v>1.186437</v>
      </c>
      <c r="M31" t="n">
        <v>1.51706</v>
      </c>
      <c r="N31" t="n">
        <v>1.322789</v>
      </c>
      <c r="O31" t="n">
        <v>0.787349</v>
      </c>
      <c r="P31" t="n">
        <v>0.856706</v>
      </c>
      <c r="R31" t="n">
        <v>0.8309029999999999</v>
      </c>
      <c r="S31" t="n">
        <v>0.769455</v>
      </c>
      <c r="T31" t="n">
        <v>1.126168</v>
      </c>
      <c r="U31" t="n">
        <v>1.180192</v>
      </c>
      <c r="V31" t="n">
        <v>1.114585</v>
      </c>
      <c r="W31" t="n">
        <v>1.044983</v>
      </c>
      <c r="X31" t="n">
        <v>1.00243</v>
      </c>
      <c r="Y31" t="n">
        <v>0.736016</v>
      </c>
      <c r="Z31" t="n">
        <v>0.838248</v>
      </c>
      <c r="AA31" t="n">
        <v>0.938721</v>
      </c>
      <c r="AB31" t="n">
        <v>0.917927</v>
      </c>
      <c r="AC31" t="n">
        <v>0.93014</v>
      </c>
      <c r="AD31" t="n">
        <v>0.874142</v>
      </c>
      <c r="AE31" t="n">
        <v>1.121879</v>
      </c>
      <c r="AF31" t="n">
        <v>0.853317</v>
      </c>
      <c r="AG31" t="n">
        <v>0.991071</v>
      </c>
      <c r="AH31" t="n">
        <v>0.765494</v>
      </c>
      <c r="AI31" t="n">
        <v>1.038854</v>
      </c>
    </row>
    <row r="32">
      <c r="A32" s="48" t="n">
        <v>45831</v>
      </c>
      <c r="B32" t="n">
        <v>0.9295</v>
      </c>
      <c r="C32" t="n">
        <v>1.222153</v>
      </c>
      <c r="D32" t="n">
        <v>0.828436</v>
      </c>
      <c r="E32" t="n">
        <v>1.018801</v>
      </c>
      <c r="G32" t="n">
        <v>1.5</v>
      </c>
      <c r="I32" t="n">
        <v>0.557419</v>
      </c>
      <c r="J32" t="n">
        <v>0.7394500000000001</v>
      </c>
      <c r="K32" t="n">
        <v>1.0169</v>
      </c>
      <c r="L32" t="n">
        <v>1.18778</v>
      </c>
      <c r="M32" t="n">
        <v>1.385827</v>
      </c>
      <c r="N32" t="n">
        <v>1.236555</v>
      </c>
      <c r="O32" t="n">
        <v>0.807986</v>
      </c>
      <c r="P32" t="n">
        <v>0.8595</v>
      </c>
      <c r="R32" t="n">
        <v>0.819792</v>
      </c>
      <c r="S32" t="n">
        <v>0.779273</v>
      </c>
      <c r="T32" t="n">
        <v>1.091502</v>
      </c>
      <c r="U32" t="n">
        <v>1.123976</v>
      </c>
      <c r="V32" t="n">
        <v>1.089282</v>
      </c>
      <c r="W32" t="n">
        <v>0.878893</v>
      </c>
      <c r="X32" t="n">
        <v>1.00243</v>
      </c>
      <c r="Y32" t="n">
        <v>0.753288</v>
      </c>
      <c r="Z32" t="n">
        <v>0.828597</v>
      </c>
      <c r="AA32" t="n">
        <v>0.904444</v>
      </c>
      <c r="AB32" t="n">
        <v>0.909287</v>
      </c>
      <c r="AC32" t="n">
        <v>0.934132</v>
      </c>
      <c r="AD32" t="n">
        <v>0.90389</v>
      </c>
      <c r="AE32" t="n">
        <v>1.081451</v>
      </c>
      <c r="AF32" t="n">
        <v>0.839927</v>
      </c>
      <c r="AG32" t="n">
        <v>0.982143</v>
      </c>
      <c r="AH32" t="n">
        <v>0.775544</v>
      </c>
      <c r="AI32" t="n">
        <v>0.994268</v>
      </c>
    </row>
    <row r="33">
      <c r="A33" s="48" t="n">
        <v>45838</v>
      </c>
      <c r="B33" t="n">
        <v>1.086405</v>
      </c>
      <c r="C33" t="n">
        <v>1.228359</v>
      </c>
      <c r="D33" t="n">
        <v>0.810427</v>
      </c>
      <c r="E33" t="n">
        <v>1.06228</v>
      </c>
      <c r="G33" t="n">
        <v>1.491266</v>
      </c>
      <c r="I33" t="n">
        <v>0.558584</v>
      </c>
      <c r="J33" t="n">
        <v>0.749645</v>
      </c>
      <c r="K33" t="n">
        <v>1.119266</v>
      </c>
      <c r="L33" t="n">
        <v>1.164951</v>
      </c>
      <c r="M33" t="n">
        <v>1.417323</v>
      </c>
      <c r="N33" t="n">
        <v>1.30245</v>
      </c>
      <c r="O33" t="n">
        <v>0.82952</v>
      </c>
      <c r="P33" t="n">
        <v>0.877727</v>
      </c>
      <c r="R33" t="n">
        <v>0.854861</v>
      </c>
      <c r="S33" t="n">
        <v>0.793091</v>
      </c>
      <c r="T33" t="n">
        <v>1.120083</v>
      </c>
      <c r="U33" t="n">
        <v>1.16911</v>
      </c>
      <c r="V33" t="n">
        <v>1.103922</v>
      </c>
      <c r="W33" t="n">
        <v>0.865052</v>
      </c>
      <c r="X33" t="n">
        <v>1.046719</v>
      </c>
      <c r="Y33" t="n">
        <v>0.813052</v>
      </c>
      <c r="Z33" t="n">
        <v>0.885076</v>
      </c>
      <c r="AA33" t="n">
        <v>0.930583</v>
      </c>
      <c r="AB33" t="n">
        <v>0.993521</v>
      </c>
      <c r="AC33" t="n">
        <v>0.926148</v>
      </c>
      <c r="AD33" t="n">
        <v>0.967963</v>
      </c>
      <c r="AE33" t="n">
        <v>1.123662</v>
      </c>
      <c r="AF33" t="n">
        <v>0.882532</v>
      </c>
      <c r="AG33" t="n">
        <v>1.005357</v>
      </c>
      <c r="AH33" t="n">
        <v>0.835846</v>
      </c>
      <c r="AI33" t="n">
        <v>1.022293</v>
      </c>
    </row>
    <row r="34">
      <c r="A34" s="48" t="n">
        <v>45845</v>
      </c>
      <c r="B34" t="n">
        <v>1.170362</v>
      </c>
      <c r="C34" t="n">
        <v>1.29879</v>
      </c>
      <c r="D34" t="n">
        <v>0.852133</v>
      </c>
      <c r="E34" t="n">
        <v>1.148061</v>
      </c>
      <c r="G34" t="n">
        <v>1.524017</v>
      </c>
      <c r="I34" t="n">
        <v>0.5823430000000001</v>
      </c>
      <c r="J34" t="n">
        <v>0.781158</v>
      </c>
      <c r="K34" t="n">
        <v>1.104297</v>
      </c>
      <c r="L34" t="n">
        <v>1.216652</v>
      </c>
      <c r="M34" t="n">
        <v>1.501312</v>
      </c>
      <c r="N34" t="n">
        <v>1.302396</v>
      </c>
      <c r="O34" t="n">
        <v>0.877075</v>
      </c>
      <c r="P34" t="n">
        <v>0.943188</v>
      </c>
      <c r="R34" t="n">
        <v>0.883333</v>
      </c>
      <c r="S34" t="n">
        <v>0.824</v>
      </c>
      <c r="T34" t="n">
        <v>1.149207</v>
      </c>
      <c r="U34" t="n">
        <v>1.227635</v>
      </c>
      <c r="V34" t="n">
        <v>1.137719</v>
      </c>
      <c r="W34" t="n">
        <v>0.885813</v>
      </c>
      <c r="X34" t="n">
        <v>1.034567</v>
      </c>
      <c r="Y34" t="n">
        <v>0.871246</v>
      </c>
      <c r="Z34" t="n">
        <v>0.8500450000000001</v>
      </c>
      <c r="AA34" t="n">
        <v>0.910291</v>
      </c>
      <c r="AB34" t="n">
        <v>1.00135</v>
      </c>
      <c r="AC34" t="n">
        <v>0.896208</v>
      </c>
      <c r="AD34" t="n">
        <v>0.9553779999999999</v>
      </c>
      <c r="AE34" t="n">
        <v>1.082045</v>
      </c>
      <c r="AF34" t="n">
        <v>0.908095</v>
      </c>
      <c r="AG34" t="n">
        <v>0.971429</v>
      </c>
      <c r="AH34" t="n">
        <v>0.8626470000000001</v>
      </c>
      <c r="AI34" t="n">
        <v>1.012739</v>
      </c>
    </row>
    <row r="35">
      <c r="A35" s="48" t="n">
        <v>45852</v>
      </c>
      <c r="B35" t="n">
        <v>1.104909</v>
      </c>
      <c r="C35" t="n">
        <v>1.282035</v>
      </c>
      <c r="D35" t="n">
        <v>0.8341229999999999</v>
      </c>
      <c r="E35" t="n">
        <v>1.135723</v>
      </c>
      <c r="G35" t="n">
        <v>1.526201</v>
      </c>
      <c r="I35" t="n">
        <v>0.578616</v>
      </c>
      <c r="J35" t="n">
        <v>0.789849</v>
      </c>
      <c r="K35" t="n">
        <v>1.069049</v>
      </c>
      <c r="L35" t="n">
        <v>1.192032</v>
      </c>
      <c r="M35" t="n">
        <v>1.480315</v>
      </c>
      <c r="N35" t="n">
        <v>1.254811</v>
      </c>
      <c r="O35" t="n">
        <v>0.958726</v>
      </c>
      <c r="P35" t="n">
        <v>0.885045</v>
      </c>
      <c r="R35" t="n">
        <v>0.884201</v>
      </c>
      <c r="S35" t="n">
        <v>0.779273</v>
      </c>
      <c r="T35" t="n">
        <v>1.069115</v>
      </c>
      <c r="U35" t="n">
        <v>1.177537</v>
      </c>
      <c r="V35" t="n">
        <v>1.092355</v>
      </c>
      <c r="W35" t="n">
        <v>0.896194</v>
      </c>
      <c r="X35" t="n">
        <v>1.05347</v>
      </c>
      <c r="Y35" t="n">
        <v>0.903827</v>
      </c>
      <c r="Z35" t="n">
        <v>0.788919</v>
      </c>
      <c r="AA35" t="n">
        <v>0.920378</v>
      </c>
      <c r="AB35" t="n">
        <v>0.977322</v>
      </c>
      <c r="AC35" t="n">
        <v>0.848303</v>
      </c>
      <c r="AD35" t="n">
        <v>0.918764</v>
      </c>
      <c r="AE35" t="n">
        <v>1.054697</v>
      </c>
      <c r="AF35" t="n">
        <v>0.880097</v>
      </c>
      <c r="AG35" t="n">
        <v>0.955357</v>
      </c>
      <c r="AH35" t="n">
        <v>0.827471</v>
      </c>
      <c r="AI35" t="n">
        <v>1.026752</v>
      </c>
    </row>
    <row r="36">
      <c r="A36" s="48" t="n">
        <v>45859</v>
      </c>
      <c r="B36" t="n">
        <v>1.131977</v>
      </c>
      <c r="C36" t="n">
        <v>1.272107</v>
      </c>
      <c r="D36" t="n">
        <v>0.848341</v>
      </c>
      <c r="E36" t="n">
        <v>1.226792</v>
      </c>
      <c r="G36" t="n">
        <v>1.524017</v>
      </c>
      <c r="I36" t="n">
        <v>0.607268</v>
      </c>
      <c r="J36" t="n">
        <v>0.78922</v>
      </c>
      <c r="K36" t="n">
        <v>1.080155</v>
      </c>
      <c r="L36" t="n">
        <v>1.190913</v>
      </c>
      <c r="M36" t="n">
        <v>1.47769</v>
      </c>
      <c r="N36" t="n">
        <v>1.223672</v>
      </c>
      <c r="O36" t="n">
        <v>0.930462</v>
      </c>
      <c r="P36" t="n">
        <v>0.838611</v>
      </c>
      <c r="R36" t="n">
        <v>0.896007</v>
      </c>
      <c r="S36" t="n">
        <v>0.750182</v>
      </c>
      <c r="T36" t="n">
        <v>1.142143</v>
      </c>
      <c r="U36" t="n">
        <v>1.196352</v>
      </c>
      <c r="V36" t="n">
        <v>1.082234</v>
      </c>
      <c r="W36" t="n">
        <v>1.062284</v>
      </c>
      <c r="X36" t="n">
        <v>1.031056</v>
      </c>
      <c r="Y36" t="n">
        <v>0.935329</v>
      </c>
      <c r="Z36" t="n">
        <v>0.791957</v>
      </c>
      <c r="AA36" t="n">
        <v>0.9045570000000001</v>
      </c>
      <c r="AB36" t="n">
        <v>0.971382</v>
      </c>
      <c r="AC36" t="n">
        <v>0.880239</v>
      </c>
      <c r="AD36" t="n">
        <v>0.950801</v>
      </c>
      <c r="AE36" t="n">
        <v>1.103448</v>
      </c>
      <c r="AF36" t="n">
        <v>0.904443</v>
      </c>
      <c r="AG36" t="n">
        <v>0.991071</v>
      </c>
      <c r="AH36" t="n">
        <v>0.896147</v>
      </c>
      <c r="AI36" t="n">
        <v>1.040127</v>
      </c>
    </row>
    <row r="37">
      <c r="A37" s="48" t="n">
        <v>45866</v>
      </c>
      <c r="B37" t="n">
        <v>1.211806</v>
      </c>
      <c r="C37" t="n">
        <v>1.219981</v>
      </c>
      <c r="D37" t="n">
        <v>0.85782</v>
      </c>
      <c r="E37" t="n">
        <v>1.398942</v>
      </c>
      <c r="G37" t="n">
        <v>1.563319</v>
      </c>
      <c r="I37" t="n">
        <v>0.628931</v>
      </c>
      <c r="J37" t="n">
        <v>0.824642</v>
      </c>
      <c r="K37" t="n">
        <v>0.982617</v>
      </c>
      <c r="L37" t="n">
        <v>1.140331</v>
      </c>
      <c r="M37" t="n">
        <v>1.619423</v>
      </c>
      <c r="N37" t="n">
        <v>1.18738</v>
      </c>
      <c r="O37" t="n">
        <v>0.926424</v>
      </c>
      <c r="P37" t="n">
        <v>0.8249069999999999</v>
      </c>
      <c r="R37" t="n">
        <v>0.912326</v>
      </c>
      <c r="S37" t="n">
        <v>0.741818</v>
      </c>
      <c r="T37" t="n">
        <v>1.221365</v>
      </c>
      <c r="U37" t="n">
        <v>1.219439</v>
      </c>
      <c r="V37" t="n">
        <v>1.09109</v>
      </c>
      <c r="W37" t="n">
        <v>0.961938</v>
      </c>
      <c r="X37" t="n">
        <v>1.042398</v>
      </c>
      <c r="Y37" t="n">
        <v>0.96791</v>
      </c>
      <c r="Z37" t="n">
        <v>0.840751</v>
      </c>
      <c r="AA37" t="n">
        <v>0.910404</v>
      </c>
      <c r="AB37" t="n">
        <v>0.970302</v>
      </c>
      <c r="AC37" t="n">
        <v>0.896208</v>
      </c>
      <c r="AD37" t="n">
        <v>0.962243</v>
      </c>
      <c r="AE37" t="n">
        <v>1.084423</v>
      </c>
      <c r="AF37" t="n">
        <v>0.976263</v>
      </c>
      <c r="AG37" t="n">
        <v>1.014286</v>
      </c>
      <c r="AH37" t="n">
        <v>0.9715240000000001</v>
      </c>
      <c r="AI37" t="n">
        <v>1.046497</v>
      </c>
    </row>
    <row r="38">
      <c r="A38" s="48" t="n">
        <v>45873</v>
      </c>
      <c r="B38" t="n">
        <v>1.144212</v>
      </c>
      <c r="C38" t="n">
        <v>1.035061</v>
      </c>
      <c r="D38" t="n">
        <v>0.745024</v>
      </c>
      <c r="E38" t="n">
        <v>1.344301</v>
      </c>
      <c r="G38" t="n">
        <v>1.471616</v>
      </c>
      <c r="I38" t="n">
        <v>0.584673</v>
      </c>
      <c r="J38" t="n">
        <v>0.832103</v>
      </c>
      <c r="K38" t="n">
        <v>0.859488</v>
      </c>
      <c r="L38" t="n">
        <v>1.065354</v>
      </c>
      <c r="M38" t="n">
        <v>1.304462</v>
      </c>
      <c r="N38" t="n">
        <v>1.076969</v>
      </c>
      <c r="O38" t="n">
        <v>0.894572</v>
      </c>
      <c r="P38" t="n">
        <v>0.755322</v>
      </c>
      <c r="R38" t="n">
        <v>0.9041670000000001</v>
      </c>
      <c r="S38" t="n">
        <v>0.7098179999999999</v>
      </c>
      <c r="T38" t="n">
        <v>1.142469</v>
      </c>
      <c r="U38" t="n">
        <v>1.15849</v>
      </c>
      <c r="V38" t="n">
        <v>0.923188</v>
      </c>
      <c r="W38" t="n">
        <v>0.923875</v>
      </c>
      <c r="X38" t="n">
        <v>1.045369</v>
      </c>
      <c r="Y38" t="n">
        <v>0.97262</v>
      </c>
      <c r="Z38" t="n">
        <v>0.813584</v>
      </c>
      <c r="AA38" t="n">
        <v>0.88908</v>
      </c>
      <c r="AB38" t="n">
        <v>0.9395250000000001</v>
      </c>
      <c r="AC38" t="n">
        <v>0.878243</v>
      </c>
      <c r="AD38" t="n">
        <v>0.937071</v>
      </c>
      <c r="AE38" t="n">
        <v>1.082045</v>
      </c>
      <c r="AF38" t="n">
        <v>0.944613</v>
      </c>
      <c r="AG38" t="n">
        <v>1.010714</v>
      </c>
      <c r="AH38" t="n">
        <v>1.075377</v>
      </c>
      <c r="AI38" t="n">
        <v>1.05414</v>
      </c>
    </row>
    <row r="39">
      <c r="A39" s="48" t="n">
        <v>45880</v>
      </c>
      <c r="B39" t="n">
        <v>1.131977</v>
      </c>
      <c r="C39" t="n">
        <v>1.018927</v>
      </c>
      <c r="D39" t="n">
        <v>0.730806</v>
      </c>
      <c r="E39" t="n">
        <v>1.57168</v>
      </c>
      <c r="G39" t="n">
        <v>1.117904</v>
      </c>
      <c r="I39" t="n">
        <v>0.573259</v>
      </c>
      <c r="J39" t="n">
        <v>0.788674</v>
      </c>
      <c r="K39" t="n">
        <v>0.832931</v>
      </c>
      <c r="L39" t="n">
        <v>1.023277</v>
      </c>
      <c r="M39" t="n">
        <v>1.267717</v>
      </c>
      <c r="N39" t="n">
        <v>1.022093</v>
      </c>
      <c r="O39" t="n">
        <v>0.907133</v>
      </c>
      <c r="P39" t="n">
        <v>0.894891</v>
      </c>
      <c r="R39" t="n">
        <v>0.884375</v>
      </c>
      <c r="S39" t="n">
        <v>0.716364</v>
      </c>
      <c r="T39" t="n">
        <v>1.091828</v>
      </c>
      <c r="U39" t="n">
        <v>0.883759</v>
      </c>
      <c r="V39" t="n">
        <v>0.893186</v>
      </c>
      <c r="W39" t="n">
        <v>0.910035</v>
      </c>
      <c r="X39" t="n">
        <v>0.990278</v>
      </c>
      <c r="Y39" t="n">
        <v>0.982532</v>
      </c>
      <c r="Z39" t="n">
        <v>0.827167</v>
      </c>
      <c r="AA39" t="n">
        <v>0.823618</v>
      </c>
      <c r="AB39" t="n">
        <v>0.942225</v>
      </c>
      <c r="AC39" t="n">
        <v>0.89022</v>
      </c>
      <c r="AD39" t="n">
        <v>0.956522</v>
      </c>
      <c r="AE39" t="n">
        <v>1.058859</v>
      </c>
      <c r="AF39" t="n">
        <v>0.961655</v>
      </c>
      <c r="AG39" t="n">
        <v>1.030357</v>
      </c>
      <c r="AH39" t="n">
        <v>1.050251</v>
      </c>
      <c r="AI39" t="n">
        <v>1.026752</v>
      </c>
    </row>
    <row r="40">
      <c r="A40" s="48" t="n">
        <v>45887</v>
      </c>
      <c r="B40" t="n">
        <v>1.184126</v>
      </c>
      <c r="C40" t="n">
        <v>1.035681</v>
      </c>
      <c r="D40" t="n">
        <v>0.758294</v>
      </c>
      <c r="E40" t="n">
        <v>1.653937</v>
      </c>
      <c r="G40" t="n">
        <v>1.128821</v>
      </c>
      <c r="I40" t="n">
        <v>0.627067</v>
      </c>
      <c r="J40" t="n">
        <v>0.7916800000000001</v>
      </c>
      <c r="K40" t="n">
        <v>0.834862</v>
      </c>
      <c r="L40" t="n">
        <v>1.012086</v>
      </c>
      <c r="M40" t="n">
        <v>1.540682</v>
      </c>
      <c r="N40" t="n">
        <v>1.116276</v>
      </c>
      <c r="O40" t="n">
        <v>0.943921</v>
      </c>
      <c r="P40" t="n">
        <v>0.952368</v>
      </c>
      <c r="R40" t="n">
        <v>0.980903</v>
      </c>
      <c r="S40" t="n">
        <v>0.760364</v>
      </c>
      <c r="T40" t="n">
        <v>1.147359</v>
      </c>
      <c r="U40" t="n">
        <v>0.956712</v>
      </c>
      <c r="V40" t="n">
        <v>0.9725279999999999</v>
      </c>
      <c r="W40" t="n">
        <v>0.982699</v>
      </c>
      <c r="X40" t="n">
        <v>1.012692</v>
      </c>
      <c r="Y40" t="n">
        <v>0.9390579999999999</v>
      </c>
      <c r="Z40" t="n">
        <v>0.891332</v>
      </c>
      <c r="AA40" t="n">
        <v>0.822012</v>
      </c>
      <c r="AB40" t="n">
        <v>1.145518</v>
      </c>
      <c r="AC40" t="n">
        <v>0.97006</v>
      </c>
      <c r="AD40" t="n">
        <v>1.03032</v>
      </c>
      <c r="AE40" t="n">
        <v>1.108205</v>
      </c>
      <c r="AF40" t="n">
        <v>0.99087</v>
      </c>
      <c r="AG40" t="n">
        <v>1.098214</v>
      </c>
      <c r="AH40" t="n">
        <v>1.020101</v>
      </c>
      <c r="AI40" t="n">
        <v>1.02293</v>
      </c>
    </row>
    <row r="41">
      <c r="A41" s="48" t="n">
        <v>45894</v>
      </c>
      <c r="B41" t="n">
        <v>1.210736</v>
      </c>
      <c r="C41" t="n">
        <v>1.048402</v>
      </c>
      <c r="D41" t="n">
        <v>0.777251</v>
      </c>
      <c r="E41" t="n">
        <v>1.793184</v>
      </c>
      <c r="G41" t="n">
        <v>1.106987</v>
      </c>
      <c r="I41" t="n">
        <v>0.652923</v>
      </c>
      <c r="J41" t="n">
        <v>0.785476</v>
      </c>
      <c r="K41" t="n">
        <v>1.049252</v>
      </c>
      <c r="L41" t="n">
        <v>1.020367</v>
      </c>
      <c r="M41" t="n">
        <v>1.527559</v>
      </c>
      <c r="N41" t="n">
        <v>1.109808</v>
      </c>
      <c r="O41" t="n">
        <v>0.961418</v>
      </c>
      <c r="P41" t="n">
        <v>1.015567</v>
      </c>
      <c r="R41" t="n">
        <v>0.949132</v>
      </c>
      <c r="S41" t="n">
        <v>0.781818</v>
      </c>
      <c r="T41" t="n">
        <v>1.22832</v>
      </c>
      <c r="U41" t="n">
        <v>0.996075</v>
      </c>
      <c r="V41" t="n">
        <v>1.001265</v>
      </c>
      <c r="W41" t="n">
        <v>1.055363</v>
      </c>
      <c r="X41" t="n">
        <v>1.098839</v>
      </c>
      <c r="Y41" t="n">
        <v>0.978999</v>
      </c>
      <c r="Z41" t="n">
        <v>0.867024</v>
      </c>
      <c r="AA41" t="n">
        <v>0.8213240000000001</v>
      </c>
      <c r="AB41" t="n">
        <v>1.12905</v>
      </c>
      <c r="AC41" t="n">
        <v>0.932136</v>
      </c>
      <c r="AD41" t="n">
        <v>1.160183</v>
      </c>
      <c r="AE41" t="n">
        <v>1.241379</v>
      </c>
      <c r="AF41" t="n">
        <v>1.041996</v>
      </c>
      <c r="AG41" t="n">
        <v>1.1875</v>
      </c>
      <c r="AH41" t="n">
        <v>1.01675</v>
      </c>
      <c r="AI41" t="n">
        <v>1.056688</v>
      </c>
    </row>
    <row r="42">
      <c r="A42" s="48" t="n">
        <v>45901</v>
      </c>
      <c r="B42" t="n">
        <v>1.183208</v>
      </c>
      <c r="C42" t="n">
        <v>1.030096</v>
      </c>
      <c r="D42" t="n">
        <v>0.8</v>
      </c>
      <c r="E42" t="n">
        <v>1.876616</v>
      </c>
      <c r="G42" t="n">
        <v>1.091703</v>
      </c>
      <c r="I42" t="n">
        <v>0.67645</v>
      </c>
      <c r="J42" t="n">
        <v>0.81155</v>
      </c>
      <c r="K42" t="n">
        <v>1.012072</v>
      </c>
      <c r="L42" t="n">
        <v>1.008953</v>
      </c>
      <c r="M42" t="n">
        <v>1.553806</v>
      </c>
      <c r="N42" t="n">
        <v>1.108492</v>
      </c>
      <c r="O42" t="n">
        <v>1.003589</v>
      </c>
      <c r="P42" t="n">
        <v>1.027807</v>
      </c>
      <c r="R42" t="n">
        <v>0.947917</v>
      </c>
      <c r="S42" t="n">
        <v>0.800364</v>
      </c>
      <c r="T42" t="n">
        <v>1.300044</v>
      </c>
      <c r="U42" t="n">
        <v>1.00658</v>
      </c>
      <c r="V42" t="n">
        <v>1.007049</v>
      </c>
      <c r="W42" t="n">
        <v>1.17301</v>
      </c>
      <c r="X42" t="n">
        <v>1.061842</v>
      </c>
      <c r="Y42" t="n">
        <v>0.917861</v>
      </c>
      <c r="Z42" t="n">
        <v>0.825916</v>
      </c>
      <c r="AA42" t="n">
        <v>0.834968</v>
      </c>
      <c r="AB42" t="n">
        <v>1.076134</v>
      </c>
      <c r="AC42" t="n">
        <v>0.878243</v>
      </c>
      <c r="AD42" t="n">
        <v>1.073799</v>
      </c>
      <c r="AE42" t="n">
        <v>1.127824</v>
      </c>
      <c r="AF42" t="n">
        <v>1.015825</v>
      </c>
      <c r="AG42" t="n">
        <v>1.164286</v>
      </c>
      <c r="AH42" t="n">
        <v>1.063652</v>
      </c>
      <c r="AI42" t="n">
        <v>1.067516</v>
      </c>
    </row>
    <row r="43">
      <c r="A43" s="48" t="n">
        <v>45908</v>
      </c>
      <c r="B43" t="n">
        <v>1.133965</v>
      </c>
      <c r="C43" t="n">
        <v>1.129693</v>
      </c>
      <c r="D43" t="n">
        <v>0.854976</v>
      </c>
      <c r="E43" t="n">
        <v>1.864865</v>
      </c>
      <c r="G43" t="n">
        <v>1.113537</v>
      </c>
      <c r="I43" t="n">
        <v>0.710459</v>
      </c>
      <c r="J43" t="n">
        <v>0.844512</v>
      </c>
      <c r="K43" t="n">
        <v>0.969097</v>
      </c>
      <c r="L43" t="n">
        <v>1.011638</v>
      </c>
      <c r="M43" t="n">
        <v>1.661417</v>
      </c>
      <c r="N43" t="n">
        <v>0.92155</v>
      </c>
      <c r="O43" t="n">
        <v>0.992822</v>
      </c>
      <c r="P43" t="n">
        <v>1.062001</v>
      </c>
      <c r="R43" t="n">
        <v>0.968229</v>
      </c>
      <c r="S43" t="n">
        <v>0.877818</v>
      </c>
      <c r="T43" t="n">
        <v>1.27331</v>
      </c>
      <c r="U43" t="n">
        <v>1.006464</v>
      </c>
      <c r="V43" t="n">
        <v>1.022049</v>
      </c>
      <c r="W43" t="n">
        <v>1.356401</v>
      </c>
      <c r="X43" t="n">
        <v>0.989468</v>
      </c>
      <c r="Y43" t="n">
        <v>0.936114</v>
      </c>
      <c r="Z43" t="n">
        <v>0.878999</v>
      </c>
      <c r="AA43" t="n">
        <v>0.8686739999999999</v>
      </c>
      <c r="AB43" t="n">
        <v>1.110691</v>
      </c>
      <c r="AC43" t="n">
        <v>0.942116</v>
      </c>
      <c r="AD43" t="n">
        <v>1.079519</v>
      </c>
      <c r="AE43" t="n">
        <v>1.133769</v>
      </c>
      <c r="AF43" t="n">
        <v>0.930006</v>
      </c>
      <c r="AG43" t="n">
        <v>1.15</v>
      </c>
      <c r="AH43" t="n">
        <v>1.035176</v>
      </c>
      <c r="AI43" t="n">
        <v>1.077707</v>
      </c>
    </row>
    <row r="44">
      <c r="A44" s="48" t="n">
        <v>45915</v>
      </c>
      <c r="B44" t="n">
        <v>1.116837</v>
      </c>
      <c r="C44" t="n">
        <v>1.106423</v>
      </c>
      <c r="D44" t="n">
        <v>0.890995</v>
      </c>
      <c r="E44" t="n">
        <v>1.773208</v>
      </c>
      <c r="G44" t="n">
        <v>1.065502</v>
      </c>
      <c r="I44" t="n">
        <v>0.730724</v>
      </c>
      <c r="J44" t="n">
        <v>0.863043</v>
      </c>
      <c r="K44" t="n">
        <v>0.9357799999999999</v>
      </c>
      <c r="L44" t="n">
        <v>0.955013</v>
      </c>
      <c r="M44" t="n">
        <v>1.532808</v>
      </c>
      <c r="N44" t="n">
        <v>0.877035</v>
      </c>
      <c r="O44" t="n">
        <v>1.013459</v>
      </c>
      <c r="P44" t="n">
        <v>1.091139</v>
      </c>
      <c r="R44" t="n">
        <v>0.953299</v>
      </c>
      <c r="S44" t="n">
        <v>0.869818</v>
      </c>
      <c r="T44" t="n">
        <v>1.289502</v>
      </c>
      <c r="U44" t="n">
        <v>0.895533</v>
      </c>
      <c r="V44" t="n">
        <v>0.97795</v>
      </c>
      <c r="W44" t="n">
        <v>1.591695</v>
      </c>
      <c r="X44" t="n">
        <v>1.005671</v>
      </c>
      <c r="Y44" t="n">
        <v>0.859863</v>
      </c>
      <c r="Z44" t="n">
        <v>0.863628</v>
      </c>
      <c r="AA44" t="n">
        <v>0.855604</v>
      </c>
      <c r="AB44" t="n">
        <v>1.12338</v>
      </c>
      <c r="AC44" t="n">
        <v>0.908184</v>
      </c>
      <c r="AD44" t="n">
        <v>1.033753</v>
      </c>
      <c r="AE44" t="n">
        <v>1.116528</v>
      </c>
      <c r="AF44" t="n">
        <v>0.906269</v>
      </c>
      <c r="AG44" t="n">
        <v>1.123214</v>
      </c>
      <c r="AH44" t="n">
        <v>0.9933</v>
      </c>
      <c r="AI44" t="n">
        <v>1.050955</v>
      </c>
    </row>
    <row r="45">
      <c r="A45" s="48" t="n">
        <v>45922</v>
      </c>
      <c r="B45" t="n">
        <v>1.090075</v>
      </c>
      <c r="C45" t="n">
        <v>1.110456</v>
      </c>
      <c r="D45" t="n">
        <v>0.894787</v>
      </c>
      <c r="E45" t="n">
        <v>1.709753</v>
      </c>
      <c r="G45" t="n">
        <v>1.043668</v>
      </c>
      <c r="I45" t="n">
        <v>0.77242</v>
      </c>
      <c r="J45" t="n">
        <v>0.840849</v>
      </c>
      <c r="K45" t="n">
        <v>1.038146</v>
      </c>
      <c r="L45" t="n">
        <v>1.020367</v>
      </c>
      <c r="M45" t="n">
        <v>1.440945</v>
      </c>
      <c r="N45" t="n">
        <v>0.950661</v>
      </c>
      <c r="O45" t="n">
        <v>1.027366</v>
      </c>
      <c r="P45" t="n">
        <v>1.053885</v>
      </c>
      <c r="R45" t="n">
        <v>0.977778</v>
      </c>
      <c r="S45" t="n">
        <v>0.822182</v>
      </c>
      <c r="T45" t="n">
        <v>1.230385</v>
      </c>
      <c r="U45" t="n">
        <v>0.890454</v>
      </c>
      <c r="V45" t="n">
        <v>0.958612</v>
      </c>
      <c r="W45" t="n">
        <v>1.50519</v>
      </c>
      <c r="X45" t="n">
        <v>0.952471</v>
      </c>
      <c r="Y45" t="n">
        <v>0.861335</v>
      </c>
      <c r="Z45" t="n">
        <v>0.832887</v>
      </c>
      <c r="AA45" t="n">
        <v>0.859501</v>
      </c>
      <c r="AB45" t="n">
        <v>1.038337</v>
      </c>
      <c r="AC45" t="n">
        <v>0.936128</v>
      </c>
      <c r="AD45" t="n">
        <v>1.020595</v>
      </c>
      <c r="AE45" t="n">
        <v>1.125446</v>
      </c>
      <c r="AF45" t="n">
        <v>0.93731</v>
      </c>
      <c r="AG45" t="n">
        <v>1.067857</v>
      </c>
      <c r="AH45" t="n">
        <v>0.946399</v>
      </c>
      <c r="AI45" t="n">
        <v>1.019108</v>
      </c>
    </row>
    <row r="46">
      <c r="A46" s="48" t="n">
        <v>45929</v>
      </c>
      <c r="B46" t="n">
        <v>1.063618</v>
      </c>
      <c r="C46" t="n">
        <v>1.123798</v>
      </c>
      <c r="D46" t="n">
        <v>0.867299</v>
      </c>
      <c r="E46" t="n">
        <v>1.602233</v>
      </c>
      <c r="G46" t="n">
        <v>1.091703</v>
      </c>
      <c r="I46" t="n">
        <v>0.789425</v>
      </c>
      <c r="J46" t="n">
        <v>0.8435550000000001</v>
      </c>
      <c r="K46" t="n">
        <v>0.976823</v>
      </c>
      <c r="L46" t="n">
        <v>0.975604</v>
      </c>
      <c r="M46" t="n">
        <v>1.335958</v>
      </c>
      <c r="N46" t="n">
        <v>0.981909</v>
      </c>
      <c r="O46" t="n">
        <v>1.044863</v>
      </c>
      <c r="P46" t="n">
        <v>1.046966</v>
      </c>
      <c r="R46" t="n">
        <v>0.9979170000000001</v>
      </c>
      <c r="S46" t="n">
        <v>0.776</v>
      </c>
      <c r="T46" t="n">
        <v>1.122365</v>
      </c>
      <c r="U46" t="n">
        <v>0.966871</v>
      </c>
      <c r="V46" t="n">
        <v>0.93349</v>
      </c>
      <c r="W46" t="n">
        <v>1.397924</v>
      </c>
      <c r="X46" t="n">
        <v>0.934648</v>
      </c>
      <c r="Y46" t="n">
        <v>0.831894</v>
      </c>
      <c r="Z46" t="n">
        <v>0.81126</v>
      </c>
      <c r="AA46" t="n">
        <v>0.859501</v>
      </c>
      <c r="AB46" t="n">
        <v>1.057775</v>
      </c>
      <c r="AC46" t="n">
        <v>0.922156</v>
      </c>
      <c r="AD46" t="n">
        <v>0.982838</v>
      </c>
      <c r="AE46" t="n">
        <v>1.089774</v>
      </c>
      <c r="AF46" t="n">
        <v>0.940962</v>
      </c>
      <c r="AG46" t="n">
        <v>1.030357</v>
      </c>
      <c r="AH46" t="n">
        <v>0.9849250000000001</v>
      </c>
      <c r="AI46" t="n">
        <v>1.012739</v>
      </c>
    </row>
    <row r="47">
      <c r="A47" s="48" t="n">
        <v>45936</v>
      </c>
      <c r="B47" t="n">
        <v>1.088393</v>
      </c>
      <c r="C47" t="n">
        <v>1.163202</v>
      </c>
      <c r="D47" t="n">
        <v>0.967772</v>
      </c>
      <c r="E47" t="n">
        <v>1.47356</v>
      </c>
      <c r="G47" t="n">
        <v>1.091703</v>
      </c>
      <c r="I47" t="n">
        <v>0.784999</v>
      </c>
      <c r="J47" t="n">
        <v>0.87761</v>
      </c>
      <c r="K47" t="n">
        <v>1.0338</v>
      </c>
      <c r="L47" t="n">
        <v>0.952775</v>
      </c>
      <c r="M47" t="n">
        <v>1.377953</v>
      </c>
      <c r="N47" t="n">
        <v>0.954553</v>
      </c>
      <c r="O47" t="n">
        <v>1.090175</v>
      </c>
      <c r="P47" t="n">
        <v>1.090474</v>
      </c>
      <c r="R47" t="n">
        <v>1.060069</v>
      </c>
      <c r="S47" t="n">
        <v>0.782182</v>
      </c>
      <c r="T47" t="n">
        <v>1.108889</v>
      </c>
      <c r="U47" t="n">
        <v>0.930855</v>
      </c>
      <c r="V47" t="n">
        <v>0.966022</v>
      </c>
      <c r="W47" t="n">
        <v>1.32872</v>
      </c>
      <c r="X47" t="n">
        <v>0.921415</v>
      </c>
      <c r="Y47" t="n">
        <v>0.764279</v>
      </c>
      <c r="Z47" t="n">
        <v>0.852726</v>
      </c>
      <c r="AA47" t="n">
        <v>0.853138</v>
      </c>
      <c r="AB47" t="n">
        <v>1.073164</v>
      </c>
      <c r="AC47" t="n">
        <v>0.932136</v>
      </c>
      <c r="AD47" t="n">
        <v>0.980549</v>
      </c>
      <c r="AE47" t="n">
        <v>1.087396</v>
      </c>
      <c r="AF47" t="n">
        <v>0.931223</v>
      </c>
      <c r="AG47" t="n">
        <v>1.030357</v>
      </c>
      <c r="AH47" t="n">
        <v>1.011725</v>
      </c>
      <c r="AI47" t="n">
        <v>1.00828</v>
      </c>
    </row>
    <row r="48">
      <c r="A48" s="48" t="n">
        <v>45943</v>
      </c>
      <c r="B48" t="n">
        <v>1.030433</v>
      </c>
      <c r="C48" t="n">
        <v>1.171269</v>
      </c>
      <c r="D48" t="n">
        <v>0.830332</v>
      </c>
      <c r="E48" t="n">
        <v>1.490012</v>
      </c>
      <c r="G48" t="n">
        <v>1.056769</v>
      </c>
      <c r="I48" t="n">
        <v>0.799441</v>
      </c>
      <c r="J48" t="n">
        <v>0.8670330000000001</v>
      </c>
      <c r="K48" t="n">
        <v>1.025592</v>
      </c>
      <c r="L48" t="n">
        <v>0.961728</v>
      </c>
      <c r="M48" t="n">
        <v>1.267717</v>
      </c>
      <c r="N48" t="n">
        <v>0.931144</v>
      </c>
      <c r="O48" t="n">
        <v>0.949305</v>
      </c>
      <c r="P48" t="n">
        <v>1.045104</v>
      </c>
      <c r="R48" t="n">
        <v>1.05</v>
      </c>
      <c r="S48" t="n">
        <v>0.749455</v>
      </c>
      <c r="T48" t="n">
        <v>1.068355</v>
      </c>
      <c r="U48" t="n">
        <v>0.940667</v>
      </c>
      <c r="V48" t="n">
        <v>0.916682</v>
      </c>
      <c r="W48" t="n">
        <v>1.224913</v>
      </c>
      <c r="X48" t="n">
        <v>0.835809</v>
      </c>
      <c r="Y48" t="n">
        <v>0.715407</v>
      </c>
      <c r="Z48" t="n">
        <v>0.920465</v>
      </c>
      <c r="AA48" t="n">
        <v>0.883749</v>
      </c>
      <c r="AB48" t="n">
        <v>1.027268</v>
      </c>
      <c r="AC48" t="n">
        <v>0.902196</v>
      </c>
      <c r="AD48" t="n">
        <v>0.967963</v>
      </c>
      <c r="AE48" t="n">
        <v>1.030916</v>
      </c>
      <c r="AF48" t="n">
        <v>0.956178</v>
      </c>
      <c r="AG48" t="n">
        <v>1.041071</v>
      </c>
      <c r="AH48" t="n">
        <v>0.9949750000000001</v>
      </c>
      <c r="AI48" t="n">
        <v>0.996815</v>
      </c>
    </row>
    <row r="49">
      <c r="A49" s="48" t="n">
        <v>45950</v>
      </c>
      <c r="B49" t="n">
        <v>1.034103</v>
      </c>
      <c r="C49" t="n">
        <v>1.209432</v>
      </c>
      <c r="D49" t="n">
        <v>0.997156</v>
      </c>
      <c r="E49" t="n">
        <v>1.571093</v>
      </c>
      <c r="G49" t="n">
        <v>1.032751</v>
      </c>
      <c r="I49" t="n">
        <v>0.814349</v>
      </c>
      <c r="J49" t="n">
        <v>0.910134</v>
      </c>
      <c r="K49" t="n">
        <v>1.036697</v>
      </c>
      <c r="L49" t="n">
        <v>0.928156</v>
      </c>
      <c r="M49" t="n">
        <v>1.272966</v>
      </c>
      <c r="N49" t="n">
        <v>0.945288</v>
      </c>
      <c r="O49" t="n">
        <v>0.922835</v>
      </c>
      <c r="P49" t="n">
        <v>1.1248</v>
      </c>
      <c r="R49" t="n">
        <v>1.040104</v>
      </c>
      <c r="S49" t="n">
        <v>0.799273</v>
      </c>
      <c r="T49" t="n">
        <v>1.088785</v>
      </c>
      <c r="U49" t="n">
        <v>0.950479</v>
      </c>
      <c r="V49" t="n">
        <v>0.949395</v>
      </c>
      <c r="W49" t="n">
        <v>1.266436</v>
      </c>
      <c r="X49" t="n">
        <v>0.833378</v>
      </c>
      <c r="Y49" t="n">
        <v>0.654073</v>
      </c>
      <c r="Z49" t="n">
        <v>0.957105</v>
      </c>
      <c r="AA49" t="n">
        <v>0.877902</v>
      </c>
      <c r="AB49" t="n">
        <v>1.00513</v>
      </c>
      <c r="AC49" t="n">
        <v>0.898204</v>
      </c>
      <c r="AD49" t="n">
        <v>0.965103</v>
      </c>
      <c r="AE49" t="n">
        <v>1.019025</v>
      </c>
      <c r="AF49" t="n">
        <v>0.940962</v>
      </c>
      <c r="AG49" t="n">
        <v>1.021429</v>
      </c>
      <c r="AH49" t="n">
        <v>0.99665</v>
      </c>
      <c r="AI49" t="n">
        <v>1.010191</v>
      </c>
    </row>
    <row r="50">
      <c r="A50" s="48" t="n">
        <v>45957</v>
      </c>
      <c r="B50" t="n">
        <v>1.048937</v>
      </c>
      <c r="C50" t="n">
        <v>1.162581</v>
      </c>
      <c r="D50" t="n">
        <v>0.9933650000000001</v>
      </c>
      <c r="E50" t="n">
        <v>1.460047</v>
      </c>
      <c r="G50" t="n">
        <v>1.058952</v>
      </c>
      <c r="I50" t="n">
        <v>0.82553</v>
      </c>
      <c r="J50" t="n">
        <v>0.922625</v>
      </c>
      <c r="K50" t="n">
        <v>1.055046</v>
      </c>
      <c r="L50" t="n">
        <v>0.9447179999999999</v>
      </c>
      <c r="M50" t="n">
        <v>1.335958</v>
      </c>
      <c r="N50" t="n">
        <v>0.994408</v>
      </c>
      <c r="O50" t="n">
        <v>0.960969</v>
      </c>
      <c r="P50" t="n">
        <v>1.144492</v>
      </c>
      <c r="R50" t="n">
        <v>1.059375</v>
      </c>
      <c r="S50" t="n">
        <v>0.868</v>
      </c>
      <c r="T50" t="n">
        <v>0.983156</v>
      </c>
      <c r="U50" t="n">
        <v>1.007619</v>
      </c>
      <c r="V50" t="n">
        <v>0.992048</v>
      </c>
      <c r="W50" t="n">
        <v>1.266436</v>
      </c>
      <c r="X50" t="n">
        <v>0.879287</v>
      </c>
      <c r="Y50" t="n">
        <v>0.725319</v>
      </c>
      <c r="Z50" t="n">
        <v>1.011975</v>
      </c>
      <c r="AA50" t="n">
        <v>0.897334</v>
      </c>
      <c r="AB50" t="n">
        <v>1.111231</v>
      </c>
      <c r="AC50" t="n">
        <v>0.982036</v>
      </c>
      <c r="AD50" t="n">
        <v>1.008581</v>
      </c>
      <c r="AE50" t="n">
        <v>1.043995</v>
      </c>
      <c r="AF50" t="n">
        <v>1.00426</v>
      </c>
      <c r="AG50" t="n">
        <v>1.010714</v>
      </c>
      <c r="AH50" t="n">
        <v>1.031826</v>
      </c>
      <c r="AI50" t="n">
        <v>1.018471</v>
      </c>
    </row>
    <row r="51">
      <c r="A51" s="48" t="n">
        <v>45964</v>
      </c>
      <c r="B51" t="n">
        <v>0.958098</v>
      </c>
      <c r="C51" t="n">
        <v>1.006205</v>
      </c>
      <c r="D51" t="n">
        <v>0.944076</v>
      </c>
      <c r="E51" t="n">
        <v>1.312573</v>
      </c>
      <c r="G51" t="n">
        <v>0.997817</v>
      </c>
      <c r="I51" t="n">
        <v>0.764034</v>
      </c>
      <c r="J51" t="n">
        <v>0.860801</v>
      </c>
      <c r="K51" t="n">
        <v>0.845002</v>
      </c>
      <c r="L51" t="n">
        <v>0.816025</v>
      </c>
      <c r="M51" t="n">
        <v>0.847769</v>
      </c>
      <c r="N51" t="n">
        <v>0.907132</v>
      </c>
      <c r="O51" t="n">
        <v>0.896815</v>
      </c>
      <c r="P51" t="n">
        <v>0.977248</v>
      </c>
      <c r="R51" t="n">
        <v>1.00625</v>
      </c>
      <c r="S51" t="n">
        <v>0.8294550000000001</v>
      </c>
      <c r="T51" t="n">
        <v>0.881548</v>
      </c>
      <c r="U51" t="n">
        <v>0.936858</v>
      </c>
      <c r="V51" t="n">
        <v>0.910537</v>
      </c>
      <c r="W51" t="n">
        <v>1.148789</v>
      </c>
      <c r="X51" t="n">
        <v>0.849851</v>
      </c>
      <c r="Y51" t="n">
        <v>0.68842</v>
      </c>
      <c r="Z51" t="n">
        <v>1.01269</v>
      </c>
      <c r="AA51" t="n">
        <v>0.877042</v>
      </c>
      <c r="AB51" t="n">
        <v>1.064525</v>
      </c>
      <c r="AC51" t="n">
        <v>0.962076</v>
      </c>
      <c r="AD51" t="n">
        <v>0.96968</v>
      </c>
      <c r="AE51" t="n">
        <v>0.967301</v>
      </c>
      <c r="AF51" t="n">
        <v>1.016433</v>
      </c>
      <c r="AG51" t="n">
        <v>1.003571</v>
      </c>
      <c r="AH51" t="n">
        <v>0.988275</v>
      </c>
      <c r="AI51" t="n">
        <v>1.019745</v>
      </c>
    </row>
    <row r="52">
      <c r="A52" s="48" t="n">
        <v>45971</v>
      </c>
      <c r="B52" t="n">
        <v>0.929806</v>
      </c>
      <c r="C52" t="n">
        <v>0.978591</v>
      </c>
      <c r="D52" t="n">
        <v>0.945972</v>
      </c>
      <c r="E52" t="n">
        <v>0.960047</v>
      </c>
      <c r="G52" t="n">
        <v>0.978166</v>
      </c>
      <c r="I52" t="n">
        <v>0.878407</v>
      </c>
      <c r="J52" t="n">
        <v>0.914808</v>
      </c>
      <c r="K52" t="n">
        <v>0.783197</v>
      </c>
      <c r="L52" t="n">
        <v>0.782453</v>
      </c>
      <c r="M52" t="n">
        <v>0.847769</v>
      </c>
      <c r="N52" t="n">
        <v>0.933885</v>
      </c>
      <c r="O52" t="n">
        <v>0.946164</v>
      </c>
      <c r="P52" t="n">
        <v>0.957025</v>
      </c>
      <c r="R52" t="n">
        <v>0.966493</v>
      </c>
      <c r="S52" t="n">
        <v>0.876</v>
      </c>
      <c r="T52" t="n">
        <v>0.867638</v>
      </c>
      <c r="U52" t="n">
        <v>0.855246</v>
      </c>
      <c r="V52" t="n">
        <v>0.922827</v>
      </c>
      <c r="W52" t="n">
        <v>1.093426</v>
      </c>
      <c r="X52" t="n">
        <v>0.813935</v>
      </c>
      <c r="Y52" t="n">
        <v>0.703337</v>
      </c>
      <c r="Z52" t="n">
        <v>1.040751</v>
      </c>
      <c r="AA52" t="n">
        <v>1.045572</v>
      </c>
      <c r="AB52" t="n">
        <v>1.00243</v>
      </c>
      <c r="AC52" t="n">
        <v>0.992016</v>
      </c>
      <c r="AD52" t="n">
        <v>1.001716</v>
      </c>
      <c r="AE52" t="n">
        <v>0.985137</v>
      </c>
      <c r="AF52" t="n">
        <v>0.971394</v>
      </c>
      <c r="AG52" t="n">
        <v>1.030357</v>
      </c>
      <c r="AH52" t="n">
        <v>1.015075</v>
      </c>
      <c r="AI52" t="n">
        <v>1.044586</v>
      </c>
    </row>
    <row r="53">
      <c r="A53" s="48" t="n">
        <v>45978</v>
      </c>
      <c r="B53" t="n">
        <v>0.961921</v>
      </c>
      <c r="C53" t="n">
        <v>0.992864</v>
      </c>
      <c r="D53" t="n">
        <v>0.919431</v>
      </c>
      <c r="E53" t="n">
        <v>0.865452</v>
      </c>
      <c r="G53" t="n">
        <v>0.930131</v>
      </c>
      <c r="I53" t="n">
        <v>0.861402</v>
      </c>
      <c r="J53" t="n">
        <v>0.88581</v>
      </c>
      <c r="K53" t="n">
        <v>0.770159</v>
      </c>
      <c r="L53" t="n">
        <v>0.926589</v>
      </c>
      <c r="M53" t="n">
        <v>0.87664</v>
      </c>
      <c r="N53" t="n">
        <v>0.8999509999999999</v>
      </c>
      <c r="O53" t="n">
        <v>0.918349</v>
      </c>
      <c r="P53" t="n">
        <v>0.93108</v>
      </c>
      <c r="R53" t="n">
        <v>0.986111</v>
      </c>
      <c r="S53" t="n">
        <v>0.864364</v>
      </c>
      <c r="T53" t="n">
        <v>0.877201</v>
      </c>
      <c r="U53" t="n">
        <v>0.8905690000000001</v>
      </c>
      <c r="V53" t="n">
        <v>0.929875</v>
      </c>
      <c r="W53" t="n">
        <v>1.00692</v>
      </c>
      <c r="X53" t="n">
        <v>0.830678</v>
      </c>
      <c r="Y53" t="n">
        <v>0.682826</v>
      </c>
      <c r="Z53" t="n">
        <v>0.95639</v>
      </c>
      <c r="AA53" t="n">
        <v>1.025107</v>
      </c>
      <c r="AB53" t="n">
        <v>0.9832610000000001</v>
      </c>
      <c r="AC53" t="n">
        <v>1.037924</v>
      </c>
      <c r="AD53" t="n">
        <v>1.004577</v>
      </c>
      <c r="AE53" t="n">
        <v>0.960761</v>
      </c>
      <c r="AF53" t="n">
        <v>0.968351</v>
      </c>
      <c r="AG53" t="n">
        <v>1.0625</v>
      </c>
      <c r="AH53" t="n">
        <v>1.025126</v>
      </c>
      <c r="AI53" t="n">
        <v>1.043312</v>
      </c>
    </row>
    <row r="54">
      <c r="A54" s="48" t="n">
        <v>45985</v>
      </c>
      <c r="B54" t="n">
        <v>0.947087</v>
      </c>
      <c r="C54" t="n">
        <v>0.945393</v>
      </c>
      <c r="D54" t="n">
        <v>0.978199</v>
      </c>
      <c r="E54" t="n">
        <v>0.905993</v>
      </c>
      <c r="G54" t="n">
        <v>0.960699</v>
      </c>
      <c r="I54" t="n">
        <v>0.94689</v>
      </c>
      <c r="J54" t="n">
        <v>0.956543</v>
      </c>
      <c r="K54" t="n">
        <v>0.751811</v>
      </c>
      <c r="L54" t="n">
        <v>0.912936</v>
      </c>
      <c r="M54" t="n">
        <v>0.9081360000000001</v>
      </c>
      <c r="N54" t="n">
        <v>0.930157</v>
      </c>
      <c r="O54" t="n">
        <v>0.930911</v>
      </c>
      <c r="P54" t="n">
        <v>0.939329</v>
      </c>
      <c r="R54" t="n">
        <v>0.9875</v>
      </c>
      <c r="S54" t="n">
        <v>0.9</v>
      </c>
      <c r="T54" t="n">
        <v>0.9033910000000001</v>
      </c>
      <c r="U54" t="n">
        <v>0.927277</v>
      </c>
      <c r="V54" t="n">
        <v>0.945418</v>
      </c>
      <c r="W54" t="n">
        <v>1.010381</v>
      </c>
      <c r="X54" t="n">
        <v>0.973535</v>
      </c>
      <c r="Y54" t="n">
        <v>0.643867</v>
      </c>
      <c r="Z54" t="n">
        <v>0.979446</v>
      </c>
      <c r="AA54" t="n">
        <v>0.983835</v>
      </c>
      <c r="AB54" t="n">
        <v>1.010799</v>
      </c>
      <c r="AC54" t="n">
        <v>1.01996</v>
      </c>
      <c r="AD54" t="n">
        <v>1.013158</v>
      </c>
      <c r="AE54" t="n">
        <v>0.994055</v>
      </c>
      <c r="AF54" t="n">
        <v>0.978697</v>
      </c>
      <c r="AG54" t="n">
        <v>0.998214</v>
      </c>
      <c r="AH54" t="n">
        <v>0.998325</v>
      </c>
      <c r="AI54" t="n">
        <v>0.995541</v>
      </c>
    </row>
    <row r="55">
      <c r="A55" s="49" t="n">
        <v>45992</v>
      </c>
      <c r="B55" s="50">
        <f>IF(OR('运动服饰 Prices'!B3="",'运动服饰 Prices'!B$3=""),"",'运动服饰 Prices'!B3/'运动服饰 Prices'!B$3)</f>
        <v/>
      </c>
      <c r="C55" s="50">
        <f>IF(OR('运动服饰 Prices'!C3="",'运动服饰 Prices'!C$3=""),"",'运动服饰 Prices'!C3/'运动服饰 Prices'!C$3)</f>
        <v/>
      </c>
      <c r="D55" s="50">
        <f>IF(OR('运动服饰 Prices'!D3="",'运动服饰 Prices'!D$3=""),"",'运动服饰 Prices'!D3/'运动服饰 Prices'!D$3)</f>
        <v/>
      </c>
      <c r="E55" s="50">
        <f>IF(OR('运动服饰 Prices'!E3="",'运动服饰 Prices'!E$3=""),"",'运动服饰 Prices'!E3/'运动服饰 Prices'!E$3)</f>
        <v/>
      </c>
      <c r="F55" s="50">
        <f>IF(OR('运动服饰 Prices'!F3="",'运动服饰 Prices'!F$3=""),"",'运动服饰 Prices'!F3/'运动服饰 Prices'!F$3)</f>
        <v/>
      </c>
      <c r="G55" s="50">
        <f>IF(OR('运动服饰 Prices'!G3="",'运动服饰 Prices'!G$3=""),"",'运动服饰 Prices'!G3/'运动服饰 Prices'!G$3)</f>
        <v/>
      </c>
      <c r="H55" s="50">
        <f>IF(OR('运动服饰 Prices'!H3="",'运动服饰 Prices'!H$3=""),"",'运动服饰 Prices'!H3/'运动服饰 Prices'!H$3)</f>
        <v/>
      </c>
      <c r="I55" s="50">
        <f>IF(OR('运动服饰 Prices'!I3="",'运动服饰 Prices'!I$3=""),"",'运动服饰 Prices'!I3/'运动服饰 Prices'!I$3)</f>
        <v/>
      </c>
      <c r="J55" s="50">
        <f>IF(OR('运动服饰 Prices'!J3="",'运动服饰 Prices'!J$3=""),"",'运动服饰 Prices'!J3/'运动服饰 Prices'!J$3)</f>
        <v/>
      </c>
      <c r="K55" s="50">
        <f>IF(OR('运动服饰 Prices'!K3="",'运动服饰 Prices'!K$3=""),"",'运动服饰 Prices'!K3/'运动服饰 Prices'!K$3)</f>
        <v/>
      </c>
      <c r="L55" s="50">
        <f>IF(OR('运动服饰 Prices'!L3="",'运动服饰 Prices'!L$3=""),"",'运动服饰 Prices'!L3/'运动服饰 Prices'!L$3)</f>
        <v/>
      </c>
      <c r="M55" s="50">
        <f>IF(OR('运动服饰 Prices'!M3="",'运动服饰 Prices'!M$3=""),"",'运动服饰 Prices'!M3/'运动服饰 Prices'!M$3)</f>
        <v/>
      </c>
      <c r="N55" s="50">
        <f>IF(OR('运动服饰 Prices'!N3="",'运动服饰 Prices'!N$3=""),"",'运动服饰 Prices'!N3/'运动服饰 Prices'!N$3)</f>
        <v/>
      </c>
      <c r="O55" s="50">
        <f>IF(OR('运动服饰 Prices'!O3="",'运动服饰 Prices'!O$3=""),"",'运动服饰 Prices'!O3/'运动服饰 Prices'!O$3)</f>
        <v/>
      </c>
      <c r="P55" s="50">
        <f>IF(OR('运动服饰 Prices'!P3="",'运动服饰 Prices'!P$3=""),"",'运动服饰 Prices'!P3/'运动服饰 Prices'!P$3)</f>
        <v/>
      </c>
      <c r="Q55" s="50">
        <f>IF(OR('运动服饰 Prices'!Q3="",'运动服饰 Prices'!Q$3=""),"",'运动服饰 Prices'!Q3/'运动服饰 Prices'!Q$3)</f>
        <v/>
      </c>
      <c r="R55" s="50">
        <f>IF(OR('运动服饰 Prices'!R3="",'运动服饰 Prices'!R$3=""),"",'运动服饰 Prices'!R3/'运动服饰 Prices'!R$3)</f>
        <v/>
      </c>
      <c r="S55" s="50">
        <f>IF(OR('运动服饰 Prices'!S3="",'运动服饰 Prices'!S$3=""),"",'运动服饰 Prices'!S3/'运动服饰 Prices'!S$3)</f>
        <v/>
      </c>
      <c r="T55" s="50">
        <f>IF(OR('运动服饰 Prices'!T3="",'运动服饰 Prices'!T$3=""),"",'运动服饰 Prices'!T3/'运动服饰 Prices'!T$3)</f>
        <v/>
      </c>
      <c r="U55" s="50">
        <f>IF(OR('运动服饰 Prices'!U3="",'运动服饰 Prices'!U$3=""),"",'运动服饰 Prices'!U3/'运动服饰 Prices'!U$3)</f>
        <v/>
      </c>
      <c r="V55" s="50">
        <f>IF(OR('运动服饰 Prices'!V3="",'运动服饰 Prices'!V$3=""),"",'运动服饰 Prices'!V3/'运动服饰 Prices'!V$3)</f>
        <v/>
      </c>
      <c r="W55" s="50">
        <f>IF(OR('运动服饰 Prices'!W3="",'运动服饰 Prices'!W$3=""),"",'运动服饰 Prices'!W3/'运动服饰 Prices'!W$3)</f>
        <v/>
      </c>
      <c r="X55" s="50">
        <f>IF(OR('运动服饰 Prices'!X3="",'运动服饰 Prices'!X$3=""),"",'运动服饰 Prices'!X3/'运动服饰 Prices'!X$3)</f>
        <v/>
      </c>
      <c r="Y55" s="50">
        <f>IF(OR('运动服饰 Prices'!Y3="",'运动服饰 Prices'!Y$3=""),"",'运动服饰 Prices'!Y3/'运动服饰 Prices'!Y$3)</f>
        <v/>
      </c>
      <c r="Z55" s="50">
        <f>IF(OR('运动服饰 Prices'!Z3="",'运动服饰 Prices'!Z$3=""),"",'运动服饰 Prices'!Z3/'运动服饰 Prices'!Z$3)</f>
        <v/>
      </c>
      <c r="AA55" s="50">
        <f>IF(OR('运动服饰 Prices'!AA3="",'运动服饰 Prices'!AA$3=""),"",'运动服饰 Prices'!AA3/'运动服饰 Prices'!AA$3)</f>
        <v/>
      </c>
      <c r="AB55" s="50">
        <f>IF(OR('运动服饰 Prices'!AB3="",'运动服饰 Prices'!AB$3=""),"",'运动服饰 Prices'!AB3/'运动服饰 Prices'!AB$3)</f>
        <v/>
      </c>
      <c r="AC55" s="50">
        <f>IF(OR('运动服饰 Prices'!AC3="",'运动服饰 Prices'!AC$3=""),"",'运动服饰 Prices'!AC3/'运动服饰 Prices'!AC$3)</f>
        <v/>
      </c>
      <c r="AD55" s="50">
        <f>IF(OR('运动服饰 Prices'!AD3="",'运动服饰 Prices'!AD$3=""),"",'运动服饰 Prices'!AD3/'运动服饰 Prices'!AD$3)</f>
        <v/>
      </c>
      <c r="AE55" s="50">
        <f>IF(OR('运动服饰 Prices'!AE3="",'运动服饰 Prices'!AE$3=""),"",'运动服饰 Prices'!AE3/'运动服饰 Prices'!AE$3)</f>
        <v/>
      </c>
      <c r="AF55" s="50">
        <f>IF(OR('运动服饰 Prices'!AF3="",'运动服饰 Prices'!AF$3=""),"",'运动服饰 Prices'!AF3/'运动服饰 Prices'!AF$3)</f>
        <v/>
      </c>
      <c r="AG55" s="50">
        <f>IF(OR('运动服饰 Prices'!AG3="",'运动服饰 Prices'!AG$3=""),"",'运动服饰 Prices'!AG3/'运动服饰 Prices'!AG$3)</f>
        <v/>
      </c>
      <c r="AH55" s="50">
        <f>IF(OR('运动服饰 Prices'!AH3="",'运动服饰 Prices'!AH$3=""),"",'运动服饰 Prices'!AH3/'运动服饰 Prices'!AH$3)</f>
        <v/>
      </c>
      <c r="AI55" s="50">
        <f>IF(OR('运动服饰 Prices'!AI3="",'运动服饰 Prices'!AI$3=""),"",'运动服饰 Prices'!AI3/'运动服饰 Prices'!AI$3)</f>
        <v/>
      </c>
    </row>
    <row r="56">
      <c r="A56" s="49" t="n">
        <v>45996</v>
      </c>
      <c r="B56" s="50">
        <f>IF(OR('运动服饰 Prices'!B4="",'运动服饰 Prices'!B$3=""),"",'运动服饰 Prices'!B4/'运动服饰 Prices'!B$3)</f>
        <v/>
      </c>
      <c r="C56" s="50">
        <f>IF(OR('运动服饰 Prices'!C4="",'运动服饰 Prices'!C$3=""),"",'运动服饰 Prices'!C4/'运动服饰 Prices'!C$3)</f>
        <v/>
      </c>
      <c r="D56" s="50">
        <f>IF(OR('运动服饰 Prices'!D4="",'运动服饰 Prices'!D$3=""),"",'运动服饰 Prices'!D4/'运动服饰 Prices'!D$3)</f>
        <v/>
      </c>
      <c r="E56" s="50">
        <f>IF(OR('运动服饰 Prices'!E4="",'运动服饰 Prices'!E$3=""),"",'运动服饰 Prices'!E4/'运动服饰 Prices'!E$3)</f>
        <v/>
      </c>
      <c r="F56" s="50">
        <f>IF(OR('运动服饰 Prices'!F4="",'运动服饰 Prices'!F$3=""),"",'运动服饰 Prices'!F4/'运动服饰 Prices'!F$3)</f>
        <v/>
      </c>
      <c r="G56" s="50">
        <f>IF(OR('运动服饰 Prices'!G4="",'运动服饰 Prices'!G$3=""),"",'运动服饰 Prices'!G4/'运动服饰 Prices'!G$3)</f>
        <v/>
      </c>
      <c r="H56" s="50">
        <f>IF(OR('运动服饰 Prices'!H4="",'运动服饰 Prices'!H$3=""),"",'运动服饰 Prices'!H4/'运动服饰 Prices'!H$3)</f>
        <v/>
      </c>
      <c r="I56" s="50">
        <f>IF(OR('运动服饰 Prices'!I4="",'运动服饰 Prices'!I$3=""),"",'运动服饰 Prices'!I4/'运动服饰 Prices'!I$3)</f>
        <v/>
      </c>
      <c r="J56" s="50">
        <f>IF(OR('运动服饰 Prices'!J4="",'运动服饰 Prices'!J$3=""),"",'运动服饰 Prices'!J4/'运动服饰 Prices'!J$3)</f>
        <v/>
      </c>
      <c r="K56" s="50">
        <f>IF(OR('运动服饰 Prices'!K4="",'运动服饰 Prices'!K$3=""),"",'运动服饰 Prices'!K4/'运动服饰 Prices'!K$3)</f>
        <v/>
      </c>
      <c r="L56" s="50">
        <f>IF(OR('运动服饰 Prices'!L4="",'运动服饰 Prices'!L$3=""),"",'运动服饰 Prices'!L4/'运动服饰 Prices'!L$3)</f>
        <v/>
      </c>
      <c r="M56" s="50">
        <f>IF(OR('运动服饰 Prices'!M4="",'运动服饰 Prices'!M$3=""),"",'运动服饰 Prices'!M4/'运动服饰 Prices'!M$3)</f>
        <v/>
      </c>
      <c r="N56" s="50">
        <f>IF(OR('运动服饰 Prices'!N4="",'运动服饰 Prices'!N$3=""),"",'运动服饰 Prices'!N4/'运动服饰 Prices'!N$3)</f>
        <v/>
      </c>
      <c r="O56" s="50">
        <f>IF(OR('运动服饰 Prices'!O4="",'运动服饰 Prices'!O$3=""),"",'运动服饰 Prices'!O4/'运动服饰 Prices'!O$3)</f>
        <v/>
      </c>
      <c r="P56" s="50">
        <f>IF(OR('运动服饰 Prices'!P4="",'运动服饰 Prices'!P$3=""),"",'运动服饰 Prices'!P4/'运动服饰 Prices'!P$3)</f>
        <v/>
      </c>
      <c r="Q56" s="50">
        <f>IF(OR('运动服饰 Prices'!Q4="",'运动服饰 Prices'!Q$3=""),"",'运动服饰 Prices'!Q4/'运动服饰 Prices'!Q$3)</f>
        <v/>
      </c>
      <c r="R56" s="50">
        <f>IF(OR('运动服饰 Prices'!R4="",'运动服饰 Prices'!R$3=""),"",'运动服饰 Prices'!R4/'运动服饰 Prices'!R$3)</f>
        <v/>
      </c>
      <c r="S56" s="50">
        <f>IF(OR('运动服饰 Prices'!S4="",'运动服饰 Prices'!S$3=""),"",'运动服饰 Prices'!S4/'运动服饰 Prices'!S$3)</f>
        <v/>
      </c>
      <c r="T56" s="50">
        <f>IF(OR('运动服饰 Prices'!T4="",'运动服饰 Prices'!T$3=""),"",'运动服饰 Prices'!T4/'运动服饰 Prices'!T$3)</f>
        <v/>
      </c>
      <c r="U56" s="50">
        <f>IF(OR('运动服饰 Prices'!U4="",'运动服饰 Prices'!U$3=""),"",'运动服饰 Prices'!U4/'运动服饰 Prices'!U$3)</f>
        <v/>
      </c>
      <c r="V56" s="50">
        <f>IF(OR('运动服饰 Prices'!V4="",'运动服饰 Prices'!V$3=""),"",'运动服饰 Prices'!V4/'运动服饰 Prices'!V$3)</f>
        <v/>
      </c>
      <c r="W56" s="50">
        <f>IF(OR('运动服饰 Prices'!W4="",'运动服饰 Prices'!W$3=""),"",'运动服饰 Prices'!W4/'运动服饰 Prices'!W$3)</f>
        <v/>
      </c>
      <c r="X56" s="50">
        <f>IF(OR('运动服饰 Prices'!X4="",'运动服饰 Prices'!X$3=""),"",'运动服饰 Prices'!X4/'运动服饰 Prices'!X$3)</f>
        <v/>
      </c>
      <c r="Y56" s="50">
        <f>IF(OR('运动服饰 Prices'!Y4="",'运动服饰 Prices'!Y$3=""),"",'运动服饰 Prices'!Y4/'运动服饰 Prices'!Y$3)</f>
        <v/>
      </c>
      <c r="Z56" s="50">
        <f>IF(OR('运动服饰 Prices'!Z4="",'运动服饰 Prices'!Z$3=""),"",'运动服饰 Prices'!Z4/'运动服饰 Prices'!Z$3)</f>
        <v/>
      </c>
      <c r="AA56" s="50">
        <f>IF(OR('运动服饰 Prices'!AA4="",'运动服饰 Prices'!AA$3=""),"",'运动服饰 Prices'!AA4/'运动服饰 Prices'!AA$3)</f>
        <v/>
      </c>
      <c r="AB56" s="50">
        <f>IF(OR('运动服饰 Prices'!AB4="",'运动服饰 Prices'!AB$3=""),"",'运动服饰 Prices'!AB4/'运动服饰 Prices'!AB$3)</f>
        <v/>
      </c>
      <c r="AC56" s="50">
        <f>IF(OR('运动服饰 Prices'!AC4="",'运动服饰 Prices'!AC$3=""),"",'运动服饰 Prices'!AC4/'运动服饰 Prices'!AC$3)</f>
        <v/>
      </c>
      <c r="AD56" s="50">
        <f>IF(OR('运动服饰 Prices'!AD4="",'运动服饰 Prices'!AD$3=""),"",'运动服饰 Prices'!AD4/'运动服饰 Prices'!AD$3)</f>
        <v/>
      </c>
      <c r="AE56" s="50">
        <f>IF(OR('运动服饰 Prices'!AE4="",'运动服饰 Prices'!AE$3=""),"",'运动服饰 Prices'!AE4/'运动服饰 Prices'!AE$3)</f>
        <v/>
      </c>
      <c r="AF56" s="50">
        <f>IF(OR('运动服饰 Prices'!AF4="",'运动服饰 Prices'!AF$3=""),"",'运动服饰 Prices'!AF4/'运动服饰 Prices'!AF$3)</f>
        <v/>
      </c>
      <c r="AG56" s="50">
        <f>IF(OR('运动服饰 Prices'!AG4="",'运动服饰 Prices'!AG$3=""),"",'运动服饰 Prices'!AG4/'运动服饰 Prices'!AG$3)</f>
        <v/>
      </c>
      <c r="AH56" s="50">
        <f>IF(OR('运动服饰 Prices'!AH4="",'运动服饰 Prices'!AH$3=""),"",'运动服饰 Prices'!AH4/'运动服饰 Prices'!AH$3)</f>
        <v/>
      </c>
      <c r="AI56" s="50">
        <f>IF(OR('运动服饰 Prices'!AI4="",'运动服饰 Prices'!AI$3=""),"",'运动服饰 Prices'!AI4/'运动服饰 Prices'!AI$3)</f>
        <v/>
      </c>
    </row>
    <row r="57">
      <c r="A57" s="49" t="n">
        <v>46003</v>
      </c>
      <c r="B57" s="50">
        <f>IF(OR('运动服饰 Prices'!B5="",'运动服饰 Prices'!B$3=""),"",'运动服饰 Prices'!B5/'运动服饰 Prices'!B$3)</f>
        <v/>
      </c>
      <c r="C57" s="50">
        <f>IF(OR('运动服饰 Prices'!C5="",'运动服饰 Prices'!C$3=""),"",'运动服饰 Prices'!C5/'运动服饰 Prices'!C$3)</f>
        <v/>
      </c>
      <c r="D57" s="50">
        <f>IF(OR('运动服饰 Prices'!D5="",'运动服饰 Prices'!D$3=""),"",'运动服饰 Prices'!D5/'运动服饰 Prices'!D$3)</f>
        <v/>
      </c>
      <c r="E57" s="50">
        <f>IF(OR('运动服饰 Prices'!E5="",'运动服饰 Prices'!E$3=""),"",'运动服饰 Prices'!E5/'运动服饰 Prices'!E$3)</f>
        <v/>
      </c>
      <c r="F57" s="50">
        <f>IF(OR('运动服饰 Prices'!F5="",'运动服饰 Prices'!F$3=""),"",'运动服饰 Prices'!F5/'运动服饰 Prices'!F$3)</f>
        <v/>
      </c>
      <c r="G57" s="50">
        <f>IF(OR('运动服饰 Prices'!G5="",'运动服饰 Prices'!G$3=""),"",'运动服饰 Prices'!G5/'运动服饰 Prices'!G$3)</f>
        <v/>
      </c>
      <c r="H57" s="50">
        <f>IF(OR('运动服饰 Prices'!H5="",'运动服饰 Prices'!H$3=""),"",'运动服饰 Prices'!H5/'运动服饰 Prices'!H$3)</f>
        <v/>
      </c>
      <c r="I57" s="50">
        <f>IF(OR('运动服饰 Prices'!I5="",'运动服饰 Prices'!I$3=""),"",'运动服饰 Prices'!I5/'运动服饰 Prices'!I$3)</f>
        <v/>
      </c>
      <c r="J57" s="50">
        <f>IF(OR('运动服饰 Prices'!J5="",'运动服饰 Prices'!J$3=""),"",'运动服饰 Prices'!J5/'运动服饰 Prices'!J$3)</f>
        <v/>
      </c>
      <c r="K57" s="50">
        <f>IF(OR('运动服饰 Prices'!K5="",'运动服饰 Prices'!K$3=""),"",'运动服饰 Prices'!K5/'运动服饰 Prices'!K$3)</f>
        <v/>
      </c>
      <c r="L57" s="50">
        <f>IF(OR('运动服饰 Prices'!L5="",'运动服饰 Prices'!L$3=""),"",'运动服饰 Prices'!L5/'运动服饰 Prices'!L$3)</f>
        <v/>
      </c>
      <c r="M57" s="50">
        <f>IF(OR('运动服饰 Prices'!M5="",'运动服饰 Prices'!M$3=""),"",'运动服饰 Prices'!M5/'运动服饰 Prices'!M$3)</f>
        <v/>
      </c>
      <c r="N57" s="50">
        <f>IF(OR('运动服饰 Prices'!N5="",'运动服饰 Prices'!N$3=""),"",'运动服饰 Prices'!N5/'运动服饰 Prices'!N$3)</f>
        <v/>
      </c>
      <c r="O57" s="50">
        <f>IF(OR('运动服饰 Prices'!O5="",'运动服饰 Prices'!O$3=""),"",'运动服饰 Prices'!O5/'运动服饰 Prices'!O$3)</f>
        <v/>
      </c>
      <c r="P57" s="50">
        <f>IF(OR('运动服饰 Prices'!P5="",'运动服饰 Prices'!P$3=""),"",'运动服饰 Prices'!P5/'运动服饰 Prices'!P$3)</f>
        <v/>
      </c>
      <c r="Q57" s="50">
        <f>IF(OR('运动服饰 Prices'!Q5="",'运动服饰 Prices'!Q$3=""),"",'运动服饰 Prices'!Q5/'运动服饰 Prices'!Q$3)</f>
        <v/>
      </c>
      <c r="R57" s="50">
        <f>IF(OR('运动服饰 Prices'!R5="",'运动服饰 Prices'!R$3=""),"",'运动服饰 Prices'!R5/'运动服饰 Prices'!R$3)</f>
        <v/>
      </c>
      <c r="S57" s="50">
        <f>IF(OR('运动服饰 Prices'!S5="",'运动服饰 Prices'!S$3=""),"",'运动服饰 Prices'!S5/'运动服饰 Prices'!S$3)</f>
        <v/>
      </c>
      <c r="T57" s="50">
        <f>IF(OR('运动服饰 Prices'!T5="",'运动服饰 Prices'!T$3=""),"",'运动服饰 Prices'!T5/'运动服饰 Prices'!T$3)</f>
        <v/>
      </c>
      <c r="U57" s="50">
        <f>IF(OR('运动服饰 Prices'!U5="",'运动服饰 Prices'!U$3=""),"",'运动服饰 Prices'!U5/'运动服饰 Prices'!U$3)</f>
        <v/>
      </c>
      <c r="V57" s="50">
        <f>IF(OR('运动服饰 Prices'!V5="",'运动服饰 Prices'!V$3=""),"",'运动服饰 Prices'!V5/'运动服饰 Prices'!V$3)</f>
        <v/>
      </c>
      <c r="W57" s="50">
        <f>IF(OR('运动服饰 Prices'!W5="",'运动服饰 Prices'!W$3=""),"",'运动服饰 Prices'!W5/'运动服饰 Prices'!W$3)</f>
        <v/>
      </c>
      <c r="X57" s="50">
        <f>IF(OR('运动服饰 Prices'!X5="",'运动服饰 Prices'!X$3=""),"",'运动服饰 Prices'!X5/'运动服饰 Prices'!X$3)</f>
        <v/>
      </c>
      <c r="Y57" s="50">
        <f>IF(OR('运动服饰 Prices'!Y5="",'运动服饰 Prices'!Y$3=""),"",'运动服饰 Prices'!Y5/'运动服饰 Prices'!Y$3)</f>
        <v/>
      </c>
      <c r="Z57" s="50">
        <f>IF(OR('运动服饰 Prices'!Z5="",'运动服饰 Prices'!Z$3=""),"",'运动服饰 Prices'!Z5/'运动服饰 Prices'!Z$3)</f>
        <v/>
      </c>
      <c r="AA57" s="50">
        <f>IF(OR('运动服饰 Prices'!AA5="",'运动服饰 Prices'!AA$3=""),"",'运动服饰 Prices'!AA5/'运动服饰 Prices'!AA$3)</f>
        <v/>
      </c>
      <c r="AB57" s="50">
        <f>IF(OR('运动服饰 Prices'!AB5="",'运动服饰 Prices'!AB$3=""),"",'运动服饰 Prices'!AB5/'运动服饰 Prices'!AB$3)</f>
        <v/>
      </c>
      <c r="AC57" s="50">
        <f>IF(OR('运动服饰 Prices'!AC5="",'运动服饰 Prices'!AC$3=""),"",'运动服饰 Prices'!AC5/'运动服饰 Prices'!AC$3)</f>
        <v/>
      </c>
      <c r="AD57" s="50">
        <f>IF(OR('运动服饰 Prices'!AD5="",'运动服饰 Prices'!AD$3=""),"",'运动服饰 Prices'!AD5/'运动服饰 Prices'!AD$3)</f>
        <v/>
      </c>
      <c r="AE57" s="50">
        <f>IF(OR('运动服饰 Prices'!AE5="",'运动服饰 Prices'!AE$3=""),"",'运动服饰 Prices'!AE5/'运动服饰 Prices'!AE$3)</f>
        <v/>
      </c>
      <c r="AF57" s="50">
        <f>IF(OR('运动服饰 Prices'!AF5="",'运动服饰 Prices'!AF$3=""),"",'运动服饰 Prices'!AF5/'运动服饰 Prices'!AF$3)</f>
        <v/>
      </c>
      <c r="AG57" s="50">
        <f>IF(OR('运动服饰 Prices'!AG5="",'运动服饰 Prices'!AG$3=""),"",'运动服饰 Prices'!AG5/'运动服饰 Prices'!AG$3)</f>
        <v/>
      </c>
      <c r="AH57" s="50">
        <f>IF(OR('运动服饰 Prices'!AH5="",'运动服饰 Prices'!AH$3=""),"",'运动服饰 Prices'!AH5/'运动服饰 Prices'!AH$3)</f>
        <v/>
      </c>
      <c r="AI57" s="50">
        <f>IF(OR('运动服饰 Prices'!AI5="",'运动服饰 Prices'!AI$3=""),"",'运动服饰 Prices'!AI5/'运动服饰 Prices'!AI$3)</f>
        <v/>
      </c>
    </row>
    <row r="58">
      <c r="A58" s="49" t="n">
        <v>46010</v>
      </c>
      <c r="B58" s="50">
        <f>IF(OR('运动服饰 Prices'!B6="",'运动服饰 Prices'!B$3=""),"",'运动服饰 Prices'!B6/'运动服饰 Prices'!B$3)</f>
        <v/>
      </c>
      <c r="C58" s="50">
        <f>IF(OR('运动服饰 Prices'!C6="",'运动服饰 Prices'!C$3=""),"",'运动服饰 Prices'!C6/'运动服饰 Prices'!C$3)</f>
        <v/>
      </c>
      <c r="D58" s="50">
        <f>IF(OR('运动服饰 Prices'!D6="",'运动服饰 Prices'!D$3=""),"",'运动服饰 Prices'!D6/'运动服饰 Prices'!D$3)</f>
        <v/>
      </c>
      <c r="E58" s="50">
        <f>IF(OR('运动服饰 Prices'!E6="",'运动服饰 Prices'!E$3=""),"",'运动服饰 Prices'!E6/'运动服饰 Prices'!E$3)</f>
        <v/>
      </c>
      <c r="F58" s="50">
        <f>IF(OR('运动服饰 Prices'!F6="",'运动服饰 Prices'!F$3=""),"",'运动服饰 Prices'!F6/'运动服饰 Prices'!F$3)</f>
        <v/>
      </c>
      <c r="G58" s="50">
        <f>IF(OR('运动服饰 Prices'!G6="",'运动服饰 Prices'!G$3=""),"",'运动服饰 Prices'!G6/'运动服饰 Prices'!G$3)</f>
        <v/>
      </c>
      <c r="H58" s="50">
        <f>IF(OR('运动服饰 Prices'!H6="",'运动服饰 Prices'!H$3=""),"",'运动服饰 Prices'!H6/'运动服饰 Prices'!H$3)</f>
        <v/>
      </c>
      <c r="I58" s="50">
        <f>IF(OR('运动服饰 Prices'!I6="",'运动服饰 Prices'!I$3=""),"",'运动服饰 Prices'!I6/'运动服饰 Prices'!I$3)</f>
        <v/>
      </c>
      <c r="J58" s="50">
        <f>IF(OR('运动服饰 Prices'!J6="",'运动服饰 Prices'!J$3=""),"",'运动服饰 Prices'!J6/'运动服饰 Prices'!J$3)</f>
        <v/>
      </c>
      <c r="K58" s="50">
        <f>IF(OR('运动服饰 Prices'!K6="",'运动服饰 Prices'!K$3=""),"",'运动服饰 Prices'!K6/'运动服饰 Prices'!K$3)</f>
        <v/>
      </c>
      <c r="L58" s="50">
        <f>IF(OR('运动服饰 Prices'!L6="",'运动服饰 Prices'!L$3=""),"",'运动服饰 Prices'!L6/'运动服饰 Prices'!L$3)</f>
        <v/>
      </c>
      <c r="M58" s="50">
        <f>IF(OR('运动服饰 Prices'!M6="",'运动服饰 Prices'!M$3=""),"",'运动服饰 Prices'!M6/'运动服饰 Prices'!M$3)</f>
        <v/>
      </c>
      <c r="N58" s="50">
        <f>IF(OR('运动服饰 Prices'!N6="",'运动服饰 Prices'!N$3=""),"",'运动服饰 Prices'!N6/'运动服饰 Prices'!N$3)</f>
        <v/>
      </c>
      <c r="O58" s="50">
        <f>IF(OR('运动服饰 Prices'!O6="",'运动服饰 Prices'!O$3=""),"",'运动服饰 Prices'!O6/'运动服饰 Prices'!O$3)</f>
        <v/>
      </c>
      <c r="P58" s="50">
        <f>IF(OR('运动服饰 Prices'!P6="",'运动服饰 Prices'!P$3=""),"",'运动服饰 Prices'!P6/'运动服饰 Prices'!P$3)</f>
        <v/>
      </c>
      <c r="Q58" s="50">
        <f>IF(OR('运动服饰 Prices'!Q6="",'运动服饰 Prices'!Q$3=""),"",'运动服饰 Prices'!Q6/'运动服饰 Prices'!Q$3)</f>
        <v/>
      </c>
      <c r="R58" s="50">
        <f>IF(OR('运动服饰 Prices'!R6="",'运动服饰 Prices'!R$3=""),"",'运动服饰 Prices'!R6/'运动服饰 Prices'!R$3)</f>
        <v/>
      </c>
      <c r="S58" s="50">
        <f>IF(OR('运动服饰 Prices'!S6="",'运动服饰 Prices'!S$3=""),"",'运动服饰 Prices'!S6/'运动服饰 Prices'!S$3)</f>
        <v/>
      </c>
      <c r="T58" s="50">
        <f>IF(OR('运动服饰 Prices'!T6="",'运动服饰 Prices'!T$3=""),"",'运动服饰 Prices'!T6/'运动服饰 Prices'!T$3)</f>
        <v/>
      </c>
      <c r="U58" s="50">
        <f>IF(OR('运动服饰 Prices'!U6="",'运动服饰 Prices'!U$3=""),"",'运动服饰 Prices'!U6/'运动服饰 Prices'!U$3)</f>
        <v/>
      </c>
      <c r="V58" s="50">
        <f>IF(OR('运动服饰 Prices'!V6="",'运动服饰 Prices'!V$3=""),"",'运动服饰 Prices'!V6/'运动服饰 Prices'!V$3)</f>
        <v/>
      </c>
      <c r="W58" s="50">
        <f>IF(OR('运动服饰 Prices'!W6="",'运动服饰 Prices'!W$3=""),"",'运动服饰 Prices'!W6/'运动服饰 Prices'!W$3)</f>
        <v/>
      </c>
      <c r="X58" s="50">
        <f>IF(OR('运动服饰 Prices'!X6="",'运动服饰 Prices'!X$3=""),"",'运动服饰 Prices'!X6/'运动服饰 Prices'!X$3)</f>
        <v/>
      </c>
      <c r="Y58" s="50">
        <f>IF(OR('运动服饰 Prices'!Y6="",'运动服饰 Prices'!Y$3=""),"",'运动服饰 Prices'!Y6/'运动服饰 Prices'!Y$3)</f>
        <v/>
      </c>
      <c r="Z58" s="50">
        <f>IF(OR('运动服饰 Prices'!Z6="",'运动服饰 Prices'!Z$3=""),"",'运动服饰 Prices'!Z6/'运动服饰 Prices'!Z$3)</f>
        <v/>
      </c>
      <c r="AA58" s="50">
        <f>IF(OR('运动服饰 Prices'!AA6="",'运动服饰 Prices'!AA$3=""),"",'运动服饰 Prices'!AA6/'运动服饰 Prices'!AA$3)</f>
        <v/>
      </c>
      <c r="AB58" s="50">
        <f>IF(OR('运动服饰 Prices'!AB6="",'运动服饰 Prices'!AB$3=""),"",'运动服饰 Prices'!AB6/'运动服饰 Prices'!AB$3)</f>
        <v/>
      </c>
      <c r="AC58" s="50">
        <f>IF(OR('运动服饰 Prices'!AC6="",'运动服饰 Prices'!AC$3=""),"",'运动服饰 Prices'!AC6/'运动服饰 Prices'!AC$3)</f>
        <v/>
      </c>
      <c r="AD58" s="50">
        <f>IF(OR('运动服饰 Prices'!AD6="",'运动服饰 Prices'!AD$3=""),"",'运动服饰 Prices'!AD6/'运动服饰 Prices'!AD$3)</f>
        <v/>
      </c>
      <c r="AE58" s="50">
        <f>IF(OR('运动服饰 Prices'!AE6="",'运动服饰 Prices'!AE$3=""),"",'运动服饰 Prices'!AE6/'运动服饰 Prices'!AE$3)</f>
        <v/>
      </c>
      <c r="AF58" s="50">
        <f>IF(OR('运动服饰 Prices'!AF6="",'运动服饰 Prices'!AF$3=""),"",'运动服饰 Prices'!AF6/'运动服饰 Prices'!AF$3)</f>
        <v/>
      </c>
      <c r="AG58" s="50">
        <f>IF(OR('运动服饰 Prices'!AG6="",'运动服饰 Prices'!AG$3=""),"",'运动服饰 Prices'!AG6/'运动服饰 Prices'!AG$3)</f>
        <v/>
      </c>
      <c r="AH58" s="50">
        <f>IF(OR('运动服饰 Prices'!AH6="",'运动服饰 Prices'!AH$3=""),"",'运动服饰 Prices'!AH6/'运动服饰 Prices'!AH$3)</f>
        <v/>
      </c>
      <c r="AI58" s="50">
        <f>IF(OR('运动服饰 Prices'!AI6="",'运动服饰 Prices'!AI$3=""),"",'运动服饰 Prices'!AI6/'运动服饰 Prices'!AI$3)</f>
        <v/>
      </c>
    </row>
    <row r="59">
      <c r="A59" s="49" t="n">
        <v>46017</v>
      </c>
      <c r="B59" s="50">
        <f>IF(OR('运动服饰 Prices'!B7="",'运动服饰 Prices'!B$3=""),"",'运动服饰 Prices'!B7/'运动服饰 Prices'!B$3)</f>
        <v/>
      </c>
      <c r="C59" s="50">
        <f>IF(OR('运动服饰 Prices'!C7="",'运动服饰 Prices'!C$3=""),"",'运动服饰 Prices'!C7/'运动服饰 Prices'!C$3)</f>
        <v/>
      </c>
      <c r="D59" s="50">
        <f>IF(OR('运动服饰 Prices'!D7="",'运动服饰 Prices'!D$3=""),"",'运动服饰 Prices'!D7/'运动服饰 Prices'!D$3)</f>
        <v/>
      </c>
      <c r="E59" s="50">
        <f>IF(OR('运动服饰 Prices'!E7="",'运动服饰 Prices'!E$3=""),"",'运动服饰 Prices'!E7/'运动服饰 Prices'!E$3)</f>
        <v/>
      </c>
      <c r="F59" s="50">
        <f>IF(OR('运动服饰 Prices'!F7="",'运动服饰 Prices'!F$3=""),"",'运动服饰 Prices'!F7/'运动服饰 Prices'!F$3)</f>
        <v/>
      </c>
      <c r="G59" s="50">
        <f>IF(OR('运动服饰 Prices'!G7="",'运动服饰 Prices'!G$3=""),"",'运动服饰 Prices'!G7/'运动服饰 Prices'!G$3)</f>
        <v/>
      </c>
      <c r="H59" s="50">
        <f>IF(OR('运动服饰 Prices'!H7="",'运动服饰 Prices'!H$3=""),"",'运动服饰 Prices'!H7/'运动服饰 Prices'!H$3)</f>
        <v/>
      </c>
      <c r="I59" s="50">
        <f>IF(OR('运动服饰 Prices'!I7="",'运动服饰 Prices'!I$3=""),"",'运动服饰 Prices'!I7/'运动服饰 Prices'!I$3)</f>
        <v/>
      </c>
      <c r="J59" s="50">
        <f>IF(OR('运动服饰 Prices'!J7="",'运动服饰 Prices'!J$3=""),"",'运动服饰 Prices'!J7/'运动服饰 Prices'!J$3)</f>
        <v/>
      </c>
      <c r="K59" s="50">
        <f>IF(OR('运动服饰 Prices'!K7="",'运动服饰 Prices'!K$3=""),"",'运动服饰 Prices'!K7/'运动服饰 Prices'!K$3)</f>
        <v/>
      </c>
      <c r="L59" s="50">
        <f>IF(OR('运动服饰 Prices'!L7="",'运动服饰 Prices'!L$3=""),"",'运动服饰 Prices'!L7/'运动服饰 Prices'!L$3)</f>
        <v/>
      </c>
      <c r="M59" s="50">
        <f>IF(OR('运动服饰 Prices'!M7="",'运动服饰 Prices'!M$3=""),"",'运动服饰 Prices'!M7/'运动服饰 Prices'!M$3)</f>
        <v/>
      </c>
      <c r="N59" s="50">
        <f>IF(OR('运动服饰 Prices'!N7="",'运动服饰 Prices'!N$3=""),"",'运动服饰 Prices'!N7/'运动服饰 Prices'!N$3)</f>
        <v/>
      </c>
      <c r="O59" s="50">
        <f>IF(OR('运动服饰 Prices'!O7="",'运动服饰 Prices'!O$3=""),"",'运动服饰 Prices'!O7/'运动服饰 Prices'!O$3)</f>
        <v/>
      </c>
      <c r="P59" s="50">
        <f>IF(OR('运动服饰 Prices'!P7="",'运动服饰 Prices'!P$3=""),"",'运动服饰 Prices'!P7/'运动服饰 Prices'!P$3)</f>
        <v/>
      </c>
      <c r="Q59" s="50">
        <f>IF(OR('运动服饰 Prices'!Q7="",'运动服饰 Prices'!Q$3=""),"",'运动服饰 Prices'!Q7/'运动服饰 Prices'!Q$3)</f>
        <v/>
      </c>
      <c r="R59" s="50">
        <f>IF(OR('运动服饰 Prices'!R7="",'运动服饰 Prices'!R$3=""),"",'运动服饰 Prices'!R7/'运动服饰 Prices'!R$3)</f>
        <v/>
      </c>
      <c r="S59" s="50">
        <f>IF(OR('运动服饰 Prices'!S7="",'运动服饰 Prices'!S$3=""),"",'运动服饰 Prices'!S7/'运动服饰 Prices'!S$3)</f>
        <v/>
      </c>
      <c r="T59" s="50">
        <f>IF(OR('运动服饰 Prices'!T7="",'运动服饰 Prices'!T$3=""),"",'运动服饰 Prices'!T7/'运动服饰 Prices'!T$3)</f>
        <v/>
      </c>
      <c r="U59" s="50">
        <f>IF(OR('运动服饰 Prices'!U7="",'运动服饰 Prices'!U$3=""),"",'运动服饰 Prices'!U7/'运动服饰 Prices'!U$3)</f>
        <v/>
      </c>
      <c r="V59" s="50">
        <f>IF(OR('运动服饰 Prices'!V7="",'运动服饰 Prices'!V$3=""),"",'运动服饰 Prices'!V7/'运动服饰 Prices'!V$3)</f>
        <v/>
      </c>
      <c r="W59" s="50">
        <f>IF(OR('运动服饰 Prices'!W7="",'运动服饰 Prices'!W$3=""),"",'运动服饰 Prices'!W7/'运动服饰 Prices'!W$3)</f>
        <v/>
      </c>
      <c r="X59" s="50">
        <f>IF(OR('运动服饰 Prices'!X7="",'运动服饰 Prices'!X$3=""),"",'运动服饰 Prices'!X7/'运动服饰 Prices'!X$3)</f>
        <v/>
      </c>
      <c r="Y59" s="50">
        <f>IF(OR('运动服饰 Prices'!Y7="",'运动服饰 Prices'!Y$3=""),"",'运动服饰 Prices'!Y7/'运动服饰 Prices'!Y$3)</f>
        <v/>
      </c>
      <c r="Z59" s="50">
        <f>IF(OR('运动服饰 Prices'!Z7="",'运动服饰 Prices'!Z$3=""),"",'运动服饰 Prices'!Z7/'运动服饰 Prices'!Z$3)</f>
        <v/>
      </c>
      <c r="AA59" s="50">
        <f>IF(OR('运动服饰 Prices'!AA7="",'运动服饰 Prices'!AA$3=""),"",'运动服饰 Prices'!AA7/'运动服饰 Prices'!AA$3)</f>
        <v/>
      </c>
      <c r="AB59" s="50">
        <f>IF(OR('运动服饰 Prices'!AB7="",'运动服饰 Prices'!AB$3=""),"",'运动服饰 Prices'!AB7/'运动服饰 Prices'!AB$3)</f>
        <v/>
      </c>
      <c r="AC59" s="50">
        <f>IF(OR('运动服饰 Prices'!AC7="",'运动服饰 Prices'!AC$3=""),"",'运动服饰 Prices'!AC7/'运动服饰 Prices'!AC$3)</f>
        <v/>
      </c>
      <c r="AD59" s="50">
        <f>IF(OR('运动服饰 Prices'!AD7="",'运动服饰 Prices'!AD$3=""),"",'运动服饰 Prices'!AD7/'运动服饰 Prices'!AD$3)</f>
        <v/>
      </c>
      <c r="AE59" s="50">
        <f>IF(OR('运动服饰 Prices'!AE7="",'运动服饰 Prices'!AE$3=""),"",'运动服饰 Prices'!AE7/'运动服饰 Prices'!AE$3)</f>
        <v/>
      </c>
      <c r="AF59" s="50">
        <f>IF(OR('运动服饰 Prices'!AF7="",'运动服饰 Prices'!AF$3=""),"",'运动服饰 Prices'!AF7/'运动服饰 Prices'!AF$3)</f>
        <v/>
      </c>
      <c r="AG59" s="50">
        <f>IF(OR('运动服饰 Prices'!AG7="",'运动服饰 Prices'!AG$3=""),"",'运动服饰 Prices'!AG7/'运动服饰 Prices'!AG$3)</f>
        <v/>
      </c>
      <c r="AH59" s="50">
        <f>IF(OR('运动服饰 Prices'!AH7="",'运动服饰 Prices'!AH$3=""),"",'运动服饰 Prices'!AH7/'运动服饰 Prices'!AH$3)</f>
        <v/>
      </c>
      <c r="AI59" s="50">
        <f>IF(OR('运动服饰 Prices'!AI7="",'运动服饰 Prices'!AI$3=""),"",'运动服饰 Prices'!AI7/'运动服饰 Prices'!AI$3)</f>
        <v/>
      </c>
    </row>
    <row r="60">
      <c r="A60" s="49" t="n">
        <v>46024</v>
      </c>
      <c r="B60" s="50">
        <f>IF(OR('运动服饰 Prices'!B8="",'运动服饰 Prices'!B$3=""),"",'运动服饰 Prices'!B8/'运动服饰 Prices'!B$3)</f>
        <v/>
      </c>
      <c r="C60" s="50">
        <f>IF(OR('运动服饰 Prices'!C8="",'运动服饰 Prices'!C$3=""),"",'运动服饰 Prices'!C8/'运动服饰 Prices'!C$3)</f>
        <v/>
      </c>
      <c r="D60" s="50">
        <f>IF(OR('运动服饰 Prices'!D8="",'运动服饰 Prices'!D$3=""),"",'运动服饰 Prices'!D8/'运动服饰 Prices'!D$3)</f>
        <v/>
      </c>
      <c r="E60" s="50">
        <f>IF(OR('运动服饰 Prices'!E8="",'运动服饰 Prices'!E$3=""),"",'运动服饰 Prices'!E8/'运动服饰 Prices'!E$3)</f>
        <v/>
      </c>
      <c r="F60" s="50">
        <f>IF(OR('运动服饰 Prices'!F8="",'运动服饰 Prices'!F$3=""),"",'运动服饰 Prices'!F8/'运动服饰 Prices'!F$3)</f>
        <v/>
      </c>
      <c r="G60" s="50">
        <f>IF(OR('运动服饰 Prices'!G8="",'运动服饰 Prices'!G$3=""),"",'运动服饰 Prices'!G8/'运动服饰 Prices'!G$3)</f>
        <v/>
      </c>
      <c r="H60" s="50">
        <f>IF(OR('运动服饰 Prices'!H8="",'运动服饰 Prices'!H$3=""),"",'运动服饰 Prices'!H8/'运动服饰 Prices'!H$3)</f>
        <v/>
      </c>
      <c r="I60" s="50">
        <f>IF(OR('运动服饰 Prices'!I8="",'运动服饰 Prices'!I$3=""),"",'运动服饰 Prices'!I8/'运动服饰 Prices'!I$3)</f>
        <v/>
      </c>
      <c r="J60" s="50">
        <f>IF(OR('运动服饰 Prices'!J8="",'运动服饰 Prices'!J$3=""),"",'运动服饰 Prices'!J8/'运动服饰 Prices'!J$3)</f>
        <v/>
      </c>
      <c r="K60" s="50">
        <f>IF(OR('运动服饰 Prices'!K8="",'运动服饰 Prices'!K$3=""),"",'运动服饰 Prices'!K8/'运动服饰 Prices'!K$3)</f>
        <v/>
      </c>
      <c r="L60" s="50">
        <f>IF(OR('运动服饰 Prices'!L8="",'运动服饰 Prices'!L$3=""),"",'运动服饰 Prices'!L8/'运动服饰 Prices'!L$3)</f>
        <v/>
      </c>
      <c r="M60" s="50">
        <f>IF(OR('运动服饰 Prices'!M8="",'运动服饰 Prices'!M$3=""),"",'运动服饰 Prices'!M8/'运动服饰 Prices'!M$3)</f>
        <v/>
      </c>
      <c r="N60" s="50">
        <f>IF(OR('运动服饰 Prices'!N8="",'运动服饰 Prices'!N$3=""),"",'运动服饰 Prices'!N8/'运动服饰 Prices'!N$3)</f>
        <v/>
      </c>
      <c r="O60" s="50">
        <f>IF(OR('运动服饰 Prices'!O8="",'运动服饰 Prices'!O$3=""),"",'运动服饰 Prices'!O8/'运动服饰 Prices'!O$3)</f>
        <v/>
      </c>
      <c r="P60" s="50">
        <f>IF(OR('运动服饰 Prices'!P8="",'运动服饰 Prices'!P$3=""),"",'运动服饰 Prices'!P8/'运动服饰 Prices'!P$3)</f>
        <v/>
      </c>
      <c r="Q60" s="50">
        <f>IF(OR('运动服饰 Prices'!Q8="",'运动服饰 Prices'!Q$3=""),"",'运动服饰 Prices'!Q8/'运动服饰 Prices'!Q$3)</f>
        <v/>
      </c>
      <c r="R60" s="50">
        <f>IF(OR('运动服饰 Prices'!R8="",'运动服饰 Prices'!R$3=""),"",'运动服饰 Prices'!R8/'运动服饰 Prices'!R$3)</f>
        <v/>
      </c>
      <c r="S60" s="50">
        <f>IF(OR('运动服饰 Prices'!S8="",'运动服饰 Prices'!S$3=""),"",'运动服饰 Prices'!S8/'运动服饰 Prices'!S$3)</f>
        <v/>
      </c>
      <c r="T60" s="50">
        <f>IF(OR('运动服饰 Prices'!T8="",'运动服饰 Prices'!T$3=""),"",'运动服饰 Prices'!T8/'运动服饰 Prices'!T$3)</f>
        <v/>
      </c>
      <c r="U60" s="50">
        <f>IF(OR('运动服饰 Prices'!U8="",'运动服饰 Prices'!U$3=""),"",'运动服饰 Prices'!U8/'运动服饰 Prices'!U$3)</f>
        <v/>
      </c>
      <c r="V60" s="50">
        <f>IF(OR('运动服饰 Prices'!V8="",'运动服饰 Prices'!V$3=""),"",'运动服饰 Prices'!V8/'运动服饰 Prices'!V$3)</f>
        <v/>
      </c>
      <c r="W60" s="50">
        <f>IF(OR('运动服饰 Prices'!W8="",'运动服饰 Prices'!W$3=""),"",'运动服饰 Prices'!W8/'运动服饰 Prices'!W$3)</f>
        <v/>
      </c>
      <c r="X60" s="50">
        <f>IF(OR('运动服饰 Prices'!X8="",'运动服饰 Prices'!X$3=""),"",'运动服饰 Prices'!X8/'运动服饰 Prices'!X$3)</f>
        <v/>
      </c>
      <c r="Y60" s="50">
        <f>IF(OR('运动服饰 Prices'!Y8="",'运动服饰 Prices'!Y$3=""),"",'运动服饰 Prices'!Y8/'运动服饰 Prices'!Y$3)</f>
        <v/>
      </c>
      <c r="Z60" s="50">
        <f>IF(OR('运动服饰 Prices'!Z8="",'运动服饰 Prices'!Z$3=""),"",'运动服饰 Prices'!Z8/'运动服饰 Prices'!Z$3)</f>
        <v/>
      </c>
      <c r="AA60" s="50">
        <f>IF(OR('运动服饰 Prices'!AA8="",'运动服饰 Prices'!AA$3=""),"",'运动服饰 Prices'!AA8/'运动服饰 Prices'!AA$3)</f>
        <v/>
      </c>
      <c r="AB60" s="50">
        <f>IF(OR('运动服饰 Prices'!AB8="",'运动服饰 Prices'!AB$3=""),"",'运动服饰 Prices'!AB8/'运动服饰 Prices'!AB$3)</f>
        <v/>
      </c>
      <c r="AC60" s="50">
        <f>IF(OR('运动服饰 Prices'!AC8="",'运动服饰 Prices'!AC$3=""),"",'运动服饰 Prices'!AC8/'运动服饰 Prices'!AC$3)</f>
        <v/>
      </c>
      <c r="AD60" s="50">
        <f>IF(OR('运动服饰 Prices'!AD8="",'运动服饰 Prices'!AD$3=""),"",'运动服饰 Prices'!AD8/'运动服饰 Prices'!AD$3)</f>
        <v/>
      </c>
      <c r="AE60" s="50">
        <f>IF(OR('运动服饰 Prices'!AE8="",'运动服饰 Prices'!AE$3=""),"",'运动服饰 Prices'!AE8/'运动服饰 Prices'!AE$3)</f>
        <v/>
      </c>
      <c r="AF60" s="50">
        <f>IF(OR('运动服饰 Prices'!AF8="",'运动服饰 Prices'!AF$3=""),"",'运动服饰 Prices'!AF8/'运动服饰 Prices'!AF$3)</f>
        <v/>
      </c>
      <c r="AG60" s="50">
        <f>IF(OR('运动服饰 Prices'!AG8="",'运动服饰 Prices'!AG$3=""),"",'运动服饰 Prices'!AG8/'运动服饰 Prices'!AG$3)</f>
        <v/>
      </c>
      <c r="AH60" s="50">
        <f>IF(OR('运动服饰 Prices'!AH8="",'运动服饰 Prices'!AH$3=""),"",'运动服饰 Prices'!AH8/'运动服饰 Prices'!AH$3)</f>
        <v/>
      </c>
      <c r="AI60" s="50">
        <f>IF(OR('运动服饰 Prices'!AI8="",'运动服饰 Prices'!AI$3=""),"",'运动服饰 Prices'!AI8/'运动服饰 Prices'!AI$3)</f>
        <v/>
      </c>
    </row>
    <row r="61">
      <c r="A61" s="49" t="n">
        <v>46031</v>
      </c>
      <c r="B61" s="50">
        <f>IF(OR('运动服饰 Prices'!B9="",'运动服饰 Prices'!B$3=""),"",'运动服饰 Prices'!B9/'运动服饰 Prices'!B$3)</f>
        <v/>
      </c>
      <c r="C61" s="50">
        <f>IF(OR('运动服饰 Prices'!C9="",'运动服饰 Prices'!C$3=""),"",'运动服饰 Prices'!C9/'运动服饰 Prices'!C$3)</f>
        <v/>
      </c>
      <c r="D61" s="50">
        <f>IF(OR('运动服饰 Prices'!D9="",'运动服饰 Prices'!D$3=""),"",'运动服饰 Prices'!D9/'运动服饰 Prices'!D$3)</f>
        <v/>
      </c>
      <c r="E61" s="50">
        <f>IF(OR('运动服饰 Prices'!E9="",'运动服饰 Prices'!E$3=""),"",'运动服饰 Prices'!E9/'运动服饰 Prices'!E$3)</f>
        <v/>
      </c>
      <c r="F61" s="50">
        <f>IF(OR('运动服饰 Prices'!F9="",'运动服饰 Prices'!F$3=""),"",'运动服饰 Prices'!F9/'运动服饰 Prices'!F$3)</f>
        <v/>
      </c>
      <c r="G61" s="50">
        <f>IF(OR('运动服饰 Prices'!G9="",'运动服饰 Prices'!G$3=""),"",'运动服饰 Prices'!G9/'运动服饰 Prices'!G$3)</f>
        <v/>
      </c>
      <c r="H61" s="50">
        <f>IF(OR('运动服饰 Prices'!H9="",'运动服饰 Prices'!H$3=""),"",'运动服饰 Prices'!H9/'运动服饰 Prices'!H$3)</f>
        <v/>
      </c>
      <c r="I61" s="50">
        <f>IF(OR('运动服饰 Prices'!I9="",'运动服饰 Prices'!I$3=""),"",'运动服饰 Prices'!I9/'运动服饰 Prices'!I$3)</f>
        <v/>
      </c>
      <c r="J61" s="50">
        <f>IF(OR('运动服饰 Prices'!J9="",'运动服饰 Prices'!J$3=""),"",'运动服饰 Prices'!J9/'运动服饰 Prices'!J$3)</f>
        <v/>
      </c>
      <c r="K61" s="50">
        <f>IF(OR('运动服饰 Prices'!K9="",'运动服饰 Prices'!K$3=""),"",'运动服饰 Prices'!K9/'运动服饰 Prices'!K$3)</f>
        <v/>
      </c>
      <c r="L61" s="50">
        <f>IF(OR('运动服饰 Prices'!L9="",'运动服饰 Prices'!L$3=""),"",'运动服饰 Prices'!L9/'运动服饰 Prices'!L$3)</f>
        <v/>
      </c>
      <c r="M61" s="50">
        <f>IF(OR('运动服饰 Prices'!M9="",'运动服饰 Prices'!M$3=""),"",'运动服饰 Prices'!M9/'运动服饰 Prices'!M$3)</f>
        <v/>
      </c>
      <c r="N61" s="50">
        <f>IF(OR('运动服饰 Prices'!N9="",'运动服饰 Prices'!N$3=""),"",'运动服饰 Prices'!N9/'运动服饰 Prices'!N$3)</f>
        <v/>
      </c>
      <c r="O61" s="50">
        <f>IF(OR('运动服饰 Prices'!O9="",'运动服饰 Prices'!O$3=""),"",'运动服饰 Prices'!O9/'运动服饰 Prices'!O$3)</f>
        <v/>
      </c>
      <c r="P61" s="50">
        <f>IF(OR('运动服饰 Prices'!P9="",'运动服饰 Prices'!P$3=""),"",'运动服饰 Prices'!P9/'运动服饰 Prices'!P$3)</f>
        <v/>
      </c>
      <c r="Q61" s="50">
        <f>IF(OR('运动服饰 Prices'!Q9="",'运动服饰 Prices'!Q$3=""),"",'运动服饰 Prices'!Q9/'运动服饰 Prices'!Q$3)</f>
        <v/>
      </c>
      <c r="R61" s="50">
        <f>IF(OR('运动服饰 Prices'!R9="",'运动服饰 Prices'!R$3=""),"",'运动服饰 Prices'!R9/'运动服饰 Prices'!R$3)</f>
        <v/>
      </c>
      <c r="S61" s="50">
        <f>IF(OR('运动服饰 Prices'!S9="",'运动服饰 Prices'!S$3=""),"",'运动服饰 Prices'!S9/'运动服饰 Prices'!S$3)</f>
        <v/>
      </c>
      <c r="T61" s="50">
        <f>IF(OR('运动服饰 Prices'!T9="",'运动服饰 Prices'!T$3=""),"",'运动服饰 Prices'!T9/'运动服饰 Prices'!T$3)</f>
        <v/>
      </c>
      <c r="U61" s="50">
        <f>IF(OR('运动服饰 Prices'!U9="",'运动服饰 Prices'!U$3=""),"",'运动服饰 Prices'!U9/'运动服饰 Prices'!U$3)</f>
        <v/>
      </c>
      <c r="V61" s="50">
        <f>IF(OR('运动服饰 Prices'!V9="",'运动服饰 Prices'!V$3=""),"",'运动服饰 Prices'!V9/'运动服饰 Prices'!V$3)</f>
        <v/>
      </c>
      <c r="W61" s="50">
        <f>IF(OR('运动服饰 Prices'!W9="",'运动服饰 Prices'!W$3=""),"",'运动服饰 Prices'!W9/'运动服饰 Prices'!W$3)</f>
        <v/>
      </c>
      <c r="X61" s="50">
        <f>IF(OR('运动服饰 Prices'!X9="",'运动服饰 Prices'!X$3=""),"",'运动服饰 Prices'!X9/'运动服饰 Prices'!X$3)</f>
        <v/>
      </c>
      <c r="Y61" s="50">
        <f>IF(OR('运动服饰 Prices'!Y9="",'运动服饰 Prices'!Y$3=""),"",'运动服饰 Prices'!Y9/'运动服饰 Prices'!Y$3)</f>
        <v/>
      </c>
      <c r="Z61" s="50">
        <f>IF(OR('运动服饰 Prices'!Z9="",'运动服饰 Prices'!Z$3=""),"",'运动服饰 Prices'!Z9/'运动服饰 Prices'!Z$3)</f>
        <v/>
      </c>
      <c r="AA61" s="50">
        <f>IF(OR('运动服饰 Prices'!AA9="",'运动服饰 Prices'!AA$3=""),"",'运动服饰 Prices'!AA9/'运动服饰 Prices'!AA$3)</f>
        <v/>
      </c>
      <c r="AB61" s="50">
        <f>IF(OR('运动服饰 Prices'!AB9="",'运动服饰 Prices'!AB$3=""),"",'运动服饰 Prices'!AB9/'运动服饰 Prices'!AB$3)</f>
        <v/>
      </c>
      <c r="AC61" s="50">
        <f>IF(OR('运动服饰 Prices'!AC9="",'运动服饰 Prices'!AC$3=""),"",'运动服饰 Prices'!AC9/'运动服饰 Prices'!AC$3)</f>
        <v/>
      </c>
      <c r="AD61" s="50">
        <f>IF(OR('运动服饰 Prices'!AD9="",'运动服饰 Prices'!AD$3=""),"",'运动服饰 Prices'!AD9/'运动服饰 Prices'!AD$3)</f>
        <v/>
      </c>
      <c r="AE61" s="50">
        <f>IF(OR('运动服饰 Prices'!AE9="",'运动服饰 Prices'!AE$3=""),"",'运动服饰 Prices'!AE9/'运动服饰 Prices'!AE$3)</f>
        <v/>
      </c>
      <c r="AF61" s="50">
        <f>IF(OR('运动服饰 Prices'!AF9="",'运动服饰 Prices'!AF$3=""),"",'运动服饰 Prices'!AF9/'运动服饰 Prices'!AF$3)</f>
        <v/>
      </c>
      <c r="AG61" s="50">
        <f>IF(OR('运动服饰 Prices'!AG9="",'运动服饰 Prices'!AG$3=""),"",'运动服饰 Prices'!AG9/'运动服饰 Prices'!AG$3)</f>
        <v/>
      </c>
      <c r="AH61" s="50">
        <f>IF(OR('运动服饰 Prices'!AH9="",'运动服饰 Prices'!AH$3=""),"",'运动服饰 Prices'!AH9/'运动服饰 Prices'!AH$3)</f>
        <v/>
      </c>
      <c r="AI61" s="50">
        <f>IF(OR('运动服饰 Prices'!AI9="",'运动服饰 Prices'!AI$3=""),"",'运动服饰 Prices'!AI9/'运动服饰 Prices'!AI$3)</f>
        <v/>
      </c>
    </row>
    <row r="62">
      <c r="A62" s="49" t="n">
        <v>46038</v>
      </c>
      <c r="B62" s="50">
        <f>IF(OR('运动服饰 Prices'!B10="",'运动服饰 Prices'!B$3=""),"",'运动服饰 Prices'!B10/'运动服饰 Prices'!B$3)</f>
        <v/>
      </c>
      <c r="C62" s="50">
        <f>IF(OR('运动服饰 Prices'!C10="",'运动服饰 Prices'!C$3=""),"",'运动服饰 Prices'!C10/'运动服饰 Prices'!C$3)</f>
        <v/>
      </c>
      <c r="D62" s="50">
        <f>IF(OR('运动服饰 Prices'!D10="",'运动服饰 Prices'!D$3=""),"",'运动服饰 Prices'!D10/'运动服饰 Prices'!D$3)</f>
        <v/>
      </c>
      <c r="E62" s="50">
        <f>IF(OR('运动服饰 Prices'!E10="",'运动服饰 Prices'!E$3=""),"",'运动服饰 Prices'!E10/'运动服饰 Prices'!E$3)</f>
        <v/>
      </c>
      <c r="F62" s="50">
        <f>IF(OR('运动服饰 Prices'!F10="",'运动服饰 Prices'!F$3=""),"",'运动服饰 Prices'!F10/'运动服饰 Prices'!F$3)</f>
        <v/>
      </c>
      <c r="G62" s="50">
        <f>IF(OR('运动服饰 Prices'!G10="",'运动服饰 Prices'!G$3=""),"",'运动服饰 Prices'!G10/'运动服饰 Prices'!G$3)</f>
        <v/>
      </c>
      <c r="H62" s="50">
        <f>IF(OR('运动服饰 Prices'!H10="",'运动服饰 Prices'!H$3=""),"",'运动服饰 Prices'!H10/'运动服饰 Prices'!H$3)</f>
        <v/>
      </c>
      <c r="I62" s="50">
        <f>IF(OR('运动服饰 Prices'!I10="",'运动服饰 Prices'!I$3=""),"",'运动服饰 Prices'!I10/'运动服饰 Prices'!I$3)</f>
        <v/>
      </c>
      <c r="J62" s="50">
        <f>IF(OR('运动服饰 Prices'!J10="",'运动服饰 Prices'!J$3=""),"",'运动服饰 Prices'!J10/'运动服饰 Prices'!J$3)</f>
        <v/>
      </c>
      <c r="K62" s="50">
        <f>IF(OR('运动服饰 Prices'!K10="",'运动服饰 Prices'!K$3=""),"",'运动服饰 Prices'!K10/'运动服饰 Prices'!K$3)</f>
        <v/>
      </c>
      <c r="L62" s="50">
        <f>IF(OR('运动服饰 Prices'!L10="",'运动服饰 Prices'!L$3=""),"",'运动服饰 Prices'!L10/'运动服饰 Prices'!L$3)</f>
        <v/>
      </c>
      <c r="M62" s="50">
        <f>IF(OR('运动服饰 Prices'!M10="",'运动服饰 Prices'!M$3=""),"",'运动服饰 Prices'!M10/'运动服饰 Prices'!M$3)</f>
        <v/>
      </c>
      <c r="N62" s="50">
        <f>IF(OR('运动服饰 Prices'!N10="",'运动服饰 Prices'!N$3=""),"",'运动服饰 Prices'!N10/'运动服饰 Prices'!N$3)</f>
        <v/>
      </c>
      <c r="O62" s="50">
        <f>IF(OR('运动服饰 Prices'!O10="",'运动服饰 Prices'!O$3=""),"",'运动服饰 Prices'!O10/'运动服饰 Prices'!O$3)</f>
        <v/>
      </c>
      <c r="P62" s="50">
        <f>IF(OR('运动服饰 Prices'!P10="",'运动服饰 Prices'!P$3=""),"",'运动服饰 Prices'!P10/'运动服饰 Prices'!P$3)</f>
        <v/>
      </c>
      <c r="Q62" s="50">
        <f>IF(OR('运动服饰 Prices'!Q10="",'运动服饰 Prices'!Q$3=""),"",'运动服饰 Prices'!Q10/'运动服饰 Prices'!Q$3)</f>
        <v/>
      </c>
      <c r="R62" s="50">
        <f>IF(OR('运动服饰 Prices'!R10="",'运动服饰 Prices'!R$3=""),"",'运动服饰 Prices'!R10/'运动服饰 Prices'!R$3)</f>
        <v/>
      </c>
      <c r="S62" s="50">
        <f>IF(OR('运动服饰 Prices'!S10="",'运动服饰 Prices'!S$3=""),"",'运动服饰 Prices'!S10/'运动服饰 Prices'!S$3)</f>
        <v/>
      </c>
      <c r="T62" s="50">
        <f>IF(OR('运动服饰 Prices'!T10="",'运动服饰 Prices'!T$3=""),"",'运动服饰 Prices'!T10/'运动服饰 Prices'!T$3)</f>
        <v/>
      </c>
      <c r="U62" s="50">
        <f>IF(OR('运动服饰 Prices'!U10="",'运动服饰 Prices'!U$3=""),"",'运动服饰 Prices'!U10/'运动服饰 Prices'!U$3)</f>
        <v/>
      </c>
      <c r="V62" s="50">
        <f>IF(OR('运动服饰 Prices'!V10="",'运动服饰 Prices'!V$3=""),"",'运动服饰 Prices'!V10/'运动服饰 Prices'!V$3)</f>
        <v/>
      </c>
      <c r="W62" s="50">
        <f>IF(OR('运动服饰 Prices'!W10="",'运动服饰 Prices'!W$3=""),"",'运动服饰 Prices'!W10/'运动服饰 Prices'!W$3)</f>
        <v/>
      </c>
      <c r="X62" s="50">
        <f>IF(OR('运动服饰 Prices'!X10="",'运动服饰 Prices'!X$3=""),"",'运动服饰 Prices'!X10/'运动服饰 Prices'!X$3)</f>
        <v/>
      </c>
      <c r="Y62" s="50">
        <f>IF(OR('运动服饰 Prices'!Y10="",'运动服饰 Prices'!Y$3=""),"",'运动服饰 Prices'!Y10/'运动服饰 Prices'!Y$3)</f>
        <v/>
      </c>
      <c r="Z62" s="50">
        <f>IF(OR('运动服饰 Prices'!Z10="",'运动服饰 Prices'!Z$3=""),"",'运动服饰 Prices'!Z10/'运动服饰 Prices'!Z$3)</f>
        <v/>
      </c>
      <c r="AA62" s="50">
        <f>IF(OR('运动服饰 Prices'!AA10="",'运动服饰 Prices'!AA$3=""),"",'运动服饰 Prices'!AA10/'运动服饰 Prices'!AA$3)</f>
        <v/>
      </c>
      <c r="AB62" s="50">
        <f>IF(OR('运动服饰 Prices'!AB10="",'运动服饰 Prices'!AB$3=""),"",'运动服饰 Prices'!AB10/'运动服饰 Prices'!AB$3)</f>
        <v/>
      </c>
      <c r="AC62" s="50">
        <f>IF(OR('运动服饰 Prices'!AC10="",'运动服饰 Prices'!AC$3=""),"",'运动服饰 Prices'!AC10/'运动服饰 Prices'!AC$3)</f>
        <v/>
      </c>
      <c r="AD62" s="50">
        <f>IF(OR('运动服饰 Prices'!AD10="",'运动服饰 Prices'!AD$3=""),"",'运动服饰 Prices'!AD10/'运动服饰 Prices'!AD$3)</f>
        <v/>
      </c>
      <c r="AE62" s="50">
        <f>IF(OR('运动服饰 Prices'!AE10="",'运动服饰 Prices'!AE$3=""),"",'运动服饰 Prices'!AE10/'运动服饰 Prices'!AE$3)</f>
        <v/>
      </c>
      <c r="AF62" s="50">
        <f>IF(OR('运动服饰 Prices'!AF10="",'运动服饰 Prices'!AF$3=""),"",'运动服饰 Prices'!AF10/'运动服饰 Prices'!AF$3)</f>
        <v/>
      </c>
      <c r="AG62" s="50">
        <f>IF(OR('运动服饰 Prices'!AG10="",'运动服饰 Prices'!AG$3=""),"",'运动服饰 Prices'!AG10/'运动服饰 Prices'!AG$3)</f>
        <v/>
      </c>
      <c r="AH62" s="50">
        <f>IF(OR('运动服饰 Prices'!AH10="",'运动服饰 Prices'!AH$3=""),"",'运动服饰 Prices'!AH10/'运动服饰 Prices'!AH$3)</f>
        <v/>
      </c>
      <c r="AI62" s="50">
        <f>IF(OR('运动服饰 Prices'!AI10="",'运动服饰 Prices'!AI$3=""),"",'运动服饰 Prices'!AI10/'运动服饰 Prices'!AI$3)</f>
        <v/>
      </c>
    </row>
    <row r="63">
      <c r="A63" s="49" t="n">
        <v>46045</v>
      </c>
      <c r="B63" s="50">
        <f>IF(OR('运动服饰 Prices'!B11="",'运动服饰 Prices'!B$3=""),"",'运动服饰 Prices'!B11/'运动服饰 Prices'!B$3)</f>
        <v/>
      </c>
      <c r="C63" s="50">
        <f>IF(OR('运动服饰 Prices'!C11="",'运动服饰 Prices'!C$3=""),"",'运动服饰 Prices'!C11/'运动服饰 Prices'!C$3)</f>
        <v/>
      </c>
      <c r="D63" s="50">
        <f>IF(OR('运动服饰 Prices'!D11="",'运动服饰 Prices'!D$3=""),"",'运动服饰 Prices'!D11/'运动服饰 Prices'!D$3)</f>
        <v/>
      </c>
      <c r="E63" s="50">
        <f>IF(OR('运动服饰 Prices'!E11="",'运动服饰 Prices'!E$3=""),"",'运动服饰 Prices'!E11/'运动服饰 Prices'!E$3)</f>
        <v/>
      </c>
      <c r="F63" s="50">
        <f>IF(OR('运动服饰 Prices'!F11="",'运动服饰 Prices'!F$3=""),"",'运动服饰 Prices'!F11/'运动服饰 Prices'!F$3)</f>
        <v/>
      </c>
      <c r="G63" s="50">
        <f>IF(OR('运动服饰 Prices'!G11="",'运动服饰 Prices'!G$3=""),"",'运动服饰 Prices'!G11/'运动服饰 Prices'!G$3)</f>
        <v/>
      </c>
      <c r="H63" s="50">
        <f>IF(OR('运动服饰 Prices'!H11="",'运动服饰 Prices'!H$3=""),"",'运动服饰 Prices'!H11/'运动服饰 Prices'!H$3)</f>
        <v/>
      </c>
      <c r="I63" s="50">
        <f>IF(OR('运动服饰 Prices'!I11="",'运动服饰 Prices'!I$3=""),"",'运动服饰 Prices'!I11/'运动服饰 Prices'!I$3)</f>
        <v/>
      </c>
      <c r="J63" s="50">
        <f>IF(OR('运动服饰 Prices'!J11="",'运动服饰 Prices'!J$3=""),"",'运动服饰 Prices'!J11/'运动服饰 Prices'!J$3)</f>
        <v/>
      </c>
      <c r="K63" s="50">
        <f>IF(OR('运动服饰 Prices'!K11="",'运动服饰 Prices'!K$3=""),"",'运动服饰 Prices'!K11/'运动服饰 Prices'!K$3)</f>
        <v/>
      </c>
      <c r="L63" s="50">
        <f>IF(OR('运动服饰 Prices'!L11="",'运动服饰 Prices'!L$3=""),"",'运动服饰 Prices'!L11/'运动服饰 Prices'!L$3)</f>
        <v/>
      </c>
      <c r="M63" s="50">
        <f>IF(OR('运动服饰 Prices'!M11="",'运动服饰 Prices'!M$3=""),"",'运动服饰 Prices'!M11/'运动服饰 Prices'!M$3)</f>
        <v/>
      </c>
      <c r="N63" s="50">
        <f>IF(OR('运动服饰 Prices'!N11="",'运动服饰 Prices'!N$3=""),"",'运动服饰 Prices'!N11/'运动服饰 Prices'!N$3)</f>
        <v/>
      </c>
      <c r="O63" s="50">
        <f>IF(OR('运动服饰 Prices'!O11="",'运动服饰 Prices'!O$3=""),"",'运动服饰 Prices'!O11/'运动服饰 Prices'!O$3)</f>
        <v/>
      </c>
      <c r="P63" s="50">
        <f>IF(OR('运动服饰 Prices'!P11="",'运动服饰 Prices'!P$3=""),"",'运动服饰 Prices'!P11/'运动服饰 Prices'!P$3)</f>
        <v/>
      </c>
      <c r="Q63" s="50">
        <f>IF(OR('运动服饰 Prices'!Q11="",'运动服饰 Prices'!Q$3=""),"",'运动服饰 Prices'!Q11/'运动服饰 Prices'!Q$3)</f>
        <v/>
      </c>
      <c r="R63" s="50">
        <f>IF(OR('运动服饰 Prices'!R11="",'运动服饰 Prices'!R$3=""),"",'运动服饰 Prices'!R11/'运动服饰 Prices'!R$3)</f>
        <v/>
      </c>
      <c r="S63" s="50">
        <f>IF(OR('运动服饰 Prices'!S11="",'运动服饰 Prices'!S$3=""),"",'运动服饰 Prices'!S11/'运动服饰 Prices'!S$3)</f>
        <v/>
      </c>
      <c r="T63" s="50">
        <f>IF(OR('运动服饰 Prices'!T11="",'运动服饰 Prices'!T$3=""),"",'运动服饰 Prices'!T11/'运动服饰 Prices'!T$3)</f>
        <v/>
      </c>
      <c r="U63" s="50">
        <f>IF(OR('运动服饰 Prices'!U11="",'运动服饰 Prices'!U$3=""),"",'运动服饰 Prices'!U11/'运动服饰 Prices'!U$3)</f>
        <v/>
      </c>
      <c r="V63" s="50">
        <f>IF(OR('运动服饰 Prices'!V11="",'运动服饰 Prices'!V$3=""),"",'运动服饰 Prices'!V11/'运动服饰 Prices'!V$3)</f>
        <v/>
      </c>
      <c r="W63" s="50">
        <f>IF(OR('运动服饰 Prices'!W11="",'运动服饰 Prices'!W$3=""),"",'运动服饰 Prices'!W11/'运动服饰 Prices'!W$3)</f>
        <v/>
      </c>
      <c r="X63" s="50">
        <f>IF(OR('运动服饰 Prices'!X11="",'运动服饰 Prices'!X$3=""),"",'运动服饰 Prices'!X11/'运动服饰 Prices'!X$3)</f>
        <v/>
      </c>
      <c r="Y63" s="50">
        <f>IF(OR('运动服饰 Prices'!Y11="",'运动服饰 Prices'!Y$3=""),"",'运动服饰 Prices'!Y11/'运动服饰 Prices'!Y$3)</f>
        <v/>
      </c>
      <c r="Z63" s="50">
        <f>IF(OR('运动服饰 Prices'!Z11="",'运动服饰 Prices'!Z$3=""),"",'运动服饰 Prices'!Z11/'运动服饰 Prices'!Z$3)</f>
        <v/>
      </c>
      <c r="AA63" s="50">
        <f>IF(OR('运动服饰 Prices'!AA11="",'运动服饰 Prices'!AA$3=""),"",'运动服饰 Prices'!AA11/'运动服饰 Prices'!AA$3)</f>
        <v/>
      </c>
      <c r="AB63" s="50">
        <f>IF(OR('运动服饰 Prices'!AB11="",'运动服饰 Prices'!AB$3=""),"",'运动服饰 Prices'!AB11/'运动服饰 Prices'!AB$3)</f>
        <v/>
      </c>
      <c r="AC63" s="50">
        <f>IF(OR('运动服饰 Prices'!AC11="",'运动服饰 Prices'!AC$3=""),"",'运动服饰 Prices'!AC11/'运动服饰 Prices'!AC$3)</f>
        <v/>
      </c>
      <c r="AD63" s="50">
        <f>IF(OR('运动服饰 Prices'!AD11="",'运动服饰 Prices'!AD$3=""),"",'运动服饰 Prices'!AD11/'运动服饰 Prices'!AD$3)</f>
        <v/>
      </c>
      <c r="AE63" s="50">
        <f>IF(OR('运动服饰 Prices'!AE11="",'运动服饰 Prices'!AE$3=""),"",'运动服饰 Prices'!AE11/'运动服饰 Prices'!AE$3)</f>
        <v/>
      </c>
      <c r="AF63" s="50">
        <f>IF(OR('运动服饰 Prices'!AF11="",'运动服饰 Prices'!AF$3=""),"",'运动服饰 Prices'!AF11/'运动服饰 Prices'!AF$3)</f>
        <v/>
      </c>
      <c r="AG63" s="50">
        <f>IF(OR('运动服饰 Prices'!AG11="",'运动服饰 Prices'!AG$3=""),"",'运动服饰 Prices'!AG11/'运动服饰 Prices'!AG$3)</f>
        <v/>
      </c>
      <c r="AH63" s="50">
        <f>IF(OR('运动服饰 Prices'!AH11="",'运动服饰 Prices'!AH$3=""),"",'运动服饰 Prices'!AH11/'运动服饰 Prices'!AH$3)</f>
        <v/>
      </c>
      <c r="AI63" s="50">
        <f>IF(OR('运动服饰 Prices'!AI11="",'运动服饰 Prices'!AI$3=""),"",'运动服饰 Prices'!AI11/'运动服饰 Prices'!AI$3)</f>
        <v/>
      </c>
    </row>
    <row r="64">
      <c r="A64" s="49" t="n">
        <v>46052</v>
      </c>
      <c r="B64" s="50">
        <f>IF(OR('运动服饰 Prices'!B12="",'运动服饰 Prices'!B$3=""),"",'运动服饰 Prices'!B12/'运动服饰 Prices'!B$3)</f>
        <v/>
      </c>
      <c r="C64" s="50">
        <f>IF(OR('运动服饰 Prices'!C12="",'运动服饰 Prices'!C$3=""),"",'运动服饰 Prices'!C12/'运动服饰 Prices'!C$3)</f>
        <v/>
      </c>
      <c r="D64" s="50">
        <f>IF(OR('运动服饰 Prices'!D12="",'运动服饰 Prices'!D$3=""),"",'运动服饰 Prices'!D12/'运动服饰 Prices'!D$3)</f>
        <v/>
      </c>
      <c r="E64" s="50">
        <f>IF(OR('运动服饰 Prices'!E12="",'运动服饰 Prices'!E$3=""),"",'运动服饰 Prices'!E12/'运动服饰 Prices'!E$3)</f>
        <v/>
      </c>
      <c r="F64" s="50">
        <f>IF(OR('运动服饰 Prices'!F12="",'运动服饰 Prices'!F$3=""),"",'运动服饰 Prices'!F12/'运动服饰 Prices'!F$3)</f>
        <v/>
      </c>
      <c r="G64" s="50">
        <f>IF(OR('运动服饰 Prices'!G12="",'运动服饰 Prices'!G$3=""),"",'运动服饰 Prices'!G12/'运动服饰 Prices'!G$3)</f>
        <v/>
      </c>
      <c r="H64" s="50">
        <f>IF(OR('运动服饰 Prices'!H12="",'运动服饰 Prices'!H$3=""),"",'运动服饰 Prices'!H12/'运动服饰 Prices'!H$3)</f>
        <v/>
      </c>
      <c r="I64" s="50">
        <f>IF(OR('运动服饰 Prices'!I12="",'运动服饰 Prices'!I$3=""),"",'运动服饰 Prices'!I12/'运动服饰 Prices'!I$3)</f>
        <v/>
      </c>
      <c r="J64" s="50">
        <f>IF(OR('运动服饰 Prices'!J12="",'运动服饰 Prices'!J$3=""),"",'运动服饰 Prices'!J12/'运动服饰 Prices'!J$3)</f>
        <v/>
      </c>
      <c r="K64" s="50">
        <f>IF(OR('运动服饰 Prices'!K12="",'运动服饰 Prices'!K$3=""),"",'运动服饰 Prices'!K12/'运动服饰 Prices'!K$3)</f>
        <v/>
      </c>
      <c r="L64" s="50">
        <f>IF(OR('运动服饰 Prices'!L12="",'运动服饰 Prices'!L$3=""),"",'运动服饰 Prices'!L12/'运动服饰 Prices'!L$3)</f>
        <v/>
      </c>
      <c r="M64" s="50">
        <f>IF(OR('运动服饰 Prices'!M12="",'运动服饰 Prices'!M$3=""),"",'运动服饰 Prices'!M12/'运动服饰 Prices'!M$3)</f>
        <v/>
      </c>
      <c r="N64" s="50">
        <f>IF(OR('运动服饰 Prices'!N12="",'运动服饰 Prices'!N$3=""),"",'运动服饰 Prices'!N12/'运动服饰 Prices'!N$3)</f>
        <v/>
      </c>
      <c r="O64" s="50">
        <f>IF(OR('运动服饰 Prices'!O12="",'运动服饰 Prices'!O$3=""),"",'运动服饰 Prices'!O12/'运动服饰 Prices'!O$3)</f>
        <v/>
      </c>
      <c r="P64" s="50">
        <f>IF(OR('运动服饰 Prices'!P12="",'运动服饰 Prices'!P$3=""),"",'运动服饰 Prices'!P12/'运动服饰 Prices'!P$3)</f>
        <v/>
      </c>
      <c r="Q64" s="50">
        <f>IF(OR('运动服饰 Prices'!Q12="",'运动服饰 Prices'!Q$3=""),"",'运动服饰 Prices'!Q12/'运动服饰 Prices'!Q$3)</f>
        <v/>
      </c>
      <c r="R64" s="50">
        <f>IF(OR('运动服饰 Prices'!R12="",'运动服饰 Prices'!R$3=""),"",'运动服饰 Prices'!R12/'运动服饰 Prices'!R$3)</f>
        <v/>
      </c>
      <c r="S64" s="50">
        <f>IF(OR('运动服饰 Prices'!S12="",'运动服饰 Prices'!S$3=""),"",'运动服饰 Prices'!S12/'运动服饰 Prices'!S$3)</f>
        <v/>
      </c>
      <c r="T64" s="50">
        <f>IF(OR('运动服饰 Prices'!T12="",'运动服饰 Prices'!T$3=""),"",'运动服饰 Prices'!T12/'运动服饰 Prices'!T$3)</f>
        <v/>
      </c>
      <c r="U64" s="50">
        <f>IF(OR('运动服饰 Prices'!U12="",'运动服饰 Prices'!U$3=""),"",'运动服饰 Prices'!U12/'运动服饰 Prices'!U$3)</f>
        <v/>
      </c>
      <c r="V64" s="50">
        <f>IF(OR('运动服饰 Prices'!V12="",'运动服饰 Prices'!V$3=""),"",'运动服饰 Prices'!V12/'运动服饰 Prices'!V$3)</f>
        <v/>
      </c>
      <c r="W64" s="50">
        <f>IF(OR('运动服饰 Prices'!W12="",'运动服饰 Prices'!W$3=""),"",'运动服饰 Prices'!W12/'运动服饰 Prices'!W$3)</f>
        <v/>
      </c>
      <c r="X64" s="50">
        <f>IF(OR('运动服饰 Prices'!X12="",'运动服饰 Prices'!X$3=""),"",'运动服饰 Prices'!X12/'运动服饰 Prices'!X$3)</f>
        <v/>
      </c>
      <c r="Y64" s="50">
        <f>IF(OR('运动服饰 Prices'!Y12="",'运动服饰 Prices'!Y$3=""),"",'运动服饰 Prices'!Y12/'运动服饰 Prices'!Y$3)</f>
        <v/>
      </c>
      <c r="Z64" s="50">
        <f>IF(OR('运动服饰 Prices'!Z12="",'运动服饰 Prices'!Z$3=""),"",'运动服饰 Prices'!Z12/'运动服饰 Prices'!Z$3)</f>
        <v/>
      </c>
      <c r="AA64" s="50">
        <f>IF(OR('运动服饰 Prices'!AA12="",'运动服饰 Prices'!AA$3=""),"",'运动服饰 Prices'!AA12/'运动服饰 Prices'!AA$3)</f>
        <v/>
      </c>
      <c r="AB64" s="50">
        <f>IF(OR('运动服饰 Prices'!AB12="",'运动服饰 Prices'!AB$3=""),"",'运动服饰 Prices'!AB12/'运动服饰 Prices'!AB$3)</f>
        <v/>
      </c>
      <c r="AC64" s="50">
        <f>IF(OR('运动服饰 Prices'!AC12="",'运动服饰 Prices'!AC$3=""),"",'运动服饰 Prices'!AC12/'运动服饰 Prices'!AC$3)</f>
        <v/>
      </c>
      <c r="AD64" s="50">
        <f>IF(OR('运动服饰 Prices'!AD12="",'运动服饰 Prices'!AD$3=""),"",'运动服饰 Prices'!AD12/'运动服饰 Prices'!AD$3)</f>
        <v/>
      </c>
      <c r="AE64" s="50">
        <f>IF(OR('运动服饰 Prices'!AE12="",'运动服饰 Prices'!AE$3=""),"",'运动服饰 Prices'!AE12/'运动服饰 Prices'!AE$3)</f>
        <v/>
      </c>
      <c r="AF64" s="50">
        <f>IF(OR('运动服饰 Prices'!AF12="",'运动服饰 Prices'!AF$3=""),"",'运动服饰 Prices'!AF12/'运动服饰 Prices'!AF$3)</f>
        <v/>
      </c>
      <c r="AG64" s="50">
        <f>IF(OR('运动服饰 Prices'!AG12="",'运动服饰 Prices'!AG$3=""),"",'运动服饰 Prices'!AG12/'运动服饰 Prices'!AG$3)</f>
        <v/>
      </c>
      <c r="AH64" s="50">
        <f>IF(OR('运动服饰 Prices'!AH12="",'运动服饰 Prices'!AH$3=""),"",'运动服饰 Prices'!AH12/'运动服饰 Prices'!AH$3)</f>
        <v/>
      </c>
      <c r="AI64" s="50">
        <f>IF(OR('运动服饰 Prices'!AI12="",'运动服饰 Prices'!AI$3=""),"",'运动服饰 Prices'!AI12/'运动服饰 Prices'!AI$3)</f>
        <v/>
      </c>
    </row>
    <row r="65">
      <c r="A65" s="49" t="n">
        <v>46059</v>
      </c>
      <c r="B65" s="50">
        <f>IF(OR('运动服饰 Prices'!B13="",'运动服饰 Prices'!B$3=""),"",'运动服饰 Prices'!B13/'运动服饰 Prices'!B$3)</f>
        <v/>
      </c>
      <c r="C65" s="50">
        <f>IF(OR('运动服饰 Prices'!C13="",'运动服饰 Prices'!C$3=""),"",'运动服饰 Prices'!C13/'运动服饰 Prices'!C$3)</f>
        <v/>
      </c>
      <c r="D65" s="50">
        <f>IF(OR('运动服饰 Prices'!D13="",'运动服饰 Prices'!D$3=""),"",'运动服饰 Prices'!D13/'运动服饰 Prices'!D$3)</f>
        <v/>
      </c>
      <c r="E65" s="50">
        <f>IF(OR('运动服饰 Prices'!E13="",'运动服饰 Prices'!E$3=""),"",'运动服饰 Prices'!E13/'运动服饰 Prices'!E$3)</f>
        <v/>
      </c>
      <c r="F65" s="50">
        <f>IF(OR('运动服饰 Prices'!F13="",'运动服饰 Prices'!F$3=""),"",'运动服饰 Prices'!F13/'运动服饰 Prices'!F$3)</f>
        <v/>
      </c>
      <c r="G65" s="50">
        <f>IF(OR('运动服饰 Prices'!G13="",'运动服饰 Prices'!G$3=""),"",'运动服饰 Prices'!G13/'运动服饰 Prices'!G$3)</f>
        <v/>
      </c>
      <c r="H65" s="50">
        <f>IF(OR('运动服饰 Prices'!H13="",'运动服饰 Prices'!H$3=""),"",'运动服饰 Prices'!H13/'运动服饰 Prices'!H$3)</f>
        <v/>
      </c>
      <c r="I65" s="50">
        <f>IF(OR('运动服饰 Prices'!I13="",'运动服饰 Prices'!I$3=""),"",'运动服饰 Prices'!I13/'运动服饰 Prices'!I$3)</f>
        <v/>
      </c>
      <c r="J65" s="50">
        <f>IF(OR('运动服饰 Prices'!J13="",'运动服饰 Prices'!J$3=""),"",'运动服饰 Prices'!J13/'运动服饰 Prices'!J$3)</f>
        <v/>
      </c>
      <c r="K65" s="50">
        <f>IF(OR('运动服饰 Prices'!K13="",'运动服饰 Prices'!K$3=""),"",'运动服饰 Prices'!K13/'运动服饰 Prices'!K$3)</f>
        <v/>
      </c>
      <c r="L65" s="50">
        <f>IF(OR('运动服饰 Prices'!L13="",'运动服饰 Prices'!L$3=""),"",'运动服饰 Prices'!L13/'运动服饰 Prices'!L$3)</f>
        <v/>
      </c>
      <c r="M65" s="50">
        <f>IF(OR('运动服饰 Prices'!M13="",'运动服饰 Prices'!M$3=""),"",'运动服饰 Prices'!M13/'运动服饰 Prices'!M$3)</f>
        <v/>
      </c>
      <c r="N65" s="50">
        <f>IF(OR('运动服饰 Prices'!N13="",'运动服饰 Prices'!N$3=""),"",'运动服饰 Prices'!N13/'运动服饰 Prices'!N$3)</f>
        <v/>
      </c>
      <c r="O65" s="50">
        <f>IF(OR('运动服饰 Prices'!O13="",'运动服饰 Prices'!O$3=""),"",'运动服饰 Prices'!O13/'运动服饰 Prices'!O$3)</f>
        <v/>
      </c>
      <c r="P65" s="50">
        <f>IF(OR('运动服饰 Prices'!P13="",'运动服饰 Prices'!P$3=""),"",'运动服饰 Prices'!P13/'运动服饰 Prices'!P$3)</f>
        <v/>
      </c>
      <c r="Q65" s="50">
        <f>IF(OR('运动服饰 Prices'!Q13="",'运动服饰 Prices'!Q$3=""),"",'运动服饰 Prices'!Q13/'运动服饰 Prices'!Q$3)</f>
        <v/>
      </c>
      <c r="R65" s="50">
        <f>IF(OR('运动服饰 Prices'!R13="",'运动服饰 Prices'!R$3=""),"",'运动服饰 Prices'!R13/'运动服饰 Prices'!R$3)</f>
        <v/>
      </c>
      <c r="S65" s="50">
        <f>IF(OR('运动服饰 Prices'!S13="",'运动服饰 Prices'!S$3=""),"",'运动服饰 Prices'!S13/'运动服饰 Prices'!S$3)</f>
        <v/>
      </c>
      <c r="T65" s="50">
        <f>IF(OR('运动服饰 Prices'!T13="",'运动服饰 Prices'!T$3=""),"",'运动服饰 Prices'!T13/'运动服饰 Prices'!T$3)</f>
        <v/>
      </c>
      <c r="U65" s="50">
        <f>IF(OR('运动服饰 Prices'!U13="",'运动服饰 Prices'!U$3=""),"",'运动服饰 Prices'!U13/'运动服饰 Prices'!U$3)</f>
        <v/>
      </c>
      <c r="V65" s="50">
        <f>IF(OR('运动服饰 Prices'!V13="",'运动服饰 Prices'!V$3=""),"",'运动服饰 Prices'!V13/'运动服饰 Prices'!V$3)</f>
        <v/>
      </c>
      <c r="W65" s="50">
        <f>IF(OR('运动服饰 Prices'!W13="",'运动服饰 Prices'!W$3=""),"",'运动服饰 Prices'!W13/'运动服饰 Prices'!W$3)</f>
        <v/>
      </c>
      <c r="X65" s="50">
        <f>IF(OR('运动服饰 Prices'!X13="",'运动服饰 Prices'!X$3=""),"",'运动服饰 Prices'!X13/'运动服饰 Prices'!X$3)</f>
        <v/>
      </c>
      <c r="Y65" s="50">
        <f>IF(OR('运动服饰 Prices'!Y13="",'运动服饰 Prices'!Y$3=""),"",'运动服饰 Prices'!Y13/'运动服饰 Prices'!Y$3)</f>
        <v/>
      </c>
      <c r="Z65" s="50">
        <f>IF(OR('运动服饰 Prices'!Z13="",'运动服饰 Prices'!Z$3=""),"",'运动服饰 Prices'!Z13/'运动服饰 Prices'!Z$3)</f>
        <v/>
      </c>
      <c r="AA65" s="50">
        <f>IF(OR('运动服饰 Prices'!AA13="",'运动服饰 Prices'!AA$3=""),"",'运动服饰 Prices'!AA13/'运动服饰 Prices'!AA$3)</f>
        <v/>
      </c>
      <c r="AB65" s="50">
        <f>IF(OR('运动服饰 Prices'!AB13="",'运动服饰 Prices'!AB$3=""),"",'运动服饰 Prices'!AB13/'运动服饰 Prices'!AB$3)</f>
        <v/>
      </c>
      <c r="AC65" s="50">
        <f>IF(OR('运动服饰 Prices'!AC13="",'运动服饰 Prices'!AC$3=""),"",'运动服饰 Prices'!AC13/'运动服饰 Prices'!AC$3)</f>
        <v/>
      </c>
      <c r="AD65" s="50">
        <f>IF(OR('运动服饰 Prices'!AD13="",'运动服饰 Prices'!AD$3=""),"",'运动服饰 Prices'!AD13/'运动服饰 Prices'!AD$3)</f>
        <v/>
      </c>
      <c r="AE65" s="50">
        <f>IF(OR('运动服饰 Prices'!AE13="",'运动服饰 Prices'!AE$3=""),"",'运动服饰 Prices'!AE13/'运动服饰 Prices'!AE$3)</f>
        <v/>
      </c>
      <c r="AF65" s="50">
        <f>IF(OR('运动服饰 Prices'!AF13="",'运动服饰 Prices'!AF$3=""),"",'运动服饰 Prices'!AF13/'运动服饰 Prices'!AF$3)</f>
        <v/>
      </c>
      <c r="AG65" s="50">
        <f>IF(OR('运动服饰 Prices'!AG13="",'运动服饰 Prices'!AG$3=""),"",'运动服饰 Prices'!AG13/'运动服饰 Prices'!AG$3)</f>
        <v/>
      </c>
      <c r="AH65" s="50">
        <f>IF(OR('运动服饰 Prices'!AH13="",'运动服饰 Prices'!AH$3=""),"",'运动服饰 Prices'!AH13/'运动服饰 Prices'!AH$3)</f>
        <v/>
      </c>
      <c r="AI65" s="50">
        <f>IF(OR('运动服饰 Prices'!AI13="",'运动服饰 Prices'!AI$3=""),"",'运动服饰 Prices'!AI13/'运动服饰 Prices'!AI$3)</f>
        <v/>
      </c>
    </row>
    <row r="66">
      <c r="A66" s="49" t="n">
        <v>46066</v>
      </c>
      <c r="B66" s="50">
        <f>IF(OR('运动服饰 Prices'!B14="",'运动服饰 Prices'!B$3=""),"",'运动服饰 Prices'!B14/'运动服饰 Prices'!B$3)</f>
        <v/>
      </c>
      <c r="C66" s="50">
        <f>IF(OR('运动服饰 Prices'!C14="",'运动服饰 Prices'!C$3=""),"",'运动服饰 Prices'!C14/'运动服饰 Prices'!C$3)</f>
        <v/>
      </c>
      <c r="D66" s="50">
        <f>IF(OR('运动服饰 Prices'!D14="",'运动服饰 Prices'!D$3=""),"",'运动服饰 Prices'!D14/'运动服饰 Prices'!D$3)</f>
        <v/>
      </c>
      <c r="E66" s="50">
        <f>IF(OR('运动服饰 Prices'!E14="",'运动服饰 Prices'!E$3=""),"",'运动服饰 Prices'!E14/'运动服饰 Prices'!E$3)</f>
        <v/>
      </c>
      <c r="F66" s="50">
        <f>IF(OR('运动服饰 Prices'!F14="",'运动服饰 Prices'!F$3=""),"",'运动服饰 Prices'!F14/'运动服饰 Prices'!F$3)</f>
        <v/>
      </c>
      <c r="G66" s="50">
        <f>IF(OR('运动服饰 Prices'!G14="",'运动服饰 Prices'!G$3=""),"",'运动服饰 Prices'!G14/'运动服饰 Prices'!G$3)</f>
        <v/>
      </c>
      <c r="H66" s="50">
        <f>IF(OR('运动服饰 Prices'!H14="",'运动服饰 Prices'!H$3=""),"",'运动服饰 Prices'!H14/'运动服饰 Prices'!H$3)</f>
        <v/>
      </c>
      <c r="I66" s="50">
        <f>IF(OR('运动服饰 Prices'!I14="",'运动服饰 Prices'!I$3=""),"",'运动服饰 Prices'!I14/'运动服饰 Prices'!I$3)</f>
        <v/>
      </c>
      <c r="J66" s="50">
        <f>IF(OR('运动服饰 Prices'!J14="",'运动服饰 Prices'!J$3=""),"",'运动服饰 Prices'!J14/'运动服饰 Prices'!J$3)</f>
        <v/>
      </c>
      <c r="K66" s="50">
        <f>IF(OR('运动服饰 Prices'!K14="",'运动服饰 Prices'!K$3=""),"",'运动服饰 Prices'!K14/'运动服饰 Prices'!K$3)</f>
        <v/>
      </c>
      <c r="L66" s="50">
        <f>IF(OR('运动服饰 Prices'!L14="",'运动服饰 Prices'!L$3=""),"",'运动服饰 Prices'!L14/'运动服饰 Prices'!L$3)</f>
        <v/>
      </c>
      <c r="M66" s="50">
        <f>IF(OR('运动服饰 Prices'!M14="",'运动服饰 Prices'!M$3=""),"",'运动服饰 Prices'!M14/'运动服饰 Prices'!M$3)</f>
        <v/>
      </c>
      <c r="N66" s="50">
        <f>IF(OR('运动服饰 Prices'!N14="",'运动服饰 Prices'!N$3=""),"",'运动服饰 Prices'!N14/'运动服饰 Prices'!N$3)</f>
        <v/>
      </c>
      <c r="O66" s="50">
        <f>IF(OR('运动服饰 Prices'!O14="",'运动服饰 Prices'!O$3=""),"",'运动服饰 Prices'!O14/'运动服饰 Prices'!O$3)</f>
        <v/>
      </c>
      <c r="P66" s="50">
        <f>IF(OR('运动服饰 Prices'!P14="",'运动服饰 Prices'!P$3=""),"",'运动服饰 Prices'!P14/'运动服饰 Prices'!P$3)</f>
        <v/>
      </c>
      <c r="Q66" s="50">
        <f>IF(OR('运动服饰 Prices'!Q14="",'运动服饰 Prices'!Q$3=""),"",'运动服饰 Prices'!Q14/'运动服饰 Prices'!Q$3)</f>
        <v/>
      </c>
      <c r="R66" s="50">
        <f>IF(OR('运动服饰 Prices'!R14="",'运动服饰 Prices'!R$3=""),"",'运动服饰 Prices'!R14/'运动服饰 Prices'!R$3)</f>
        <v/>
      </c>
      <c r="S66" s="50">
        <f>IF(OR('运动服饰 Prices'!S14="",'运动服饰 Prices'!S$3=""),"",'运动服饰 Prices'!S14/'运动服饰 Prices'!S$3)</f>
        <v/>
      </c>
      <c r="T66" s="50">
        <f>IF(OR('运动服饰 Prices'!T14="",'运动服饰 Prices'!T$3=""),"",'运动服饰 Prices'!T14/'运动服饰 Prices'!T$3)</f>
        <v/>
      </c>
      <c r="U66" s="50">
        <f>IF(OR('运动服饰 Prices'!U14="",'运动服饰 Prices'!U$3=""),"",'运动服饰 Prices'!U14/'运动服饰 Prices'!U$3)</f>
        <v/>
      </c>
      <c r="V66" s="50">
        <f>IF(OR('运动服饰 Prices'!V14="",'运动服饰 Prices'!V$3=""),"",'运动服饰 Prices'!V14/'运动服饰 Prices'!V$3)</f>
        <v/>
      </c>
      <c r="W66" s="50">
        <f>IF(OR('运动服饰 Prices'!W14="",'运动服饰 Prices'!W$3=""),"",'运动服饰 Prices'!W14/'运动服饰 Prices'!W$3)</f>
        <v/>
      </c>
      <c r="X66" s="50">
        <f>IF(OR('运动服饰 Prices'!X14="",'运动服饰 Prices'!X$3=""),"",'运动服饰 Prices'!X14/'运动服饰 Prices'!X$3)</f>
        <v/>
      </c>
      <c r="Y66" s="50">
        <f>IF(OR('运动服饰 Prices'!Y14="",'运动服饰 Prices'!Y$3=""),"",'运动服饰 Prices'!Y14/'运动服饰 Prices'!Y$3)</f>
        <v/>
      </c>
      <c r="Z66" s="50">
        <f>IF(OR('运动服饰 Prices'!Z14="",'运动服饰 Prices'!Z$3=""),"",'运动服饰 Prices'!Z14/'运动服饰 Prices'!Z$3)</f>
        <v/>
      </c>
      <c r="AA66" s="50">
        <f>IF(OR('运动服饰 Prices'!AA14="",'运动服饰 Prices'!AA$3=""),"",'运动服饰 Prices'!AA14/'运动服饰 Prices'!AA$3)</f>
        <v/>
      </c>
      <c r="AB66" s="50">
        <f>IF(OR('运动服饰 Prices'!AB14="",'运动服饰 Prices'!AB$3=""),"",'运动服饰 Prices'!AB14/'运动服饰 Prices'!AB$3)</f>
        <v/>
      </c>
      <c r="AC66" s="50">
        <f>IF(OR('运动服饰 Prices'!AC14="",'运动服饰 Prices'!AC$3=""),"",'运动服饰 Prices'!AC14/'运动服饰 Prices'!AC$3)</f>
        <v/>
      </c>
      <c r="AD66" s="50">
        <f>IF(OR('运动服饰 Prices'!AD14="",'运动服饰 Prices'!AD$3=""),"",'运动服饰 Prices'!AD14/'运动服饰 Prices'!AD$3)</f>
        <v/>
      </c>
      <c r="AE66" s="50">
        <f>IF(OR('运动服饰 Prices'!AE14="",'运动服饰 Prices'!AE$3=""),"",'运动服饰 Prices'!AE14/'运动服饰 Prices'!AE$3)</f>
        <v/>
      </c>
      <c r="AF66" s="50">
        <f>IF(OR('运动服饰 Prices'!AF14="",'运动服饰 Prices'!AF$3=""),"",'运动服饰 Prices'!AF14/'运动服饰 Prices'!AF$3)</f>
        <v/>
      </c>
      <c r="AG66" s="50">
        <f>IF(OR('运动服饰 Prices'!AG14="",'运动服饰 Prices'!AG$3=""),"",'运动服饰 Prices'!AG14/'运动服饰 Prices'!AG$3)</f>
        <v/>
      </c>
      <c r="AH66" s="50">
        <f>IF(OR('运动服饰 Prices'!AH14="",'运动服饰 Prices'!AH$3=""),"",'运动服饰 Prices'!AH14/'运动服饰 Prices'!AH$3)</f>
        <v/>
      </c>
      <c r="AI66" s="50">
        <f>IF(OR('运动服饰 Prices'!AI14="",'运动服饰 Prices'!AI$3=""),"",'运动服饰 Prices'!AI14/'运动服饰 Prices'!AI$3)</f>
        <v/>
      </c>
    </row>
    <row r="67">
      <c r="A67" s="49" t="n">
        <v>46073</v>
      </c>
      <c r="B67" s="50">
        <f>IF(OR('运动服饰 Prices'!B15="",'运动服饰 Prices'!B$3=""),"",'运动服饰 Prices'!B15/'运动服饰 Prices'!B$3)</f>
        <v/>
      </c>
      <c r="C67" s="50">
        <f>IF(OR('运动服饰 Prices'!C15="",'运动服饰 Prices'!C$3=""),"",'运动服饰 Prices'!C15/'运动服饰 Prices'!C$3)</f>
        <v/>
      </c>
      <c r="D67" s="50">
        <f>IF(OR('运动服饰 Prices'!D15="",'运动服饰 Prices'!D$3=""),"",'运动服饰 Prices'!D15/'运动服饰 Prices'!D$3)</f>
        <v/>
      </c>
      <c r="E67" s="50">
        <f>IF(OR('运动服饰 Prices'!E15="",'运动服饰 Prices'!E$3=""),"",'运动服饰 Prices'!E15/'运动服饰 Prices'!E$3)</f>
        <v/>
      </c>
      <c r="F67" s="50">
        <f>IF(OR('运动服饰 Prices'!F15="",'运动服饰 Prices'!F$3=""),"",'运动服饰 Prices'!F15/'运动服饰 Prices'!F$3)</f>
        <v/>
      </c>
      <c r="G67" s="50">
        <f>IF(OR('运动服饰 Prices'!G15="",'运动服饰 Prices'!G$3=""),"",'运动服饰 Prices'!G15/'运动服饰 Prices'!G$3)</f>
        <v/>
      </c>
      <c r="H67" s="50">
        <f>IF(OR('运动服饰 Prices'!H15="",'运动服饰 Prices'!H$3=""),"",'运动服饰 Prices'!H15/'运动服饰 Prices'!H$3)</f>
        <v/>
      </c>
      <c r="I67" s="50">
        <f>IF(OR('运动服饰 Prices'!I15="",'运动服饰 Prices'!I$3=""),"",'运动服饰 Prices'!I15/'运动服饰 Prices'!I$3)</f>
        <v/>
      </c>
      <c r="J67" s="50">
        <f>IF(OR('运动服饰 Prices'!J15="",'运动服饰 Prices'!J$3=""),"",'运动服饰 Prices'!J15/'运动服饰 Prices'!J$3)</f>
        <v/>
      </c>
      <c r="K67" s="50">
        <f>IF(OR('运动服饰 Prices'!K15="",'运动服饰 Prices'!K$3=""),"",'运动服饰 Prices'!K15/'运动服饰 Prices'!K$3)</f>
        <v/>
      </c>
      <c r="L67" s="50">
        <f>IF(OR('运动服饰 Prices'!L15="",'运动服饰 Prices'!L$3=""),"",'运动服饰 Prices'!L15/'运动服饰 Prices'!L$3)</f>
        <v/>
      </c>
      <c r="M67" s="50">
        <f>IF(OR('运动服饰 Prices'!M15="",'运动服饰 Prices'!M$3=""),"",'运动服饰 Prices'!M15/'运动服饰 Prices'!M$3)</f>
        <v/>
      </c>
      <c r="N67" s="50">
        <f>IF(OR('运动服饰 Prices'!N15="",'运动服饰 Prices'!N$3=""),"",'运动服饰 Prices'!N15/'运动服饰 Prices'!N$3)</f>
        <v/>
      </c>
      <c r="O67" s="50">
        <f>IF(OR('运动服饰 Prices'!O15="",'运动服饰 Prices'!O$3=""),"",'运动服饰 Prices'!O15/'运动服饰 Prices'!O$3)</f>
        <v/>
      </c>
      <c r="P67" s="50">
        <f>IF(OR('运动服饰 Prices'!P15="",'运动服饰 Prices'!P$3=""),"",'运动服饰 Prices'!P15/'运动服饰 Prices'!P$3)</f>
        <v/>
      </c>
      <c r="Q67" s="50">
        <f>IF(OR('运动服饰 Prices'!Q15="",'运动服饰 Prices'!Q$3=""),"",'运动服饰 Prices'!Q15/'运动服饰 Prices'!Q$3)</f>
        <v/>
      </c>
      <c r="R67" s="50">
        <f>IF(OR('运动服饰 Prices'!R15="",'运动服饰 Prices'!R$3=""),"",'运动服饰 Prices'!R15/'运动服饰 Prices'!R$3)</f>
        <v/>
      </c>
      <c r="S67" s="50">
        <f>IF(OR('运动服饰 Prices'!S15="",'运动服饰 Prices'!S$3=""),"",'运动服饰 Prices'!S15/'运动服饰 Prices'!S$3)</f>
        <v/>
      </c>
      <c r="T67" s="50">
        <f>IF(OR('运动服饰 Prices'!T15="",'运动服饰 Prices'!T$3=""),"",'运动服饰 Prices'!T15/'运动服饰 Prices'!T$3)</f>
        <v/>
      </c>
      <c r="U67" s="50">
        <f>IF(OR('运动服饰 Prices'!U15="",'运动服饰 Prices'!U$3=""),"",'运动服饰 Prices'!U15/'运动服饰 Prices'!U$3)</f>
        <v/>
      </c>
      <c r="V67" s="50">
        <f>IF(OR('运动服饰 Prices'!V15="",'运动服饰 Prices'!V$3=""),"",'运动服饰 Prices'!V15/'运动服饰 Prices'!V$3)</f>
        <v/>
      </c>
      <c r="W67" s="50">
        <f>IF(OR('运动服饰 Prices'!W15="",'运动服饰 Prices'!W$3=""),"",'运动服饰 Prices'!W15/'运动服饰 Prices'!W$3)</f>
        <v/>
      </c>
      <c r="X67" s="50">
        <f>IF(OR('运动服饰 Prices'!X15="",'运动服饰 Prices'!X$3=""),"",'运动服饰 Prices'!X15/'运动服饰 Prices'!X$3)</f>
        <v/>
      </c>
      <c r="Y67" s="50">
        <f>IF(OR('运动服饰 Prices'!Y15="",'运动服饰 Prices'!Y$3=""),"",'运动服饰 Prices'!Y15/'运动服饰 Prices'!Y$3)</f>
        <v/>
      </c>
      <c r="Z67" s="50">
        <f>IF(OR('运动服饰 Prices'!Z15="",'运动服饰 Prices'!Z$3=""),"",'运动服饰 Prices'!Z15/'运动服饰 Prices'!Z$3)</f>
        <v/>
      </c>
      <c r="AA67" s="50">
        <f>IF(OR('运动服饰 Prices'!AA15="",'运动服饰 Prices'!AA$3=""),"",'运动服饰 Prices'!AA15/'运动服饰 Prices'!AA$3)</f>
        <v/>
      </c>
      <c r="AB67" s="50">
        <f>IF(OR('运动服饰 Prices'!AB15="",'运动服饰 Prices'!AB$3=""),"",'运动服饰 Prices'!AB15/'运动服饰 Prices'!AB$3)</f>
        <v/>
      </c>
      <c r="AC67" s="50">
        <f>IF(OR('运动服饰 Prices'!AC15="",'运动服饰 Prices'!AC$3=""),"",'运动服饰 Prices'!AC15/'运动服饰 Prices'!AC$3)</f>
        <v/>
      </c>
      <c r="AD67" s="50">
        <f>IF(OR('运动服饰 Prices'!AD15="",'运动服饰 Prices'!AD$3=""),"",'运动服饰 Prices'!AD15/'运动服饰 Prices'!AD$3)</f>
        <v/>
      </c>
      <c r="AE67" s="50">
        <f>IF(OR('运动服饰 Prices'!AE15="",'运动服饰 Prices'!AE$3=""),"",'运动服饰 Prices'!AE15/'运动服饰 Prices'!AE$3)</f>
        <v/>
      </c>
      <c r="AF67" s="50">
        <f>IF(OR('运动服饰 Prices'!AF15="",'运动服饰 Prices'!AF$3=""),"",'运动服饰 Prices'!AF15/'运动服饰 Prices'!AF$3)</f>
        <v/>
      </c>
      <c r="AG67" s="50">
        <f>IF(OR('运动服饰 Prices'!AG15="",'运动服饰 Prices'!AG$3=""),"",'运动服饰 Prices'!AG15/'运动服饰 Prices'!AG$3)</f>
        <v/>
      </c>
      <c r="AH67" s="50">
        <f>IF(OR('运动服饰 Prices'!AH15="",'运动服饰 Prices'!AH$3=""),"",'运动服饰 Prices'!AH15/'运动服饰 Prices'!AH$3)</f>
        <v/>
      </c>
      <c r="AI67" s="50">
        <f>IF(OR('运动服饰 Prices'!AI15="",'运动服饰 Prices'!AI$3=""),"",'运动服饰 Prices'!AI15/'运动服饰 Prices'!AI$3)</f>
        <v/>
      </c>
    </row>
    <row r="68">
      <c r="A68" s="49" t="n">
        <v>46080</v>
      </c>
      <c r="B68" s="50">
        <f>IF(OR('运动服饰 Prices'!B16="",'运动服饰 Prices'!B$3=""),"",'运动服饰 Prices'!B16/'运动服饰 Prices'!B$3)</f>
        <v/>
      </c>
      <c r="C68" s="50">
        <f>IF(OR('运动服饰 Prices'!C16="",'运动服饰 Prices'!C$3=""),"",'运动服饰 Prices'!C16/'运动服饰 Prices'!C$3)</f>
        <v/>
      </c>
      <c r="D68" s="50">
        <f>IF(OR('运动服饰 Prices'!D16="",'运动服饰 Prices'!D$3=""),"",'运动服饰 Prices'!D16/'运动服饰 Prices'!D$3)</f>
        <v/>
      </c>
      <c r="E68" s="50">
        <f>IF(OR('运动服饰 Prices'!E16="",'运动服饰 Prices'!E$3=""),"",'运动服饰 Prices'!E16/'运动服饰 Prices'!E$3)</f>
        <v/>
      </c>
      <c r="F68" s="50">
        <f>IF(OR('运动服饰 Prices'!F16="",'运动服饰 Prices'!F$3=""),"",'运动服饰 Prices'!F16/'运动服饰 Prices'!F$3)</f>
        <v/>
      </c>
      <c r="G68" s="50">
        <f>IF(OR('运动服饰 Prices'!G16="",'运动服饰 Prices'!G$3=""),"",'运动服饰 Prices'!G16/'运动服饰 Prices'!G$3)</f>
        <v/>
      </c>
      <c r="H68" s="50">
        <f>IF(OR('运动服饰 Prices'!H16="",'运动服饰 Prices'!H$3=""),"",'运动服饰 Prices'!H16/'运动服饰 Prices'!H$3)</f>
        <v/>
      </c>
      <c r="I68" s="50">
        <f>IF(OR('运动服饰 Prices'!I16="",'运动服饰 Prices'!I$3=""),"",'运动服饰 Prices'!I16/'运动服饰 Prices'!I$3)</f>
        <v/>
      </c>
      <c r="J68" s="50">
        <f>IF(OR('运动服饰 Prices'!J16="",'运动服饰 Prices'!J$3=""),"",'运动服饰 Prices'!J16/'运动服饰 Prices'!J$3)</f>
        <v/>
      </c>
      <c r="K68" s="50">
        <f>IF(OR('运动服饰 Prices'!K16="",'运动服饰 Prices'!K$3=""),"",'运动服饰 Prices'!K16/'运动服饰 Prices'!K$3)</f>
        <v/>
      </c>
      <c r="L68" s="50">
        <f>IF(OR('运动服饰 Prices'!L16="",'运动服饰 Prices'!L$3=""),"",'运动服饰 Prices'!L16/'运动服饰 Prices'!L$3)</f>
        <v/>
      </c>
      <c r="M68" s="50">
        <f>IF(OR('运动服饰 Prices'!M16="",'运动服饰 Prices'!M$3=""),"",'运动服饰 Prices'!M16/'运动服饰 Prices'!M$3)</f>
        <v/>
      </c>
      <c r="N68" s="50">
        <f>IF(OR('运动服饰 Prices'!N16="",'运动服饰 Prices'!N$3=""),"",'运动服饰 Prices'!N16/'运动服饰 Prices'!N$3)</f>
        <v/>
      </c>
      <c r="O68" s="50">
        <f>IF(OR('运动服饰 Prices'!O16="",'运动服饰 Prices'!O$3=""),"",'运动服饰 Prices'!O16/'运动服饰 Prices'!O$3)</f>
        <v/>
      </c>
      <c r="P68" s="50">
        <f>IF(OR('运动服饰 Prices'!P16="",'运动服饰 Prices'!P$3=""),"",'运动服饰 Prices'!P16/'运动服饰 Prices'!P$3)</f>
        <v/>
      </c>
      <c r="Q68" s="50">
        <f>IF(OR('运动服饰 Prices'!Q16="",'运动服饰 Prices'!Q$3=""),"",'运动服饰 Prices'!Q16/'运动服饰 Prices'!Q$3)</f>
        <v/>
      </c>
      <c r="R68" s="50">
        <f>IF(OR('运动服饰 Prices'!R16="",'运动服饰 Prices'!R$3=""),"",'运动服饰 Prices'!R16/'运动服饰 Prices'!R$3)</f>
        <v/>
      </c>
      <c r="S68" s="50">
        <f>IF(OR('运动服饰 Prices'!S16="",'运动服饰 Prices'!S$3=""),"",'运动服饰 Prices'!S16/'运动服饰 Prices'!S$3)</f>
        <v/>
      </c>
      <c r="T68" s="50">
        <f>IF(OR('运动服饰 Prices'!T16="",'运动服饰 Prices'!T$3=""),"",'运动服饰 Prices'!T16/'运动服饰 Prices'!T$3)</f>
        <v/>
      </c>
      <c r="U68" s="50">
        <f>IF(OR('运动服饰 Prices'!U16="",'运动服饰 Prices'!U$3=""),"",'运动服饰 Prices'!U16/'运动服饰 Prices'!U$3)</f>
        <v/>
      </c>
      <c r="V68" s="50">
        <f>IF(OR('运动服饰 Prices'!V16="",'运动服饰 Prices'!V$3=""),"",'运动服饰 Prices'!V16/'运动服饰 Prices'!V$3)</f>
        <v/>
      </c>
      <c r="W68" s="50">
        <f>IF(OR('运动服饰 Prices'!W16="",'运动服饰 Prices'!W$3=""),"",'运动服饰 Prices'!W16/'运动服饰 Prices'!W$3)</f>
        <v/>
      </c>
      <c r="X68" s="50">
        <f>IF(OR('运动服饰 Prices'!X16="",'运动服饰 Prices'!X$3=""),"",'运动服饰 Prices'!X16/'运动服饰 Prices'!X$3)</f>
        <v/>
      </c>
      <c r="Y68" s="50">
        <f>IF(OR('运动服饰 Prices'!Y16="",'运动服饰 Prices'!Y$3=""),"",'运动服饰 Prices'!Y16/'运动服饰 Prices'!Y$3)</f>
        <v/>
      </c>
      <c r="Z68" s="50">
        <f>IF(OR('运动服饰 Prices'!Z16="",'运动服饰 Prices'!Z$3=""),"",'运动服饰 Prices'!Z16/'运动服饰 Prices'!Z$3)</f>
        <v/>
      </c>
      <c r="AA68" s="50">
        <f>IF(OR('运动服饰 Prices'!AA16="",'运动服饰 Prices'!AA$3=""),"",'运动服饰 Prices'!AA16/'运动服饰 Prices'!AA$3)</f>
        <v/>
      </c>
      <c r="AB68" s="50">
        <f>IF(OR('运动服饰 Prices'!AB16="",'运动服饰 Prices'!AB$3=""),"",'运动服饰 Prices'!AB16/'运动服饰 Prices'!AB$3)</f>
        <v/>
      </c>
      <c r="AC68" s="50">
        <f>IF(OR('运动服饰 Prices'!AC16="",'运动服饰 Prices'!AC$3=""),"",'运动服饰 Prices'!AC16/'运动服饰 Prices'!AC$3)</f>
        <v/>
      </c>
      <c r="AD68" s="50">
        <f>IF(OR('运动服饰 Prices'!AD16="",'运动服饰 Prices'!AD$3=""),"",'运动服饰 Prices'!AD16/'运动服饰 Prices'!AD$3)</f>
        <v/>
      </c>
      <c r="AE68" s="50">
        <f>IF(OR('运动服饰 Prices'!AE16="",'运动服饰 Prices'!AE$3=""),"",'运动服饰 Prices'!AE16/'运动服饰 Prices'!AE$3)</f>
        <v/>
      </c>
      <c r="AF68" s="50">
        <f>IF(OR('运动服饰 Prices'!AF16="",'运动服饰 Prices'!AF$3=""),"",'运动服饰 Prices'!AF16/'运动服饰 Prices'!AF$3)</f>
        <v/>
      </c>
      <c r="AG68" s="50">
        <f>IF(OR('运动服饰 Prices'!AG16="",'运动服饰 Prices'!AG$3=""),"",'运动服饰 Prices'!AG16/'运动服饰 Prices'!AG$3)</f>
        <v/>
      </c>
      <c r="AH68" s="50">
        <f>IF(OR('运动服饰 Prices'!AH16="",'运动服饰 Prices'!AH$3=""),"",'运动服饰 Prices'!AH16/'运动服饰 Prices'!AH$3)</f>
        <v/>
      </c>
      <c r="AI68" s="50">
        <f>IF(OR('运动服饰 Prices'!AI16="",'运动服饰 Prices'!AI$3=""),"",'运动服饰 Prices'!AI16/'运动服饰 Prices'!AI$3)</f>
        <v/>
      </c>
    </row>
    <row r="69">
      <c r="A69" s="49" t="n">
        <v>46087</v>
      </c>
      <c r="B69" s="50">
        <f>IF(OR('运动服饰 Prices'!B17="",'运动服饰 Prices'!B$3=""),"",'运动服饰 Prices'!B17/'运动服饰 Prices'!B$3)</f>
        <v/>
      </c>
      <c r="C69" s="50">
        <f>IF(OR('运动服饰 Prices'!C17="",'运动服饰 Prices'!C$3=""),"",'运动服饰 Prices'!C17/'运动服饰 Prices'!C$3)</f>
        <v/>
      </c>
      <c r="D69" s="50">
        <f>IF(OR('运动服饰 Prices'!D17="",'运动服饰 Prices'!D$3=""),"",'运动服饰 Prices'!D17/'运动服饰 Prices'!D$3)</f>
        <v/>
      </c>
      <c r="E69" s="50">
        <f>IF(OR('运动服饰 Prices'!E17="",'运动服饰 Prices'!E$3=""),"",'运动服饰 Prices'!E17/'运动服饰 Prices'!E$3)</f>
        <v/>
      </c>
      <c r="F69" s="50">
        <f>IF(OR('运动服饰 Prices'!F17="",'运动服饰 Prices'!F$3=""),"",'运动服饰 Prices'!F17/'运动服饰 Prices'!F$3)</f>
        <v/>
      </c>
      <c r="G69" s="50">
        <f>IF(OR('运动服饰 Prices'!G17="",'运动服饰 Prices'!G$3=""),"",'运动服饰 Prices'!G17/'运动服饰 Prices'!G$3)</f>
        <v/>
      </c>
      <c r="H69" s="50">
        <f>IF(OR('运动服饰 Prices'!H17="",'运动服饰 Prices'!H$3=""),"",'运动服饰 Prices'!H17/'运动服饰 Prices'!H$3)</f>
        <v/>
      </c>
      <c r="I69" s="50">
        <f>IF(OR('运动服饰 Prices'!I17="",'运动服饰 Prices'!I$3=""),"",'运动服饰 Prices'!I17/'运动服饰 Prices'!I$3)</f>
        <v/>
      </c>
      <c r="J69" s="50">
        <f>IF(OR('运动服饰 Prices'!J17="",'运动服饰 Prices'!J$3=""),"",'运动服饰 Prices'!J17/'运动服饰 Prices'!J$3)</f>
        <v/>
      </c>
      <c r="K69" s="50">
        <f>IF(OR('运动服饰 Prices'!K17="",'运动服饰 Prices'!K$3=""),"",'运动服饰 Prices'!K17/'运动服饰 Prices'!K$3)</f>
        <v/>
      </c>
      <c r="L69" s="50">
        <f>IF(OR('运动服饰 Prices'!L17="",'运动服饰 Prices'!L$3=""),"",'运动服饰 Prices'!L17/'运动服饰 Prices'!L$3)</f>
        <v/>
      </c>
      <c r="M69" s="50">
        <f>IF(OR('运动服饰 Prices'!M17="",'运动服饰 Prices'!M$3=""),"",'运动服饰 Prices'!M17/'运动服饰 Prices'!M$3)</f>
        <v/>
      </c>
      <c r="N69" s="50">
        <f>IF(OR('运动服饰 Prices'!N17="",'运动服饰 Prices'!N$3=""),"",'运动服饰 Prices'!N17/'运动服饰 Prices'!N$3)</f>
        <v/>
      </c>
      <c r="O69" s="50">
        <f>IF(OR('运动服饰 Prices'!O17="",'运动服饰 Prices'!O$3=""),"",'运动服饰 Prices'!O17/'运动服饰 Prices'!O$3)</f>
        <v/>
      </c>
      <c r="P69" s="50">
        <f>IF(OR('运动服饰 Prices'!P17="",'运动服饰 Prices'!P$3=""),"",'运动服饰 Prices'!P17/'运动服饰 Prices'!P$3)</f>
        <v/>
      </c>
      <c r="Q69" s="50">
        <f>IF(OR('运动服饰 Prices'!Q17="",'运动服饰 Prices'!Q$3=""),"",'运动服饰 Prices'!Q17/'运动服饰 Prices'!Q$3)</f>
        <v/>
      </c>
      <c r="R69" s="50">
        <f>IF(OR('运动服饰 Prices'!R17="",'运动服饰 Prices'!R$3=""),"",'运动服饰 Prices'!R17/'运动服饰 Prices'!R$3)</f>
        <v/>
      </c>
      <c r="S69" s="50">
        <f>IF(OR('运动服饰 Prices'!S17="",'运动服饰 Prices'!S$3=""),"",'运动服饰 Prices'!S17/'运动服饰 Prices'!S$3)</f>
        <v/>
      </c>
      <c r="T69" s="50">
        <f>IF(OR('运动服饰 Prices'!T17="",'运动服饰 Prices'!T$3=""),"",'运动服饰 Prices'!T17/'运动服饰 Prices'!T$3)</f>
        <v/>
      </c>
      <c r="U69" s="50">
        <f>IF(OR('运动服饰 Prices'!U17="",'运动服饰 Prices'!U$3=""),"",'运动服饰 Prices'!U17/'运动服饰 Prices'!U$3)</f>
        <v/>
      </c>
      <c r="V69" s="50">
        <f>IF(OR('运动服饰 Prices'!V17="",'运动服饰 Prices'!V$3=""),"",'运动服饰 Prices'!V17/'运动服饰 Prices'!V$3)</f>
        <v/>
      </c>
      <c r="W69" s="50">
        <f>IF(OR('运动服饰 Prices'!W17="",'运动服饰 Prices'!W$3=""),"",'运动服饰 Prices'!W17/'运动服饰 Prices'!W$3)</f>
        <v/>
      </c>
      <c r="X69" s="50">
        <f>IF(OR('运动服饰 Prices'!X17="",'运动服饰 Prices'!X$3=""),"",'运动服饰 Prices'!X17/'运动服饰 Prices'!X$3)</f>
        <v/>
      </c>
      <c r="Y69" s="50">
        <f>IF(OR('运动服饰 Prices'!Y17="",'运动服饰 Prices'!Y$3=""),"",'运动服饰 Prices'!Y17/'运动服饰 Prices'!Y$3)</f>
        <v/>
      </c>
      <c r="Z69" s="50">
        <f>IF(OR('运动服饰 Prices'!Z17="",'运动服饰 Prices'!Z$3=""),"",'运动服饰 Prices'!Z17/'运动服饰 Prices'!Z$3)</f>
        <v/>
      </c>
      <c r="AA69" s="50">
        <f>IF(OR('运动服饰 Prices'!AA17="",'运动服饰 Prices'!AA$3=""),"",'运动服饰 Prices'!AA17/'运动服饰 Prices'!AA$3)</f>
        <v/>
      </c>
      <c r="AB69" s="50">
        <f>IF(OR('运动服饰 Prices'!AB17="",'运动服饰 Prices'!AB$3=""),"",'运动服饰 Prices'!AB17/'运动服饰 Prices'!AB$3)</f>
        <v/>
      </c>
      <c r="AC69" s="50">
        <f>IF(OR('运动服饰 Prices'!AC17="",'运动服饰 Prices'!AC$3=""),"",'运动服饰 Prices'!AC17/'运动服饰 Prices'!AC$3)</f>
        <v/>
      </c>
      <c r="AD69" s="50">
        <f>IF(OR('运动服饰 Prices'!AD17="",'运动服饰 Prices'!AD$3=""),"",'运动服饰 Prices'!AD17/'运动服饰 Prices'!AD$3)</f>
        <v/>
      </c>
      <c r="AE69" s="50">
        <f>IF(OR('运动服饰 Prices'!AE17="",'运动服饰 Prices'!AE$3=""),"",'运动服饰 Prices'!AE17/'运动服饰 Prices'!AE$3)</f>
        <v/>
      </c>
      <c r="AF69" s="50">
        <f>IF(OR('运动服饰 Prices'!AF17="",'运动服饰 Prices'!AF$3=""),"",'运动服饰 Prices'!AF17/'运动服饰 Prices'!AF$3)</f>
        <v/>
      </c>
      <c r="AG69" s="50">
        <f>IF(OR('运动服饰 Prices'!AG17="",'运动服饰 Prices'!AG$3=""),"",'运动服饰 Prices'!AG17/'运动服饰 Prices'!AG$3)</f>
        <v/>
      </c>
      <c r="AH69" s="50">
        <f>IF(OR('运动服饰 Prices'!AH17="",'运动服饰 Prices'!AH$3=""),"",'运动服饰 Prices'!AH17/'运动服饰 Prices'!AH$3)</f>
        <v/>
      </c>
      <c r="AI69" s="50">
        <f>IF(OR('运动服饰 Prices'!AI17="",'运动服饰 Prices'!AI$3=""),"",'运动服饰 Prices'!AI17/'运动服饰 Prices'!AI$3)</f>
        <v/>
      </c>
    </row>
    <row r="70">
      <c r="A70" s="49" t="n">
        <v>46094</v>
      </c>
      <c r="B70" s="50">
        <f>IF(OR('运动服饰 Prices'!B18="",'运动服饰 Prices'!B$3=""),"",'运动服饰 Prices'!B18/'运动服饰 Prices'!B$3)</f>
        <v/>
      </c>
      <c r="C70" s="50">
        <f>IF(OR('运动服饰 Prices'!C18="",'运动服饰 Prices'!C$3=""),"",'运动服饰 Prices'!C18/'运动服饰 Prices'!C$3)</f>
        <v/>
      </c>
      <c r="D70" s="50">
        <f>IF(OR('运动服饰 Prices'!D18="",'运动服饰 Prices'!D$3=""),"",'运动服饰 Prices'!D18/'运动服饰 Prices'!D$3)</f>
        <v/>
      </c>
      <c r="E70" s="50">
        <f>IF(OR('运动服饰 Prices'!E18="",'运动服饰 Prices'!E$3=""),"",'运动服饰 Prices'!E18/'运动服饰 Prices'!E$3)</f>
        <v/>
      </c>
      <c r="F70" s="50">
        <f>IF(OR('运动服饰 Prices'!F18="",'运动服饰 Prices'!F$3=""),"",'运动服饰 Prices'!F18/'运动服饰 Prices'!F$3)</f>
        <v/>
      </c>
      <c r="G70" s="50">
        <f>IF(OR('运动服饰 Prices'!G18="",'运动服饰 Prices'!G$3=""),"",'运动服饰 Prices'!G18/'运动服饰 Prices'!G$3)</f>
        <v/>
      </c>
      <c r="H70" s="50">
        <f>IF(OR('运动服饰 Prices'!H18="",'运动服饰 Prices'!H$3=""),"",'运动服饰 Prices'!H18/'运动服饰 Prices'!H$3)</f>
        <v/>
      </c>
      <c r="I70" s="50">
        <f>IF(OR('运动服饰 Prices'!I18="",'运动服饰 Prices'!I$3=""),"",'运动服饰 Prices'!I18/'运动服饰 Prices'!I$3)</f>
        <v/>
      </c>
      <c r="J70" s="50">
        <f>IF(OR('运动服饰 Prices'!J18="",'运动服饰 Prices'!J$3=""),"",'运动服饰 Prices'!J18/'运动服饰 Prices'!J$3)</f>
        <v/>
      </c>
      <c r="K70" s="50">
        <f>IF(OR('运动服饰 Prices'!K18="",'运动服饰 Prices'!K$3=""),"",'运动服饰 Prices'!K18/'运动服饰 Prices'!K$3)</f>
        <v/>
      </c>
      <c r="L70" s="50">
        <f>IF(OR('运动服饰 Prices'!L18="",'运动服饰 Prices'!L$3=""),"",'运动服饰 Prices'!L18/'运动服饰 Prices'!L$3)</f>
        <v/>
      </c>
      <c r="M70" s="50">
        <f>IF(OR('运动服饰 Prices'!M18="",'运动服饰 Prices'!M$3=""),"",'运动服饰 Prices'!M18/'运动服饰 Prices'!M$3)</f>
        <v/>
      </c>
      <c r="N70" s="50">
        <f>IF(OR('运动服饰 Prices'!N18="",'运动服饰 Prices'!N$3=""),"",'运动服饰 Prices'!N18/'运动服饰 Prices'!N$3)</f>
        <v/>
      </c>
      <c r="O70" s="50">
        <f>IF(OR('运动服饰 Prices'!O18="",'运动服饰 Prices'!O$3=""),"",'运动服饰 Prices'!O18/'运动服饰 Prices'!O$3)</f>
        <v/>
      </c>
      <c r="P70" s="50">
        <f>IF(OR('运动服饰 Prices'!P18="",'运动服饰 Prices'!P$3=""),"",'运动服饰 Prices'!P18/'运动服饰 Prices'!P$3)</f>
        <v/>
      </c>
      <c r="Q70" s="50">
        <f>IF(OR('运动服饰 Prices'!Q18="",'运动服饰 Prices'!Q$3=""),"",'运动服饰 Prices'!Q18/'运动服饰 Prices'!Q$3)</f>
        <v/>
      </c>
      <c r="R70" s="50">
        <f>IF(OR('运动服饰 Prices'!R18="",'运动服饰 Prices'!R$3=""),"",'运动服饰 Prices'!R18/'运动服饰 Prices'!R$3)</f>
        <v/>
      </c>
      <c r="S70" s="50">
        <f>IF(OR('运动服饰 Prices'!S18="",'运动服饰 Prices'!S$3=""),"",'运动服饰 Prices'!S18/'运动服饰 Prices'!S$3)</f>
        <v/>
      </c>
      <c r="T70" s="50">
        <f>IF(OR('运动服饰 Prices'!T18="",'运动服饰 Prices'!T$3=""),"",'运动服饰 Prices'!T18/'运动服饰 Prices'!T$3)</f>
        <v/>
      </c>
      <c r="U70" s="50">
        <f>IF(OR('运动服饰 Prices'!U18="",'运动服饰 Prices'!U$3=""),"",'运动服饰 Prices'!U18/'运动服饰 Prices'!U$3)</f>
        <v/>
      </c>
      <c r="V70" s="50">
        <f>IF(OR('运动服饰 Prices'!V18="",'运动服饰 Prices'!V$3=""),"",'运动服饰 Prices'!V18/'运动服饰 Prices'!V$3)</f>
        <v/>
      </c>
      <c r="W70" s="50">
        <f>IF(OR('运动服饰 Prices'!W18="",'运动服饰 Prices'!W$3=""),"",'运动服饰 Prices'!W18/'运动服饰 Prices'!W$3)</f>
        <v/>
      </c>
      <c r="X70" s="50">
        <f>IF(OR('运动服饰 Prices'!X18="",'运动服饰 Prices'!X$3=""),"",'运动服饰 Prices'!X18/'运动服饰 Prices'!X$3)</f>
        <v/>
      </c>
      <c r="Y70" s="50">
        <f>IF(OR('运动服饰 Prices'!Y18="",'运动服饰 Prices'!Y$3=""),"",'运动服饰 Prices'!Y18/'运动服饰 Prices'!Y$3)</f>
        <v/>
      </c>
      <c r="Z70" s="50">
        <f>IF(OR('运动服饰 Prices'!Z18="",'运动服饰 Prices'!Z$3=""),"",'运动服饰 Prices'!Z18/'运动服饰 Prices'!Z$3)</f>
        <v/>
      </c>
      <c r="AA70" s="50">
        <f>IF(OR('运动服饰 Prices'!AA18="",'运动服饰 Prices'!AA$3=""),"",'运动服饰 Prices'!AA18/'运动服饰 Prices'!AA$3)</f>
        <v/>
      </c>
      <c r="AB70" s="50">
        <f>IF(OR('运动服饰 Prices'!AB18="",'运动服饰 Prices'!AB$3=""),"",'运动服饰 Prices'!AB18/'运动服饰 Prices'!AB$3)</f>
        <v/>
      </c>
      <c r="AC70" s="50">
        <f>IF(OR('运动服饰 Prices'!AC18="",'运动服饰 Prices'!AC$3=""),"",'运动服饰 Prices'!AC18/'运动服饰 Prices'!AC$3)</f>
        <v/>
      </c>
      <c r="AD70" s="50">
        <f>IF(OR('运动服饰 Prices'!AD18="",'运动服饰 Prices'!AD$3=""),"",'运动服饰 Prices'!AD18/'运动服饰 Prices'!AD$3)</f>
        <v/>
      </c>
      <c r="AE70" s="50">
        <f>IF(OR('运动服饰 Prices'!AE18="",'运动服饰 Prices'!AE$3=""),"",'运动服饰 Prices'!AE18/'运动服饰 Prices'!AE$3)</f>
        <v/>
      </c>
      <c r="AF70" s="50">
        <f>IF(OR('运动服饰 Prices'!AF18="",'运动服饰 Prices'!AF$3=""),"",'运动服饰 Prices'!AF18/'运动服饰 Prices'!AF$3)</f>
        <v/>
      </c>
      <c r="AG70" s="50">
        <f>IF(OR('运动服饰 Prices'!AG18="",'运动服饰 Prices'!AG$3=""),"",'运动服饰 Prices'!AG18/'运动服饰 Prices'!AG$3)</f>
        <v/>
      </c>
      <c r="AH70" s="50">
        <f>IF(OR('运动服饰 Prices'!AH18="",'运动服饰 Prices'!AH$3=""),"",'运动服饰 Prices'!AH18/'运动服饰 Prices'!AH$3)</f>
        <v/>
      </c>
      <c r="AI70" s="50">
        <f>IF(OR('运动服饰 Prices'!AI18="",'运动服饰 Prices'!AI$3=""),"",'运动服饰 Prices'!AI18/'运动服饰 Prices'!AI$3)</f>
        <v/>
      </c>
    </row>
    <row r="71">
      <c r="A71" s="49" t="n">
        <v>46101</v>
      </c>
      <c r="B71" s="50">
        <f>IF(OR('运动服饰 Prices'!B19="",'运动服饰 Prices'!B$3=""),"",'运动服饰 Prices'!B19/'运动服饰 Prices'!B$3)</f>
        <v/>
      </c>
      <c r="C71" s="50">
        <f>IF(OR('运动服饰 Prices'!C19="",'运动服饰 Prices'!C$3=""),"",'运动服饰 Prices'!C19/'运动服饰 Prices'!C$3)</f>
        <v/>
      </c>
      <c r="D71" s="50">
        <f>IF(OR('运动服饰 Prices'!D19="",'运动服饰 Prices'!D$3=""),"",'运动服饰 Prices'!D19/'运动服饰 Prices'!D$3)</f>
        <v/>
      </c>
      <c r="E71" s="50">
        <f>IF(OR('运动服饰 Prices'!E19="",'运动服饰 Prices'!E$3=""),"",'运动服饰 Prices'!E19/'运动服饰 Prices'!E$3)</f>
        <v/>
      </c>
      <c r="F71" s="50">
        <f>IF(OR('运动服饰 Prices'!F19="",'运动服饰 Prices'!F$3=""),"",'运动服饰 Prices'!F19/'运动服饰 Prices'!F$3)</f>
        <v/>
      </c>
      <c r="G71" s="50">
        <f>IF(OR('运动服饰 Prices'!G19="",'运动服饰 Prices'!G$3=""),"",'运动服饰 Prices'!G19/'运动服饰 Prices'!G$3)</f>
        <v/>
      </c>
      <c r="H71" s="50">
        <f>IF(OR('运动服饰 Prices'!H19="",'运动服饰 Prices'!H$3=""),"",'运动服饰 Prices'!H19/'运动服饰 Prices'!H$3)</f>
        <v/>
      </c>
      <c r="I71" s="50">
        <f>IF(OR('运动服饰 Prices'!I19="",'运动服饰 Prices'!I$3=""),"",'运动服饰 Prices'!I19/'运动服饰 Prices'!I$3)</f>
        <v/>
      </c>
      <c r="J71" s="50">
        <f>IF(OR('运动服饰 Prices'!J19="",'运动服饰 Prices'!J$3=""),"",'运动服饰 Prices'!J19/'运动服饰 Prices'!J$3)</f>
        <v/>
      </c>
      <c r="K71" s="50">
        <f>IF(OR('运动服饰 Prices'!K19="",'运动服饰 Prices'!K$3=""),"",'运动服饰 Prices'!K19/'运动服饰 Prices'!K$3)</f>
        <v/>
      </c>
      <c r="L71" s="50">
        <f>IF(OR('运动服饰 Prices'!L19="",'运动服饰 Prices'!L$3=""),"",'运动服饰 Prices'!L19/'运动服饰 Prices'!L$3)</f>
        <v/>
      </c>
      <c r="M71" s="50">
        <f>IF(OR('运动服饰 Prices'!M19="",'运动服饰 Prices'!M$3=""),"",'运动服饰 Prices'!M19/'运动服饰 Prices'!M$3)</f>
        <v/>
      </c>
      <c r="N71" s="50">
        <f>IF(OR('运动服饰 Prices'!N19="",'运动服饰 Prices'!N$3=""),"",'运动服饰 Prices'!N19/'运动服饰 Prices'!N$3)</f>
        <v/>
      </c>
      <c r="O71" s="50">
        <f>IF(OR('运动服饰 Prices'!O19="",'运动服饰 Prices'!O$3=""),"",'运动服饰 Prices'!O19/'运动服饰 Prices'!O$3)</f>
        <v/>
      </c>
      <c r="P71" s="50">
        <f>IF(OR('运动服饰 Prices'!P19="",'运动服饰 Prices'!P$3=""),"",'运动服饰 Prices'!P19/'运动服饰 Prices'!P$3)</f>
        <v/>
      </c>
      <c r="Q71" s="50">
        <f>IF(OR('运动服饰 Prices'!Q19="",'运动服饰 Prices'!Q$3=""),"",'运动服饰 Prices'!Q19/'运动服饰 Prices'!Q$3)</f>
        <v/>
      </c>
      <c r="R71" s="50">
        <f>IF(OR('运动服饰 Prices'!R19="",'运动服饰 Prices'!R$3=""),"",'运动服饰 Prices'!R19/'运动服饰 Prices'!R$3)</f>
        <v/>
      </c>
      <c r="S71" s="50">
        <f>IF(OR('运动服饰 Prices'!S19="",'运动服饰 Prices'!S$3=""),"",'运动服饰 Prices'!S19/'运动服饰 Prices'!S$3)</f>
        <v/>
      </c>
      <c r="T71" s="50">
        <f>IF(OR('运动服饰 Prices'!T19="",'运动服饰 Prices'!T$3=""),"",'运动服饰 Prices'!T19/'运动服饰 Prices'!T$3)</f>
        <v/>
      </c>
      <c r="U71" s="50">
        <f>IF(OR('运动服饰 Prices'!U19="",'运动服饰 Prices'!U$3=""),"",'运动服饰 Prices'!U19/'运动服饰 Prices'!U$3)</f>
        <v/>
      </c>
      <c r="V71" s="50">
        <f>IF(OR('运动服饰 Prices'!V19="",'运动服饰 Prices'!V$3=""),"",'运动服饰 Prices'!V19/'运动服饰 Prices'!V$3)</f>
        <v/>
      </c>
      <c r="W71" s="50">
        <f>IF(OR('运动服饰 Prices'!W19="",'运动服饰 Prices'!W$3=""),"",'运动服饰 Prices'!W19/'运动服饰 Prices'!W$3)</f>
        <v/>
      </c>
      <c r="X71" s="50">
        <f>IF(OR('运动服饰 Prices'!X19="",'运动服饰 Prices'!X$3=""),"",'运动服饰 Prices'!X19/'运动服饰 Prices'!X$3)</f>
        <v/>
      </c>
      <c r="Y71" s="50">
        <f>IF(OR('运动服饰 Prices'!Y19="",'运动服饰 Prices'!Y$3=""),"",'运动服饰 Prices'!Y19/'运动服饰 Prices'!Y$3)</f>
        <v/>
      </c>
      <c r="Z71" s="50">
        <f>IF(OR('运动服饰 Prices'!Z19="",'运动服饰 Prices'!Z$3=""),"",'运动服饰 Prices'!Z19/'运动服饰 Prices'!Z$3)</f>
        <v/>
      </c>
      <c r="AA71" s="50">
        <f>IF(OR('运动服饰 Prices'!AA19="",'运动服饰 Prices'!AA$3=""),"",'运动服饰 Prices'!AA19/'运动服饰 Prices'!AA$3)</f>
        <v/>
      </c>
      <c r="AB71" s="50">
        <f>IF(OR('运动服饰 Prices'!AB19="",'运动服饰 Prices'!AB$3=""),"",'运动服饰 Prices'!AB19/'运动服饰 Prices'!AB$3)</f>
        <v/>
      </c>
      <c r="AC71" s="50">
        <f>IF(OR('运动服饰 Prices'!AC19="",'运动服饰 Prices'!AC$3=""),"",'运动服饰 Prices'!AC19/'运动服饰 Prices'!AC$3)</f>
        <v/>
      </c>
      <c r="AD71" s="50">
        <f>IF(OR('运动服饰 Prices'!AD19="",'运动服饰 Prices'!AD$3=""),"",'运动服饰 Prices'!AD19/'运动服饰 Prices'!AD$3)</f>
        <v/>
      </c>
      <c r="AE71" s="50">
        <f>IF(OR('运动服饰 Prices'!AE19="",'运动服饰 Prices'!AE$3=""),"",'运动服饰 Prices'!AE19/'运动服饰 Prices'!AE$3)</f>
        <v/>
      </c>
      <c r="AF71" s="50">
        <f>IF(OR('运动服饰 Prices'!AF19="",'运动服饰 Prices'!AF$3=""),"",'运动服饰 Prices'!AF19/'运动服饰 Prices'!AF$3)</f>
        <v/>
      </c>
      <c r="AG71" s="50">
        <f>IF(OR('运动服饰 Prices'!AG19="",'运动服饰 Prices'!AG$3=""),"",'运动服饰 Prices'!AG19/'运动服饰 Prices'!AG$3)</f>
        <v/>
      </c>
      <c r="AH71" s="50">
        <f>IF(OR('运动服饰 Prices'!AH19="",'运动服饰 Prices'!AH$3=""),"",'运动服饰 Prices'!AH19/'运动服饰 Prices'!AH$3)</f>
        <v/>
      </c>
      <c r="AI71" s="50">
        <f>IF(OR('运动服饰 Prices'!AI19="",'运动服饰 Prices'!AI$3=""),"",'运动服饰 Prices'!AI19/'运动服饰 Prices'!AI$3)</f>
        <v/>
      </c>
    </row>
    <row r="72">
      <c r="A72" s="49" t="n">
        <v>46108</v>
      </c>
      <c r="B72" s="50">
        <f>IF(OR('运动服饰 Prices'!B20="",'运动服饰 Prices'!B$3=""),"",'运动服饰 Prices'!B20/'运动服饰 Prices'!B$3)</f>
        <v/>
      </c>
      <c r="C72" s="50">
        <f>IF(OR('运动服饰 Prices'!C20="",'运动服饰 Prices'!C$3=""),"",'运动服饰 Prices'!C20/'运动服饰 Prices'!C$3)</f>
        <v/>
      </c>
      <c r="D72" s="50">
        <f>IF(OR('运动服饰 Prices'!D20="",'运动服饰 Prices'!D$3=""),"",'运动服饰 Prices'!D20/'运动服饰 Prices'!D$3)</f>
        <v/>
      </c>
      <c r="E72" s="50">
        <f>IF(OR('运动服饰 Prices'!E20="",'运动服饰 Prices'!E$3=""),"",'运动服饰 Prices'!E20/'运动服饰 Prices'!E$3)</f>
        <v/>
      </c>
      <c r="F72" s="50">
        <f>IF(OR('运动服饰 Prices'!F20="",'运动服饰 Prices'!F$3=""),"",'运动服饰 Prices'!F20/'运动服饰 Prices'!F$3)</f>
        <v/>
      </c>
      <c r="G72" s="50">
        <f>IF(OR('运动服饰 Prices'!G20="",'运动服饰 Prices'!G$3=""),"",'运动服饰 Prices'!G20/'运动服饰 Prices'!G$3)</f>
        <v/>
      </c>
      <c r="H72" s="50">
        <f>IF(OR('运动服饰 Prices'!H20="",'运动服饰 Prices'!H$3=""),"",'运动服饰 Prices'!H20/'运动服饰 Prices'!H$3)</f>
        <v/>
      </c>
      <c r="I72" s="50">
        <f>IF(OR('运动服饰 Prices'!I20="",'运动服饰 Prices'!I$3=""),"",'运动服饰 Prices'!I20/'运动服饰 Prices'!I$3)</f>
        <v/>
      </c>
      <c r="J72" s="50">
        <f>IF(OR('运动服饰 Prices'!J20="",'运动服饰 Prices'!J$3=""),"",'运动服饰 Prices'!J20/'运动服饰 Prices'!J$3)</f>
        <v/>
      </c>
      <c r="K72" s="50">
        <f>IF(OR('运动服饰 Prices'!K20="",'运动服饰 Prices'!K$3=""),"",'运动服饰 Prices'!K20/'运动服饰 Prices'!K$3)</f>
        <v/>
      </c>
      <c r="L72" s="50">
        <f>IF(OR('运动服饰 Prices'!L20="",'运动服饰 Prices'!L$3=""),"",'运动服饰 Prices'!L20/'运动服饰 Prices'!L$3)</f>
        <v/>
      </c>
      <c r="M72" s="50">
        <f>IF(OR('运动服饰 Prices'!M20="",'运动服饰 Prices'!M$3=""),"",'运动服饰 Prices'!M20/'运动服饰 Prices'!M$3)</f>
        <v/>
      </c>
      <c r="N72" s="50">
        <f>IF(OR('运动服饰 Prices'!N20="",'运动服饰 Prices'!N$3=""),"",'运动服饰 Prices'!N20/'运动服饰 Prices'!N$3)</f>
        <v/>
      </c>
      <c r="O72" s="50">
        <f>IF(OR('运动服饰 Prices'!O20="",'运动服饰 Prices'!O$3=""),"",'运动服饰 Prices'!O20/'运动服饰 Prices'!O$3)</f>
        <v/>
      </c>
      <c r="P72" s="50">
        <f>IF(OR('运动服饰 Prices'!P20="",'运动服饰 Prices'!P$3=""),"",'运动服饰 Prices'!P20/'运动服饰 Prices'!P$3)</f>
        <v/>
      </c>
      <c r="Q72" s="50">
        <f>IF(OR('运动服饰 Prices'!Q20="",'运动服饰 Prices'!Q$3=""),"",'运动服饰 Prices'!Q20/'运动服饰 Prices'!Q$3)</f>
        <v/>
      </c>
      <c r="R72" s="50">
        <f>IF(OR('运动服饰 Prices'!R20="",'运动服饰 Prices'!R$3=""),"",'运动服饰 Prices'!R20/'运动服饰 Prices'!R$3)</f>
        <v/>
      </c>
      <c r="S72" s="50">
        <f>IF(OR('运动服饰 Prices'!S20="",'运动服饰 Prices'!S$3=""),"",'运动服饰 Prices'!S20/'运动服饰 Prices'!S$3)</f>
        <v/>
      </c>
      <c r="T72" s="50">
        <f>IF(OR('运动服饰 Prices'!T20="",'运动服饰 Prices'!T$3=""),"",'运动服饰 Prices'!T20/'运动服饰 Prices'!T$3)</f>
        <v/>
      </c>
      <c r="U72" s="50">
        <f>IF(OR('运动服饰 Prices'!U20="",'运动服饰 Prices'!U$3=""),"",'运动服饰 Prices'!U20/'运动服饰 Prices'!U$3)</f>
        <v/>
      </c>
      <c r="V72" s="50">
        <f>IF(OR('运动服饰 Prices'!V20="",'运动服饰 Prices'!V$3=""),"",'运动服饰 Prices'!V20/'运动服饰 Prices'!V$3)</f>
        <v/>
      </c>
      <c r="W72" s="50">
        <f>IF(OR('运动服饰 Prices'!W20="",'运动服饰 Prices'!W$3=""),"",'运动服饰 Prices'!W20/'运动服饰 Prices'!W$3)</f>
        <v/>
      </c>
      <c r="X72" s="50">
        <f>IF(OR('运动服饰 Prices'!X20="",'运动服饰 Prices'!X$3=""),"",'运动服饰 Prices'!X20/'运动服饰 Prices'!X$3)</f>
        <v/>
      </c>
      <c r="Y72" s="50">
        <f>IF(OR('运动服饰 Prices'!Y20="",'运动服饰 Prices'!Y$3=""),"",'运动服饰 Prices'!Y20/'运动服饰 Prices'!Y$3)</f>
        <v/>
      </c>
      <c r="Z72" s="50">
        <f>IF(OR('运动服饰 Prices'!Z20="",'运动服饰 Prices'!Z$3=""),"",'运动服饰 Prices'!Z20/'运动服饰 Prices'!Z$3)</f>
        <v/>
      </c>
      <c r="AA72" s="50">
        <f>IF(OR('运动服饰 Prices'!AA20="",'运动服饰 Prices'!AA$3=""),"",'运动服饰 Prices'!AA20/'运动服饰 Prices'!AA$3)</f>
        <v/>
      </c>
      <c r="AB72" s="50">
        <f>IF(OR('运动服饰 Prices'!AB20="",'运动服饰 Prices'!AB$3=""),"",'运动服饰 Prices'!AB20/'运动服饰 Prices'!AB$3)</f>
        <v/>
      </c>
      <c r="AC72" s="50">
        <f>IF(OR('运动服饰 Prices'!AC20="",'运动服饰 Prices'!AC$3=""),"",'运动服饰 Prices'!AC20/'运动服饰 Prices'!AC$3)</f>
        <v/>
      </c>
      <c r="AD72" s="50">
        <f>IF(OR('运动服饰 Prices'!AD20="",'运动服饰 Prices'!AD$3=""),"",'运动服饰 Prices'!AD20/'运动服饰 Prices'!AD$3)</f>
        <v/>
      </c>
      <c r="AE72" s="50">
        <f>IF(OR('运动服饰 Prices'!AE20="",'运动服饰 Prices'!AE$3=""),"",'运动服饰 Prices'!AE20/'运动服饰 Prices'!AE$3)</f>
        <v/>
      </c>
      <c r="AF72" s="50">
        <f>IF(OR('运动服饰 Prices'!AF20="",'运动服饰 Prices'!AF$3=""),"",'运动服饰 Prices'!AF20/'运动服饰 Prices'!AF$3)</f>
        <v/>
      </c>
      <c r="AG72" s="50">
        <f>IF(OR('运动服饰 Prices'!AG20="",'运动服饰 Prices'!AG$3=""),"",'运动服饰 Prices'!AG20/'运动服饰 Prices'!AG$3)</f>
        <v/>
      </c>
      <c r="AH72" s="50">
        <f>IF(OR('运动服饰 Prices'!AH20="",'运动服饰 Prices'!AH$3=""),"",'运动服饰 Prices'!AH20/'运动服饰 Prices'!AH$3)</f>
        <v/>
      </c>
      <c r="AI72" s="50">
        <f>IF(OR('运动服饰 Prices'!AI20="",'运动服饰 Prices'!AI$3=""),"",'运动服饰 Prices'!AI20/'运动服饰 Prices'!AI$3)</f>
        <v/>
      </c>
    </row>
    <row r="73">
      <c r="A73" s="49" t="n">
        <v>46115</v>
      </c>
      <c r="B73" s="50">
        <f>IF(OR('运动服饰 Prices'!B21="",'运动服饰 Prices'!B$3=""),"",'运动服饰 Prices'!B21/'运动服饰 Prices'!B$3)</f>
        <v/>
      </c>
      <c r="C73" s="50">
        <f>IF(OR('运动服饰 Prices'!C21="",'运动服饰 Prices'!C$3=""),"",'运动服饰 Prices'!C21/'运动服饰 Prices'!C$3)</f>
        <v/>
      </c>
      <c r="D73" s="50">
        <f>IF(OR('运动服饰 Prices'!D21="",'运动服饰 Prices'!D$3=""),"",'运动服饰 Prices'!D21/'运动服饰 Prices'!D$3)</f>
        <v/>
      </c>
      <c r="E73" s="50">
        <f>IF(OR('运动服饰 Prices'!E21="",'运动服饰 Prices'!E$3=""),"",'运动服饰 Prices'!E21/'运动服饰 Prices'!E$3)</f>
        <v/>
      </c>
      <c r="F73" s="50">
        <f>IF(OR('运动服饰 Prices'!F21="",'运动服饰 Prices'!F$3=""),"",'运动服饰 Prices'!F21/'运动服饰 Prices'!F$3)</f>
        <v/>
      </c>
      <c r="G73" s="50">
        <f>IF(OR('运动服饰 Prices'!G21="",'运动服饰 Prices'!G$3=""),"",'运动服饰 Prices'!G21/'运动服饰 Prices'!G$3)</f>
        <v/>
      </c>
      <c r="H73" s="50">
        <f>IF(OR('运动服饰 Prices'!H21="",'运动服饰 Prices'!H$3=""),"",'运动服饰 Prices'!H21/'运动服饰 Prices'!H$3)</f>
        <v/>
      </c>
      <c r="I73" s="50">
        <f>IF(OR('运动服饰 Prices'!I21="",'运动服饰 Prices'!I$3=""),"",'运动服饰 Prices'!I21/'运动服饰 Prices'!I$3)</f>
        <v/>
      </c>
      <c r="J73" s="50">
        <f>IF(OR('运动服饰 Prices'!J21="",'运动服饰 Prices'!J$3=""),"",'运动服饰 Prices'!J21/'运动服饰 Prices'!J$3)</f>
        <v/>
      </c>
      <c r="K73" s="50">
        <f>IF(OR('运动服饰 Prices'!K21="",'运动服饰 Prices'!K$3=""),"",'运动服饰 Prices'!K21/'运动服饰 Prices'!K$3)</f>
        <v/>
      </c>
      <c r="L73" s="50">
        <f>IF(OR('运动服饰 Prices'!L21="",'运动服饰 Prices'!L$3=""),"",'运动服饰 Prices'!L21/'运动服饰 Prices'!L$3)</f>
        <v/>
      </c>
      <c r="M73" s="50">
        <f>IF(OR('运动服饰 Prices'!M21="",'运动服饰 Prices'!M$3=""),"",'运动服饰 Prices'!M21/'运动服饰 Prices'!M$3)</f>
        <v/>
      </c>
      <c r="N73" s="50">
        <f>IF(OR('运动服饰 Prices'!N21="",'运动服饰 Prices'!N$3=""),"",'运动服饰 Prices'!N21/'运动服饰 Prices'!N$3)</f>
        <v/>
      </c>
      <c r="O73" s="50">
        <f>IF(OR('运动服饰 Prices'!O21="",'运动服饰 Prices'!O$3=""),"",'运动服饰 Prices'!O21/'运动服饰 Prices'!O$3)</f>
        <v/>
      </c>
      <c r="P73" s="50">
        <f>IF(OR('运动服饰 Prices'!P21="",'运动服饰 Prices'!P$3=""),"",'运动服饰 Prices'!P21/'运动服饰 Prices'!P$3)</f>
        <v/>
      </c>
      <c r="Q73" s="50">
        <f>IF(OR('运动服饰 Prices'!Q21="",'运动服饰 Prices'!Q$3=""),"",'运动服饰 Prices'!Q21/'运动服饰 Prices'!Q$3)</f>
        <v/>
      </c>
      <c r="R73" s="50">
        <f>IF(OR('运动服饰 Prices'!R21="",'运动服饰 Prices'!R$3=""),"",'运动服饰 Prices'!R21/'运动服饰 Prices'!R$3)</f>
        <v/>
      </c>
      <c r="S73" s="50">
        <f>IF(OR('运动服饰 Prices'!S21="",'运动服饰 Prices'!S$3=""),"",'运动服饰 Prices'!S21/'运动服饰 Prices'!S$3)</f>
        <v/>
      </c>
      <c r="T73" s="50">
        <f>IF(OR('运动服饰 Prices'!T21="",'运动服饰 Prices'!T$3=""),"",'运动服饰 Prices'!T21/'运动服饰 Prices'!T$3)</f>
        <v/>
      </c>
      <c r="U73" s="50">
        <f>IF(OR('运动服饰 Prices'!U21="",'运动服饰 Prices'!U$3=""),"",'运动服饰 Prices'!U21/'运动服饰 Prices'!U$3)</f>
        <v/>
      </c>
      <c r="V73" s="50">
        <f>IF(OR('运动服饰 Prices'!V21="",'运动服饰 Prices'!V$3=""),"",'运动服饰 Prices'!V21/'运动服饰 Prices'!V$3)</f>
        <v/>
      </c>
      <c r="W73" s="50">
        <f>IF(OR('运动服饰 Prices'!W21="",'运动服饰 Prices'!W$3=""),"",'运动服饰 Prices'!W21/'运动服饰 Prices'!W$3)</f>
        <v/>
      </c>
      <c r="X73" s="50">
        <f>IF(OR('运动服饰 Prices'!X21="",'运动服饰 Prices'!X$3=""),"",'运动服饰 Prices'!X21/'运动服饰 Prices'!X$3)</f>
        <v/>
      </c>
      <c r="Y73" s="50">
        <f>IF(OR('运动服饰 Prices'!Y21="",'运动服饰 Prices'!Y$3=""),"",'运动服饰 Prices'!Y21/'运动服饰 Prices'!Y$3)</f>
        <v/>
      </c>
      <c r="Z73" s="50">
        <f>IF(OR('运动服饰 Prices'!Z21="",'运动服饰 Prices'!Z$3=""),"",'运动服饰 Prices'!Z21/'运动服饰 Prices'!Z$3)</f>
        <v/>
      </c>
      <c r="AA73" s="50">
        <f>IF(OR('运动服饰 Prices'!AA21="",'运动服饰 Prices'!AA$3=""),"",'运动服饰 Prices'!AA21/'运动服饰 Prices'!AA$3)</f>
        <v/>
      </c>
      <c r="AB73" s="50">
        <f>IF(OR('运动服饰 Prices'!AB21="",'运动服饰 Prices'!AB$3=""),"",'运动服饰 Prices'!AB21/'运动服饰 Prices'!AB$3)</f>
        <v/>
      </c>
      <c r="AC73" s="50">
        <f>IF(OR('运动服饰 Prices'!AC21="",'运动服饰 Prices'!AC$3=""),"",'运动服饰 Prices'!AC21/'运动服饰 Prices'!AC$3)</f>
        <v/>
      </c>
      <c r="AD73" s="50">
        <f>IF(OR('运动服饰 Prices'!AD21="",'运动服饰 Prices'!AD$3=""),"",'运动服饰 Prices'!AD21/'运动服饰 Prices'!AD$3)</f>
        <v/>
      </c>
      <c r="AE73" s="50">
        <f>IF(OR('运动服饰 Prices'!AE21="",'运动服饰 Prices'!AE$3=""),"",'运动服饰 Prices'!AE21/'运动服饰 Prices'!AE$3)</f>
        <v/>
      </c>
      <c r="AF73" s="50">
        <f>IF(OR('运动服饰 Prices'!AF21="",'运动服饰 Prices'!AF$3=""),"",'运动服饰 Prices'!AF21/'运动服饰 Prices'!AF$3)</f>
        <v/>
      </c>
      <c r="AG73" s="50">
        <f>IF(OR('运动服饰 Prices'!AG21="",'运动服饰 Prices'!AG$3=""),"",'运动服饰 Prices'!AG21/'运动服饰 Prices'!AG$3)</f>
        <v/>
      </c>
      <c r="AH73" s="50">
        <f>IF(OR('运动服饰 Prices'!AH21="",'运动服饰 Prices'!AH$3=""),"",'运动服饰 Prices'!AH21/'运动服饰 Prices'!AH$3)</f>
        <v/>
      </c>
      <c r="AI73" s="50">
        <f>IF(OR('运动服饰 Prices'!AI21="",'运动服饰 Prices'!AI$3=""),"",'运动服饰 Prices'!AI21/'运动服饰 Prices'!AI$3)</f>
        <v/>
      </c>
    </row>
    <row r="74">
      <c r="A74" s="49" t="n">
        <v>46122</v>
      </c>
      <c r="B74" s="50">
        <f>IF(OR('运动服饰 Prices'!B22="",'运动服饰 Prices'!B$3=""),"",'运动服饰 Prices'!B22/'运动服饰 Prices'!B$3)</f>
        <v/>
      </c>
      <c r="C74" s="50">
        <f>IF(OR('运动服饰 Prices'!C22="",'运动服饰 Prices'!C$3=""),"",'运动服饰 Prices'!C22/'运动服饰 Prices'!C$3)</f>
        <v/>
      </c>
      <c r="D74" s="50">
        <f>IF(OR('运动服饰 Prices'!D22="",'运动服饰 Prices'!D$3=""),"",'运动服饰 Prices'!D22/'运动服饰 Prices'!D$3)</f>
        <v/>
      </c>
      <c r="E74" s="50">
        <f>IF(OR('运动服饰 Prices'!E22="",'运动服饰 Prices'!E$3=""),"",'运动服饰 Prices'!E22/'运动服饰 Prices'!E$3)</f>
        <v/>
      </c>
      <c r="F74" s="50">
        <f>IF(OR('运动服饰 Prices'!F22="",'运动服饰 Prices'!F$3=""),"",'运动服饰 Prices'!F22/'运动服饰 Prices'!F$3)</f>
        <v/>
      </c>
      <c r="G74" s="50">
        <f>IF(OR('运动服饰 Prices'!G22="",'运动服饰 Prices'!G$3=""),"",'运动服饰 Prices'!G22/'运动服饰 Prices'!G$3)</f>
        <v/>
      </c>
      <c r="H74" s="50">
        <f>IF(OR('运动服饰 Prices'!H22="",'运动服饰 Prices'!H$3=""),"",'运动服饰 Prices'!H22/'运动服饰 Prices'!H$3)</f>
        <v/>
      </c>
      <c r="I74" s="50">
        <f>IF(OR('运动服饰 Prices'!I22="",'运动服饰 Prices'!I$3=""),"",'运动服饰 Prices'!I22/'运动服饰 Prices'!I$3)</f>
        <v/>
      </c>
      <c r="J74" s="50">
        <f>IF(OR('运动服饰 Prices'!J22="",'运动服饰 Prices'!J$3=""),"",'运动服饰 Prices'!J22/'运动服饰 Prices'!J$3)</f>
        <v/>
      </c>
      <c r="K74" s="50">
        <f>IF(OR('运动服饰 Prices'!K22="",'运动服饰 Prices'!K$3=""),"",'运动服饰 Prices'!K22/'运动服饰 Prices'!K$3)</f>
        <v/>
      </c>
      <c r="L74" s="50">
        <f>IF(OR('运动服饰 Prices'!L22="",'运动服饰 Prices'!L$3=""),"",'运动服饰 Prices'!L22/'运动服饰 Prices'!L$3)</f>
        <v/>
      </c>
      <c r="M74" s="50">
        <f>IF(OR('运动服饰 Prices'!M22="",'运动服饰 Prices'!M$3=""),"",'运动服饰 Prices'!M22/'运动服饰 Prices'!M$3)</f>
        <v/>
      </c>
      <c r="N74" s="50">
        <f>IF(OR('运动服饰 Prices'!N22="",'运动服饰 Prices'!N$3=""),"",'运动服饰 Prices'!N22/'运动服饰 Prices'!N$3)</f>
        <v/>
      </c>
      <c r="O74" s="50">
        <f>IF(OR('运动服饰 Prices'!O22="",'运动服饰 Prices'!O$3=""),"",'运动服饰 Prices'!O22/'运动服饰 Prices'!O$3)</f>
        <v/>
      </c>
      <c r="P74" s="50">
        <f>IF(OR('运动服饰 Prices'!P22="",'运动服饰 Prices'!P$3=""),"",'运动服饰 Prices'!P22/'运动服饰 Prices'!P$3)</f>
        <v/>
      </c>
      <c r="Q74" s="50">
        <f>IF(OR('运动服饰 Prices'!Q22="",'运动服饰 Prices'!Q$3=""),"",'运动服饰 Prices'!Q22/'运动服饰 Prices'!Q$3)</f>
        <v/>
      </c>
      <c r="R74" s="50">
        <f>IF(OR('运动服饰 Prices'!R22="",'运动服饰 Prices'!R$3=""),"",'运动服饰 Prices'!R22/'运动服饰 Prices'!R$3)</f>
        <v/>
      </c>
      <c r="S74" s="50">
        <f>IF(OR('运动服饰 Prices'!S22="",'运动服饰 Prices'!S$3=""),"",'运动服饰 Prices'!S22/'运动服饰 Prices'!S$3)</f>
        <v/>
      </c>
      <c r="T74" s="50">
        <f>IF(OR('运动服饰 Prices'!T22="",'运动服饰 Prices'!T$3=""),"",'运动服饰 Prices'!T22/'运动服饰 Prices'!T$3)</f>
        <v/>
      </c>
      <c r="U74" s="50">
        <f>IF(OR('运动服饰 Prices'!U22="",'运动服饰 Prices'!U$3=""),"",'运动服饰 Prices'!U22/'运动服饰 Prices'!U$3)</f>
        <v/>
      </c>
      <c r="V74" s="50">
        <f>IF(OR('运动服饰 Prices'!V22="",'运动服饰 Prices'!V$3=""),"",'运动服饰 Prices'!V22/'运动服饰 Prices'!V$3)</f>
        <v/>
      </c>
      <c r="W74" s="50">
        <f>IF(OR('运动服饰 Prices'!W22="",'运动服饰 Prices'!W$3=""),"",'运动服饰 Prices'!W22/'运动服饰 Prices'!W$3)</f>
        <v/>
      </c>
      <c r="X74" s="50">
        <f>IF(OR('运动服饰 Prices'!X22="",'运动服饰 Prices'!X$3=""),"",'运动服饰 Prices'!X22/'运动服饰 Prices'!X$3)</f>
        <v/>
      </c>
      <c r="Y74" s="50">
        <f>IF(OR('运动服饰 Prices'!Y22="",'运动服饰 Prices'!Y$3=""),"",'运动服饰 Prices'!Y22/'运动服饰 Prices'!Y$3)</f>
        <v/>
      </c>
      <c r="Z74" s="50">
        <f>IF(OR('运动服饰 Prices'!Z22="",'运动服饰 Prices'!Z$3=""),"",'运动服饰 Prices'!Z22/'运动服饰 Prices'!Z$3)</f>
        <v/>
      </c>
      <c r="AA74" s="50">
        <f>IF(OR('运动服饰 Prices'!AA22="",'运动服饰 Prices'!AA$3=""),"",'运动服饰 Prices'!AA22/'运动服饰 Prices'!AA$3)</f>
        <v/>
      </c>
      <c r="AB74" s="50">
        <f>IF(OR('运动服饰 Prices'!AB22="",'运动服饰 Prices'!AB$3=""),"",'运动服饰 Prices'!AB22/'运动服饰 Prices'!AB$3)</f>
        <v/>
      </c>
      <c r="AC74" s="50">
        <f>IF(OR('运动服饰 Prices'!AC22="",'运动服饰 Prices'!AC$3=""),"",'运动服饰 Prices'!AC22/'运动服饰 Prices'!AC$3)</f>
        <v/>
      </c>
      <c r="AD74" s="50">
        <f>IF(OR('运动服饰 Prices'!AD22="",'运动服饰 Prices'!AD$3=""),"",'运动服饰 Prices'!AD22/'运动服饰 Prices'!AD$3)</f>
        <v/>
      </c>
      <c r="AE74" s="50">
        <f>IF(OR('运动服饰 Prices'!AE22="",'运动服饰 Prices'!AE$3=""),"",'运动服饰 Prices'!AE22/'运动服饰 Prices'!AE$3)</f>
        <v/>
      </c>
      <c r="AF74" s="50">
        <f>IF(OR('运动服饰 Prices'!AF22="",'运动服饰 Prices'!AF$3=""),"",'运动服饰 Prices'!AF22/'运动服饰 Prices'!AF$3)</f>
        <v/>
      </c>
      <c r="AG74" s="50">
        <f>IF(OR('运动服饰 Prices'!AG22="",'运动服饰 Prices'!AG$3=""),"",'运动服饰 Prices'!AG22/'运动服饰 Prices'!AG$3)</f>
        <v/>
      </c>
      <c r="AH74" s="50">
        <f>IF(OR('运动服饰 Prices'!AH22="",'运动服饰 Prices'!AH$3=""),"",'运动服饰 Prices'!AH22/'运动服饰 Prices'!AH$3)</f>
        <v/>
      </c>
      <c r="AI74" s="50">
        <f>IF(OR('运动服饰 Prices'!AI22="",'运动服饰 Prices'!AI$3=""),"",'运动服饰 Prices'!AI22/'运动服饰 Prices'!AI$3)</f>
        <v/>
      </c>
    </row>
    <row r="75">
      <c r="A75" s="49" t="n">
        <v>46129</v>
      </c>
      <c r="B75" s="50">
        <f>IF(OR('运动服饰 Prices'!B23="",'运动服饰 Prices'!B$3=""),"",'运动服饰 Prices'!B23/'运动服饰 Prices'!B$3)</f>
        <v/>
      </c>
      <c r="C75" s="50">
        <f>IF(OR('运动服饰 Prices'!C23="",'运动服饰 Prices'!C$3=""),"",'运动服饰 Prices'!C23/'运动服饰 Prices'!C$3)</f>
        <v/>
      </c>
      <c r="D75" s="50">
        <f>IF(OR('运动服饰 Prices'!D23="",'运动服饰 Prices'!D$3=""),"",'运动服饰 Prices'!D23/'运动服饰 Prices'!D$3)</f>
        <v/>
      </c>
      <c r="E75" s="50">
        <f>IF(OR('运动服饰 Prices'!E23="",'运动服饰 Prices'!E$3=""),"",'运动服饰 Prices'!E23/'运动服饰 Prices'!E$3)</f>
        <v/>
      </c>
      <c r="F75" s="50">
        <f>IF(OR('运动服饰 Prices'!F23="",'运动服饰 Prices'!F$3=""),"",'运动服饰 Prices'!F23/'运动服饰 Prices'!F$3)</f>
        <v/>
      </c>
      <c r="G75" s="50">
        <f>IF(OR('运动服饰 Prices'!G23="",'运动服饰 Prices'!G$3=""),"",'运动服饰 Prices'!G23/'运动服饰 Prices'!G$3)</f>
        <v/>
      </c>
      <c r="H75" s="50">
        <f>IF(OR('运动服饰 Prices'!H23="",'运动服饰 Prices'!H$3=""),"",'运动服饰 Prices'!H23/'运动服饰 Prices'!H$3)</f>
        <v/>
      </c>
      <c r="I75" s="50">
        <f>IF(OR('运动服饰 Prices'!I23="",'运动服饰 Prices'!I$3=""),"",'运动服饰 Prices'!I23/'运动服饰 Prices'!I$3)</f>
        <v/>
      </c>
      <c r="J75" s="50">
        <f>IF(OR('运动服饰 Prices'!J23="",'运动服饰 Prices'!J$3=""),"",'运动服饰 Prices'!J23/'运动服饰 Prices'!J$3)</f>
        <v/>
      </c>
      <c r="K75" s="50">
        <f>IF(OR('运动服饰 Prices'!K23="",'运动服饰 Prices'!K$3=""),"",'运动服饰 Prices'!K23/'运动服饰 Prices'!K$3)</f>
        <v/>
      </c>
      <c r="L75" s="50">
        <f>IF(OR('运动服饰 Prices'!L23="",'运动服饰 Prices'!L$3=""),"",'运动服饰 Prices'!L23/'运动服饰 Prices'!L$3)</f>
        <v/>
      </c>
      <c r="M75" s="50">
        <f>IF(OR('运动服饰 Prices'!M23="",'运动服饰 Prices'!M$3=""),"",'运动服饰 Prices'!M23/'运动服饰 Prices'!M$3)</f>
        <v/>
      </c>
      <c r="N75" s="50">
        <f>IF(OR('运动服饰 Prices'!N23="",'运动服饰 Prices'!N$3=""),"",'运动服饰 Prices'!N23/'运动服饰 Prices'!N$3)</f>
        <v/>
      </c>
      <c r="O75" s="50">
        <f>IF(OR('运动服饰 Prices'!O23="",'运动服饰 Prices'!O$3=""),"",'运动服饰 Prices'!O23/'运动服饰 Prices'!O$3)</f>
        <v/>
      </c>
      <c r="P75" s="50">
        <f>IF(OR('运动服饰 Prices'!P23="",'运动服饰 Prices'!P$3=""),"",'运动服饰 Prices'!P23/'运动服饰 Prices'!P$3)</f>
        <v/>
      </c>
      <c r="Q75" s="50">
        <f>IF(OR('运动服饰 Prices'!Q23="",'运动服饰 Prices'!Q$3=""),"",'运动服饰 Prices'!Q23/'运动服饰 Prices'!Q$3)</f>
        <v/>
      </c>
      <c r="R75" s="50">
        <f>IF(OR('运动服饰 Prices'!R23="",'运动服饰 Prices'!R$3=""),"",'运动服饰 Prices'!R23/'运动服饰 Prices'!R$3)</f>
        <v/>
      </c>
      <c r="S75" s="50">
        <f>IF(OR('运动服饰 Prices'!S23="",'运动服饰 Prices'!S$3=""),"",'运动服饰 Prices'!S23/'运动服饰 Prices'!S$3)</f>
        <v/>
      </c>
      <c r="T75" s="50">
        <f>IF(OR('运动服饰 Prices'!T23="",'运动服饰 Prices'!T$3=""),"",'运动服饰 Prices'!T23/'运动服饰 Prices'!T$3)</f>
        <v/>
      </c>
      <c r="U75" s="50">
        <f>IF(OR('运动服饰 Prices'!U23="",'运动服饰 Prices'!U$3=""),"",'运动服饰 Prices'!U23/'运动服饰 Prices'!U$3)</f>
        <v/>
      </c>
      <c r="V75" s="50">
        <f>IF(OR('运动服饰 Prices'!V23="",'运动服饰 Prices'!V$3=""),"",'运动服饰 Prices'!V23/'运动服饰 Prices'!V$3)</f>
        <v/>
      </c>
      <c r="W75" s="50">
        <f>IF(OR('运动服饰 Prices'!W23="",'运动服饰 Prices'!W$3=""),"",'运动服饰 Prices'!W23/'运动服饰 Prices'!W$3)</f>
        <v/>
      </c>
      <c r="X75" s="50">
        <f>IF(OR('运动服饰 Prices'!X23="",'运动服饰 Prices'!X$3=""),"",'运动服饰 Prices'!X23/'运动服饰 Prices'!X$3)</f>
        <v/>
      </c>
      <c r="Y75" s="50">
        <f>IF(OR('运动服饰 Prices'!Y23="",'运动服饰 Prices'!Y$3=""),"",'运动服饰 Prices'!Y23/'运动服饰 Prices'!Y$3)</f>
        <v/>
      </c>
      <c r="Z75" s="50">
        <f>IF(OR('运动服饰 Prices'!Z23="",'运动服饰 Prices'!Z$3=""),"",'运动服饰 Prices'!Z23/'运动服饰 Prices'!Z$3)</f>
        <v/>
      </c>
      <c r="AA75" s="50">
        <f>IF(OR('运动服饰 Prices'!AA23="",'运动服饰 Prices'!AA$3=""),"",'运动服饰 Prices'!AA23/'运动服饰 Prices'!AA$3)</f>
        <v/>
      </c>
      <c r="AB75" s="50">
        <f>IF(OR('运动服饰 Prices'!AB23="",'运动服饰 Prices'!AB$3=""),"",'运动服饰 Prices'!AB23/'运动服饰 Prices'!AB$3)</f>
        <v/>
      </c>
      <c r="AC75" s="50">
        <f>IF(OR('运动服饰 Prices'!AC23="",'运动服饰 Prices'!AC$3=""),"",'运动服饰 Prices'!AC23/'运动服饰 Prices'!AC$3)</f>
        <v/>
      </c>
      <c r="AD75" s="50">
        <f>IF(OR('运动服饰 Prices'!AD23="",'运动服饰 Prices'!AD$3=""),"",'运动服饰 Prices'!AD23/'运动服饰 Prices'!AD$3)</f>
        <v/>
      </c>
      <c r="AE75" s="50">
        <f>IF(OR('运动服饰 Prices'!AE23="",'运动服饰 Prices'!AE$3=""),"",'运动服饰 Prices'!AE23/'运动服饰 Prices'!AE$3)</f>
        <v/>
      </c>
      <c r="AF75" s="50">
        <f>IF(OR('运动服饰 Prices'!AF23="",'运动服饰 Prices'!AF$3=""),"",'运动服饰 Prices'!AF23/'运动服饰 Prices'!AF$3)</f>
        <v/>
      </c>
      <c r="AG75" s="50">
        <f>IF(OR('运动服饰 Prices'!AG23="",'运动服饰 Prices'!AG$3=""),"",'运动服饰 Prices'!AG23/'运动服饰 Prices'!AG$3)</f>
        <v/>
      </c>
      <c r="AH75" s="50">
        <f>IF(OR('运动服饰 Prices'!AH23="",'运动服饰 Prices'!AH$3=""),"",'运动服饰 Prices'!AH23/'运动服饰 Prices'!AH$3)</f>
        <v/>
      </c>
      <c r="AI75" s="50">
        <f>IF(OR('运动服饰 Prices'!AI23="",'运动服饰 Prices'!AI$3=""),"",'运动服饰 Prices'!AI23/'运动服饰 Prices'!AI$3)</f>
        <v/>
      </c>
    </row>
    <row r="76">
      <c r="A76" s="49" t="n">
        <v>46136</v>
      </c>
      <c r="B76" s="50">
        <f>IF(OR('运动服饰 Prices'!B24="",'运动服饰 Prices'!B$3=""),"",'运动服饰 Prices'!B24/'运动服饰 Prices'!B$3)</f>
        <v/>
      </c>
      <c r="C76" s="50">
        <f>IF(OR('运动服饰 Prices'!C24="",'运动服饰 Prices'!C$3=""),"",'运动服饰 Prices'!C24/'运动服饰 Prices'!C$3)</f>
        <v/>
      </c>
      <c r="D76" s="50">
        <f>IF(OR('运动服饰 Prices'!D24="",'运动服饰 Prices'!D$3=""),"",'运动服饰 Prices'!D24/'运动服饰 Prices'!D$3)</f>
        <v/>
      </c>
      <c r="E76" s="50">
        <f>IF(OR('运动服饰 Prices'!E24="",'运动服饰 Prices'!E$3=""),"",'运动服饰 Prices'!E24/'运动服饰 Prices'!E$3)</f>
        <v/>
      </c>
      <c r="F76" s="50">
        <f>IF(OR('运动服饰 Prices'!F24="",'运动服饰 Prices'!F$3=""),"",'运动服饰 Prices'!F24/'运动服饰 Prices'!F$3)</f>
        <v/>
      </c>
      <c r="G76" s="50">
        <f>IF(OR('运动服饰 Prices'!G24="",'运动服饰 Prices'!G$3=""),"",'运动服饰 Prices'!G24/'运动服饰 Prices'!G$3)</f>
        <v/>
      </c>
      <c r="H76" s="50">
        <f>IF(OR('运动服饰 Prices'!H24="",'运动服饰 Prices'!H$3=""),"",'运动服饰 Prices'!H24/'运动服饰 Prices'!H$3)</f>
        <v/>
      </c>
      <c r="I76" s="50">
        <f>IF(OR('运动服饰 Prices'!I24="",'运动服饰 Prices'!I$3=""),"",'运动服饰 Prices'!I24/'运动服饰 Prices'!I$3)</f>
        <v/>
      </c>
      <c r="J76" s="50">
        <f>IF(OR('运动服饰 Prices'!J24="",'运动服饰 Prices'!J$3=""),"",'运动服饰 Prices'!J24/'运动服饰 Prices'!J$3)</f>
        <v/>
      </c>
      <c r="K76" s="50">
        <f>IF(OR('运动服饰 Prices'!K24="",'运动服饰 Prices'!K$3=""),"",'运动服饰 Prices'!K24/'运动服饰 Prices'!K$3)</f>
        <v/>
      </c>
      <c r="L76" s="50">
        <f>IF(OR('运动服饰 Prices'!L24="",'运动服饰 Prices'!L$3=""),"",'运动服饰 Prices'!L24/'运动服饰 Prices'!L$3)</f>
        <v/>
      </c>
      <c r="M76" s="50">
        <f>IF(OR('运动服饰 Prices'!M24="",'运动服饰 Prices'!M$3=""),"",'运动服饰 Prices'!M24/'运动服饰 Prices'!M$3)</f>
        <v/>
      </c>
      <c r="N76" s="50">
        <f>IF(OR('运动服饰 Prices'!N24="",'运动服饰 Prices'!N$3=""),"",'运动服饰 Prices'!N24/'运动服饰 Prices'!N$3)</f>
        <v/>
      </c>
      <c r="O76" s="50">
        <f>IF(OR('运动服饰 Prices'!O24="",'运动服饰 Prices'!O$3=""),"",'运动服饰 Prices'!O24/'运动服饰 Prices'!O$3)</f>
        <v/>
      </c>
      <c r="P76" s="50">
        <f>IF(OR('运动服饰 Prices'!P24="",'运动服饰 Prices'!P$3=""),"",'运动服饰 Prices'!P24/'运动服饰 Prices'!P$3)</f>
        <v/>
      </c>
      <c r="Q76" s="50">
        <f>IF(OR('运动服饰 Prices'!Q24="",'运动服饰 Prices'!Q$3=""),"",'运动服饰 Prices'!Q24/'运动服饰 Prices'!Q$3)</f>
        <v/>
      </c>
      <c r="R76" s="50">
        <f>IF(OR('运动服饰 Prices'!R24="",'运动服饰 Prices'!R$3=""),"",'运动服饰 Prices'!R24/'运动服饰 Prices'!R$3)</f>
        <v/>
      </c>
      <c r="S76" s="50">
        <f>IF(OR('运动服饰 Prices'!S24="",'运动服饰 Prices'!S$3=""),"",'运动服饰 Prices'!S24/'运动服饰 Prices'!S$3)</f>
        <v/>
      </c>
      <c r="T76" s="50">
        <f>IF(OR('运动服饰 Prices'!T24="",'运动服饰 Prices'!T$3=""),"",'运动服饰 Prices'!T24/'运动服饰 Prices'!T$3)</f>
        <v/>
      </c>
      <c r="U76" s="50">
        <f>IF(OR('运动服饰 Prices'!U24="",'运动服饰 Prices'!U$3=""),"",'运动服饰 Prices'!U24/'运动服饰 Prices'!U$3)</f>
        <v/>
      </c>
      <c r="V76" s="50">
        <f>IF(OR('运动服饰 Prices'!V24="",'运动服饰 Prices'!V$3=""),"",'运动服饰 Prices'!V24/'运动服饰 Prices'!V$3)</f>
        <v/>
      </c>
      <c r="W76" s="50">
        <f>IF(OR('运动服饰 Prices'!W24="",'运动服饰 Prices'!W$3=""),"",'运动服饰 Prices'!W24/'运动服饰 Prices'!W$3)</f>
        <v/>
      </c>
      <c r="X76" s="50">
        <f>IF(OR('运动服饰 Prices'!X24="",'运动服饰 Prices'!X$3=""),"",'运动服饰 Prices'!X24/'运动服饰 Prices'!X$3)</f>
        <v/>
      </c>
      <c r="Y76" s="50">
        <f>IF(OR('运动服饰 Prices'!Y24="",'运动服饰 Prices'!Y$3=""),"",'运动服饰 Prices'!Y24/'运动服饰 Prices'!Y$3)</f>
        <v/>
      </c>
      <c r="Z76" s="50">
        <f>IF(OR('运动服饰 Prices'!Z24="",'运动服饰 Prices'!Z$3=""),"",'运动服饰 Prices'!Z24/'运动服饰 Prices'!Z$3)</f>
        <v/>
      </c>
      <c r="AA76" s="50">
        <f>IF(OR('运动服饰 Prices'!AA24="",'运动服饰 Prices'!AA$3=""),"",'运动服饰 Prices'!AA24/'运动服饰 Prices'!AA$3)</f>
        <v/>
      </c>
      <c r="AB76" s="50">
        <f>IF(OR('运动服饰 Prices'!AB24="",'运动服饰 Prices'!AB$3=""),"",'运动服饰 Prices'!AB24/'运动服饰 Prices'!AB$3)</f>
        <v/>
      </c>
      <c r="AC76" s="50">
        <f>IF(OR('运动服饰 Prices'!AC24="",'运动服饰 Prices'!AC$3=""),"",'运动服饰 Prices'!AC24/'运动服饰 Prices'!AC$3)</f>
        <v/>
      </c>
      <c r="AD76" s="50">
        <f>IF(OR('运动服饰 Prices'!AD24="",'运动服饰 Prices'!AD$3=""),"",'运动服饰 Prices'!AD24/'运动服饰 Prices'!AD$3)</f>
        <v/>
      </c>
      <c r="AE76" s="50">
        <f>IF(OR('运动服饰 Prices'!AE24="",'运动服饰 Prices'!AE$3=""),"",'运动服饰 Prices'!AE24/'运动服饰 Prices'!AE$3)</f>
        <v/>
      </c>
      <c r="AF76" s="50">
        <f>IF(OR('运动服饰 Prices'!AF24="",'运动服饰 Prices'!AF$3=""),"",'运动服饰 Prices'!AF24/'运动服饰 Prices'!AF$3)</f>
        <v/>
      </c>
      <c r="AG76" s="50">
        <f>IF(OR('运动服饰 Prices'!AG24="",'运动服饰 Prices'!AG$3=""),"",'运动服饰 Prices'!AG24/'运动服饰 Prices'!AG$3)</f>
        <v/>
      </c>
      <c r="AH76" s="50">
        <f>IF(OR('运动服饰 Prices'!AH24="",'运动服饰 Prices'!AH$3=""),"",'运动服饰 Prices'!AH24/'运动服饰 Prices'!AH$3)</f>
        <v/>
      </c>
      <c r="AI76" s="50">
        <f>IF(OR('运动服饰 Prices'!AI24="",'运动服饰 Prices'!AI$3=""),"",'运动服饰 Prices'!AI24/'运动服饰 Prices'!AI$3)</f>
        <v/>
      </c>
    </row>
    <row r="77">
      <c r="A77" s="49" t="n">
        <v>46143</v>
      </c>
      <c r="B77" s="50">
        <f>IF(OR('运动服饰 Prices'!B25="",'运动服饰 Prices'!B$3=""),"",'运动服饰 Prices'!B25/'运动服饰 Prices'!B$3)</f>
        <v/>
      </c>
      <c r="C77" s="50">
        <f>IF(OR('运动服饰 Prices'!C25="",'运动服饰 Prices'!C$3=""),"",'运动服饰 Prices'!C25/'运动服饰 Prices'!C$3)</f>
        <v/>
      </c>
      <c r="D77" s="50">
        <f>IF(OR('运动服饰 Prices'!D25="",'运动服饰 Prices'!D$3=""),"",'运动服饰 Prices'!D25/'运动服饰 Prices'!D$3)</f>
        <v/>
      </c>
      <c r="E77" s="50">
        <f>IF(OR('运动服饰 Prices'!E25="",'运动服饰 Prices'!E$3=""),"",'运动服饰 Prices'!E25/'运动服饰 Prices'!E$3)</f>
        <v/>
      </c>
      <c r="F77" s="50">
        <f>IF(OR('运动服饰 Prices'!F25="",'运动服饰 Prices'!F$3=""),"",'运动服饰 Prices'!F25/'运动服饰 Prices'!F$3)</f>
        <v/>
      </c>
      <c r="G77" s="50">
        <f>IF(OR('运动服饰 Prices'!G25="",'运动服饰 Prices'!G$3=""),"",'运动服饰 Prices'!G25/'运动服饰 Prices'!G$3)</f>
        <v/>
      </c>
      <c r="H77" s="50">
        <f>IF(OR('运动服饰 Prices'!H25="",'运动服饰 Prices'!H$3=""),"",'运动服饰 Prices'!H25/'运动服饰 Prices'!H$3)</f>
        <v/>
      </c>
      <c r="I77" s="50">
        <f>IF(OR('运动服饰 Prices'!I25="",'运动服饰 Prices'!I$3=""),"",'运动服饰 Prices'!I25/'运动服饰 Prices'!I$3)</f>
        <v/>
      </c>
      <c r="J77" s="50">
        <f>IF(OR('运动服饰 Prices'!J25="",'运动服饰 Prices'!J$3=""),"",'运动服饰 Prices'!J25/'运动服饰 Prices'!J$3)</f>
        <v/>
      </c>
      <c r="K77" s="50">
        <f>IF(OR('运动服饰 Prices'!K25="",'运动服饰 Prices'!K$3=""),"",'运动服饰 Prices'!K25/'运动服饰 Prices'!K$3)</f>
        <v/>
      </c>
      <c r="L77" s="50">
        <f>IF(OR('运动服饰 Prices'!L25="",'运动服饰 Prices'!L$3=""),"",'运动服饰 Prices'!L25/'运动服饰 Prices'!L$3)</f>
        <v/>
      </c>
      <c r="M77" s="50">
        <f>IF(OR('运动服饰 Prices'!M25="",'运动服饰 Prices'!M$3=""),"",'运动服饰 Prices'!M25/'运动服饰 Prices'!M$3)</f>
        <v/>
      </c>
      <c r="N77" s="50">
        <f>IF(OR('运动服饰 Prices'!N25="",'运动服饰 Prices'!N$3=""),"",'运动服饰 Prices'!N25/'运动服饰 Prices'!N$3)</f>
        <v/>
      </c>
      <c r="O77" s="50">
        <f>IF(OR('运动服饰 Prices'!O25="",'运动服饰 Prices'!O$3=""),"",'运动服饰 Prices'!O25/'运动服饰 Prices'!O$3)</f>
        <v/>
      </c>
      <c r="P77" s="50">
        <f>IF(OR('运动服饰 Prices'!P25="",'运动服饰 Prices'!P$3=""),"",'运动服饰 Prices'!P25/'运动服饰 Prices'!P$3)</f>
        <v/>
      </c>
      <c r="Q77" s="50">
        <f>IF(OR('运动服饰 Prices'!Q25="",'运动服饰 Prices'!Q$3=""),"",'运动服饰 Prices'!Q25/'运动服饰 Prices'!Q$3)</f>
        <v/>
      </c>
      <c r="R77" s="50">
        <f>IF(OR('运动服饰 Prices'!R25="",'运动服饰 Prices'!R$3=""),"",'运动服饰 Prices'!R25/'运动服饰 Prices'!R$3)</f>
        <v/>
      </c>
      <c r="S77" s="50">
        <f>IF(OR('运动服饰 Prices'!S25="",'运动服饰 Prices'!S$3=""),"",'运动服饰 Prices'!S25/'运动服饰 Prices'!S$3)</f>
        <v/>
      </c>
      <c r="T77" s="50">
        <f>IF(OR('运动服饰 Prices'!T25="",'运动服饰 Prices'!T$3=""),"",'运动服饰 Prices'!T25/'运动服饰 Prices'!T$3)</f>
        <v/>
      </c>
      <c r="U77" s="50">
        <f>IF(OR('运动服饰 Prices'!U25="",'运动服饰 Prices'!U$3=""),"",'运动服饰 Prices'!U25/'运动服饰 Prices'!U$3)</f>
        <v/>
      </c>
      <c r="V77" s="50">
        <f>IF(OR('运动服饰 Prices'!V25="",'运动服饰 Prices'!V$3=""),"",'运动服饰 Prices'!V25/'运动服饰 Prices'!V$3)</f>
        <v/>
      </c>
      <c r="W77" s="50">
        <f>IF(OR('运动服饰 Prices'!W25="",'运动服饰 Prices'!W$3=""),"",'运动服饰 Prices'!W25/'运动服饰 Prices'!W$3)</f>
        <v/>
      </c>
      <c r="X77" s="50">
        <f>IF(OR('运动服饰 Prices'!X25="",'运动服饰 Prices'!X$3=""),"",'运动服饰 Prices'!X25/'运动服饰 Prices'!X$3)</f>
        <v/>
      </c>
      <c r="Y77" s="50">
        <f>IF(OR('运动服饰 Prices'!Y25="",'运动服饰 Prices'!Y$3=""),"",'运动服饰 Prices'!Y25/'运动服饰 Prices'!Y$3)</f>
        <v/>
      </c>
      <c r="Z77" s="50">
        <f>IF(OR('运动服饰 Prices'!Z25="",'运动服饰 Prices'!Z$3=""),"",'运动服饰 Prices'!Z25/'运动服饰 Prices'!Z$3)</f>
        <v/>
      </c>
      <c r="AA77" s="50">
        <f>IF(OR('运动服饰 Prices'!AA25="",'运动服饰 Prices'!AA$3=""),"",'运动服饰 Prices'!AA25/'运动服饰 Prices'!AA$3)</f>
        <v/>
      </c>
      <c r="AB77" s="50">
        <f>IF(OR('运动服饰 Prices'!AB25="",'运动服饰 Prices'!AB$3=""),"",'运动服饰 Prices'!AB25/'运动服饰 Prices'!AB$3)</f>
        <v/>
      </c>
      <c r="AC77" s="50">
        <f>IF(OR('运动服饰 Prices'!AC25="",'运动服饰 Prices'!AC$3=""),"",'运动服饰 Prices'!AC25/'运动服饰 Prices'!AC$3)</f>
        <v/>
      </c>
      <c r="AD77" s="50">
        <f>IF(OR('运动服饰 Prices'!AD25="",'运动服饰 Prices'!AD$3=""),"",'运动服饰 Prices'!AD25/'运动服饰 Prices'!AD$3)</f>
        <v/>
      </c>
      <c r="AE77" s="50">
        <f>IF(OR('运动服饰 Prices'!AE25="",'运动服饰 Prices'!AE$3=""),"",'运动服饰 Prices'!AE25/'运动服饰 Prices'!AE$3)</f>
        <v/>
      </c>
      <c r="AF77" s="50">
        <f>IF(OR('运动服饰 Prices'!AF25="",'运动服饰 Prices'!AF$3=""),"",'运动服饰 Prices'!AF25/'运动服饰 Prices'!AF$3)</f>
        <v/>
      </c>
      <c r="AG77" s="50">
        <f>IF(OR('运动服饰 Prices'!AG25="",'运动服饰 Prices'!AG$3=""),"",'运动服饰 Prices'!AG25/'运动服饰 Prices'!AG$3)</f>
        <v/>
      </c>
      <c r="AH77" s="50">
        <f>IF(OR('运动服饰 Prices'!AH25="",'运动服饰 Prices'!AH$3=""),"",'运动服饰 Prices'!AH25/'运动服饰 Prices'!AH$3)</f>
        <v/>
      </c>
      <c r="AI77" s="50">
        <f>IF(OR('运动服饰 Prices'!AI25="",'运动服饰 Prices'!AI$3=""),"",'运动服饰 Prices'!AI25/'运动服饰 Prices'!AI$3)</f>
        <v/>
      </c>
    </row>
    <row r="78">
      <c r="A78" s="49" t="n">
        <v>46150</v>
      </c>
      <c r="B78" s="50">
        <f>IF(OR('运动服饰 Prices'!B26="",'运动服饰 Prices'!B$3=""),"",'运动服饰 Prices'!B26/'运动服饰 Prices'!B$3)</f>
        <v/>
      </c>
      <c r="C78" s="50">
        <f>IF(OR('运动服饰 Prices'!C26="",'运动服饰 Prices'!C$3=""),"",'运动服饰 Prices'!C26/'运动服饰 Prices'!C$3)</f>
        <v/>
      </c>
      <c r="D78" s="50">
        <f>IF(OR('运动服饰 Prices'!D26="",'运动服饰 Prices'!D$3=""),"",'运动服饰 Prices'!D26/'运动服饰 Prices'!D$3)</f>
        <v/>
      </c>
      <c r="E78" s="50">
        <f>IF(OR('运动服饰 Prices'!E26="",'运动服饰 Prices'!E$3=""),"",'运动服饰 Prices'!E26/'运动服饰 Prices'!E$3)</f>
        <v/>
      </c>
      <c r="F78" s="50">
        <f>IF(OR('运动服饰 Prices'!F26="",'运动服饰 Prices'!F$3=""),"",'运动服饰 Prices'!F26/'运动服饰 Prices'!F$3)</f>
        <v/>
      </c>
      <c r="G78" s="50">
        <f>IF(OR('运动服饰 Prices'!G26="",'运动服饰 Prices'!G$3=""),"",'运动服饰 Prices'!G26/'运动服饰 Prices'!G$3)</f>
        <v/>
      </c>
      <c r="H78" s="50">
        <f>IF(OR('运动服饰 Prices'!H26="",'运动服饰 Prices'!H$3=""),"",'运动服饰 Prices'!H26/'运动服饰 Prices'!H$3)</f>
        <v/>
      </c>
      <c r="I78" s="50">
        <f>IF(OR('运动服饰 Prices'!I26="",'运动服饰 Prices'!I$3=""),"",'运动服饰 Prices'!I26/'运动服饰 Prices'!I$3)</f>
        <v/>
      </c>
      <c r="J78" s="50">
        <f>IF(OR('运动服饰 Prices'!J26="",'运动服饰 Prices'!J$3=""),"",'运动服饰 Prices'!J26/'运动服饰 Prices'!J$3)</f>
        <v/>
      </c>
      <c r="K78" s="50">
        <f>IF(OR('运动服饰 Prices'!K26="",'运动服饰 Prices'!K$3=""),"",'运动服饰 Prices'!K26/'运动服饰 Prices'!K$3)</f>
        <v/>
      </c>
      <c r="L78" s="50">
        <f>IF(OR('运动服饰 Prices'!L26="",'运动服饰 Prices'!L$3=""),"",'运动服饰 Prices'!L26/'运动服饰 Prices'!L$3)</f>
        <v/>
      </c>
      <c r="M78" s="50">
        <f>IF(OR('运动服饰 Prices'!M26="",'运动服饰 Prices'!M$3=""),"",'运动服饰 Prices'!M26/'运动服饰 Prices'!M$3)</f>
        <v/>
      </c>
      <c r="N78" s="50">
        <f>IF(OR('运动服饰 Prices'!N26="",'运动服饰 Prices'!N$3=""),"",'运动服饰 Prices'!N26/'运动服饰 Prices'!N$3)</f>
        <v/>
      </c>
      <c r="O78" s="50">
        <f>IF(OR('运动服饰 Prices'!O26="",'运动服饰 Prices'!O$3=""),"",'运动服饰 Prices'!O26/'运动服饰 Prices'!O$3)</f>
        <v/>
      </c>
      <c r="P78" s="50">
        <f>IF(OR('运动服饰 Prices'!P26="",'运动服饰 Prices'!P$3=""),"",'运动服饰 Prices'!P26/'运动服饰 Prices'!P$3)</f>
        <v/>
      </c>
      <c r="Q78" s="50">
        <f>IF(OR('运动服饰 Prices'!Q26="",'运动服饰 Prices'!Q$3=""),"",'运动服饰 Prices'!Q26/'运动服饰 Prices'!Q$3)</f>
        <v/>
      </c>
      <c r="R78" s="50">
        <f>IF(OR('运动服饰 Prices'!R26="",'运动服饰 Prices'!R$3=""),"",'运动服饰 Prices'!R26/'运动服饰 Prices'!R$3)</f>
        <v/>
      </c>
      <c r="S78" s="50">
        <f>IF(OR('运动服饰 Prices'!S26="",'运动服饰 Prices'!S$3=""),"",'运动服饰 Prices'!S26/'运动服饰 Prices'!S$3)</f>
        <v/>
      </c>
      <c r="T78" s="50">
        <f>IF(OR('运动服饰 Prices'!T26="",'运动服饰 Prices'!T$3=""),"",'运动服饰 Prices'!T26/'运动服饰 Prices'!T$3)</f>
        <v/>
      </c>
      <c r="U78" s="50">
        <f>IF(OR('运动服饰 Prices'!U26="",'运动服饰 Prices'!U$3=""),"",'运动服饰 Prices'!U26/'运动服饰 Prices'!U$3)</f>
        <v/>
      </c>
      <c r="V78" s="50">
        <f>IF(OR('运动服饰 Prices'!V26="",'运动服饰 Prices'!V$3=""),"",'运动服饰 Prices'!V26/'运动服饰 Prices'!V$3)</f>
        <v/>
      </c>
      <c r="W78" s="50">
        <f>IF(OR('运动服饰 Prices'!W26="",'运动服饰 Prices'!W$3=""),"",'运动服饰 Prices'!W26/'运动服饰 Prices'!W$3)</f>
        <v/>
      </c>
      <c r="X78" s="50">
        <f>IF(OR('运动服饰 Prices'!X26="",'运动服饰 Prices'!X$3=""),"",'运动服饰 Prices'!X26/'运动服饰 Prices'!X$3)</f>
        <v/>
      </c>
      <c r="Y78" s="50">
        <f>IF(OR('运动服饰 Prices'!Y26="",'运动服饰 Prices'!Y$3=""),"",'运动服饰 Prices'!Y26/'运动服饰 Prices'!Y$3)</f>
        <v/>
      </c>
      <c r="Z78" s="50">
        <f>IF(OR('运动服饰 Prices'!Z26="",'运动服饰 Prices'!Z$3=""),"",'运动服饰 Prices'!Z26/'运动服饰 Prices'!Z$3)</f>
        <v/>
      </c>
      <c r="AA78" s="50">
        <f>IF(OR('运动服饰 Prices'!AA26="",'运动服饰 Prices'!AA$3=""),"",'运动服饰 Prices'!AA26/'运动服饰 Prices'!AA$3)</f>
        <v/>
      </c>
      <c r="AB78" s="50">
        <f>IF(OR('运动服饰 Prices'!AB26="",'运动服饰 Prices'!AB$3=""),"",'运动服饰 Prices'!AB26/'运动服饰 Prices'!AB$3)</f>
        <v/>
      </c>
      <c r="AC78" s="50">
        <f>IF(OR('运动服饰 Prices'!AC26="",'运动服饰 Prices'!AC$3=""),"",'运动服饰 Prices'!AC26/'运动服饰 Prices'!AC$3)</f>
        <v/>
      </c>
      <c r="AD78" s="50">
        <f>IF(OR('运动服饰 Prices'!AD26="",'运动服饰 Prices'!AD$3=""),"",'运动服饰 Prices'!AD26/'运动服饰 Prices'!AD$3)</f>
        <v/>
      </c>
      <c r="AE78" s="50">
        <f>IF(OR('运动服饰 Prices'!AE26="",'运动服饰 Prices'!AE$3=""),"",'运动服饰 Prices'!AE26/'运动服饰 Prices'!AE$3)</f>
        <v/>
      </c>
      <c r="AF78" s="50">
        <f>IF(OR('运动服饰 Prices'!AF26="",'运动服饰 Prices'!AF$3=""),"",'运动服饰 Prices'!AF26/'运动服饰 Prices'!AF$3)</f>
        <v/>
      </c>
      <c r="AG78" s="50">
        <f>IF(OR('运动服饰 Prices'!AG26="",'运动服饰 Prices'!AG$3=""),"",'运动服饰 Prices'!AG26/'运动服饰 Prices'!AG$3)</f>
        <v/>
      </c>
      <c r="AH78" s="50">
        <f>IF(OR('运动服饰 Prices'!AH26="",'运动服饰 Prices'!AH$3=""),"",'运动服饰 Prices'!AH26/'运动服饰 Prices'!AH$3)</f>
        <v/>
      </c>
      <c r="AI78" s="50">
        <f>IF(OR('运动服饰 Prices'!AI26="",'运动服饰 Prices'!AI$3=""),"",'运动服饰 Prices'!AI26/'运动服饰 Prices'!AI$3)</f>
        <v/>
      </c>
    </row>
    <row r="79">
      <c r="A79" s="49" t="n">
        <v>46157</v>
      </c>
      <c r="B79" s="50">
        <f>IF(OR('运动服饰 Prices'!B27="",'运动服饰 Prices'!B$3=""),"",'运动服饰 Prices'!B27/'运动服饰 Prices'!B$3)</f>
        <v/>
      </c>
      <c r="C79" s="50">
        <f>IF(OR('运动服饰 Prices'!C27="",'运动服饰 Prices'!C$3=""),"",'运动服饰 Prices'!C27/'运动服饰 Prices'!C$3)</f>
        <v/>
      </c>
      <c r="D79" s="50">
        <f>IF(OR('运动服饰 Prices'!D27="",'运动服饰 Prices'!D$3=""),"",'运动服饰 Prices'!D27/'运动服饰 Prices'!D$3)</f>
        <v/>
      </c>
      <c r="E79" s="50">
        <f>IF(OR('运动服饰 Prices'!E27="",'运动服饰 Prices'!E$3=""),"",'运动服饰 Prices'!E27/'运动服饰 Prices'!E$3)</f>
        <v/>
      </c>
      <c r="F79" s="50">
        <f>IF(OR('运动服饰 Prices'!F27="",'运动服饰 Prices'!F$3=""),"",'运动服饰 Prices'!F27/'运动服饰 Prices'!F$3)</f>
        <v/>
      </c>
      <c r="G79" s="50">
        <f>IF(OR('运动服饰 Prices'!G27="",'运动服饰 Prices'!G$3=""),"",'运动服饰 Prices'!G27/'运动服饰 Prices'!G$3)</f>
        <v/>
      </c>
      <c r="H79" s="50">
        <f>IF(OR('运动服饰 Prices'!H27="",'运动服饰 Prices'!H$3=""),"",'运动服饰 Prices'!H27/'运动服饰 Prices'!H$3)</f>
        <v/>
      </c>
      <c r="I79" s="50">
        <f>IF(OR('运动服饰 Prices'!I27="",'运动服饰 Prices'!I$3=""),"",'运动服饰 Prices'!I27/'运动服饰 Prices'!I$3)</f>
        <v/>
      </c>
      <c r="J79" s="50">
        <f>IF(OR('运动服饰 Prices'!J27="",'运动服饰 Prices'!J$3=""),"",'运动服饰 Prices'!J27/'运动服饰 Prices'!J$3)</f>
        <v/>
      </c>
      <c r="K79" s="50">
        <f>IF(OR('运动服饰 Prices'!K27="",'运动服饰 Prices'!K$3=""),"",'运动服饰 Prices'!K27/'运动服饰 Prices'!K$3)</f>
        <v/>
      </c>
      <c r="L79" s="50">
        <f>IF(OR('运动服饰 Prices'!L27="",'运动服饰 Prices'!L$3=""),"",'运动服饰 Prices'!L27/'运动服饰 Prices'!L$3)</f>
        <v/>
      </c>
      <c r="M79" s="50">
        <f>IF(OR('运动服饰 Prices'!M27="",'运动服饰 Prices'!M$3=""),"",'运动服饰 Prices'!M27/'运动服饰 Prices'!M$3)</f>
        <v/>
      </c>
      <c r="N79" s="50">
        <f>IF(OR('运动服饰 Prices'!N27="",'运动服饰 Prices'!N$3=""),"",'运动服饰 Prices'!N27/'运动服饰 Prices'!N$3)</f>
        <v/>
      </c>
      <c r="O79" s="50">
        <f>IF(OR('运动服饰 Prices'!O27="",'运动服饰 Prices'!O$3=""),"",'运动服饰 Prices'!O27/'运动服饰 Prices'!O$3)</f>
        <v/>
      </c>
      <c r="P79" s="50">
        <f>IF(OR('运动服饰 Prices'!P27="",'运动服饰 Prices'!P$3=""),"",'运动服饰 Prices'!P27/'运动服饰 Prices'!P$3)</f>
        <v/>
      </c>
      <c r="Q79" s="50">
        <f>IF(OR('运动服饰 Prices'!Q27="",'运动服饰 Prices'!Q$3=""),"",'运动服饰 Prices'!Q27/'运动服饰 Prices'!Q$3)</f>
        <v/>
      </c>
      <c r="R79" s="50">
        <f>IF(OR('运动服饰 Prices'!R27="",'运动服饰 Prices'!R$3=""),"",'运动服饰 Prices'!R27/'运动服饰 Prices'!R$3)</f>
        <v/>
      </c>
      <c r="S79" s="50">
        <f>IF(OR('运动服饰 Prices'!S27="",'运动服饰 Prices'!S$3=""),"",'运动服饰 Prices'!S27/'运动服饰 Prices'!S$3)</f>
        <v/>
      </c>
      <c r="T79" s="50">
        <f>IF(OR('运动服饰 Prices'!T27="",'运动服饰 Prices'!T$3=""),"",'运动服饰 Prices'!T27/'运动服饰 Prices'!T$3)</f>
        <v/>
      </c>
      <c r="U79" s="50">
        <f>IF(OR('运动服饰 Prices'!U27="",'运动服饰 Prices'!U$3=""),"",'运动服饰 Prices'!U27/'运动服饰 Prices'!U$3)</f>
        <v/>
      </c>
      <c r="V79" s="50">
        <f>IF(OR('运动服饰 Prices'!V27="",'运动服饰 Prices'!V$3=""),"",'运动服饰 Prices'!V27/'运动服饰 Prices'!V$3)</f>
        <v/>
      </c>
      <c r="W79" s="50">
        <f>IF(OR('运动服饰 Prices'!W27="",'运动服饰 Prices'!W$3=""),"",'运动服饰 Prices'!W27/'运动服饰 Prices'!W$3)</f>
        <v/>
      </c>
      <c r="X79" s="50">
        <f>IF(OR('运动服饰 Prices'!X27="",'运动服饰 Prices'!X$3=""),"",'运动服饰 Prices'!X27/'运动服饰 Prices'!X$3)</f>
        <v/>
      </c>
      <c r="Y79" s="50">
        <f>IF(OR('运动服饰 Prices'!Y27="",'运动服饰 Prices'!Y$3=""),"",'运动服饰 Prices'!Y27/'运动服饰 Prices'!Y$3)</f>
        <v/>
      </c>
      <c r="Z79" s="50">
        <f>IF(OR('运动服饰 Prices'!Z27="",'运动服饰 Prices'!Z$3=""),"",'运动服饰 Prices'!Z27/'运动服饰 Prices'!Z$3)</f>
        <v/>
      </c>
      <c r="AA79" s="50">
        <f>IF(OR('运动服饰 Prices'!AA27="",'运动服饰 Prices'!AA$3=""),"",'运动服饰 Prices'!AA27/'运动服饰 Prices'!AA$3)</f>
        <v/>
      </c>
      <c r="AB79" s="50">
        <f>IF(OR('运动服饰 Prices'!AB27="",'运动服饰 Prices'!AB$3=""),"",'运动服饰 Prices'!AB27/'运动服饰 Prices'!AB$3)</f>
        <v/>
      </c>
      <c r="AC79" s="50">
        <f>IF(OR('运动服饰 Prices'!AC27="",'运动服饰 Prices'!AC$3=""),"",'运动服饰 Prices'!AC27/'运动服饰 Prices'!AC$3)</f>
        <v/>
      </c>
      <c r="AD79" s="50">
        <f>IF(OR('运动服饰 Prices'!AD27="",'运动服饰 Prices'!AD$3=""),"",'运动服饰 Prices'!AD27/'运动服饰 Prices'!AD$3)</f>
        <v/>
      </c>
      <c r="AE79" s="50">
        <f>IF(OR('运动服饰 Prices'!AE27="",'运动服饰 Prices'!AE$3=""),"",'运动服饰 Prices'!AE27/'运动服饰 Prices'!AE$3)</f>
        <v/>
      </c>
      <c r="AF79" s="50">
        <f>IF(OR('运动服饰 Prices'!AF27="",'运动服饰 Prices'!AF$3=""),"",'运动服饰 Prices'!AF27/'运动服饰 Prices'!AF$3)</f>
        <v/>
      </c>
      <c r="AG79" s="50">
        <f>IF(OR('运动服饰 Prices'!AG27="",'运动服饰 Prices'!AG$3=""),"",'运动服饰 Prices'!AG27/'运动服饰 Prices'!AG$3)</f>
        <v/>
      </c>
      <c r="AH79" s="50">
        <f>IF(OR('运动服饰 Prices'!AH27="",'运动服饰 Prices'!AH$3=""),"",'运动服饰 Prices'!AH27/'运动服饰 Prices'!AH$3)</f>
        <v/>
      </c>
      <c r="AI79" s="50">
        <f>IF(OR('运动服饰 Prices'!AI27="",'运动服饰 Prices'!AI$3=""),"",'运动服饰 Prices'!AI27/'运动服饰 Prices'!AI$3)</f>
        <v/>
      </c>
    </row>
    <row r="80">
      <c r="A80" s="49" t="n">
        <v>46164</v>
      </c>
      <c r="B80" s="50">
        <f>IF(OR('运动服饰 Prices'!B28="",'运动服饰 Prices'!B$3=""),"",'运动服饰 Prices'!B28/'运动服饰 Prices'!B$3)</f>
        <v/>
      </c>
      <c r="C80" s="50">
        <f>IF(OR('运动服饰 Prices'!C28="",'运动服饰 Prices'!C$3=""),"",'运动服饰 Prices'!C28/'运动服饰 Prices'!C$3)</f>
        <v/>
      </c>
      <c r="D80" s="50">
        <f>IF(OR('运动服饰 Prices'!D28="",'运动服饰 Prices'!D$3=""),"",'运动服饰 Prices'!D28/'运动服饰 Prices'!D$3)</f>
        <v/>
      </c>
      <c r="E80" s="50">
        <f>IF(OR('运动服饰 Prices'!E28="",'运动服饰 Prices'!E$3=""),"",'运动服饰 Prices'!E28/'运动服饰 Prices'!E$3)</f>
        <v/>
      </c>
      <c r="F80" s="50">
        <f>IF(OR('运动服饰 Prices'!F28="",'运动服饰 Prices'!F$3=""),"",'运动服饰 Prices'!F28/'运动服饰 Prices'!F$3)</f>
        <v/>
      </c>
      <c r="G80" s="50">
        <f>IF(OR('运动服饰 Prices'!G28="",'运动服饰 Prices'!G$3=""),"",'运动服饰 Prices'!G28/'运动服饰 Prices'!G$3)</f>
        <v/>
      </c>
      <c r="H80" s="50">
        <f>IF(OR('运动服饰 Prices'!H28="",'运动服饰 Prices'!H$3=""),"",'运动服饰 Prices'!H28/'运动服饰 Prices'!H$3)</f>
        <v/>
      </c>
      <c r="I80" s="50">
        <f>IF(OR('运动服饰 Prices'!I28="",'运动服饰 Prices'!I$3=""),"",'运动服饰 Prices'!I28/'运动服饰 Prices'!I$3)</f>
        <v/>
      </c>
      <c r="J80" s="50">
        <f>IF(OR('运动服饰 Prices'!J28="",'运动服饰 Prices'!J$3=""),"",'运动服饰 Prices'!J28/'运动服饰 Prices'!J$3)</f>
        <v/>
      </c>
      <c r="K80" s="50">
        <f>IF(OR('运动服饰 Prices'!K28="",'运动服饰 Prices'!K$3=""),"",'运动服饰 Prices'!K28/'运动服饰 Prices'!K$3)</f>
        <v/>
      </c>
      <c r="L80" s="50">
        <f>IF(OR('运动服饰 Prices'!L28="",'运动服饰 Prices'!L$3=""),"",'运动服饰 Prices'!L28/'运动服饰 Prices'!L$3)</f>
        <v/>
      </c>
      <c r="M80" s="50">
        <f>IF(OR('运动服饰 Prices'!M28="",'运动服饰 Prices'!M$3=""),"",'运动服饰 Prices'!M28/'运动服饰 Prices'!M$3)</f>
        <v/>
      </c>
      <c r="N80" s="50">
        <f>IF(OR('运动服饰 Prices'!N28="",'运动服饰 Prices'!N$3=""),"",'运动服饰 Prices'!N28/'运动服饰 Prices'!N$3)</f>
        <v/>
      </c>
      <c r="O80" s="50">
        <f>IF(OR('运动服饰 Prices'!O28="",'运动服饰 Prices'!O$3=""),"",'运动服饰 Prices'!O28/'运动服饰 Prices'!O$3)</f>
        <v/>
      </c>
      <c r="P80" s="50">
        <f>IF(OR('运动服饰 Prices'!P28="",'运动服饰 Prices'!P$3=""),"",'运动服饰 Prices'!P28/'运动服饰 Prices'!P$3)</f>
        <v/>
      </c>
      <c r="Q80" s="50">
        <f>IF(OR('运动服饰 Prices'!Q28="",'运动服饰 Prices'!Q$3=""),"",'运动服饰 Prices'!Q28/'运动服饰 Prices'!Q$3)</f>
        <v/>
      </c>
      <c r="R80" s="50">
        <f>IF(OR('运动服饰 Prices'!R28="",'运动服饰 Prices'!R$3=""),"",'运动服饰 Prices'!R28/'运动服饰 Prices'!R$3)</f>
        <v/>
      </c>
      <c r="S80" s="50">
        <f>IF(OR('运动服饰 Prices'!S28="",'运动服饰 Prices'!S$3=""),"",'运动服饰 Prices'!S28/'运动服饰 Prices'!S$3)</f>
        <v/>
      </c>
      <c r="T80" s="50">
        <f>IF(OR('运动服饰 Prices'!T28="",'运动服饰 Prices'!T$3=""),"",'运动服饰 Prices'!T28/'运动服饰 Prices'!T$3)</f>
        <v/>
      </c>
      <c r="U80" s="50">
        <f>IF(OR('运动服饰 Prices'!U28="",'运动服饰 Prices'!U$3=""),"",'运动服饰 Prices'!U28/'运动服饰 Prices'!U$3)</f>
        <v/>
      </c>
      <c r="V80" s="50">
        <f>IF(OR('运动服饰 Prices'!V28="",'运动服饰 Prices'!V$3=""),"",'运动服饰 Prices'!V28/'运动服饰 Prices'!V$3)</f>
        <v/>
      </c>
      <c r="W80" s="50">
        <f>IF(OR('运动服饰 Prices'!W28="",'运动服饰 Prices'!W$3=""),"",'运动服饰 Prices'!W28/'运动服饰 Prices'!W$3)</f>
        <v/>
      </c>
      <c r="X80" s="50">
        <f>IF(OR('运动服饰 Prices'!X28="",'运动服饰 Prices'!X$3=""),"",'运动服饰 Prices'!X28/'运动服饰 Prices'!X$3)</f>
        <v/>
      </c>
      <c r="Y80" s="50">
        <f>IF(OR('运动服饰 Prices'!Y28="",'运动服饰 Prices'!Y$3=""),"",'运动服饰 Prices'!Y28/'运动服饰 Prices'!Y$3)</f>
        <v/>
      </c>
      <c r="Z80" s="50">
        <f>IF(OR('运动服饰 Prices'!Z28="",'运动服饰 Prices'!Z$3=""),"",'运动服饰 Prices'!Z28/'运动服饰 Prices'!Z$3)</f>
        <v/>
      </c>
      <c r="AA80" s="50">
        <f>IF(OR('运动服饰 Prices'!AA28="",'运动服饰 Prices'!AA$3=""),"",'运动服饰 Prices'!AA28/'运动服饰 Prices'!AA$3)</f>
        <v/>
      </c>
      <c r="AB80" s="50">
        <f>IF(OR('运动服饰 Prices'!AB28="",'运动服饰 Prices'!AB$3=""),"",'运动服饰 Prices'!AB28/'运动服饰 Prices'!AB$3)</f>
        <v/>
      </c>
      <c r="AC80" s="50">
        <f>IF(OR('运动服饰 Prices'!AC28="",'运动服饰 Prices'!AC$3=""),"",'运动服饰 Prices'!AC28/'运动服饰 Prices'!AC$3)</f>
        <v/>
      </c>
      <c r="AD80" s="50">
        <f>IF(OR('运动服饰 Prices'!AD28="",'运动服饰 Prices'!AD$3=""),"",'运动服饰 Prices'!AD28/'运动服饰 Prices'!AD$3)</f>
        <v/>
      </c>
      <c r="AE80" s="50">
        <f>IF(OR('运动服饰 Prices'!AE28="",'运动服饰 Prices'!AE$3=""),"",'运动服饰 Prices'!AE28/'运动服饰 Prices'!AE$3)</f>
        <v/>
      </c>
      <c r="AF80" s="50">
        <f>IF(OR('运动服饰 Prices'!AF28="",'运动服饰 Prices'!AF$3=""),"",'运动服饰 Prices'!AF28/'运动服饰 Prices'!AF$3)</f>
        <v/>
      </c>
      <c r="AG80" s="50">
        <f>IF(OR('运动服饰 Prices'!AG28="",'运动服饰 Prices'!AG$3=""),"",'运动服饰 Prices'!AG28/'运动服饰 Prices'!AG$3)</f>
        <v/>
      </c>
      <c r="AH80" s="50">
        <f>IF(OR('运动服饰 Prices'!AH28="",'运动服饰 Prices'!AH$3=""),"",'运动服饰 Prices'!AH28/'运动服饰 Prices'!AH$3)</f>
        <v/>
      </c>
      <c r="AI80" s="50">
        <f>IF(OR('运动服饰 Prices'!AI28="",'运动服饰 Prices'!AI$3=""),"",'运动服饰 Prices'!AI28/'运动服饰 Prices'!AI$3)</f>
        <v/>
      </c>
    </row>
    <row r="81">
      <c r="A81" s="49" t="n">
        <v>46171</v>
      </c>
      <c r="B81" s="50">
        <f>IF(OR('运动服饰 Prices'!B29="",'运动服饰 Prices'!B$3=""),"",'运动服饰 Prices'!B29/'运动服饰 Prices'!B$3)</f>
        <v/>
      </c>
      <c r="C81" s="50">
        <f>IF(OR('运动服饰 Prices'!C29="",'运动服饰 Prices'!C$3=""),"",'运动服饰 Prices'!C29/'运动服饰 Prices'!C$3)</f>
        <v/>
      </c>
      <c r="D81" s="50">
        <f>IF(OR('运动服饰 Prices'!D29="",'运动服饰 Prices'!D$3=""),"",'运动服饰 Prices'!D29/'运动服饰 Prices'!D$3)</f>
        <v/>
      </c>
      <c r="E81" s="50">
        <f>IF(OR('运动服饰 Prices'!E29="",'运动服饰 Prices'!E$3=""),"",'运动服饰 Prices'!E29/'运动服饰 Prices'!E$3)</f>
        <v/>
      </c>
      <c r="F81" s="50">
        <f>IF(OR('运动服饰 Prices'!F29="",'运动服饰 Prices'!F$3=""),"",'运动服饰 Prices'!F29/'运动服饰 Prices'!F$3)</f>
        <v/>
      </c>
      <c r="G81" s="50">
        <f>IF(OR('运动服饰 Prices'!G29="",'运动服饰 Prices'!G$3=""),"",'运动服饰 Prices'!G29/'运动服饰 Prices'!G$3)</f>
        <v/>
      </c>
      <c r="H81" s="50">
        <f>IF(OR('运动服饰 Prices'!H29="",'运动服饰 Prices'!H$3=""),"",'运动服饰 Prices'!H29/'运动服饰 Prices'!H$3)</f>
        <v/>
      </c>
      <c r="I81" s="50">
        <f>IF(OR('运动服饰 Prices'!I29="",'运动服饰 Prices'!I$3=""),"",'运动服饰 Prices'!I29/'运动服饰 Prices'!I$3)</f>
        <v/>
      </c>
      <c r="J81" s="50">
        <f>IF(OR('运动服饰 Prices'!J29="",'运动服饰 Prices'!J$3=""),"",'运动服饰 Prices'!J29/'运动服饰 Prices'!J$3)</f>
        <v/>
      </c>
      <c r="K81" s="50">
        <f>IF(OR('运动服饰 Prices'!K29="",'运动服饰 Prices'!K$3=""),"",'运动服饰 Prices'!K29/'运动服饰 Prices'!K$3)</f>
        <v/>
      </c>
      <c r="L81" s="50">
        <f>IF(OR('运动服饰 Prices'!L29="",'运动服饰 Prices'!L$3=""),"",'运动服饰 Prices'!L29/'运动服饰 Prices'!L$3)</f>
        <v/>
      </c>
      <c r="M81" s="50">
        <f>IF(OR('运动服饰 Prices'!M29="",'运动服饰 Prices'!M$3=""),"",'运动服饰 Prices'!M29/'运动服饰 Prices'!M$3)</f>
        <v/>
      </c>
      <c r="N81" s="50">
        <f>IF(OR('运动服饰 Prices'!N29="",'运动服饰 Prices'!N$3=""),"",'运动服饰 Prices'!N29/'运动服饰 Prices'!N$3)</f>
        <v/>
      </c>
      <c r="O81" s="50">
        <f>IF(OR('运动服饰 Prices'!O29="",'运动服饰 Prices'!O$3=""),"",'运动服饰 Prices'!O29/'运动服饰 Prices'!O$3)</f>
        <v/>
      </c>
      <c r="P81" s="50">
        <f>IF(OR('运动服饰 Prices'!P29="",'运动服饰 Prices'!P$3=""),"",'运动服饰 Prices'!P29/'运动服饰 Prices'!P$3)</f>
        <v/>
      </c>
      <c r="Q81" s="50">
        <f>IF(OR('运动服饰 Prices'!Q29="",'运动服饰 Prices'!Q$3=""),"",'运动服饰 Prices'!Q29/'运动服饰 Prices'!Q$3)</f>
        <v/>
      </c>
      <c r="R81" s="50">
        <f>IF(OR('运动服饰 Prices'!R29="",'运动服饰 Prices'!R$3=""),"",'运动服饰 Prices'!R29/'运动服饰 Prices'!R$3)</f>
        <v/>
      </c>
      <c r="S81" s="50">
        <f>IF(OR('运动服饰 Prices'!S29="",'运动服饰 Prices'!S$3=""),"",'运动服饰 Prices'!S29/'运动服饰 Prices'!S$3)</f>
        <v/>
      </c>
      <c r="T81" s="50">
        <f>IF(OR('运动服饰 Prices'!T29="",'运动服饰 Prices'!T$3=""),"",'运动服饰 Prices'!T29/'运动服饰 Prices'!T$3)</f>
        <v/>
      </c>
      <c r="U81" s="50">
        <f>IF(OR('运动服饰 Prices'!U29="",'运动服饰 Prices'!U$3=""),"",'运动服饰 Prices'!U29/'运动服饰 Prices'!U$3)</f>
        <v/>
      </c>
      <c r="V81" s="50">
        <f>IF(OR('运动服饰 Prices'!V29="",'运动服饰 Prices'!V$3=""),"",'运动服饰 Prices'!V29/'运动服饰 Prices'!V$3)</f>
        <v/>
      </c>
      <c r="W81" s="50">
        <f>IF(OR('运动服饰 Prices'!W29="",'运动服饰 Prices'!W$3=""),"",'运动服饰 Prices'!W29/'运动服饰 Prices'!W$3)</f>
        <v/>
      </c>
      <c r="X81" s="50">
        <f>IF(OR('运动服饰 Prices'!X29="",'运动服饰 Prices'!X$3=""),"",'运动服饰 Prices'!X29/'运动服饰 Prices'!X$3)</f>
        <v/>
      </c>
      <c r="Y81" s="50">
        <f>IF(OR('运动服饰 Prices'!Y29="",'运动服饰 Prices'!Y$3=""),"",'运动服饰 Prices'!Y29/'运动服饰 Prices'!Y$3)</f>
        <v/>
      </c>
      <c r="Z81" s="50">
        <f>IF(OR('运动服饰 Prices'!Z29="",'运动服饰 Prices'!Z$3=""),"",'运动服饰 Prices'!Z29/'运动服饰 Prices'!Z$3)</f>
        <v/>
      </c>
      <c r="AA81" s="50">
        <f>IF(OR('运动服饰 Prices'!AA29="",'运动服饰 Prices'!AA$3=""),"",'运动服饰 Prices'!AA29/'运动服饰 Prices'!AA$3)</f>
        <v/>
      </c>
      <c r="AB81" s="50">
        <f>IF(OR('运动服饰 Prices'!AB29="",'运动服饰 Prices'!AB$3=""),"",'运动服饰 Prices'!AB29/'运动服饰 Prices'!AB$3)</f>
        <v/>
      </c>
      <c r="AC81" s="50">
        <f>IF(OR('运动服饰 Prices'!AC29="",'运动服饰 Prices'!AC$3=""),"",'运动服饰 Prices'!AC29/'运动服饰 Prices'!AC$3)</f>
        <v/>
      </c>
      <c r="AD81" s="50">
        <f>IF(OR('运动服饰 Prices'!AD29="",'运动服饰 Prices'!AD$3=""),"",'运动服饰 Prices'!AD29/'运动服饰 Prices'!AD$3)</f>
        <v/>
      </c>
      <c r="AE81" s="50">
        <f>IF(OR('运动服饰 Prices'!AE29="",'运动服饰 Prices'!AE$3=""),"",'运动服饰 Prices'!AE29/'运动服饰 Prices'!AE$3)</f>
        <v/>
      </c>
      <c r="AF81" s="50">
        <f>IF(OR('运动服饰 Prices'!AF29="",'运动服饰 Prices'!AF$3=""),"",'运动服饰 Prices'!AF29/'运动服饰 Prices'!AF$3)</f>
        <v/>
      </c>
      <c r="AG81" s="50">
        <f>IF(OR('运动服饰 Prices'!AG29="",'运动服饰 Prices'!AG$3=""),"",'运动服饰 Prices'!AG29/'运动服饰 Prices'!AG$3)</f>
        <v/>
      </c>
      <c r="AH81" s="50">
        <f>IF(OR('运动服饰 Prices'!AH29="",'运动服饰 Prices'!AH$3=""),"",'运动服饰 Prices'!AH29/'运动服饰 Prices'!AH$3)</f>
        <v/>
      </c>
      <c r="AI81" s="50">
        <f>IF(OR('运动服饰 Prices'!AI29="",'运动服饰 Prices'!AI$3=""),"",'运动服饰 Prices'!AI29/'运动服饰 Prices'!AI$3)</f>
        <v/>
      </c>
    </row>
    <row r="82">
      <c r="A82" s="49" t="n">
        <v>46178</v>
      </c>
      <c r="B82" s="50">
        <f>IF(OR('运动服饰 Prices'!B30="",'运动服饰 Prices'!B$3=""),"",'运动服饰 Prices'!B30/'运动服饰 Prices'!B$3)</f>
        <v/>
      </c>
      <c r="C82" s="50">
        <f>IF(OR('运动服饰 Prices'!C30="",'运动服饰 Prices'!C$3=""),"",'运动服饰 Prices'!C30/'运动服饰 Prices'!C$3)</f>
        <v/>
      </c>
      <c r="D82" s="50">
        <f>IF(OR('运动服饰 Prices'!D30="",'运动服饰 Prices'!D$3=""),"",'运动服饰 Prices'!D30/'运动服饰 Prices'!D$3)</f>
        <v/>
      </c>
      <c r="E82" s="50">
        <f>IF(OR('运动服饰 Prices'!E30="",'运动服饰 Prices'!E$3=""),"",'运动服饰 Prices'!E30/'运动服饰 Prices'!E$3)</f>
        <v/>
      </c>
      <c r="F82" s="50">
        <f>IF(OR('运动服饰 Prices'!F30="",'运动服饰 Prices'!F$3=""),"",'运动服饰 Prices'!F30/'运动服饰 Prices'!F$3)</f>
        <v/>
      </c>
      <c r="G82" s="50">
        <f>IF(OR('运动服饰 Prices'!G30="",'运动服饰 Prices'!G$3=""),"",'运动服饰 Prices'!G30/'运动服饰 Prices'!G$3)</f>
        <v/>
      </c>
      <c r="H82" s="50">
        <f>IF(OR('运动服饰 Prices'!H30="",'运动服饰 Prices'!H$3=""),"",'运动服饰 Prices'!H30/'运动服饰 Prices'!H$3)</f>
        <v/>
      </c>
      <c r="I82" s="50">
        <f>IF(OR('运动服饰 Prices'!I30="",'运动服饰 Prices'!I$3=""),"",'运动服饰 Prices'!I30/'运动服饰 Prices'!I$3)</f>
        <v/>
      </c>
      <c r="J82" s="50">
        <f>IF(OR('运动服饰 Prices'!J30="",'运动服饰 Prices'!J$3=""),"",'运动服饰 Prices'!J30/'运动服饰 Prices'!J$3)</f>
        <v/>
      </c>
      <c r="K82" s="50">
        <f>IF(OR('运动服饰 Prices'!K30="",'运动服饰 Prices'!K$3=""),"",'运动服饰 Prices'!K30/'运动服饰 Prices'!K$3)</f>
        <v/>
      </c>
      <c r="L82" s="50">
        <f>IF(OR('运动服饰 Prices'!L30="",'运动服饰 Prices'!L$3=""),"",'运动服饰 Prices'!L30/'运动服饰 Prices'!L$3)</f>
        <v/>
      </c>
      <c r="M82" s="50">
        <f>IF(OR('运动服饰 Prices'!M30="",'运动服饰 Prices'!M$3=""),"",'运动服饰 Prices'!M30/'运动服饰 Prices'!M$3)</f>
        <v/>
      </c>
      <c r="N82" s="50">
        <f>IF(OR('运动服饰 Prices'!N30="",'运动服饰 Prices'!N$3=""),"",'运动服饰 Prices'!N30/'运动服饰 Prices'!N$3)</f>
        <v/>
      </c>
      <c r="O82" s="50">
        <f>IF(OR('运动服饰 Prices'!O30="",'运动服饰 Prices'!O$3=""),"",'运动服饰 Prices'!O30/'运动服饰 Prices'!O$3)</f>
        <v/>
      </c>
      <c r="P82" s="50">
        <f>IF(OR('运动服饰 Prices'!P30="",'运动服饰 Prices'!P$3=""),"",'运动服饰 Prices'!P30/'运动服饰 Prices'!P$3)</f>
        <v/>
      </c>
      <c r="Q82" s="50">
        <f>IF(OR('运动服饰 Prices'!Q30="",'运动服饰 Prices'!Q$3=""),"",'运动服饰 Prices'!Q30/'运动服饰 Prices'!Q$3)</f>
        <v/>
      </c>
      <c r="R82" s="50">
        <f>IF(OR('运动服饰 Prices'!R30="",'运动服饰 Prices'!R$3=""),"",'运动服饰 Prices'!R30/'运动服饰 Prices'!R$3)</f>
        <v/>
      </c>
      <c r="S82" s="50">
        <f>IF(OR('运动服饰 Prices'!S30="",'运动服饰 Prices'!S$3=""),"",'运动服饰 Prices'!S30/'运动服饰 Prices'!S$3)</f>
        <v/>
      </c>
      <c r="T82" s="50">
        <f>IF(OR('运动服饰 Prices'!T30="",'运动服饰 Prices'!T$3=""),"",'运动服饰 Prices'!T30/'运动服饰 Prices'!T$3)</f>
        <v/>
      </c>
      <c r="U82" s="50">
        <f>IF(OR('运动服饰 Prices'!U30="",'运动服饰 Prices'!U$3=""),"",'运动服饰 Prices'!U30/'运动服饰 Prices'!U$3)</f>
        <v/>
      </c>
      <c r="V82" s="50">
        <f>IF(OR('运动服饰 Prices'!V30="",'运动服饰 Prices'!V$3=""),"",'运动服饰 Prices'!V30/'运动服饰 Prices'!V$3)</f>
        <v/>
      </c>
      <c r="W82" s="50">
        <f>IF(OR('运动服饰 Prices'!W30="",'运动服饰 Prices'!W$3=""),"",'运动服饰 Prices'!W30/'运动服饰 Prices'!W$3)</f>
        <v/>
      </c>
      <c r="X82" s="50">
        <f>IF(OR('运动服饰 Prices'!X30="",'运动服饰 Prices'!X$3=""),"",'运动服饰 Prices'!X30/'运动服饰 Prices'!X$3)</f>
        <v/>
      </c>
      <c r="Y82" s="50">
        <f>IF(OR('运动服饰 Prices'!Y30="",'运动服饰 Prices'!Y$3=""),"",'运动服饰 Prices'!Y30/'运动服饰 Prices'!Y$3)</f>
        <v/>
      </c>
      <c r="Z82" s="50">
        <f>IF(OR('运动服饰 Prices'!Z30="",'运动服饰 Prices'!Z$3=""),"",'运动服饰 Prices'!Z30/'运动服饰 Prices'!Z$3)</f>
        <v/>
      </c>
      <c r="AA82" s="50">
        <f>IF(OR('运动服饰 Prices'!AA30="",'运动服饰 Prices'!AA$3=""),"",'运动服饰 Prices'!AA30/'运动服饰 Prices'!AA$3)</f>
        <v/>
      </c>
      <c r="AB82" s="50">
        <f>IF(OR('运动服饰 Prices'!AB30="",'运动服饰 Prices'!AB$3=""),"",'运动服饰 Prices'!AB30/'运动服饰 Prices'!AB$3)</f>
        <v/>
      </c>
      <c r="AC82" s="50">
        <f>IF(OR('运动服饰 Prices'!AC30="",'运动服饰 Prices'!AC$3=""),"",'运动服饰 Prices'!AC30/'运动服饰 Prices'!AC$3)</f>
        <v/>
      </c>
      <c r="AD82" s="50">
        <f>IF(OR('运动服饰 Prices'!AD30="",'运动服饰 Prices'!AD$3=""),"",'运动服饰 Prices'!AD30/'运动服饰 Prices'!AD$3)</f>
        <v/>
      </c>
      <c r="AE82" s="50">
        <f>IF(OR('运动服饰 Prices'!AE30="",'运动服饰 Prices'!AE$3=""),"",'运动服饰 Prices'!AE30/'运动服饰 Prices'!AE$3)</f>
        <v/>
      </c>
      <c r="AF82" s="50">
        <f>IF(OR('运动服饰 Prices'!AF30="",'运动服饰 Prices'!AF$3=""),"",'运动服饰 Prices'!AF30/'运动服饰 Prices'!AF$3)</f>
        <v/>
      </c>
      <c r="AG82" s="50">
        <f>IF(OR('运动服饰 Prices'!AG30="",'运动服饰 Prices'!AG$3=""),"",'运动服饰 Prices'!AG30/'运动服饰 Prices'!AG$3)</f>
        <v/>
      </c>
      <c r="AH82" s="50">
        <f>IF(OR('运动服饰 Prices'!AH30="",'运动服饰 Prices'!AH$3=""),"",'运动服饰 Prices'!AH30/'运动服饰 Prices'!AH$3)</f>
        <v/>
      </c>
      <c r="AI82" s="50">
        <f>IF(OR('运动服饰 Prices'!AI30="",'运动服饰 Prices'!AI$3=""),"",'运动服饰 Prices'!AI30/'运动服饰 Prices'!AI$3)</f>
        <v/>
      </c>
    </row>
    <row r="83">
      <c r="A83" s="49" t="n">
        <v>46185</v>
      </c>
      <c r="B83" s="50">
        <f>IF(OR('运动服饰 Prices'!B31="",'运动服饰 Prices'!B$3=""),"",'运动服饰 Prices'!B31/'运动服饰 Prices'!B$3)</f>
        <v/>
      </c>
      <c r="C83" s="50">
        <f>IF(OR('运动服饰 Prices'!C31="",'运动服饰 Prices'!C$3=""),"",'运动服饰 Prices'!C31/'运动服饰 Prices'!C$3)</f>
        <v/>
      </c>
      <c r="D83" s="50">
        <f>IF(OR('运动服饰 Prices'!D31="",'运动服饰 Prices'!D$3=""),"",'运动服饰 Prices'!D31/'运动服饰 Prices'!D$3)</f>
        <v/>
      </c>
      <c r="E83" s="50">
        <f>IF(OR('运动服饰 Prices'!E31="",'运动服饰 Prices'!E$3=""),"",'运动服饰 Prices'!E31/'运动服饰 Prices'!E$3)</f>
        <v/>
      </c>
      <c r="F83" s="50">
        <f>IF(OR('运动服饰 Prices'!F31="",'运动服饰 Prices'!F$3=""),"",'运动服饰 Prices'!F31/'运动服饰 Prices'!F$3)</f>
        <v/>
      </c>
      <c r="G83" s="50">
        <f>IF(OR('运动服饰 Prices'!G31="",'运动服饰 Prices'!G$3=""),"",'运动服饰 Prices'!G31/'运动服饰 Prices'!G$3)</f>
        <v/>
      </c>
      <c r="H83" s="50">
        <f>IF(OR('运动服饰 Prices'!H31="",'运动服饰 Prices'!H$3=""),"",'运动服饰 Prices'!H31/'运动服饰 Prices'!H$3)</f>
        <v/>
      </c>
      <c r="I83" s="50">
        <f>IF(OR('运动服饰 Prices'!I31="",'运动服饰 Prices'!I$3=""),"",'运动服饰 Prices'!I31/'运动服饰 Prices'!I$3)</f>
        <v/>
      </c>
      <c r="J83" s="50">
        <f>IF(OR('运动服饰 Prices'!J31="",'运动服饰 Prices'!J$3=""),"",'运动服饰 Prices'!J31/'运动服饰 Prices'!J$3)</f>
        <v/>
      </c>
      <c r="K83" s="50">
        <f>IF(OR('运动服饰 Prices'!K31="",'运动服饰 Prices'!K$3=""),"",'运动服饰 Prices'!K31/'运动服饰 Prices'!K$3)</f>
        <v/>
      </c>
      <c r="L83" s="50">
        <f>IF(OR('运动服饰 Prices'!L31="",'运动服饰 Prices'!L$3=""),"",'运动服饰 Prices'!L31/'运动服饰 Prices'!L$3)</f>
        <v/>
      </c>
      <c r="M83" s="50">
        <f>IF(OR('运动服饰 Prices'!M31="",'运动服饰 Prices'!M$3=""),"",'运动服饰 Prices'!M31/'运动服饰 Prices'!M$3)</f>
        <v/>
      </c>
      <c r="N83" s="50">
        <f>IF(OR('运动服饰 Prices'!N31="",'运动服饰 Prices'!N$3=""),"",'运动服饰 Prices'!N31/'运动服饰 Prices'!N$3)</f>
        <v/>
      </c>
      <c r="O83" s="50">
        <f>IF(OR('运动服饰 Prices'!O31="",'运动服饰 Prices'!O$3=""),"",'运动服饰 Prices'!O31/'运动服饰 Prices'!O$3)</f>
        <v/>
      </c>
      <c r="P83" s="50">
        <f>IF(OR('运动服饰 Prices'!P31="",'运动服饰 Prices'!P$3=""),"",'运动服饰 Prices'!P31/'运动服饰 Prices'!P$3)</f>
        <v/>
      </c>
      <c r="Q83" s="50">
        <f>IF(OR('运动服饰 Prices'!Q31="",'运动服饰 Prices'!Q$3=""),"",'运动服饰 Prices'!Q31/'运动服饰 Prices'!Q$3)</f>
        <v/>
      </c>
      <c r="R83" s="50">
        <f>IF(OR('运动服饰 Prices'!R31="",'运动服饰 Prices'!R$3=""),"",'运动服饰 Prices'!R31/'运动服饰 Prices'!R$3)</f>
        <v/>
      </c>
      <c r="S83" s="50">
        <f>IF(OR('运动服饰 Prices'!S31="",'运动服饰 Prices'!S$3=""),"",'运动服饰 Prices'!S31/'运动服饰 Prices'!S$3)</f>
        <v/>
      </c>
      <c r="T83" s="50">
        <f>IF(OR('运动服饰 Prices'!T31="",'运动服饰 Prices'!T$3=""),"",'运动服饰 Prices'!T31/'运动服饰 Prices'!T$3)</f>
        <v/>
      </c>
      <c r="U83" s="50">
        <f>IF(OR('运动服饰 Prices'!U31="",'运动服饰 Prices'!U$3=""),"",'运动服饰 Prices'!U31/'运动服饰 Prices'!U$3)</f>
        <v/>
      </c>
      <c r="V83" s="50">
        <f>IF(OR('运动服饰 Prices'!V31="",'运动服饰 Prices'!V$3=""),"",'运动服饰 Prices'!V31/'运动服饰 Prices'!V$3)</f>
        <v/>
      </c>
      <c r="W83" s="50">
        <f>IF(OR('运动服饰 Prices'!W31="",'运动服饰 Prices'!W$3=""),"",'运动服饰 Prices'!W31/'运动服饰 Prices'!W$3)</f>
        <v/>
      </c>
      <c r="X83" s="50">
        <f>IF(OR('运动服饰 Prices'!X31="",'运动服饰 Prices'!X$3=""),"",'运动服饰 Prices'!X31/'运动服饰 Prices'!X$3)</f>
        <v/>
      </c>
      <c r="Y83" s="50">
        <f>IF(OR('运动服饰 Prices'!Y31="",'运动服饰 Prices'!Y$3=""),"",'运动服饰 Prices'!Y31/'运动服饰 Prices'!Y$3)</f>
        <v/>
      </c>
      <c r="Z83" s="50">
        <f>IF(OR('运动服饰 Prices'!Z31="",'运动服饰 Prices'!Z$3=""),"",'运动服饰 Prices'!Z31/'运动服饰 Prices'!Z$3)</f>
        <v/>
      </c>
      <c r="AA83" s="50">
        <f>IF(OR('运动服饰 Prices'!AA31="",'运动服饰 Prices'!AA$3=""),"",'运动服饰 Prices'!AA31/'运动服饰 Prices'!AA$3)</f>
        <v/>
      </c>
      <c r="AB83" s="50">
        <f>IF(OR('运动服饰 Prices'!AB31="",'运动服饰 Prices'!AB$3=""),"",'运动服饰 Prices'!AB31/'运动服饰 Prices'!AB$3)</f>
        <v/>
      </c>
      <c r="AC83" s="50">
        <f>IF(OR('运动服饰 Prices'!AC31="",'运动服饰 Prices'!AC$3=""),"",'运动服饰 Prices'!AC31/'运动服饰 Prices'!AC$3)</f>
        <v/>
      </c>
      <c r="AD83" s="50">
        <f>IF(OR('运动服饰 Prices'!AD31="",'运动服饰 Prices'!AD$3=""),"",'运动服饰 Prices'!AD31/'运动服饰 Prices'!AD$3)</f>
        <v/>
      </c>
      <c r="AE83" s="50">
        <f>IF(OR('运动服饰 Prices'!AE31="",'运动服饰 Prices'!AE$3=""),"",'运动服饰 Prices'!AE31/'运动服饰 Prices'!AE$3)</f>
        <v/>
      </c>
      <c r="AF83" s="50">
        <f>IF(OR('运动服饰 Prices'!AF31="",'运动服饰 Prices'!AF$3=""),"",'运动服饰 Prices'!AF31/'运动服饰 Prices'!AF$3)</f>
        <v/>
      </c>
      <c r="AG83" s="50">
        <f>IF(OR('运动服饰 Prices'!AG31="",'运动服饰 Prices'!AG$3=""),"",'运动服饰 Prices'!AG31/'运动服饰 Prices'!AG$3)</f>
        <v/>
      </c>
      <c r="AH83" s="50">
        <f>IF(OR('运动服饰 Prices'!AH31="",'运动服饰 Prices'!AH$3=""),"",'运动服饰 Prices'!AH31/'运动服饰 Prices'!AH$3)</f>
        <v/>
      </c>
      <c r="AI83" s="50">
        <f>IF(OR('运动服饰 Prices'!AI31="",'运动服饰 Prices'!AI$3=""),"",'运动服饰 Prices'!AI31/'运动服饰 Prices'!AI$3)</f>
        <v/>
      </c>
    </row>
    <row r="84">
      <c r="A84" s="49" t="n">
        <v>46192</v>
      </c>
      <c r="B84" s="50">
        <f>IF(OR('运动服饰 Prices'!B32="",'运动服饰 Prices'!B$3=""),"",'运动服饰 Prices'!B32/'运动服饰 Prices'!B$3)</f>
        <v/>
      </c>
      <c r="C84" s="50">
        <f>IF(OR('运动服饰 Prices'!C32="",'运动服饰 Prices'!C$3=""),"",'运动服饰 Prices'!C32/'运动服饰 Prices'!C$3)</f>
        <v/>
      </c>
      <c r="D84" s="50">
        <f>IF(OR('运动服饰 Prices'!D32="",'运动服饰 Prices'!D$3=""),"",'运动服饰 Prices'!D32/'运动服饰 Prices'!D$3)</f>
        <v/>
      </c>
      <c r="E84" s="50">
        <f>IF(OR('运动服饰 Prices'!E32="",'运动服饰 Prices'!E$3=""),"",'运动服饰 Prices'!E32/'运动服饰 Prices'!E$3)</f>
        <v/>
      </c>
      <c r="F84" s="50">
        <f>IF(OR('运动服饰 Prices'!F32="",'运动服饰 Prices'!F$3=""),"",'运动服饰 Prices'!F32/'运动服饰 Prices'!F$3)</f>
        <v/>
      </c>
      <c r="G84" s="50">
        <f>IF(OR('运动服饰 Prices'!G32="",'运动服饰 Prices'!G$3=""),"",'运动服饰 Prices'!G32/'运动服饰 Prices'!G$3)</f>
        <v/>
      </c>
      <c r="H84" s="50">
        <f>IF(OR('运动服饰 Prices'!H32="",'运动服饰 Prices'!H$3=""),"",'运动服饰 Prices'!H32/'运动服饰 Prices'!H$3)</f>
        <v/>
      </c>
      <c r="I84" s="50">
        <f>IF(OR('运动服饰 Prices'!I32="",'运动服饰 Prices'!I$3=""),"",'运动服饰 Prices'!I32/'运动服饰 Prices'!I$3)</f>
        <v/>
      </c>
      <c r="J84" s="50">
        <f>IF(OR('运动服饰 Prices'!J32="",'运动服饰 Prices'!J$3=""),"",'运动服饰 Prices'!J32/'运动服饰 Prices'!J$3)</f>
        <v/>
      </c>
      <c r="K84" s="50">
        <f>IF(OR('运动服饰 Prices'!K32="",'运动服饰 Prices'!K$3=""),"",'运动服饰 Prices'!K32/'运动服饰 Prices'!K$3)</f>
        <v/>
      </c>
      <c r="L84" s="50">
        <f>IF(OR('运动服饰 Prices'!L32="",'运动服饰 Prices'!L$3=""),"",'运动服饰 Prices'!L32/'运动服饰 Prices'!L$3)</f>
        <v/>
      </c>
      <c r="M84" s="50">
        <f>IF(OR('运动服饰 Prices'!M32="",'运动服饰 Prices'!M$3=""),"",'运动服饰 Prices'!M32/'运动服饰 Prices'!M$3)</f>
        <v/>
      </c>
      <c r="N84" s="50">
        <f>IF(OR('运动服饰 Prices'!N32="",'运动服饰 Prices'!N$3=""),"",'运动服饰 Prices'!N32/'运动服饰 Prices'!N$3)</f>
        <v/>
      </c>
      <c r="O84" s="50">
        <f>IF(OR('运动服饰 Prices'!O32="",'运动服饰 Prices'!O$3=""),"",'运动服饰 Prices'!O32/'运动服饰 Prices'!O$3)</f>
        <v/>
      </c>
      <c r="P84" s="50">
        <f>IF(OR('运动服饰 Prices'!P32="",'运动服饰 Prices'!P$3=""),"",'运动服饰 Prices'!P32/'运动服饰 Prices'!P$3)</f>
        <v/>
      </c>
      <c r="Q84" s="50">
        <f>IF(OR('运动服饰 Prices'!Q32="",'运动服饰 Prices'!Q$3=""),"",'运动服饰 Prices'!Q32/'运动服饰 Prices'!Q$3)</f>
        <v/>
      </c>
      <c r="R84" s="50">
        <f>IF(OR('运动服饰 Prices'!R32="",'运动服饰 Prices'!R$3=""),"",'运动服饰 Prices'!R32/'运动服饰 Prices'!R$3)</f>
        <v/>
      </c>
      <c r="S84" s="50">
        <f>IF(OR('运动服饰 Prices'!S32="",'运动服饰 Prices'!S$3=""),"",'运动服饰 Prices'!S32/'运动服饰 Prices'!S$3)</f>
        <v/>
      </c>
      <c r="T84" s="50">
        <f>IF(OR('运动服饰 Prices'!T32="",'运动服饰 Prices'!T$3=""),"",'运动服饰 Prices'!T32/'运动服饰 Prices'!T$3)</f>
        <v/>
      </c>
      <c r="U84" s="50">
        <f>IF(OR('运动服饰 Prices'!U32="",'运动服饰 Prices'!U$3=""),"",'运动服饰 Prices'!U32/'运动服饰 Prices'!U$3)</f>
        <v/>
      </c>
      <c r="V84" s="50">
        <f>IF(OR('运动服饰 Prices'!V32="",'运动服饰 Prices'!V$3=""),"",'运动服饰 Prices'!V32/'运动服饰 Prices'!V$3)</f>
        <v/>
      </c>
      <c r="W84" s="50">
        <f>IF(OR('运动服饰 Prices'!W32="",'运动服饰 Prices'!W$3=""),"",'运动服饰 Prices'!W32/'运动服饰 Prices'!W$3)</f>
        <v/>
      </c>
      <c r="X84" s="50">
        <f>IF(OR('运动服饰 Prices'!X32="",'运动服饰 Prices'!X$3=""),"",'运动服饰 Prices'!X32/'运动服饰 Prices'!X$3)</f>
        <v/>
      </c>
      <c r="Y84" s="50">
        <f>IF(OR('运动服饰 Prices'!Y32="",'运动服饰 Prices'!Y$3=""),"",'运动服饰 Prices'!Y32/'运动服饰 Prices'!Y$3)</f>
        <v/>
      </c>
      <c r="Z84" s="50">
        <f>IF(OR('运动服饰 Prices'!Z32="",'运动服饰 Prices'!Z$3=""),"",'运动服饰 Prices'!Z32/'运动服饰 Prices'!Z$3)</f>
        <v/>
      </c>
      <c r="AA84" s="50">
        <f>IF(OR('运动服饰 Prices'!AA32="",'运动服饰 Prices'!AA$3=""),"",'运动服饰 Prices'!AA32/'运动服饰 Prices'!AA$3)</f>
        <v/>
      </c>
      <c r="AB84" s="50">
        <f>IF(OR('运动服饰 Prices'!AB32="",'运动服饰 Prices'!AB$3=""),"",'运动服饰 Prices'!AB32/'运动服饰 Prices'!AB$3)</f>
        <v/>
      </c>
      <c r="AC84" s="50">
        <f>IF(OR('运动服饰 Prices'!AC32="",'运动服饰 Prices'!AC$3=""),"",'运动服饰 Prices'!AC32/'运动服饰 Prices'!AC$3)</f>
        <v/>
      </c>
      <c r="AD84" s="50">
        <f>IF(OR('运动服饰 Prices'!AD32="",'运动服饰 Prices'!AD$3=""),"",'运动服饰 Prices'!AD32/'运动服饰 Prices'!AD$3)</f>
        <v/>
      </c>
      <c r="AE84" s="50">
        <f>IF(OR('运动服饰 Prices'!AE32="",'运动服饰 Prices'!AE$3=""),"",'运动服饰 Prices'!AE32/'运动服饰 Prices'!AE$3)</f>
        <v/>
      </c>
      <c r="AF84" s="50">
        <f>IF(OR('运动服饰 Prices'!AF32="",'运动服饰 Prices'!AF$3=""),"",'运动服饰 Prices'!AF32/'运动服饰 Prices'!AF$3)</f>
        <v/>
      </c>
      <c r="AG84" s="50">
        <f>IF(OR('运动服饰 Prices'!AG32="",'运动服饰 Prices'!AG$3=""),"",'运动服饰 Prices'!AG32/'运动服饰 Prices'!AG$3)</f>
        <v/>
      </c>
      <c r="AH84" s="50">
        <f>IF(OR('运动服饰 Prices'!AH32="",'运动服饰 Prices'!AH$3=""),"",'运动服饰 Prices'!AH32/'运动服饰 Prices'!AH$3)</f>
        <v/>
      </c>
      <c r="AI84" s="50">
        <f>IF(OR('运动服饰 Prices'!AI32="",'运动服饰 Prices'!AI$3=""),"",'运动服饰 Prices'!AI32/'运动服饰 Prices'!AI$3)</f>
        <v/>
      </c>
    </row>
    <row r="85">
      <c r="A85" s="49" t="n">
        <v>46199</v>
      </c>
      <c r="B85" s="50">
        <f>IF(OR('运动服饰 Prices'!B33="",'运动服饰 Prices'!B$3=""),"",'运动服饰 Prices'!B33/'运动服饰 Prices'!B$3)</f>
        <v/>
      </c>
      <c r="C85" s="50">
        <f>IF(OR('运动服饰 Prices'!C33="",'运动服饰 Prices'!C$3=""),"",'运动服饰 Prices'!C33/'运动服饰 Prices'!C$3)</f>
        <v/>
      </c>
      <c r="D85" s="50">
        <f>IF(OR('运动服饰 Prices'!D33="",'运动服饰 Prices'!D$3=""),"",'运动服饰 Prices'!D33/'运动服饰 Prices'!D$3)</f>
        <v/>
      </c>
      <c r="E85" s="50">
        <f>IF(OR('运动服饰 Prices'!E33="",'运动服饰 Prices'!E$3=""),"",'运动服饰 Prices'!E33/'运动服饰 Prices'!E$3)</f>
        <v/>
      </c>
      <c r="F85" s="50">
        <f>IF(OR('运动服饰 Prices'!F33="",'运动服饰 Prices'!F$3=""),"",'运动服饰 Prices'!F33/'运动服饰 Prices'!F$3)</f>
        <v/>
      </c>
      <c r="G85" s="50">
        <f>IF(OR('运动服饰 Prices'!G33="",'运动服饰 Prices'!G$3=""),"",'运动服饰 Prices'!G33/'运动服饰 Prices'!G$3)</f>
        <v/>
      </c>
      <c r="H85" s="50">
        <f>IF(OR('运动服饰 Prices'!H33="",'运动服饰 Prices'!H$3=""),"",'运动服饰 Prices'!H33/'运动服饰 Prices'!H$3)</f>
        <v/>
      </c>
      <c r="I85" s="50">
        <f>IF(OR('运动服饰 Prices'!I33="",'运动服饰 Prices'!I$3=""),"",'运动服饰 Prices'!I33/'运动服饰 Prices'!I$3)</f>
        <v/>
      </c>
      <c r="J85" s="50">
        <f>IF(OR('运动服饰 Prices'!J33="",'运动服饰 Prices'!J$3=""),"",'运动服饰 Prices'!J33/'运动服饰 Prices'!J$3)</f>
        <v/>
      </c>
      <c r="K85" s="50">
        <f>IF(OR('运动服饰 Prices'!K33="",'运动服饰 Prices'!K$3=""),"",'运动服饰 Prices'!K33/'运动服饰 Prices'!K$3)</f>
        <v/>
      </c>
      <c r="L85" s="50">
        <f>IF(OR('运动服饰 Prices'!L33="",'运动服饰 Prices'!L$3=""),"",'运动服饰 Prices'!L33/'运动服饰 Prices'!L$3)</f>
        <v/>
      </c>
      <c r="M85" s="50">
        <f>IF(OR('运动服饰 Prices'!M33="",'运动服饰 Prices'!M$3=""),"",'运动服饰 Prices'!M33/'运动服饰 Prices'!M$3)</f>
        <v/>
      </c>
      <c r="N85" s="50">
        <f>IF(OR('运动服饰 Prices'!N33="",'运动服饰 Prices'!N$3=""),"",'运动服饰 Prices'!N33/'运动服饰 Prices'!N$3)</f>
        <v/>
      </c>
      <c r="O85" s="50">
        <f>IF(OR('运动服饰 Prices'!O33="",'运动服饰 Prices'!O$3=""),"",'运动服饰 Prices'!O33/'运动服饰 Prices'!O$3)</f>
        <v/>
      </c>
      <c r="P85" s="50">
        <f>IF(OR('运动服饰 Prices'!P33="",'运动服饰 Prices'!P$3=""),"",'运动服饰 Prices'!P33/'运动服饰 Prices'!P$3)</f>
        <v/>
      </c>
      <c r="Q85" s="50">
        <f>IF(OR('运动服饰 Prices'!Q33="",'运动服饰 Prices'!Q$3=""),"",'运动服饰 Prices'!Q33/'运动服饰 Prices'!Q$3)</f>
        <v/>
      </c>
      <c r="R85" s="50">
        <f>IF(OR('运动服饰 Prices'!R33="",'运动服饰 Prices'!R$3=""),"",'运动服饰 Prices'!R33/'运动服饰 Prices'!R$3)</f>
        <v/>
      </c>
      <c r="S85" s="50">
        <f>IF(OR('运动服饰 Prices'!S33="",'运动服饰 Prices'!S$3=""),"",'运动服饰 Prices'!S33/'运动服饰 Prices'!S$3)</f>
        <v/>
      </c>
      <c r="T85" s="50">
        <f>IF(OR('运动服饰 Prices'!T33="",'运动服饰 Prices'!T$3=""),"",'运动服饰 Prices'!T33/'运动服饰 Prices'!T$3)</f>
        <v/>
      </c>
      <c r="U85" s="50">
        <f>IF(OR('运动服饰 Prices'!U33="",'运动服饰 Prices'!U$3=""),"",'运动服饰 Prices'!U33/'运动服饰 Prices'!U$3)</f>
        <v/>
      </c>
      <c r="V85" s="50">
        <f>IF(OR('运动服饰 Prices'!V33="",'运动服饰 Prices'!V$3=""),"",'运动服饰 Prices'!V33/'运动服饰 Prices'!V$3)</f>
        <v/>
      </c>
      <c r="W85" s="50">
        <f>IF(OR('运动服饰 Prices'!W33="",'运动服饰 Prices'!W$3=""),"",'运动服饰 Prices'!W33/'运动服饰 Prices'!W$3)</f>
        <v/>
      </c>
      <c r="X85" s="50">
        <f>IF(OR('运动服饰 Prices'!X33="",'运动服饰 Prices'!X$3=""),"",'运动服饰 Prices'!X33/'运动服饰 Prices'!X$3)</f>
        <v/>
      </c>
      <c r="Y85" s="50">
        <f>IF(OR('运动服饰 Prices'!Y33="",'运动服饰 Prices'!Y$3=""),"",'运动服饰 Prices'!Y33/'运动服饰 Prices'!Y$3)</f>
        <v/>
      </c>
      <c r="Z85" s="50">
        <f>IF(OR('运动服饰 Prices'!Z33="",'运动服饰 Prices'!Z$3=""),"",'运动服饰 Prices'!Z33/'运动服饰 Prices'!Z$3)</f>
        <v/>
      </c>
      <c r="AA85" s="50">
        <f>IF(OR('运动服饰 Prices'!AA33="",'运动服饰 Prices'!AA$3=""),"",'运动服饰 Prices'!AA33/'运动服饰 Prices'!AA$3)</f>
        <v/>
      </c>
      <c r="AB85" s="50">
        <f>IF(OR('运动服饰 Prices'!AB33="",'运动服饰 Prices'!AB$3=""),"",'运动服饰 Prices'!AB33/'运动服饰 Prices'!AB$3)</f>
        <v/>
      </c>
      <c r="AC85" s="50">
        <f>IF(OR('运动服饰 Prices'!AC33="",'运动服饰 Prices'!AC$3=""),"",'运动服饰 Prices'!AC33/'运动服饰 Prices'!AC$3)</f>
        <v/>
      </c>
      <c r="AD85" s="50">
        <f>IF(OR('运动服饰 Prices'!AD33="",'运动服饰 Prices'!AD$3=""),"",'运动服饰 Prices'!AD33/'运动服饰 Prices'!AD$3)</f>
        <v/>
      </c>
      <c r="AE85" s="50">
        <f>IF(OR('运动服饰 Prices'!AE33="",'运动服饰 Prices'!AE$3=""),"",'运动服饰 Prices'!AE33/'运动服饰 Prices'!AE$3)</f>
        <v/>
      </c>
      <c r="AF85" s="50">
        <f>IF(OR('运动服饰 Prices'!AF33="",'运动服饰 Prices'!AF$3=""),"",'运动服饰 Prices'!AF33/'运动服饰 Prices'!AF$3)</f>
        <v/>
      </c>
      <c r="AG85" s="50">
        <f>IF(OR('运动服饰 Prices'!AG33="",'运动服饰 Prices'!AG$3=""),"",'运动服饰 Prices'!AG33/'运动服饰 Prices'!AG$3)</f>
        <v/>
      </c>
      <c r="AH85" s="50">
        <f>IF(OR('运动服饰 Prices'!AH33="",'运动服饰 Prices'!AH$3=""),"",'运动服饰 Prices'!AH33/'运动服饰 Prices'!AH$3)</f>
        <v/>
      </c>
      <c r="AI85" s="50">
        <f>IF(OR('运动服饰 Prices'!AI33="",'运动服饰 Prices'!AI$3=""),"",'运动服饰 Prices'!AI33/'运动服饰 Prices'!AI$3)</f>
        <v/>
      </c>
    </row>
    <row r="86">
      <c r="A86" s="49" t="n">
        <v>46206</v>
      </c>
      <c r="B86" s="50">
        <f>IF(OR('运动服饰 Prices'!B34="",'运动服饰 Prices'!B$3=""),"",'运动服饰 Prices'!B34/'运动服饰 Prices'!B$3)</f>
        <v/>
      </c>
      <c r="C86" s="50">
        <f>IF(OR('运动服饰 Prices'!C34="",'运动服饰 Prices'!C$3=""),"",'运动服饰 Prices'!C34/'运动服饰 Prices'!C$3)</f>
        <v/>
      </c>
      <c r="D86" s="50">
        <f>IF(OR('运动服饰 Prices'!D34="",'运动服饰 Prices'!D$3=""),"",'运动服饰 Prices'!D34/'运动服饰 Prices'!D$3)</f>
        <v/>
      </c>
      <c r="E86" s="50">
        <f>IF(OR('运动服饰 Prices'!E34="",'运动服饰 Prices'!E$3=""),"",'运动服饰 Prices'!E34/'运动服饰 Prices'!E$3)</f>
        <v/>
      </c>
      <c r="F86" s="50">
        <f>IF(OR('运动服饰 Prices'!F34="",'运动服饰 Prices'!F$3=""),"",'运动服饰 Prices'!F34/'运动服饰 Prices'!F$3)</f>
        <v/>
      </c>
      <c r="G86" s="50">
        <f>IF(OR('运动服饰 Prices'!G34="",'运动服饰 Prices'!G$3=""),"",'运动服饰 Prices'!G34/'运动服饰 Prices'!G$3)</f>
        <v/>
      </c>
      <c r="H86" s="50">
        <f>IF(OR('运动服饰 Prices'!H34="",'运动服饰 Prices'!H$3=""),"",'运动服饰 Prices'!H34/'运动服饰 Prices'!H$3)</f>
        <v/>
      </c>
      <c r="I86" s="50">
        <f>IF(OR('运动服饰 Prices'!I34="",'运动服饰 Prices'!I$3=""),"",'运动服饰 Prices'!I34/'运动服饰 Prices'!I$3)</f>
        <v/>
      </c>
      <c r="J86" s="50">
        <f>IF(OR('运动服饰 Prices'!J34="",'运动服饰 Prices'!J$3=""),"",'运动服饰 Prices'!J34/'运动服饰 Prices'!J$3)</f>
        <v/>
      </c>
      <c r="K86" s="50">
        <f>IF(OR('运动服饰 Prices'!K34="",'运动服饰 Prices'!K$3=""),"",'运动服饰 Prices'!K34/'运动服饰 Prices'!K$3)</f>
        <v/>
      </c>
      <c r="L86" s="50">
        <f>IF(OR('运动服饰 Prices'!L34="",'运动服饰 Prices'!L$3=""),"",'运动服饰 Prices'!L34/'运动服饰 Prices'!L$3)</f>
        <v/>
      </c>
      <c r="M86" s="50">
        <f>IF(OR('运动服饰 Prices'!M34="",'运动服饰 Prices'!M$3=""),"",'运动服饰 Prices'!M34/'运动服饰 Prices'!M$3)</f>
        <v/>
      </c>
      <c r="N86" s="50">
        <f>IF(OR('运动服饰 Prices'!N34="",'运动服饰 Prices'!N$3=""),"",'运动服饰 Prices'!N34/'运动服饰 Prices'!N$3)</f>
        <v/>
      </c>
      <c r="O86" s="50">
        <f>IF(OR('运动服饰 Prices'!O34="",'运动服饰 Prices'!O$3=""),"",'运动服饰 Prices'!O34/'运动服饰 Prices'!O$3)</f>
        <v/>
      </c>
      <c r="P86" s="50">
        <f>IF(OR('运动服饰 Prices'!P34="",'运动服饰 Prices'!P$3=""),"",'运动服饰 Prices'!P34/'运动服饰 Prices'!P$3)</f>
        <v/>
      </c>
      <c r="Q86" s="50">
        <f>IF(OR('运动服饰 Prices'!Q34="",'运动服饰 Prices'!Q$3=""),"",'运动服饰 Prices'!Q34/'运动服饰 Prices'!Q$3)</f>
        <v/>
      </c>
      <c r="R86" s="50">
        <f>IF(OR('运动服饰 Prices'!R34="",'运动服饰 Prices'!R$3=""),"",'运动服饰 Prices'!R34/'运动服饰 Prices'!R$3)</f>
        <v/>
      </c>
      <c r="S86" s="50">
        <f>IF(OR('运动服饰 Prices'!S34="",'运动服饰 Prices'!S$3=""),"",'运动服饰 Prices'!S34/'运动服饰 Prices'!S$3)</f>
        <v/>
      </c>
      <c r="T86" s="50">
        <f>IF(OR('运动服饰 Prices'!T34="",'运动服饰 Prices'!T$3=""),"",'运动服饰 Prices'!T34/'运动服饰 Prices'!T$3)</f>
        <v/>
      </c>
      <c r="U86" s="50">
        <f>IF(OR('运动服饰 Prices'!U34="",'运动服饰 Prices'!U$3=""),"",'运动服饰 Prices'!U34/'运动服饰 Prices'!U$3)</f>
        <v/>
      </c>
      <c r="V86" s="50">
        <f>IF(OR('运动服饰 Prices'!V34="",'运动服饰 Prices'!V$3=""),"",'运动服饰 Prices'!V34/'运动服饰 Prices'!V$3)</f>
        <v/>
      </c>
      <c r="W86" s="50">
        <f>IF(OR('运动服饰 Prices'!W34="",'运动服饰 Prices'!W$3=""),"",'运动服饰 Prices'!W34/'运动服饰 Prices'!W$3)</f>
        <v/>
      </c>
      <c r="X86" s="50">
        <f>IF(OR('运动服饰 Prices'!X34="",'运动服饰 Prices'!X$3=""),"",'运动服饰 Prices'!X34/'运动服饰 Prices'!X$3)</f>
        <v/>
      </c>
      <c r="Y86" s="50">
        <f>IF(OR('运动服饰 Prices'!Y34="",'运动服饰 Prices'!Y$3=""),"",'运动服饰 Prices'!Y34/'运动服饰 Prices'!Y$3)</f>
        <v/>
      </c>
      <c r="Z86" s="50">
        <f>IF(OR('运动服饰 Prices'!Z34="",'运动服饰 Prices'!Z$3=""),"",'运动服饰 Prices'!Z34/'运动服饰 Prices'!Z$3)</f>
        <v/>
      </c>
      <c r="AA86" s="50">
        <f>IF(OR('运动服饰 Prices'!AA34="",'运动服饰 Prices'!AA$3=""),"",'运动服饰 Prices'!AA34/'运动服饰 Prices'!AA$3)</f>
        <v/>
      </c>
      <c r="AB86" s="50">
        <f>IF(OR('运动服饰 Prices'!AB34="",'运动服饰 Prices'!AB$3=""),"",'运动服饰 Prices'!AB34/'运动服饰 Prices'!AB$3)</f>
        <v/>
      </c>
      <c r="AC86" s="50">
        <f>IF(OR('运动服饰 Prices'!AC34="",'运动服饰 Prices'!AC$3=""),"",'运动服饰 Prices'!AC34/'运动服饰 Prices'!AC$3)</f>
        <v/>
      </c>
      <c r="AD86" s="50">
        <f>IF(OR('运动服饰 Prices'!AD34="",'运动服饰 Prices'!AD$3=""),"",'运动服饰 Prices'!AD34/'运动服饰 Prices'!AD$3)</f>
        <v/>
      </c>
      <c r="AE86" s="50">
        <f>IF(OR('运动服饰 Prices'!AE34="",'运动服饰 Prices'!AE$3=""),"",'运动服饰 Prices'!AE34/'运动服饰 Prices'!AE$3)</f>
        <v/>
      </c>
      <c r="AF86" s="50">
        <f>IF(OR('运动服饰 Prices'!AF34="",'运动服饰 Prices'!AF$3=""),"",'运动服饰 Prices'!AF34/'运动服饰 Prices'!AF$3)</f>
        <v/>
      </c>
      <c r="AG86" s="50">
        <f>IF(OR('运动服饰 Prices'!AG34="",'运动服饰 Prices'!AG$3=""),"",'运动服饰 Prices'!AG34/'运动服饰 Prices'!AG$3)</f>
        <v/>
      </c>
      <c r="AH86" s="50">
        <f>IF(OR('运动服饰 Prices'!AH34="",'运动服饰 Prices'!AH$3=""),"",'运动服饰 Prices'!AH34/'运动服饰 Prices'!AH$3)</f>
        <v/>
      </c>
      <c r="AI86" s="50">
        <f>IF(OR('运动服饰 Prices'!AI34="",'运动服饰 Prices'!AI$3=""),"",'运动服饰 Prices'!AI34/'运动服饰 Prices'!AI$3)</f>
        <v/>
      </c>
    </row>
    <row r="87">
      <c r="A87" s="49" t="n">
        <v>46213</v>
      </c>
      <c r="B87" s="50">
        <f>IF(OR('运动服饰 Prices'!B35="",'运动服饰 Prices'!B$3=""),"",'运动服饰 Prices'!B35/'运动服饰 Prices'!B$3)</f>
        <v/>
      </c>
      <c r="C87" s="50">
        <f>IF(OR('运动服饰 Prices'!C35="",'运动服饰 Prices'!C$3=""),"",'运动服饰 Prices'!C35/'运动服饰 Prices'!C$3)</f>
        <v/>
      </c>
      <c r="D87" s="50">
        <f>IF(OR('运动服饰 Prices'!D35="",'运动服饰 Prices'!D$3=""),"",'运动服饰 Prices'!D35/'运动服饰 Prices'!D$3)</f>
        <v/>
      </c>
      <c r="E87" s="50">
        <f>IF(OR('运动服饰 Prices'!E35="",'运动服饰 Prices'!E$3=""),"",'运动服饰 Prices'!E35/'运动服饰 Prices'!E$3)</f>
        <v/>
      </c>
      <c r="F87" s="50">
        <f>IF(OR('运动服饰 Prices'!F35="",'运动服饰 Prices'!F$3=""),"",'运动服饰 Prices'!F35/'运动服饰 Prices'!F$3)</f>
        <v/>
      </c>
      <c r="G87" s="50">
        <f>IF(OR('运动服饰 Prices'!G35="",'运动服饰 Prices'!G$3=""),"",'运动服饰 Prices'!G35/'运动服饰 Prices'!G$3)</f>
        <v/>
      </c>
      <c r="H87" s="50">
        <f>IF(OR('运动服饰 Prices'!H35="",'运动服饰 Prices'!H$3=""),"",'运动服饰 Prices'!H35/'运动服饰 Prices'!H$3)</f>
        <v/>
      </c>
      <c r="I87" s="50">
        <f>IF(OR('运动服饰 Prices'!I35="",'运动服饰 Prices'!I$3=""),"",'运动服饰 Prices'!I35/'运动服饰 Prices'!I$3)</f>
        <v/>
      </c>
      <c r="J87" s="50">
        <f>IF(OR('运动服饰 Prices'!J35="",'运动服饰 Prices'!J$3=""),"",'运动服饰 Prices'!J35/'运动服饰 Prices'!J$3)</f>
        <v/>
      </c>
      <c r="K87" s="50">
        <f>IF(OR('运动服饰 Prices'!K35="",'运动服饰 Prices'!K$3=""),"",'运动服饰 Prices'!K35/'运动服饰 Prices'!K$3)</f>
        <v/>
      </c>
      <c r="L87" s="50">
        <f>IF(OR('运动服饰 Prices'!L35="",'运动服饰 Prices'!L$3=""),"",'运动服饰 Prices'!L35/'运动服饰 Prices'!L$3)</f>
        <v/>
      </c>
      <c r="M87" s="50">
        <f>IF(OR('运动服饰 Prices'!M35="",'运动服饰 Prices'!M$3=""),"",'运动服饰 Prices'!M35/'运动服饰 Prices'!M$3)</f>
        <v/>
      </c>
      <c r="N87" s="50">
        <f>IF(OR('运动服饰 Prices'!N35="",'运动服饰 Prices'!N$3=""),"",'运动服饰 Prices'!N35/'运动服饰 Prices'!N$3)</f>
        <v/>
      </c>
      <c r="O87" s="50">
        <f>IF(OR('运动服饰 Prices'!O35="",'运动服饰 Prices'!O$3=""),"",'运动服饰 Prices'!O35/'运动服饰 Prices'!O$3)</f>
        <v/>
      </c>
      <c r="P87" s="50">
        <f>IF(OR('运动服饰 Prices'!P35="",'运动服饰 Prices'!P$3=""),"",'运动服饰 Prices'!P35/'运动服饰 Prices'!P$3)</f>
        <v/>
      </c>
      <c r="Q87" s="50">
        <f>IF(OR('运动服饰 Prices'!Q35="",'运动服饰 Prices'!Q$3=""),"",'运动服饰 Prices'!Q35/'运动服饰 Prices'!Q$3)</f>
        <v/>
      </c>
      <c r="R87" s="50">
        <f>IF(OR('运动服饰 Prices'!R35="",'运动服饰 Prices'!R$3=""),"",'运动服饰 Prices'!R35/'运动服饰 Prices'!R$3)</f>
        <v/>
      </c>
      <c r="S87" s="50">
        <f>IF(OR('运动服饰 Prices'!S35="",'运动服饰 Prices'!S$3=""),"",'运动服饰 Prices'!S35/'运动服饰 Prices'!S$3)</f>
        <v/>
      </c>
      <c r="T87" s="50">
        <f>IF(OR('运动服饰 Prices'!T35="",'运动服饰 Prices'!T$3=""),"",'运动服饰 Prices'!T35/'运动服饰 Prices'!T$3)</f>
        <v/>
      </c>
      <c r="U87" s="50">
        <f>IF(OR('运动服饰 Prices'!U35="",'运动服饰 Prices'!U$3=""),"",'运动服饰 Prices'!U35/'运动服饰 Prices'!U$3)</f>
        <v/>
      </c>
      <c r="V87" s="50">
        <f>IF(OR('运动服饰 Prices'!V35="",'运动服饰 Prices'!V$3=""),"",'运动服饰 Prices'!V35/'运动服饰 Prices'!V$3)</f>
        <v/>
      </c>
      <c r="W87" s="50">
        <f>IF(OR('运动服饰 Prices'!W35="",'运动服饰 Prices'!W$3=""),"",'运动服饰 Prices'!W35/'运动服饰 Prices'!W$3)</f>
        <v/>
      </c>
      <c r="X87" s="50">
        <f>IF(OR('运动服饰 Prices'!X35="",'运动服饰 Prices'!X$3=""),"",'运动服饰 Prices'!X35/'运动服饰 Prices'!X$3)</f>
        <v/>
      </c>
      <c r="Y87" s="50">
        <f>IF(OR('运动服饰 Prices'!Y35="",'运动服饰 Prices'!Y$3=""),"",'运动服饰 Prices'!Y35/'运动服饰 Prices'!Y$3)</f>
        <v/>
      </c>
      <c r="Z87" s="50">
        <f>IF(OR('运动服饰 Prices'!Z35="",'运动服饰 Prices'!Z$3=""),"",'运动服饰 Prices'!Z35/'运动服饰 Prices'!Z$3)</f>
        <v/>
      </c>
      <c r="AA87" s="50">
        <f>IF(OR('运动服饰 Prices'!AA35="",'运动服饰 Prices'!AA$3=""),"",'运动服饰 Prices'!AA35/'运动服饰 Prices'!AA$3)</f>
        <v/>
      </c>
      <c r="AB87" s="50">
        <f>IF(OR('运动服饰 Prices'!AB35="",'运动服饰 Prices'!AB$3=""),"",'运动服饰 Prices'!AB35/'运动服饰 Prices'!AB$3)</f>
        <v/>
      </c>
      <c r="AC87" s="50">
        <f>IF(OR('运动服饰 Prices'!AC35="",'运动服饰 Prices'!AC$3=""),"",'运动服饰 Prices'!AC35/'运动服饰 Prices'!AC$3)</f>
        <v/>
      </c>
      <c r="AD87" s="50">
        <f>IF(OR('运动服饰 Prices'!AD35="",'运动服饰 Prices'!AD$3=""),"",'运动服饰 Prices'!AD35/'运动服饰 Prices'!AD$3)</f>
        <v/>
      </c>
      <c r="AE87" s="50">
        <f>IF(OR('运动服饰 Prices'!AE35="",'运动服饰 Prices'!AE$3=""),"",'运动服饰 Prices'!AE35/'运动服饰 Prices'!AE$3)</f>
        <v/>
      </c>
      <c r="AF87" s="50">
        <f>IF(OR('运动服饰 Prices'!AF35="",'运动服饰 Prices'!AF$3=""),"",'运动服饰 Prices'!AF35/'运动服饰 Prices'!AF$3)</f>
        <v/>
      </c>
      <c r="AG87" s="50">
        <f>IF(OR('运动服饰 Prices'!AG35="",'运动服饰 Prices'!AG$3=""),"",'运动服饰 Prices'!AG35/'运动服饰 Prices'!AG$3)</f>
        <v/>
      </c>
      <c r="AH87" s="50">
        <f>IF(OR('运动服饰 Prices'!AH35="",'运动服饰 Prices'!AH$3=""),"",'运动服饰 Prices'!AH35/'运动服饰 Prices'!AH$3)</f>
        <v/>
      </c>
      <c r="AI87" s="50">
        <f>IF(OR('运动服饰 Prices'!AI35="",'运动服饰 Prices'!AI$3=""),"",'运动服饰 Prices'!AI35/'运动服饰 Prices'!AI$3)</f>
        <v/>
      </c>
    </row>
    <row r="88">
      <c r="A88" s="49" t="n">
        <v>46220</v>
      </c>
      <c r="B88" s="50">
        <f>IF(OR('运动服饰 Prices'!B36="",'运动服饰 Prices'!B$3=""),"",'运动服饰 Prices'!B36/'运动服饰 Prices'!B$3)</f>
        <v/>
      </c>
      <c r="C88" s="50">
        <f>IF(OR('运动服饰 Prices'!C36="",'运动服饰 Prices'!C$3=""),"",'运动服饰 Prices'!C36/'运动服饰 Prices'!C$3)</f>
        <v/>
      </c>
      <c r="D88" s="50">
        <f>IF(OR('运动服饰 Prices'!D36="",'运动服饰 Prices'!D$3=""),"",'运动服饰 Prices'!D36/'运动服饰 Prices'!D$3)</f>
        <v/>
      </c>
      <c r="E88" s="50">
        <f>IF(OR('运动服饰 Prices'!E36="",'运动服饰 Prices'!E$3=""),"",'运动服饰 Prices'!E36/'运动服饰 Prices'!E$3)</f>
        <v/>
      </c>
      <c r="F88" s="50">
        <f>IF(OR('运动服饰 Prices'!F36="",'运动服饰 Prices'!F$3=""),"",'运动服饰 Prices'!F36/'运动服饰 Prices'!F$3)</f>
        <v/>
      </c>
      <c r="G88" s="50">
        <f>IF(OR('运动服饰 Prices'!G36="",'运动服饰 Prices'!G$3=""),"",'运动服饰 Prices'!G36/'运动服饰 Prices'!G$3)</f>
        <v/>
      </c>
      <c r="H88" s="50">
        <f>IF(OR('运动服饰 Prices'!H36="",'运动服饰 Prices'!H$3=""),"",'运动服饰 Prices'!H36/'运动服饰 Prices'!H$3)</f>
        <v/>
      </c>
      <c r="I88" s="50">
        <f>IF(OR('运动服饰 Prices'!I36="",'运动服饰 Prices'!I$3=""),"",'运动服饰 Prices'!I36/'运动服饰 Prices'!I$3)</f>
        <v/>
      </c>
      <c r="J88" s="50">
        <f>IF(OR('运动服饰 Prices'!J36="",'运动服饰 Prices'!J$3=""),"",'运动服饰 Prices'!J36/'运动服饰 Prices'!J$3)</f>
        <v/>
      </c>
      <c r="K88" s="50">
        <f>IF(OR('运动服饰 Prices'!K36="",'运动服饰 Prices'!K$3=""),"",'运动服饰 Prices'!K36/'运动服饰 Prices'!K$3)</f>
        <v/>
      </c>
      <c r="L88" s="50">
        <f>IF(OR('运动服饰 Prices'!L36="",'运动服饰 Prices'!L$3=""),"",'运动服饰 Prices'!L36/'运动服饰 Prices'!L$3)</f>
        <v/>
      </c>
      <c r="M88" s="50">
        <f>IF(OR('运动服饰 Prices'!M36="",'运动服饰 Prices'!M$3=""),"",'运动服饰 Prices'!M36/'运动服饰 Prices'!M$3)</f>
        <v/>
      </c>
      <c r="N88" s="50">
        <f>IF(OR('运动服饰 Prices'!N36="",'运动服饰 Prices'!N$3=""),"",'运动服饰 Prices'!N36/'运动服饰 Prices'!N$3)</f>
        <v/>
      </c>
      <c r="O88" s="50">
        <f>IF(OR('运动服饰 Prices'!O36="",'运动服饰 Prices'!O$3=""),"",'运动服饰 Prices'!O36/'运动服饰 Prices'!O$3)</f>
        <v/>
      </c>
      <c r="P88" s="50">
        <f>IF(OR('运动服饰 Prices'!P36="",'运动服饰 Prices'!P$3=""),"",'运动服饰 Prices'!P36/'运动服饰 Prices'!P$3)</f>
        <v/>
      </c>
      <c r="Q88" s="50">
        <f>IF(OR('运动服饰 Prices'!Q36="",'运动服饰 Prices'!Q$3=""),"",'运动服饰 Prices'!Q36/'运动服饰 Prices'!Q$3)</f>
        <v/>
      </c>
      <c r="R88" s="50">
        <f>IF(OR('运动服饰 Prices'!R36="",'运动服饰 Prices'!R$3=""),"",'运动服饰 Prices'!R36/'运动服饰 Prices'!R$3)</f>
        <v/>
      </c>
      <c r="S88" s="50">
        <f>IF(OR('运动服饰 Prices'!S36="",'运动服饰 Prices'!S$3=""),"",'运动服饰 Prices'!S36/'运动服饰 Prices'!S$3)</f>
        <v/>
      </c>
      <c r="T88" s="50">
        <f>IF(OR('运动服饰 Prices'!T36="",'运动服饰 Prices'!T$3=""),"",'运动服饰 Prices'!T36/'运动服饰 Prices'!T$3)</f>
        <v/>
      </c>
      <c r="U88" s="50">
        <f>IF(OR('运动服饰 Prices'!U36="",'运动服饰 Prices'!U$3=""),"",'运动服饰 Prices'!U36/'运动服饰 Prices'!U$3)</f>
        <v/>
      </c>
      <c r="V88" s="50">
        <f>IF(OR('运动服饰 Prices'!V36="",'运动服饰 Prices'!V$3=""),"",'运动服饰 Prices'!V36/'运动服饰 Prices'!V$3)</f>
        <v/>
      </c>
      <c r="W88" s="50">
        <f>IF(OR('运动服饰 Prices'!W36="",'运动服饰 Prices'!W$3=""),"",'运动服饰 Prices'!W36/'运动服饰 Prices'!W$3)</f>
        <v/>
      </c>
      <c r="X88" s="50">
        <f>IF(OR('运动服饰 Prices'!X36="",'运动服饰 Prices'!X$3=""),"",'运动服饰 Prices'!X36/'运动服饰 Prices'!X$3)</f>
        <v/>
      </c>
      <c r="Y88" s="50">
        <f>IF(OR('运动服饰 Prices'!Y36="",'运动服饰 Prices'!Y$3=""),"",'运动服饰 Prices'!Y36/'运动服饰 Prices'!Y$3)</f>
        <v/>
      </c>
      <c r="Z88" s="50">
        <f>IF(OR('运动服饰 Prices'!Z36="",'运动服饰 Prices'!Z$3=""),"",'运动服饰 Prices'!Z36/'运动服饰 Prices'!Z$3)</f>
        <v/>
      </c>
      <c r="AA88" s="50">
        <f>IF(OR('运动服饰 Prices'!AA36="",'运动服饰 Prices'!AA$3=""),"",'运动服饰 Prices'!AA36/'运动服饰 Prices'!AA$3)</f>
        <v/>
      </c>
      <c r="AB88" s="50">
        <f>IF(OR('运动服饰 Prices'!AB36="",'运动服饰 Prices'!AB$3=""),"",'运动服饰 Prices'!AB36/'运动服饰 Prices'!AB$3)</f>
        <v/>
      </c>
      <c r="AC88" s="50">
        <f>IF(OR('运动服饰 Prices'!AC36="",'运动服饰 Prices'!AC$3=""),"",'运动服饰 Prices'!AC36/'运动服饰 Prices'!AC$3)</f>
        <v/>
      </c>
      <c r="AD88" s="50">
        <f>IF(OR('运动服饰 Prices'!AD36="",'运动服饰 Prices'!AD$3=""),"",'运动服饰 Prices'!AD36/'运动服饰 Prices'!AD$3)</f>
        <v/>
      </c>
      <c r="AE88" s="50">
        <f>IF(OR('运动服饰 Prices'!AE36="",'运动服饰 Prices'!AE$3=""),"",'运动服饰 Prices'!AE36/'运动服饰 Prices'!AE$3)</f>
        <v/>
      </c>
      <c r="AF88" s="50">
        <f>IF(OR('运动服饰 Prices'!AF36="",'运动服饰 Prices'!AF$3=""),"",'运动服饰 Prices'!AF36/'运动服饰 Prices'!AF$3)</f>
        <v/>
      </c>
      <c r="AG88" s="50">
        <f>IF(OR('运动服饰 Prices'!AG36="",'运动服饰 Prices'!AG$3=""),"",'运动服饰 Prices'!AG36/'运动服饰 Prices'!AG$3)</f>
        <v/>
      </c>
      <c r="AH88" s="50">
        <f>IF(OR('运动服饰 Prices'!AH36="",'运动服饰 Prices'!AH$3=""),"",'运动服饰 Prices'!AH36/'运动服饰 Prices'!AH$3)</f>
        <v/>
      </c>
      <c r="AI88" s="50">
        <f>IF(OR('运动服饰 Prices'!AI36="",'运动服饰 Prices'!AI$3=""),"",'运动服饰 Prices'!AI36/'运动服饰 Prices'!AI$3)</f>
        <v/>
      </c>
    </row>
    <row r="89">
      <c r="A89" s="49" t="n">
        <v>46227</v>
      </c>
      <c r="B89" s="50">
        <f>IF(OR('运动服饰 Prices'!B37="",'运动服饰 Prices'!B$3=""),"",'运动服饰 Prices'!B37/'运动服饰 Prices'!B$3)</f>
        <v/>
      </c>
      <c r="C89" s="50">
        <f>IF(OR('运动服饰 Prices'!C37="",'运动服饰 Prices'!C$3=""),"",'运动服饰 Prices'!C37/'运动服饰 Prices'!C$3)</f>
        <v/>
      </c>
      <c r="D89" s="50">
        <f>IF(OR('运动服饰 Prices'!D37="",'运动服饰 Prices'!D$3=""),"",'运动服饰 Prices'!D37/'运动服饰 Prices'!D$3)</f>
        <v/>
      </c>
      <c r="E89" s="50">
        <f>IF(OR('运动服饰 Prices'!E37="",'运动服饰 Prices'!E$3=""),"",'运动服饰 Prices'!E37/'运动服饰 Prices'!E$3)</f>
        <v/>
      </c>
      <c r="F89" s="50">
        <f>IF(OR('运动服饰 Prices'!F37="",'运动服饰 Prices'!F$3=""),"",'运动服饰 Prices'!F37/'运动服饰 Prices'!F$3)</f>
        <v/>
      </c>
      <c r="G89" s="50">
        <f>IF(OR('运动服饰 Prices'!G37="",'运动服饰 Prices'!G$3=""),"",'运动服饰 Prices'!G37/'运动服饰 Prices'!G$3)</f>
        <v/>
      </c>
      <c r="H89" s="50">
        <f>IF(OR('运动服饰 Prices'!H37="",'运动服饰 Prices'!H$3=""),"",'运动服饰 Prices'!H37/'运动服饰 Prices'!H$3)</f>
        <v/>
      </c>
      <c r="I89" s="50">
        <f>IF(OR('运动服饰 Prices'!I37="",'运动服饰 Prices'!I$3=""),"",'运动服饰 Prices'!I37/'运动服饰 Prices'!I$3)</f>
        <v/>
      </c>
      <c r="J89" s="50">
        <f>IF(OR('运动服饰 Prices'!J37="",'运动服饰 Prices'!J$3=""),"",'运动服饰 Prices'!J37/'运动服饰 Prices'!J$3)</f>
        <v/>
      </c>
      <c r="K89" s="50">
        <f>IF(OR('运动服饰 Prices'!K37="",'运动服饰 Prices'!K$3=""),"",'运动服饰 Prices'!K37/'运动服饰 Prices'!K$3)</f>
        <v/>
      </c>
      <c r="L89" s="50">
        <f>IF(OR('运动服饰 Prices'!L37="",'运动服饰 Prices'!L$3=""),"",'运动服饰 Prices'!L37/'运动服饰 Prices'!L$3)</f>
        <v/>
      </c>
      <c r="M89" s="50">
        <f>IF(OR('运动服饰 Prices'!M37="",'运动服饰 Prices'!M$3=""),"",'运动服饰 Prices'!M37/'运动服饰 Prices'!M$3)</f>
        <v/>
      </c>
      <c r="N89" s="50">
        <f>IF(OR('运动服饰 Prices'!N37="",'运动服饰 Prices'!N$3=""),"",'运动服饰 Prices'!N37/'运动服饰 Prices'!N$3)</f>
        <v/>
      </c>
      <c r="O89" s="50">
        <f>IF(OR('运动服饰 Prices'!O37="",'运动服饰 Prices'!O$3=""),"",'运动服饰 Prices'!O37/'运动服饰 Prices'!O$3)</f>
        <v/>
      </c>
      <c r="P89" s="50">
        <f>IF(OR('运动服饰 Prices'!P37="",'运动服饰 Prices'!P$3=""),"",'运动服饰 Prices'!P37/'运动服饰 Prices'!P$3)</f>
        <v/>
      </c>
      <c r="Q89" s="50">
        <f>IF(OR('运动服饰 Prices'!Q37="",'运动服饰 Prices'!Q$3=""),"",'运动服饰 Prices'!Q37/'运动服饰 Prices'!Q$3)</f>
        <v/>
      </c>
      <c r="R89" s="50">
        <f>IF(OR('运动服饰 Prices'!R37="",'运动服饰 Prices'!R$3=""),"",'运动服饰 Prices'!R37/'运动服饰 Prices'!R$3)</f>
        <v/>
      </c>
      <c r="S89" s="50">
        <f>IF(OR('运动服饰 Prices'!S37="",'运动服饰 Prices'!S$3=""),"",'运动服饰 Prices'!S37/'运动服饰 Prices'!S$3)</f>
        <v/>
      </c>
      <c r="T89" s="50">
        <f>IF(OR('运动服饰 Prices'!T37="",'运动服饰 Prices'!T$3=""),"",'运动服饰 Prices'!T37/'运动服饰 Prices'!T$3)</f>
        <v/>
      </c>
      <c r="U89" s="50">
        <f>IF(OR('运动服饰 Prices'!U37="",'运动服饰 Prices'!U$3=""),"",'运动服饰 Prices'!U37/'运动服饰 Prices'!U$3)</f>
        <v/>
      </c>
      <c r="V89" s="50">
        <f>IF(OR('运动服饰 Prices'!V37="",'运动服饰 Prices'!V$3=""),"",'运动服饰 Prices'!V37/'运动服饰 Prices'!V$3)</f>
        <v/>
      </c>
      <c r="W89" s="50">
        <f>IF(OR('运动服饰 Prices'!W37="",'运动服饰 Prices'!W$3=""),"",'运动服饰 Prices'!W37/'运动服饰 Prices'!W$3)</f>
        <v/>
      </c>
      <c r="X89" s="50">
        <f>IF(OR('运动服饰 Prices'!X37="",'运动服饰 Prices'!X$3=""),"",'运动服饰 Prices'!X37/'运动服饰 Prices'!X$3)</f>
        <v/>
      </c>
      <c r="Y89" s="50">
        <f>IF(OR('运动服饰 Prices'!Y37="",'运动服饰 Prices'!Y$3=""),"",'运动服饰 Prices'!Y37/'运动服饰 Prices'!Y$3)</f>
        <v/>
      </c>
      <c r="Z89" s="50">
        <f>IF(OR('运动服饰 Prices'!Z37="",'运动服饰 Prices'!Z$3=""),"",'运动服饰 Prices'!Z37/'运动服饰 Prices'!Z$3)</f>
        <v/>
      </c>
      <c r="AA89" s="50">
        <f>IF(OR('运动服饰 Prices'!AA37="",'运动服饰 Prices'!AA$3=""),"",'运动服饰 Prices'!AA37/'运动服饰 Prices'!AA$3)</f>
        <v/>
      </c>
      <c r="AB89" s="50">
        <f>IF(OR('运动服饰 Prices'!AB37="",'运动服饰 Prices'!AB$3=""),"",'运动服饰 Prices'!AB37/'运动服饰 Prices'!AB$3)</f>
        <v/>
      </c>
      <c r="AC89" s="50">
        <f>IF(OR('运动服饰 Prices'!AC37="",'运动服饰 Prices'!AC$3=""),"",'运动服饰 Prices'!AC37/'运动服饰 Prices'!AC$3)</f>
        <v/>
      </c>
      <c r="AD89" s="50">
        <f>IF(OR('运动服饰 Prices'!AD37="",'运动服饰 Prices'!AD$3=""),"",'运动服饰 Prices'!AD37/'运动服饰 Prices'!AD$3)</f>
        <v/>
      </c>
      <c r="AE89" s="50">
        <f>IF(OR('运动服饰 Prices'!AE37="",'运动服饰 Prices'!AE$3=""),"",'运动服饰 Prices'!AE37/'运动服饰 Prices'!AE$3)</f>
        <v/>
      </c>
      <c r="AF89" s="50">
        <f>IF(OR('运动服饰 Prices'!AF37="",'运动服饰 Prices'!AF$3=""),"",'运动服饰 Prices'!AF37/'运动服饰 Prices'!AF$3)</f>
        <v/>
      </c>
      <c r="AG89" s="50">
        <f>IF(OR('运动服饰 Prices'!AG37="",'运动服饰 Prices'!AG$3=""),"",'运动服饰 Prices'!AG37/'运动服饰 Prices'!AG$3)</f>
        <v/>
      </c>
      <c r="AH89" s="50">
        <f>IF(OR('运动服饰 Prices'!AH37="",'运动服饰 Prices'!AH$3=""),"",'运动服饰 Prices'!AH37/'运动服饰 Prices'!AH$3)</f>
        <v/>
      </c>
      <c r="AI89" s="50">
        <f>IF(OR('运动服饰 Prices'!AI37="",'运动服饰 Prices'!AI$3=""),"",'运动服饰 Prices'!AI37/'运动服饰 Prices'!AI$3)</f>
        <v/>
      </c>
    </row>
    <row r="90">
      <c r="A90" s="49" t="n">
        <v>46234</v>
      </c>
      <c r="B90" s="50">
        <f>IF(OR('运动服饰 Prices'!B38="",'运动服饰 Prices'!B$3=""),"",'运动服饰 Prices'!B38/'运动服饰 Prices'!B$3)</f>
        <v/>
      </c>
      <c r="C90" s="50">
        <f>IF(OR('运动服饰 Prices'!C38="",'运动服饰 Prices'!C$3=""),"",'运动服饰 Prices'!C38/'运动服饰 Prices'!C$3)</f>
        <v/>
      </c>
      <c r="D90" s="50">
        <f>IF(OR('运动服饰 Prices'!D38="",'运动服饰 Prices'!D$3=""),"",'运动服饰 Prices'!D38/'运动服饰 Prices'!D$3)</f>
        <v/>
      </c>
      <c r="E90" s="50">
        <f>IF(OR('运动服饰 Prices'!E38="",'运动服饰 Prices'!E$3=""),"",'运动服饰 Prices'!E38/'运动服饰 Prices'!E$3)</f>
        <v/>
      </c>
      <c r="F90" s="50">
        <f>IF(OR('运动服饰 Prices'!F38="",'运动服饰 Prices'!F$3=""),"",'运动服饰 Prices'!F38/'运动服饰 Prices'!F$3)</f>
        <v/>
      </c>
      <c r="G90" s="50">
        <f>IF(OR('运动服饰 Prices'!G38="",'运动服饰 Prices'!G$3=""),"",'运动服饰 Prices'!G38/'运动服饰 Prices'!G$3)</f>
        <v/>
      </c>
      <c r="H90" s="50">
        <f>IF(OR('运动服饰 Prices'!H38="",'运动服饰 Prices'!H$3=""),"",'运动服饰 Prices'!H38/'运动服饰 Prices'!H$3)</f>
        <v/>
      </c>
      <c r="I90" s="50">
        <f>IF(OR('运动服饰 Prices'!I38="",'运动服饰 Prices'!I$3=""),"",'运动服饰 Prices'!I38/'运动服饰 Prices'!I$3)</f>
        <v/>
      </c>
      <c r="J90" s="50">
        <f>IF(OR('运动服饰 Prices'!J38="",'运动服饰 Prices'!J$3=""),"",'运动服饰 Prices'!J38/'运动服饰 Prices'!J$3)</f>
        <v/>
      </c>
      <c r="K90" s="50">
        <f>IF(OR('运动服饰 Prices'!K38="",'运动服饰 Prices'!K$3=""),"",'运动服饰 Prices'!K38/'运动服饰 Prices'!K$3)</f>
        <v/>
      </c>
      <c r="L90" s="50">
        <f>IF(OR('运动服饰 Prices'!L38="",'运动服饰 Prices'!L$3=""),"",'运动服饰 Prices'!L38/'运动服饰 Prices'!L$3)</f>
        <v/>
      </c>
      <c r="M90" s="50">
        <f>IF(OR('运动服饰 Prices'!M38="",'运动服饰 Prices'!M$3=""),"",'运动服饰 Prices'!M38/'运动服饰 Prices'!M$3)</f>
        <v/>
      </c>
      <c r="N90" s="50">
        <f>IF(OR('运动服饰 Prices'!N38="",'运动服饰 Prices'!N$3=""),"",'运动服饰 Prices'!N38/'运动服饰 Prices'!N$3)</f>
        <v/>
      </c>
      <c r="O90" s="50">
        <f>IF(OR('运动服饰 Prices'!O38="",'运动服饰 Prices'!O$3=""),"",'运动服饰 Prices'!O38/'运动服饰 Prices'!O$3)</f>
        <v/>
      </c>
      <c r="P90" s="50">
        <f>IF(OR('运动服饰 Prices'!P38="",'运动服饰 Prices'!P$3=""),"",'运动服饰 Prices'!P38/'运动服饰 Prices'!P$3)</f>
        <v/>
      </c>
      <c r="Q90" s="50">
        <f>IF(OR('运动服饰 Prices'!Q38="",'运动服饰 Prices'!Q$3=""),"",'运动服饰 Prices'!Q38/'运动服饰 Prices'!Q$3)</f>
        <v/>
      </c>
      <c r="R90" s="50">
        <f>IF(OR('运动服饰 Prices'!R38="",'运动服饰 Prices'!R$3=""),"",'运动服饰 Prices'!R38/'运动服饰 Prices'!R$3)</f>
        <v/>
      </c>
      <c r="S90" s="50">
        <f>IF(OR('运动服饰 Prices'!S38="",'运动服饰 Prices'!S$3=""),"",'运动服饰 Prices'!S38/'运动服饰 Prices'!S$3)</f>
        <v/>
      </c>
      <c r="T90" s="50">
        <f>IF(OR('运动服饰 Prices'!T38="",'运动服饰 Prices'!T$3=""),"",'运动服饰 Prices'!T38/'运动服饰 Prices'!T$3)</f>
        <v/>
      </c>
      <c r="U90" s="50">
        <f>IF(OR('运动服饰 Prices'!U38="",'运动服饰 Prices'!U$3=""),"",'运动服饰 Prices'!U38/'运动服饰 Prices'!U$3)</f>
        <v/>
      </c>
      <c r="V90" s="50">
        <f>IF(OR('运动服饰 Prices'!V38="",'运动服饰 Prices'!V$3=""),"",'运动服饰 Prices'!V38/'运动服饰 Prices'!V$3)</f>
        <v/>
      </c>
      <c r="W90" s="50">
        <f>IF(OR('运动服饰 Prices'!W38="",'运动服饰 Prices'!W$3=""),"",'运动服饰 Prices'!W38/'运动服饰 Prices'!W$3)</f>
        <v/>
      </c>
      <c r="X90" s="50">
        <f>IF(OR('运动服饰 Prices'!X38="",'运动服饰 Prices'!X$3=""),"",'运动服饰 Prices'!X38/'运动服饰 Prices'!X$3)</f>
        <v/>
      </c>
      <c r="Y90" s="50">
        <f>IF(OR('运动服饰 Prices'!Y38="",'运动服饰 Prices'!Y$3=""),"",'运动服饰 Prices'!Y38/'运动服饰 Prices'!Y$3)</f>
        <v/>
      </c>
      <c r="Z90" s="50">
        <f>IF(OR('运动服饰 Prices'!Z38="",'运动服饰 Prices'!Z$3=""),"",'运动服饰 Prices'!Z38/'运动服饰 Prices'!Z$3)</f>
        <v/>
      </c>
      <c r="AA90" s="50">
        <f>IF(OR('运动服饰 Prices'!AA38="",'运动服饰 Prices'!AA$3=""),"",'运动服饰 Prices'!AA38/'运动服饰 Prices'!AA$3)</f>
        <v/>
      </c>
      <c r="AB90" s="50">
        <f>IF(OR('运动服饰 Prices'!AB38="",'运动服饰 Prices'!AB$3=""),"",'运动服饰 Prices'!AB38/'运动服饰 Prices'!AB$3)</f>
        <v/>
      </c>
      <c r="AC90" s="50">
        <f>IF(OR('运动服饰 Prices'!AC38="",'运动服饰 Prices'!AC$3=""),"",'运动服饰 Prices'!AC38/'运动服饰 Prices'!AC$3)</f>
        <v/>
      </c>
      <c r="AD90" s="50">
        <f>IF(OR('运动服饰 Prices'!AD38="",'运动服饰 Prices'!AD$3=""),"",'运动服饰 Prices'!AD38/'运动服饰 Prices'!AD$3)</f>
        <v/>
      </c>
      <c r="AE90" s="50">
        <f>IF(OR('运动服饰 Prices'!AE38="",'运动服饰 Prices'!AE$3=""),"",'运动服饰 Prices'!AE38/'运动服饰 Prices'!AE$3)</f>
        <v/>
      </c>
      <c r="AF90" s="50">
        <f>IF(OR('运动服饰 Prices'!AF38="",'运动服饰 Prices'!AF$3=""),"",'运动服饰 Prices'!AF38/'运动服饰 Prices'!AF$3)</f>
        <v/>
      </c>
      <c r="AG90" s="50">
        <f>IF(OR('运动服饰 Prices'!AG38="",'运动服饰 Prices'!AG$3=""),"",'运动服饰 Prices'!AG38/'运动服饰 Prices'!AG$3)</f>
        <v/>
      </c>
      <c r="AH90" s="50">
        <f>IF(OR('运动服饰 Prices'!AH38="",'运动服饰 Prices'!AH$3=""),"",'运动服饰 Prices'!AH38/'运动服饰 Prices'!AH$3)</f>
        <v/>
      </c>
      <c r="AI90" s="50">
        <f>IF(OR('运动服饰 Prices'!AI38="",'运动服饰 Prices'!AI$3=""),"",'运动服饰 Prices'!AI38/'运动服饰 Prices'!AI$3)</f>
        <v/>
      </c>
    </row>
    <row r="91">
      <c r="A91" s="49" t="n">
        <v>46241</v>
      </c>
      <c r="B91" s="50">
        <f>IF(OR('运动服饰 Prices'!B39="",'运动服饰 Prices'!B$3=""),"",'运动服饰 Prices'!B39/'运动服饰 Prices'!B$3)</f>
        <v/>
      </c>
      <c r="C91" s="50">
        <f>IF(OR('运动服饰 Prices'!C39="",'运动服饰 Prices'!C$3=""),"",'运动服饰 Prices'!C39/'运动服饰 Prices'!C$3)</f>
        <v/>
      </c>
      <c r="D91" s="50">
        <f>IF(OR('运动服饰 Prices'!D39="",'运动服饰 Prices'!D$3=""),"",'运动服饰 Prices'!D39/'运动服饰 Prices'!D$3)</f>
        <v/>
      </c>
      <c r="E91" s="50">
        <f>IF(OR('运动服饰 Prices'!E39="",'运动服饰 Prices'!E$3=""),"",'运动服饰 Prices'!E39/'运动服饰 Prices'!E$3)</f>
        <v/>
      </c>
      <c r="F91" s="50">
        <f>IF(OR('运动服饰 Prices'!F39="",'运动服饰 Prices'!F$3=""),"",'运动服饰 Prices'!F39/'运动服饰 Prices'!F$3)</f>
        <v/>
      </c>
      <c r="G91" s="50">
        <f>IF(OR('运动服饰 Prices'!G39="",'运动服饰 Prices'!G$3=""),"",'运动服饰 Prices'!G39/'运动服饰 Prices'!G$3)</f>
        <v/>
      </c>
      <c r="H91" s="50">
        <f>IF(OR('运动服饰 Prices'!H39="",'运动服饰 Prices'!H$3=""),"",'运动服饰 Prices'!H39/'运动服饰 Prices'!H$3)</f>
        <v/>
      </c>
      <c r="I91" s="50">
        <f>IF(OR('运动服饰 Prices'!I39="",'运动服饰 Prices'!I$3=""),"",'运动服饰 Prices'!I39/'运动服饰 Prices'!I$3)</f>
        <v/>
      </c>
      <c r="J91" s="50">
        <f>IF(OR('运动服饰 Prices'!J39="",'运动服饰 Prices'!J$3=""),"",'运动服饰 Prices'!J39/'运动服饰 Prices'!J$3)</f>
        <v/>
      </c>
      <c r="K91" s="50">
        <f>IF(OR('运动服饰 Prices'!K39="",'运动服饰 Prices'!K$3=""),"",'运动服饰 Prices'!K39/'运动服饰 Prices'!K$3)</f>
        <v/>
      </c>
      <c r="L91" s="50">
        <f>IF(OR('运动服饰 Prices'!L39="",'运动服饰 Prices'!L$3=""),"",'运动服饰 Prices'!L39/'运动服饰 Prices'!L$3)</f>
        <v/>
      </c>
      <c r="M91" s="50">
        <f>IF(OR('运动服饰 Prices'!M39="",'运动服饰 Prices'!M$3=""),"",'运动服饰 Prices'!M39/'运动服饰 Prices'!M$3)</f>
        <v/>
      </c>
      <c r="N91" s="50">
        <f>IF(OR('运动服饰 Prices'!N39="",'运动服饰 Prices'!N$3=""),"",'运动服饰 Prices'!N39/'运动服饰 Prices'!N$3)</f>
        <v/>
      </c>
      <c r="O91" s="50">
        <f>IF(OR('运动服饰 Prices'!O39="",'运动服饰 Prices'!O$3=""),"",'运动服饰 Prices'!O39/'运动服饰 Prices'!O$3)</f>
        <v/>
      </c>
      <c r="P91" s="50">
        <f>IF(OR('运动服饰 Prices'!P39="",'运动服饰 Prices'!P$3=""),"",'运动服饰 Prices'!P39/'运动服饰 Prices'!P$3)</f>
        <v/>
      </c>
      <c r="Q91" s="50">
        <f>IF(OR('运动服饰 Prices'!Q39="",'运动服饰 Prices'!Q$3=""),"",'运动服饰 Prices'!Q39/'运动服饰 Prices'!Q$3)</f>
        <v/>
      </c>
      <c r="R91" s="50">
        <f>IF(OR('运动服饰 Prices'!R39="",'运动服饰 Prices'!R$3=""),"",'运动服饰 Prices'!R39/'运动服饰 Prices'!R$3)</f>
        <v/>
      </c>
      <c r="S91" s="50">
        <f>IF(OR('运动服饰 Prices'!S39="",'运动服饰 Prices'!S$3=""),"",'运动服饰 Prices'!S39/'运动服饰 Prices'!S$3)</f>
        <v/>
      </c>
      <c r="T91" s="50">
        <f>IF(OR('运动服饰 Prices'!T39="",'运动服饰 Prices'!T$3=""),"",'运动服饰 Prices'!T39/'运动服饰 Prices'!T$3)</f>
        <v/>
      </c>
      <c r="U91" s="50">
        <f>IF(OR('运动服饰 Prices'!U39="",'运动服饰 Prices'!U$3=""),"",'运动服饰 Prices'!U39/'运动服饰 Prices'!U$3)</f>
        <v/>
      </c>
      <c r="V91" s="50">
        <f>IF(OR('运动服饰 Prices'!V39="",'运动服饰 Prices'!V$3=""),"",'运动服饰 Prices'!V39/'运动服饰 Prices'!V$3)</f>
        <v/>
      </c>
      <c r="W91" s="50">
        <f>IF(OR('运动服饰 Prices'!W39="",'运动服饰 Prices'!W$3=""),"",'运动服饰 Prices'!W39/'运动服饰 Prices'!W$3)</f>
        <v/>
      </c>
      <c r="X91" s="50">
        <f>IF(OR('运动服饰 Prices'!X39="",'运动服饰 Prices'!X$3=""),"",'运动服饰 Prices'!X39/'运动服饰 Prices'!X$3)</f>
        <v/>
      </c>
      <c r="Y91" s="50">
        <f>IF(OR('运动服饰 Prices'!Y39="",'运动服饰 Prices'!Y$3=""),"",'运动服饰 Prices'!Y39/'运动服饰 Prices'!Y$3)</f>
        <v/>
      </c>
      <c r="Z91" s="50">
        <f>IF(OR('运动服饰 Prices'!Z39="",'运动服饰 Prices'!Z$3=""),"",'运动服饰 Prices'!Z39/'运动服饰 Prices'!Z$3)</f>
        <v/>
      </c>
      <c r="AA91" s="50">
        <f>IF(OR('运动服饰 Prices'!AA39="",'运动服饰 Prices'!AA$3=""),"",'运动服饰 Prices'!AA39/'运动服饰 Prices'!AA$3)</f>
        <v/>
      </c>
      <c r="AB91" s="50">
        <f>IF(OR('运动服饰 Prices'!AB39="",'运动服饰 Prices'!AB$3=""),"",'运动服饰 Prices'!AB39/'运动服饰 Prices'!AB$3)</f>
        <v/>
      </c>
      <c r="AC91" s="50">
        <f>IF(OR('运动服饰 Prices'!AC39="",'运动服饰 Prices'!AC$3=""),"",'运动服饰 Prices'!AC39/'运动服饰 Prices'!AC$3)</f>
        <v/>
      </c>
      <c r="AD91" s="50">
        <f>IF(OR('运动服饰 Prices'!AD39="",'运动服饰 Prices'!AD$3=""),"",'运动服饰 Prices'!AD39/'运动服饰 Prices'!AD$3)</f>
        <v/>
      </c>
      <c r="AE91" s="50">
        <f>IF(OR('运动服饰 Prices'!AE39="",'运动服饰 Prices'!AE$3=""),"",'运动服饰 Prices'!AE39/'运动服饰 Prices'!AE$3)</f>
        <v/>
      </c>
      <c r="AF91" s="50">
        <f>IF(OR('运动服饰 Prices'!AF39="",'运动服饰 Prices'!AF$3=""),"",'运动服饰 Prices'!AF39/'运动服饰 Prices'!AF$3)</f>
        <v/>
      </c>
      <c r="AG91" s="50">
        <f>IF(OR('运动服饰 Prices'!AG39="",'运动服饰 Prices'!AG$3=""),"",'运动服饰 Prices'!AG39/'运动服饰 Prices'!AG$3)</f>
        <v/>
      </c>
      <c r="AH91" s="50">
        <f>IF(OR('运动服饰 Prices'!AH39="",'运动服饰 Prices'!AH$3=""),"",'运动服饰 Prices'!AH39/'运动服饰 Prices'!AH$3)</f>
        <v/>
      </c>
      <c r="AI91" s="50">
        <f>IF(OR('运动服饰 Prices'!AI39="",'运动服饰 Prices'!AI$3=""),"",'运动服饰 Prices'!AI39/'运动服饰 Prices'!AI$3)</f>
        <v/>
      </c>
    </row>
    <row r="92">
      <c r="A92" s="49" t="n">
        <v>46248</v>
      </c>
      <c r="B92" s="50">
        <f>IF(OR('运动服饰 Prices'!B40="",'运动服饰 Prices'!B$3=""),"",'运动服饰 Prices'!B40/'运动服饰 Prices'!B$3)</f>
        <v/>
      </c>
      <c r="C92" s="50">
        <f>IF(OR('运动服饰 Prices'!C40="",'运动服饰 Prices'!C$3=""),"",'运动服饰 Prices'!C40/'运动服饰 Prices'!C$3)</f>
        <v/>
      </c>
      <c r="D92" s="50">
        <f>IF(OR('运动服饰 Prices'!D40="",'运动服饰 Prices'!D$3=""),"",'运动服饰 Prices'!D40/'运动服饰 Prices'!D$3)</f>
        <v/>
      </c>
      <c r="E92" s="50">
        <f>IF(OR('运动服饰 Prices'!E40="",'运动服饰 Prices'!E$3=""),"",'运动服饰 Prices'!E40/'运动服饰 Prices'!E$3)</f>
        <v/>
      </c>
      <c r="F92" s="50">
        <f>IF(OR('运动服饰 Prices'!F40="",'运动服饰 Prices'!F$3=""),"",'运动服饰 Prices'!F40/'运动服饰 Prices'!F$3)</f>
        <v/>
      </c>
      <c r="G92" s="50">
        <f>IF(OR('运动服饰 Prices'!G40="",'运动服饰 Prices'!G$3=""),"",'运动服饰 Prices'!G40/'运动服饰 Prices'!G$3)</f>
        <v/>
      </c>
      <c r="H92" s="50">
        <f>IF(OR('运动服饰 Prices'!H40="",'运动服饰 Prices'!H$3=""),"",'运动服饰 Prices'!H40/'运动服饰 Prices'!H$3)</f>
        <v/>
      </c>
      <c r="I92" s="50">
        <f>IF(OR('运动服饰 Prices'!I40="",'运动服饰 Prices'!I$3=""),"",'运动服饰 Prices'!I40/'运动服饰 Prices'!I$3)</f>
        <v/>
      </c>
      <c r="J92" s="50">
        <f>IF(OR('运动服饰 Prices'!J40="",'运动服饰 Prices'!J$3=""),"",'运动服饰 Prices'!J40/'运动服饰 Prices'!J$3)</f>
        <v/>
      </c>
      <c r="K92" s="50">
        <f>IF(OR('运动服饰 Prices'!K40="",'运动服饰 Prices'!K$3=""),"",'运动服饰 Prices'!K40/'运动服饰 Prices'!K$3)</f>
        <v/>
      </c>
      <c r="L92" s="50">
        <f>IF(OR('运动服饰 Prices'!L40="",'运动服饰 Prices'!L$3=""),"",'运动服饰 Prices'!L40/'运动服饰 Prices'!L$3)</f>
        <v/>
      </c>
      <c r="M92" s="50">
        <f>IF(OR('运动服饰 Prices'!M40="",'运动服饰 Prices'!M$3=""),"",'运动服饰 Prices'!M40/'运动服饰 Prices'!M$3)</f>
        <v/>
      </c>
      <c r="N92" s="50">
        <f>IF(OR('运动服饰 Prices'!N40="",'运动服饰 Prices'!N$3=""),"",'运动服饰 Prices'!N40/'运动服饰 Prices'!N$3)</f>
        <v/>
      </c>
      <c r="O92" s="50">
        <f>IF(OR('运动服饰 Prices'!O40="",'运动服饰 Prices'!O$3=""),"",'运动服饰 Prices'!O40/'运动服饰 Prices'!O$3)</f>
        <v/>
      </c>
      <c r="P92" s="50">
        <f>IF(OR('运动服饰 Prices'!P40="",'运动服饰 Prices'!P$3=""),"",'运动服饰 Prices'!P40/'运动服饰 Prices'!P$3)</f>
        <v/>
      </c>
      <c r="Q92" s="50">
        <f>IF(OR('运动服饰 Prices'!Q40="",'运动服饰 Prices'!Q$3=""),"",'运动服饰 Prices'!Q40/'运动服饰 Prices'!Q$3)</f>
        <v/>
      </c>
      <c r="R92" s="50">
        <f>IF(OR('运动服饰 Prices'!R40="",'运动服饰 Prices'!R$3=""),"",'运动服饰 Prices'!R40/'运动服饰 Prices'!R$3)</f>
        <v/>
      </c>
      <c r="S92" s="50">
        <f>IF(OR('运动服饰 Prices'!S40="",'运动服饰 Prices'!S$3=""),"",'运动服饰 Prices'!S40/'运动服饰 Prices'!S$3)</f>
        <v/>
      </c>
      <c r="T92" s="50">
        <f>IF(OR('运动服饰 Prices'!T40="",'运动服饰 Prices'!T$3=""),"",'运动服饰 Prices'!T40/'运动服饰 Prices'!T$3)</f>
        <v/>
      </c>
      <c r="U92" s="50">
        <f>IF(OR('运动服饰 Prices'!U40="",'运动服饰 Prices'!U$3=""),"",'运动服饰 Prices'!U40/'运动服饰 Prices'!U$3)</f>
        <v/>
      </c>
      <c r="V92" s="50">
        <f>IF(OR('运动服饰 Prices'!V40="",'运动服饰 Prices'!V$3=""),"",'运动服饰 Prices'!V40/'运动服饰 Prices'!V$3)</f>
        <v/>
      </c>
      <c r="W92" s="50">
        <f>IF(OR('运动服饰 Prices'!W40="",'运动服饰 Prices'!W$3=""),"",'运动服饰 Prices'!W40/'运动服饰 Prices'!W$3)</f>
        <v/>
      </c>
      <c r="X92" s="50">
        <f>IF(OR('运动服饰 Prices'!X40="",'运动服饰 Prices'!X$3=""),"",'运动服饰 Prices'!X40/'运动服饰 Prices'!X$3)</f>
        <v/>
      </c>
      <c r="Y92" s="50">
        <f>IF(OR('运动服饰 Prices'!Y40="",'运动服饰 Prices'!Y$3=""),"",'运动服饰 Prices'!Y40/'运动服饰 Prices'!Y$3)</f>
        <v/>
      </c>
      <c r="Z92" s="50">
        <f>IF(OR('运动服饰 Prices'!Z40="",'运动服饰 Prices'!Z$3=""),"",'运动服饰 Prices'!Z40/'运动服饰 Prices'!Z$3)</f>
        <v/>
      </c>
      <c r="AA92" s="50">
        <f>IF(OR('运动服饰 Prices'!AA40="",'运动服饰 Prices'!AA$3=""),"",'运动服饰 Prices'!AA40/'运动服饰 Prices'!AA$3)</f>
        <v/>
      </c>
      <c r="AB92" s="50">
        <f>IF(OR('运动服饰 Prices'!AB40="",'运动服饰 Prices'!AB$3=""),"",'运动服饰 Prices'!AB40/'运动服饰 Prices'!AB$3)</f>
        <v/>
      </c>
      <c r="AC92" s="50">
        <f>IF(OR('运动服饰 Prices'!AC40="",'运动服饰 Prices'!AC$3=""),"",'运动服饰 Prices'!AC40/'运动服饰 Prices'!AC$3)</f>
        <v/>
      </c>
      <c r="AD92" s="50">
        <f>IF(OR('运动服饰 Prices'!AD40="",'运动服饰 Prices'!AD$3=""),"",'运动服饰 Prices'!AD40/'运动服饰 Prices'!AD$3)</f>
        <v/>
      </c>
      <c r="AE92" s="50">
        <f>IF(OR('运动服饰 Prices'!AE40="",'运动服饰 Prices'!AE$3=""),"",'运动服饰 Prices'!AE40/'运动服饰 Prices'!AE$3)</f>
        <v/>
      </c>
      <c r="AF92" s="50">
        <f>IF(OR('运动服饰 Prices'!AF40="",'运动服饰 Prices'!AF$3=""),"",'运动服饰 Prices'!AF40/'运动服饰 Prices'!AF$3)</f>
        <v/>
      </c>
      <c r="AG92" s="50">
        <f>IF(OR('运动服饰 Prices'!AG40="",'运动服饰 Prices'!AG$3=""),"",'运动服饰 Prices'!AG40/'运动服饰 Prices'!AG$3)</f>
        <v/>
      </c>
      <c r="AH92" s="50">
        <f>IF(OR('运动服饰 Prices'!AH40="",'运动服饰 Prices'!AH$3=""),"",'运动服饰 Prices'!AH40/'运动服饰 Prices'!AH$3)</f>
        <v/>
      </c>
      <c r="AI92" s="50">
        <f>IF(OR('运动服饰 Prices'!AI40="",'运动服饰 Prices'!AI$3=""),"",'运动服饰 Prices'!AI40/'运动服饰 Prices'!AI$3)</f>
        <v/>
      </c>
    </row>
    <row r="93">
      <c r="A93" s="49" t="n">
        <v>46255</v>
      </c>
      <c r="B93" s="50">
        <f>IF(OR('运动服饰 Prices'!B41="",'运动服饰 Prices'!B$3=""),"",'运动服饰 Prices'!B41/'运动服饰 Prices'!B$3)</f>
        <v/>
      </c>
      <c r="C93" s="50">
        <f>IF(OR('运动服饰 Prices'!C41="",'运动服饰 Prices'!C$3=""),"",'运动服饰 Prices'!C41/'运动服饰 Prices'!C$3)</f>
        <v/>
      </c>
      <c r="D93" s="50">
        <f>IF(OR('运动服饰 Prices'!D41="",'运动服饰 Prices'!D$3=""),"",'运动服饰 Prices'!D41/'运动服饰 Prices'!D$3)</f>
        <v/>
      </c>
      <c r="E93" s="50">
        <f>IF(OR('运动服饰 Prices'!E41="",'运动服饰 Prices'!E$3=""),"",'运动服饰 Prices'!E41/'运动服饰 Prices'!E$3)</f>
        <v/>
      </c>
      <c r="F93" s="50">
        <f>IF(OR('运动服饰 Prices'!F41="",'运动服饰 Prices'!F$3=""),"",'运动服饰 Prices'!F41/'运动服饰 Prices'!F$3)</f>
        <v/>
      </c>
      <c r="G93" s="50">
        <f>IF(OR('运动服饰 Prices'!G41="",'运动服饰 Prices'!G$3=""),"",'运动服饰 Prices'!G41/'运动服饰 Prices'!G$3)</f>
        <v/>
      </c>
      <c r="H93" s="50">
        <f>IF(OR('运动服饰 Prices'!H41="",'运动服饰 Prices'!H$3=""),"",'运动服饰 Prices'!H41/'运动服饰 Prices'!H$3)</f>
        <v/>
      </c>
      <c r="I93" s="50">
        <f>IF(OR('运动服饰 Prices'!I41="",'运动服饰 Prices'!I$3=""),"",'运动服饰 Prices'!I41/'运动服饰 Prices'!I$3)</f>
        <v/>
      </c>
      <c r="J93" s="50">
        <f>IF(OR('运动服饰 Prices'!J41="",'运动服饰 Prices'!J$3=""),"",'运动服饰 Prices'!J41/'运动服饰 Prices'!J$3)</f>
        <v/>
      </c>
      <c r="K93" s="50">
        <f>IF(OR('运动服饰 Prices'!K41="",'运动服饰 Prices'!K$3=""),"",'运动服饰 Prices'!K41/'运动服饰 Prices'!K$3)</f>
        <v/>
      </c>
      <c r="L93" s="50">
        <f>IF(OR('运动服饰 Prices'!L41="",'运动服饰 Prices'!L$3=""),"",'运动服饰 Prices'!L41/'运动服饰 Prices'!L$3)</f>
        <v/>
      </c>
      <c r="M93" s="50">
        <f>IF(OR('运动服饰 Prices'!M41="",'运动服饰 Prices'!M$3=""),"",'运动服饰 Prices'!M41/'运动服饰 Prices'!M$3)</f>
        <v/>
      </c>
      <c r="N93" s="50">
        <f>IF(OR('运动服饰 Prices'!N41="",'运动服饰 Prices'!N$3=""),"",'运动服饰 Prices'!N41/'运动服饰 Prices'!N$3)</f>
        <v/>
      </c>
      <c r="O93" s="50">
        <f>IF(OR('运动服饰 Prices'!O41="",'运动服饰 Prices'!O$3=""),"",'运动服饰 Prices'!O41/'运动服饰 Prices'!O$3)</f>
        <v/>
      </c>
      <c r="P93" s="50">
        <f>IF(OR('运动服饰 Prices'!P41="",'运动服饰 Prices'!P$3=""),"",'运动服饰 Prices'!P41/'运动服饰 Prices'!P$3)</f>
        <v/>
      </c>
      <c r="Q93" s="50">
        <f>IF(OR('运动服饰 Prices'!Q41="",'运动服饰 Prices'!Q$3=""),"",'运动服饰 Prices'!Q41/'运动服饰 Prices'!Q$3)</f>
        <v/>
      </c>
      <c r="R93" s="50">
        <f>IF(OR('运动服饰 Prices'!R41="",'运动服饰 Prices'!R$3=""),"",'运动服饰 Prices'!R41/'运动服饰 Prices'!R$3)</f>
        <v/>
      </c>
      <c r="S93" s="50">
        <f>IF(OR('运动服饰 Prices'!S41="",'运动服饰 Prices'!S$3=""),"",'运动服饰 Prices'!S41/'运动服饰 Prices'!S$3)</f>
        <v/>
      </c>
      <c r="T93" s="50">
        <f>IF(OR('运动服饰 Prices'!T41="",'运动服饰 Prices'!T$3=""),"",'运动服饰 Prices'!T41/'运动服饰 Prices'!T$3)</f>
        <v/>
      </c>
      <c r="U93" s="50">
        <f>IF(OR('运动服饰 Prices'!U41="",'运动服饰 Prices'!U$3=""),"",'运动服饰 Prices'!U41/'运动服饰 Prices'!U$3)</f>
        <v/>
      </c>
      <c r="V93" s="50">
        <f>IF(OR('运动服饰 Prices'!V41="",'运动服饰 Prices'!V$3=""),"",'运动服饰 Prices'!V41/'运动服饰 Prices'!V$3)</f>
        <v/>
      </c>
      <c r="W93" s="50">
        <f>IF(OR('运动服饰 Prices'!W41="",'运动服饰 Prices'!W$3=""),"",'运动服饰 Prices'!W41/'运动服饰 Prices'!W$3)</f>
        <v/>
      </c>
      <c r="X93" s="50">
        <f>IF(OR('运动服饰 Prices'!X41="",'运动服饰 Prices'!X$3=""),"",'运动服饰 Prices'!X41/'运动服饰 Prices'!X$3)</f>
        <v/>
      </c>
      <c r="Y93" s="50">
        <f>IF(OR('运动服饰 Prices'!Y41="",'运动服饰 Prices'!Y$3=""),"",'运动服饰 Prices'!Y41/'运动服饰 Prices'!Y$3)</f>
        <v/>
      </c>
      <c r="Z93" s="50">
        <f>IF(OR('运动服饰 Prices'!Z41="",'运动服饰 Prices'!Z$3=""),"",'运动服饰 Prices'!Z41/'运动服饰 Prices'!Z$3)</f>
        <v/>
      </c>
      <c r="AA93" s="50">
        <f>IF(OR('运动服饰 Prices'!AA41="",'运动服饰 Prices'!AA$3=""),"",'运动服饰 Prices'!AA41/'运动服饰 Prices'!AA$3)</f>
        <v/>
      </c>
      <c r="AB93" s="50">
        <f>IF(OR('运动服饰 Prices'!AB41="",'运动服饰 Prices'!AB$3=""),"",'运动服饰 Prices'!AB41/'运动服饰 Prices'!AB$3)</f>
        <v/>
      </c>
      <c r="AC93" s="50">
        <f>IF(OR('运动服饰 Prices'!AC41="",'运动服饰 Prices'!AC$3=""),"",'运动服饰 Prices'!AC41/'运动服饰 Prices'!AC$3)</f>
        <v/>
      </c>
      <c r="AD93" s="50">
        <f>IF(OR('运动服饰 Prices'!AD41="",'运动服饰 Prices'!AD$3=""),"",'运动服饰 Prices'!AD41/'运动服饰 Prices'!AD$3)</f>
        <v/>
      </c>
      <c r="AE93" s="50">
        <f>IF(OR('运动服饰 Prices'!AE41="",'运动服饰 Prices'!AE$3=""),"",'运动服饰 Prices'!AE41/'运动服饰 Prices'!AE$3)</f>
        <v/>
      </c>
      <c r="AF93" s="50">
        <f>IF(OR('运动服饰 Prices'!AF41="",'运动服饰 Prices'!AF$3=""),"",'运动服饰 Prices'!AF41/'运动服饰 Prices'!AF$3)</f>
        <v/>
      </c>
      <c r="AG93" s="50">
        <f>IF(OR('运动服饰 Prices'!AG41="",'运动服饰 Prices'!AG$3=""),"",'运动服饰 Prices'!AG41/'运动服饰 Prices'!AG$3)</f>
        <v/>
      </c>
      <c r="AH93" s="50">
        <f>IF(OR('运动服饰 Prices'!AH41="",'运动服饰 Prices'!AH$3=""),"",'运动服饰 Prices'!AH41/'运动服饰 Prices'!AH$3)</f>
        <v/>
      </c>
      <c r="AI93" s="50">
        <f>IF(OR('运动服饰 Prices'!AI41="",'运动服饰 Prices'!AI$3=""),"",'运动服饰 Prices'!AI41/'运动服饰 Prices'!AI$3)</f>
        <v/>
      </c>
    </row>
    <row r="94">
      <c r="A94" s="49" t="n">
        <v>46262</v>
      </c>
      <c r="B94" s="50">
        <f>IF(OR('运动服饰 Prices'!B42="",'运动服饰 Prices'!B$3=""),"",'运动服饰 Prices'!B42/'运动服饰 Prices'!B$3)</f>
        <v/>
      </c>
      <c r="C94" s="50">
        <f>IF(OR('运动服饰 Prices'!C42="",'运动服饰 Prices'!C$3=""),"",'运动服饰 Prices'!C42/'运动服饰 Prices'!C$3)</f>
        <v/>
      </c>
      <c r="D94" s="50">
        <f>IF(OR('运动服饰 Prices'!D42="",'运动服饰 Prices'!D$3=""),"",'运动服饰 Prices'!D42/'运动服饰 Prices'!D$3)</f>
        <v/>
      </c>
      <c r="E94" s="50">
        <f>IF(OR('运动服饰 Prices'!E42="",'运动服饰 Prices'!E$3=""),"",'运动服饰 Prices'!E42/'运动服饰 Prices'!E$3)</f>
        <v/>
      </c>
      <c r="F94" s="50">
        <f>IF(OR('运动服饰 Prices'!F42="",'运动服饰 Prices'!F$3=""),"",'运动服饰 Prices'!F42/'运动服饰 Prices'!F$3)</f>
        <v/>
      </c>
      <c r="G94" s="50">
        <f>IF(OR('运动服饰 Prices'!G42="",'运动服饰 Prices'!G$3=""),"",'运动服饰 Prices'!G42/'运动服饰 Prices'!G$3)</f>
        <v/>
      </c>
      <c r="H94" s="50">
        <f>IF(OR('运动服饰 Prices'!H42="",'运动服饰 Prices'!H$3=""),"",'运动服饰 Prices'!H42/'运动服饰 Prices'!H$3)</f>
        <v/>
      </c>
      <c r="I94" s="50">
        <f>IF(OR('运动服饰 Prices'!I42="",'运动服饰 Prices'!I$3=""),"",'运动服饰 Prices'!I42/'运动服饰 Prices'!I$3)</f>
        <v/>
      </c>
      <c r="J94" s="50">
        <f>IF(OR('运动服饰 Prices'!J42="",'运动服饰 Prices'!J$3=""),"",'运动服饰 Prices'!J42/'运动服饰 Prices'!J$3)</f>
        <v/>
      </c>
      <c r="K94" s="50">
        <f>IF(OR('运动服饰 Prices'!K42="",'运动服饰 Prices'!K$3=""),"",'运动服饰 Prices'!K42/'运动服饰 Prices'!K$3)</f>
        <v/>
      </c>
      <c r="L94" s="50">
        <f>IF(OR('运动服饰 Prices'!L42="",'运动服饰 Prices'!L$3=""),"",'运动服饰 Prices'!L42/'运动服饰 Prices'!L$3)</f>
        <v/>
      </c>
      <c r="M94" s="50">
        <f>IF(OR('运动服饰 Prices'!M42="",'运动服饰 Prices'!M$3=""),"",'运动服饰 Prices'!M42/'运动服饰 Prices'!M$3)</f>
        <v/>
      </c>
      <c r="N94" s="50">
        <f>IF(OR('运动服饰 Prices'!N42="",'运动服饰 Prices'!N$3=""),"",'运动服饰 Prices'!N42/'运动服饰 Prices'!N$3)</f>
        <v/>
      </c>
      <c r="O94" s="50">
        <f>IF(OR('运动服饰 Prices'!O42="",'运动服饰 Prices'!O$3=""),"",'运动服饰 Prices'!O42/'运动服饰 Prices'!O$3)</f>
        <v/>
      </c>
      <c r="P94" s="50">
        <f>IF(OR('运动服饰 Prices'!P42="",'运动服饰 Prices'!P$3=""),"",'运动服饰 Prices'!P42/'运动服饰 Prices'!P$3)</f>
        <v/>
      </c>
      <c r="Q94" s="50">
        <f>IF(OR('运动服饰 Prices'!Q42="",'运动服饰 Prices'!Q$3=""),"",'运动服饰 Prices'!Q42/'运动服饰 Prices'!Q$3)</f>
        <v/>
      </c>
      <c r="R94" s="50">
        <f>IF(OR('运动服饰 Prices'!R42="",'运动服饰 Prices'!R$3=""),"",'运动服饰 Prices'!R42/'运动服饰 Prices'!R$3)</f>
        <v/>
      </c>
      <c r="S94" s="50">
        <f>IF(OR('运动服饰 Prices'!S42="",'运动服饰 Prices'!S$3=""),"",'运动服饰 Prices'!S42/'运动服饰 Prices'!S$3)</f>
        <v/>
      </c>
      <c r="T94" s="50">
        <f>IF(OR('运动服饰 Prices'!T42="",'运动服饰 Prices'!T$3=""),"",'运动服饰 Prices'!T42/'运动服饰 Prices'!T$3)</f>
        <v/>
      </c>
      <c r="U94" s="50">
        <f>IF(OR('运动服饰 Prices'!U42="",'运动服饰 Prices'!U$3=""),"",'运动服饰 Prices'!U42/'运动服饰 Prices'!U$3)</f>
        <v/>
      </c>
      <c r="V94" s="50">
        <f>IF(OR('运动服饰 Prices'!V42="",'运动服饰 Prices'!V$3=""),"",'运动服饰 Prices'!V42/'运动服饰 Prices'!V$3)</f>
        <v/>
      </c>
      <c r="W94" s="50">
        <f>IF(OR('运动服饰 Prices'!W42="",'运动服饰 Prices'!W$3=""),"",'运动服饰 Prices'!W42/'运动服饰 Prices'!W$3)</f>
        <v/>
      </c>
      <c r="X94" s="50">
        <f>IF(OR('运动服饰 Prices'!X42="",'运动服饰 Prices'!X$3=""),"",'运动服饰 Prices'!X42/'运动服饰 Prices'!X$3)</f>
        <v/>
      </c>
      <c r="Y94" s="50">
        <f>IF(OR('运动服饰 Prices'!Y42="",'运动服饰 Prices'!Y$3=""),"",'运动服饰 Prices'!Y42/'运动服饰 Prices'!Y$3)</f>
        <v/>
      </c>
      <c r="Z94" s="50">
        <f>IF(OR('运动服饰 Prices'!Z42="",'运动服饰 Prices'!Z$3=""),"",'运动服饰 Prices'!Z42/'运动服饰 Prices'!Z$3)</f>
        <v/>
      </c>
      <c r="AA94" s="50">
        <f>IF(OR('运动服饰 Prices'!AA42="",'运动服饰 Prices'!AA$3=""),"",'运动服饰 Prices'!AA42/'运动服饰 Prices'!AA$3)</f>
        <v/>
      </c>
      <c r="AB94" s="50">
        <f>IF(OR('运动服饰 Prices'!AB42="",'运动服饰 Prices'!AB$3=""),"",'运动服饰 Prices'!AB42/'运动服饰 Prices'!AB$3)</f>
        <v/>
      </c>
      <c r="AC94" s="50">
        <f>IF(OR('运动服饰 Prices'!AC42="",'运动服饰 Prices'!AC$3=""),"",'运动服饰 Prices'!AC42/'运动服饰 Prices'!AC$3)</f>
        <v/>
      </c>
      <c r="AD94" s="50">
        <f>IF(OR('运动服饰 Prices'!AD42="",'运动服饰 Prices'!AD$3=""),"",'运动服饰 Prices'!AD42/'运动服饰 Prices'!AD$3)</f>
        <v/>
      </c>
      <c r="AE94" s="50">
        <f>IF(OR('运动服饰 Prices'!AE42="",'运动服饰 Prices'!AE$3=""),"",'运动服饰 Prices'!AE42/'运动服饰 Prices'!AE$3)</f>
        <v/>
      </c>
      <c r="AF94" s="50">
        <f>IF(OR('运动服饰 Prices'!AF42="",'运动服饰 Prices'!AF$3=""),"",'运动服饰 Prices'!AF42/'运动服饰 Prices'!AF$3)</f>
        <v/>
      </c>
      <c r="AG94" s="50">
        <f>IF(OR('运动服饰 Prices'!AG42="",'运动服饰 Prices'!AG$3=""),"",'运动服饰 Prices'!AG42/'运动服饰 Prices'!AG$3)</f>
        <v/>
      </c>
      <c r="AH94" s="50">
        <f>IF(OR('运动服饰 Prices'!AH42="",'运动服饰 Prices'!AH$3=""),"",'运动服饰 Prices'!AH42/'运动服饰 Prices'!AH$3)</f>
        <v/>
      </c>
      <c r="AI94" s="50">
        <f>IF(OR('运动服饰 Prices'!AI42="",'运动服饰 Prices'!AI$3=""),"",'运动服饰 Prices'!AI42/'运动服饰 Prices'!AI$3)</f>
        <v/>
      </c>
    </row>
    <row r="95">
      <c r="A95" s="49" t="n">
        <v>46269</v>
      </c>
      <c r="B95" s="50">
        <f>IF(OR('运动服饰 Prices'!B43="",'运动服饰 Prices'!B$3=""),"",'运动服饰 Prices'!B43/'运动服饰 Prices'!B$3)</f>
        <v/>
      </c>
      <c r="C95" s="50">
        <f>IF(OR('运动服饰 Prices'!C43="",'运动服饰 Prices'!C$3=""),"",'运动服饰 Prices'!C43/'运动服饰 Prices'!C$3)</f>
        <v/>
      </c>
      <c r="D95" s="50">
        <f>IF(OR('运动服饰 Prices'!D43="",'运动服饰 Prices'!D$3=""),"",'运动服饰 Prices'!D43/'运动服饰 Prices'!D$3)</f>
        <v/>
      </c>
      <c r="E95" s="50">
        <f>IF(OR('运动服饰 Prices'!E43="",'运动服饰 Prices'!E$3=""),"",'运动服饰 Prices'!E43/'运动服饰 Prices'!E$3)</f>
        <v/>
      </c>
      <c r="F95" s="50">
        <f>IF(OR('运动服饰 Prices'!F43="",'运动服饰 Prices'!F$3=""),"",'运动服饰 Prices'!F43/'运动服饰 Prices'!F$3)</f>
        <v/>
      </c>
      <c r="G95" s="50">
        <f>IF(OR('运动服饰 Prices'!G43="",'运动服饰 Prices'!G$3=""),"",'运动服饰 Prices'!G43/'运动服饰 Prices'!G$3)</f>
        <v/>
      </c>
      <c r="H95" s="50">
        <f>IF(OR('运动服饰 Prices'!H43="",'运动服饰 Prices'!H$3=""),"",'运动服饰 Prices'!H43/'运动服饰 Prices'!H$3)</f>
        <v/>
      </c>
      <c r="I95" s="50">
        <f>IF(OR('运动服饰 Prices'!I43="",'运动服饰 Prices'!I$3=""),"",'运动服饰 Prices'!I43/'运动服饰 Prices'!I$3)</f>
        <v/>
      </c>
      <c r="J95" s="50">
        <f>IF(OR('运动服饰 Prices'!J43="",'运动服饰 Prices'!J$3=""),"",'运动服饰 Prices'!J43/'运动服饰 Prices'!J$3)</f>
        <v/>
      </c>
      <c r="K95" s="50">
        <f>IF(OR('运动服饰 Prices'!K43="",'运动服饰 Prices'!K$3=""),"",'运动服饰 Prices'!K43/'运动服饰 Prices'!K$3)</f>
        <v/>
      </c>
      <c r="L95" s="50">
        <f>IF(OR('运动服饰 Prices'!L43="",'运动服饰 Prices'!L$3=""),"",'运动服饰 Prices'!L43/'运动服饰 Prices'!L$3)</f>
        <v/>
      </c>
      <c r="M95" s="50">
        <f>IF(OR('运动服饰 Prices'!M43="",'运动服饰 Prices'!M$3=""),"",'运动服饰 Prices'!M43/'运动服饰 Prices'!M$3)</f>
        <v/>
      </c>
      <c r="N95" s="50">
        <f>IF(OR('运动服饰 Prices'!N43="",'运动服饰 Prices'!N$3=""),"",'运动服饰 Prices'!N43/'运动服饰 Prices'!N$3)</f>
        <v/>
      </c>
      <c r="O95" s="50">
        <f>IF(OR('运动服饰 Prices'!O43="",'运动服饰 Prices'!O$3=""),"",'运动服饰 Prices'!O43/'运动服饰 Prices'!O$3)</f>
        <v/>
      </c>
      <c r="P95" s="50">
        <f>IF(OR('运动服饰 Prices'!P43="",'运动服饰 Prices'!P$3=""),"",'运动服饰 Prices'!P43/'运动服饰 Prices'!P$3)</f>
        <v/>
      </c>
      <c r="Q95" s="50">
        <f>IF(OR('运动服饰 Prices'!Q43="",'运动服饰 Prices'!Q$3=""),"",'运动服饰 Prices'!Q43/'运动服饰 Prices'!Q$3)</f>
        <v/>
      </c>
      <c r="R95" s="50">
        <f>IF(OR('运动服饰 Prices'!R43="",'运动服饰 Prices'!R$3=""),"",'运动服饰 Prices'!R43/'运动服饰 Prices'!R$3)</f>
        <v/>
      </c>
      <c r="S95" s="50">
        <f>IF(OR('运动服饰 Prices'!S43="",'运动服饰 Prices'!S$3=""),"",'运动服饰 Prices'!S43/'运动服饰 Prices'!S$3)</f>
        <v/>
      </c>
      <c r="T95" s="50">
        <f>IF(OR('运动服饰 Prices'!T43="",'运动服饰 Prices'!T$3=""),"",'运动服饰 Prices'!T43/'运动服饰 Prices'!T$3)</f>
        <v/>
      </c>
      <c r="U95" s="50">
        <f>IF(OR('运动服饰 Prices'!U43="",'运动服饰 Prices'!U$3=""),"",'运动服饰 Prices'!U43/'运动服饰 Prices'!U$3)</f>
        <v/>
      </c>
      <c r="V95" s="50">
        <f>IF(OR('运动服饰 Prices'!V43="",'运动服饰 Prices'!V$3=""),"",'运动服饰 Prices'!V43/'运动服饰 Prices'!V$3)</f>
        <v/>
      </c>
      <c r="W95" s="50">
        <f>IF(OR('运动服饰 Prices'!W43="",'运动服饰 Prices'!W$3=""),"",'运动服饰 Prices'!W43/'运动服饰 Prices'!W$3)</f>
        <v/>
      </c>
      <c r="X95" s="50">
        <f>IF(OR('运动服饰 Prices'!X43="",'运动服饰 Prices'!X$3=""),"",'运动服饰 Prices'!X43/'运动服饰 Prices'!X$3)</f>
        <v/>
      </c>
      <c r="Y95" s="50">
        <f>IF(OR('运动服饰 Prices'!Y43="",'运动服饰 Prices'!Y$3=""),"",'运动服饰 Prices'!Y43/'运动服饰 Prices'!Y$3)</f>
        <v/>
      </c>
      <c r="Z95" s="50">
        <f>IF(OR('运动服饰 Prices'!Z43="",'运动服饰 Prices'!Z$3=""),"",'运动服饰 Prices'!Z43/'运动服饰 Prices'!Z$3)</f>
        <v/>
      </c>
      <c r="AA95" s="50">
        <f>IF(OR('运动服饰 Prices'!AA43="",'运动服饰 Prices'!AA$3=""),"",'运动服饰 Prices'!AA43/'运动服饰 Prices'!AA$3)</f>
        <v/>
      </c>
      <c r="AB95" s="50">
        <f>IF(OR('运动服饰 Prices'!AB43="",'运动服饰 Prices'!AB$3=""),"",'运动服饰 Prices'!AB43/'运动服饰 Prices'!AB$3)</f>
        <v/>
      </c>
      <c r="AC95" s="50">
        <f>IF(OR('运动服饰 Prices'!AC43="",'运动服饰 Prices'!AC$3=""),"",'运动服饰 Prices'!AC43/'运动服饰 Prices'!AC$3)</f>
        <v/>
      </c>
      <c r="AD95" s="50">
        <f>IF(OR('运动服饰 Prices'!AD43="",'运动服饰 Prices'!AD$3=""),"",'运动服饰 Prices'!AD43/'运动服饰 Prices'!AD$3)</f>
        <v/>
      </c>
      <c r="AE95" s="50">
        <f>IF(OR('运动服饰 Prices'!AE43="",'运动服饰 Prices'!AE$3=""),"",'运动服饰 Prices'!AE43/'运动服饰 Prices'!AE$3)</f>
        <v/>
      </c>
      <c r="AF95" s="50">
        <f>IF(OR('运动服饰 Prices'!AF43="",'运动服饰 Prices'!AF$3=""),"",'运动服饰 Prices'!AF43/'运动服饰 Prices'!AF$3)</f>
        <v/>
      </c>
      <c r="AG95" s="50">
        <f>IF(OR('运动服饰 Prices'!AG43="",'运动服饰 Prices'!AG$3=""),"",'运动服饰 Prices'!AG43/'运动服饰 Prices'!AG$3)</f>
        <v/>
      </c>
      <c r="AH95" s="50">
        <f>IF(OR('运动服饰 Prices'!AH43="",'运动服饰 Prices'!AH$3=""),"",'运动服饰 Prices'!AH43/'运动服饰 Prices'!AH$3)</f>
        <v/>
      </c>
      <c r="AI95" s="50">
        <f>IF(OR('运动服饰 Prices'!AI43="",'运动服饰 Prices'!AI$3=""),"",'运动服饰 Prices'!AI43/'运动服饰 Prices'!AI$3)</f>
        <v/>
      </c>
    </row>
    <row r="96">
      <c r="A96" s="49" t="n">
        <v>46276</v>
      </c>
      <c r="B96" s="50">
        <f>IF(OR('运动服饰 Prices'!B44="",'运动服饰 Prices'!B$3=""),"",'运动服饰 Prices'!B44/'运动服饰 Prices'!B$3)</f>
        <v/>
      </c>
      <c r="C96" s="50">
        <f>IF(OR('运动服饰 Prices'!C44="",'运动服饰 Prices'!C$3=""),"",'运动服饰 Prices'!C44/'运动服饰 Prices'!C$3)</f>
        <v/>
      </c>
      <c r="D96" s="50">
        <f>IF(OR('运动服饰 Prices'!D44="",'运动服饰 Prices'!D$3=""),"",'运动服饰 Prices'!D44/'运动服饰 Prices'!D$3)</f>
        <v/>
      </c>
      <c r="E96" s="50">
        <f>IF(OR('运动服饰 Prices'!E44="",'运动服饰 Prices'!E$3=""),"",'运动服饰 Prices'!E44/'运动服饰 Prices'!E$3)</f>
        <v/>
      </c>
      <c r="F96" s="50">
        <f>IF(OR('运动服饰 Prices'!F44="",'运动服饰 Prices'!F$3=""),"",'运动服饰 Prices'!F44/'运动服饰 Prices'!F$3)</f>
        <v/>
      </c>
      <c r="G96" s="50">
        <f>IF(OR('运动服饰 Prices'!G44="",'运动服饰 Prices'!G$3=""),"",'运动服饰 Prices'!G44/'运动服饰 Prices'!G$3)</f>
        <v/>
      </c>
      <c r="H96" s="50">
        <f>IF(OR('运动服饰 Prices'!H44="",'运动服饰 Prices'!H$3=""),"",'运动服饰 Prices'!H44/'运动服饰 Prices'!H$3)</f>
        <v/>
      </c>
      <c r="I96" s="50">
        <f>IF(OR('运动服饰 Prices'!I44="",'运动服饰 Prices'!I$3=""),"",'运动服饰 Prices'!I44/'运动服饰 Prices'!I$3)</f>
        <v/>
      </c>
      <c r="J96" s="50">
        <f>IF(OR('运动服饰 Prices'!J44="",'运动服饰 Prices'!J$3=""),"",'运动服饰 Prices'!J44/'运动服饰 Prices'!J$3)</f>
        <v/>
      </c>
      <c r="K96" s="50">
        <f>IF(OR('运动服饰 Prices'!K44="",'运动服饰 Prices'!K$3=""),"",'运动服饰 Prices'!K44/'运动服饰 Prices'!K$3)</f>
        <v/>
      </c>
      <c r="L96" s="50">
        <f>IF(OR('运动服饰 Prices'!L44="",'运动服饰 Prices'!L$3=""),"",'运动服饰 Prices'!L44/'运动服饰 Prices'!L$3)</f>
        <v/>
      </c>
      <c r="M96" s="50">
        <f>IF(OR('运动服饰 Prices'!M44="",'运动服饰 Prices'!M$3=""),"",'运动服饰 Prices'!M44/'运动服饰 Prices'!M$3)</f>
        <v/>
      </c>
      <c r="N96" s="50">
        <f>IF(OR('运动服饰 Prices'!N44="",'运动服饰 Prices'!N$3=""),"",'运动服饰 Prices'!N44/'运动服饰 Prices'!N$3)</f>
        <v/>
      </c>
      <c r="O96" s="50">
        <f>IF(OR('运动服饰 Prices'!O44="",'运动服饰 Prices'!O$3=""),"",'运动服饰 Prices'!O44/'运动服饰 Prices'!O$3)</f>
        <v/>
      </c>
      <c r="P96" s="50">
        <f>IF(OR('运动服饰 Prices'!P44="",'运动服饰 Prices'!P$3=""),"",'运动服饰 Prices'!P44/'运动服饰 Prices'!P$3)</f>
        <v/>
      </c>
      <c r="Q96" s="50">
        <f>IF(OR('运动服饰 Prices'!Q44="",'运动服饰 Prices'!Q$3=""),"",'运动服饰 Prices'!Q44/'运动服饰 Prices'!Q$3)</f>
        <v/>
      </c>
      <c r="R96" s="50">
        <f>IF(OR('运动服饰 Prices'!R44="",'运动服饰 Prices'!R$3=""),"",'运动服饰 Prices'!R44/'运动服饰 Prices'!R$3)</f>
        <v/>
      </c>
      <c r="S96" s="50">
        <f>IF(OR('运动服饰 Prices'!S44="",'运动服饰 Prices'!S$3=""),"",'运动服饰 Prices'!S44/'运动服饰 Prices'!S$3)</f>
        <v/>
      </c>
      <c r="T96" s="50">
        <f>IF(OR('运动服饰 Prices'!T44="",'运动服饰 Prices'!T$3=""),"",'运动服饰 Prices'!T44/'运动服饰 Prices'!T$3)</f>
        <v/>
      </c>
      <c r="U96" s="50">
        <f>IF(OR('运动服饰 Prices'!U44="",'运动服饰 Prices'!U$3=""),"",'运动服饰 Prices'!U44/'运动服饰 Prices'!U$3)</f>
        <v/>
      </c>
      <c r="V96" s="50">
        <f>IF(OR('运动服饰 Prices'!V44="",'运动服饰 Prices'!V$3=""),"",'运动服饰 Prices'!V44/'运动服饰 Prices'!V$3)</f>
        <v/>
      </c>
      <c r="W96" s="50">
        <f>IF(OR('运动服饰 Prices'!W44="",'运动服饰 Prices'!W$3=""),"",'运动服饰 Prices'!W44/'运动服饰 Prices'!W$3)</f>
        <v/>
      </c>
      <c r="X96" s="50">
        <f>IF(OR('运动服饰 Prices'!X44="",'运动服饰 Prices'!X$3=""),"",'运动服饰 Prices'!X44/'运动服饰 Prices'!X$3)</f>
        <v/>
      </c>
      <c r="Y96" s="50">
        <f>IF(OR('运动服饰 Prices'!Y44="",'运动服饰 Prices'!Y$3=""),"",'运动服饰 Prices'!Y44/'运动服饰 Prices'!Y$3)</f>
        <v/>
      </c>
      <c r="Z96" s="50">
        <f>IF(OR('运动服饰 Prices'!Z44="",'运动服饰 Prices'!Z$3=""),"",'运动服饰 Prices'!Z44/'运动服饰 Prices'!Z$3)</f>
        <v/>
      </c>
      <c r="AA96" s="50">
        <f>IF(OR('运动服饰 Prices'!AA44="",'运动服饰 Prices'!AA$3=""),"",'运动服饰 Prices'!AA44/'运动服饰 Prices'!AA$3)</f>
        <v/>
      </c>
      <c r="AB96" s="50">
        <f>IF(OR('运动服饰 Prices'!AB44="",'运动服饰 Prices'!AB$3=""),"",'运动服饰 Prices'!AB44/'运动服饰 Prices'!AB$3)</f>
        <v/>
      </c>
      <c r="AC96" s="50">
        <f>IF(OR('运动服饰 Prices'!AC44="",'运动服饰 Prices'!AC$3=""),"",'运动服饰 Prices'!AC44/'运动服饰 Prices'!AC$3)</f>
        <v/>
      </c>
      <c r="AD96" s="50">
        <f>IF(OR('运动服饰 Prices'!AD44="",'运动服饰 Prices'!AD$3=""),"",'运动服饰 Prices'!AD44/'运动服饰 Prices'!AD$3)</f>
        <v/>
      </c>
      <c r="AE96" s="50">
        <f>IF(OR('运动服饰 Prices'!AE44="",'运动服饰 Prices'!AE$3=""),"",'运动服饰 Prices'!AE44/'运动服饰 Prices'!AE$3)</f>
        <v/>
      </c>
      <c r="AF96" s="50">
        <f>IF(OR('运动服饰 Prices'!AF44="",'运动服饰 Prices'!AF$3=""),"",'运动服饰 Prices'!AF44/'运动服饰 Prices'!AF$3)</f>
        <v/>
      </c>
      <c r="AG96" s="50">
        <f>IF(OR('运动服饰 Prices'!AG44="",'运动服饰 Prices'!AG$3=""),"",'运动服饰 Prices'!AG44/'运动服饰 Prices'!AG$3)</f>
        <v/>
      </c>
      <c r="AH96" s="50">
        <f>IF(OR('运动服饰 Prices'!AH44="",'运动服饰 Prices'!AH$3=""),"",'运动服饰 Prices'!AH44/'运动服饰 Prices'!AH$3)</f>
        <v/>
      </c>
      <c r="AI96" s="50">
        <f>IF(OR('运动服饰 Prices'!AI44="",'运动服饰 Prices'!AI$3=""),"",'运动服饰 Prices'!AI44/'运动服饰 Prices'!AI$3)</f>
        <v/>
      </c>
    </row>
    <row r="97">
      <c r="A97" s="49" t="n">
        <v>46283</v>
      </c>
      <c r="B97" s="50">
        <f>IF(OR('运动服饰 Prices'!B45="",'运动服饰 Prices'!B$3=""),"",'运动服饰 Prices'!B45/'运动服饰 Prices'!B$3)</f>
        <v/>
      </c>
      <c r="C97" s="50">
        <f>IF(OR('运动服饰 Prices'!C45="",'运动服饰 Prices'!C$3=""),"",'运动服饰 Prices'!C45/'运动服饰 Prices'!C$3)</f>
        <v/>
      </c>
      <c r="D97" s="50">
        <f>IF(OR('运动服饰 Prices'!D45="",'运动服饰 Prices'!D$3=""),"",'运动服饰 Prices'!D45/'运动服饰 Prices'!D$3)</f>
        <v/>
      </c>
      <c r="E97" s="50">
        <f>IF(OR('运动服饰 Prices'!E45="",'运动服饰 Prices'!E$3=""),"",'运动服饰 Prices'!E45/'运动服饰 Prices'!E$3)</f>
        <v/>
      </c>
      <c r="F97" s="50">
        <f>IF(OR('运动服饰 Prices'!F45="",'运动服饰 Prices'!F$3=""),"",'运动服饰 Prices'!F45/'运动服饰 Prices'!F$3)</f>
        <v/>
      </c>
      <c r="G97" s="50">
        <f>IF(OR('运动服饰 Prices'!G45="",'运动服饰 Prices'!G$3=""),"",'运动服饰 Prices'!G45/'运动服饰 Prices'!G$3)</f>
        <v/>
      </c>
      <c r="H97" s="50">
        <f>IF(OR('运动服饰 Prices'!H45="",'运动服饰 Prices'!H$3=""),"",'运动服饰 Prices'!H45/'运动服饰 Prices'!H$3)</f>
        <v/>
      </c>
      <c r="I97" s="50">
        <f>IF(OR('运动服饰 Prices'!I45="",'运动服饰 Prices'!I$3=""),"",'运动服饰 Prices'!I45/'运动服饰 Prices'!I$3)</f>
        <v/>
      </c>
      <c r="J97" s="50">
        <f>IF(OR('运动服饰 Prices'!J45="",'运动服饰 Prices'!J$3=""),"",'运动服饰 Prices'!J45/'运动服饰 Prices'!J$3)</f>
        <v/>
      </c>
      <c r="K97" s="50">
        <f>IF(OR('运动服饰 Prices'!K45="",'运动服饰 Prices'!K$3=""),"",'运动服饰 Prices'!K45/'运动服饰 Prices'!K$3)</f>
        <v/>
      </c>
      <c r="L97" s="50">
        <f>IF(OR('运动服饰 Prices'!L45="",'运动服饰 Prices'!L$3=""),"",'运动服饰 Prices'!L45/'运动服饰 Prices'!L$3)</f>
        <v/>
      </c>
      <c r="M97" s="50">
        <f>IF(OR('运动服饰 Prices'!M45="",'运动服饰 Prices'!M$3=""),"",'运动服饰 Prices'!M45/'运动服饰 Prices'!M$3)</f>
        <v/>
      </c>
      <c r="N97" s="50">
        <f>IF(OR('运动服饰 Prices'!N45="",'运动服饰 Prices'!N$3=""),"",'运动服饰 Prices'!N45/'运动服饰 Prices'!N$3)</f>
        <v/>
      </c>
      <c r="O97" s="50">
        <f>IF(OR('运动服饰 Prices'!O45="",'运动服饰 Prices'!O$3=""),"",'运动服饰 Prices'!O45/'运动服饰 Prices'!O$3)</f>
        <v/>
      </c>
      <c r="P97" s="50">
        <f>IF(OR('运动服饰 Prices'!P45="",'运动服饰 Prices'!P$3=""),"",'运动服饰 Prices'!P45/'运动服饰 Prices'!P$3)</f>
        <v/>
      </c>
      <c r="Q97" s="50">
        <f>IF(OR('运动服饰 Prices'!Q45="",'运动服饰 Prices'!Q$3=""),"",'运动服饰 Prices'!Q45/'运动服饰 Prices'!Q$3)</f>
        <v/>
      </c>
      <c r="R97" s="50">
        <f>IF(OR('运动服饰 Prices'!R45="",'运动服饰 Prices'!R$3=""),"",'运动服饰 Prices'!R45/'运动服饰 Prices'!R$3)</f>
        <v/>
      </c>
      <c r="S97" s="50">
        <f>IF(OR('运动服饰 Prices'!S45="",'运动服饰 Prices'!S$3=""),"",'运动服饰 Prices'!S45/'运动服饰 Prices'!S$3)</f>
        <v/>
      </c>
      <c r="T97" s="50">
        <f>IF(OR('运动服饰 Prices'!T45="",'运动服饰 Prices'!T$3=""),"",'运动服饰 Prices'!T45/'运动服饰 Prices'!T$3)</f>
        <v/>
      </c>
      <c r="U97" s="50">
        <f>IF(OR('运动服饰 Prices'!U45="",'运动服饰 Prices'!U$3=""),"",'运动服饰 Prices'!U45/'运动服饰 Prices'!U$3)</f>
        <v/>
      </c>
      <c r="V97" s="50">
        <f>IF(OR('运动服饰 Prices'!V45="",'运动服饰 Prices'!V$3=""),"",'运动服饰 Prices'!V45/'运动服饰 Prices'!V$3)</f>
        <v/>
      </c>
      <c r="W97" s="50">
        <f>IF(OR('运动服饰 Prices'!W45="",'运动服饰 Prices'!W$3=""),"",'运动服饰 Prices'!W45/'运动服饰 Prices'!W$3)</f>
        <v/>
      </c>
      <c r="X97" s="50">
        <f>IF(OR('运动服饰 Prices'!X45="",'运动服饰 Prices'!X$3=""),"",'运动服饰 Prices'!X45/'运动服饰 Prices'!X$3)</f>
        <v/>
      </c>
      <c r="Y97" s="50">
        <f>IF(OR('运动服饰 Prices'!Y45="",'运动服饰 Prices'!Y$3=""),"",'运动服饰 Prices'!Y45/'运动服饰 Prices'!Y$3)</f>
        <v/>
      </c>
      <c r="Z97" s="50">
        <f>IF(OR('运动服饰 Prices'!Z45="",'运动服饰 Prices'!Z$3=""),"",'运动服饰 Prices'!Z45/'运动服饰 Prices'!Z$3)</f>
        <v/>
      </c>
      <c r="AA97" s="50">
        <f>IF(OR('运动服饰 Prices'!AA45="",'运动服饰 Prices'!AA$3=""),"",'运动服饰 Prices'!AA45/'运动服饰 Prices'!AA$3)</f>
        <v/>
      </c>
      <c r="AB97" s="50">
        <f>IF(OR('运动服饰 Prices'!AB45="",'运动服饰 Prices'!AB$3=""),"",'运动服饰 Prices'!AB45/'运动服饰 Prices'!AB$3)</f>
        <v/>
      </c>
      <c r="AC97" s="50">
        <f>IF(OR('运动服饰 Prices'!AC45="",'运动服饰 Prices'!AC$3=""),"",'运动服饰 Prices'!AC45/'运动服饰 Prices'!AC$3)</f>
        <v/>
      </c>
      <c r="AD97" s="50">
        <f>IF(OR('运动服饰 Prices'!AD45="",'运动服饰 Prices'!AD$3=""),"",'运动服饰 Prices'!AD45/'运动服饰 Prices'!AD$3)</f>
        <v/>
      </c>
      <c r="AE97" s="50">
        <f>IF(OR('运动服饰 Prices'!AE45="",'运动服饰 Prices'!AE$3=""),"",'运动服饰 Prices'!AE45/'运动服饰 Prices'!AE$3)</f>
        <v/>
      </c>
      <c r="AF97" s="50">
        <f>IF(OR('运动服饰 Prices'!AF45="",'运动服饰 Prices'!AF$3=""),"",'运动服饰 Prices'!AF45/'运动服饰 Prices'!AF$3)</f>
        <v/>
      </c>
      <c r="AG97" s="50">
        <f>IF(OR('运动服饰 Prices'!AG45="",'运动服饰 Prices'!AG$3=""),"",'运动服饰 Prices'!AG45/'运动服饰 Prices'!AG$3)</f>
        <v/>
      </c>
      <c r="AH97" s="50">
        <f>IF(OR('运动服饰 Prices'!AH45="",'运动服饰 Prices'!AH$3=""),"",'运动服饰 Prices'!AH45/'运动服饰 Prices'!AH$3)</f>
        <v/>
      </c>
      <c r="AI97" s="50">
        <f>IF(OR('运动服饰 Prices'!AI45="",'运动服饰 Prices'!AI$3=""),"",'运动服饰 Prices'!AI45/'运动服饰 Prices'!AI$3)</f>
        <v/>
      </c>
    </row>
    <row r="98">
      <c r="A98" s="49" t="n">
        <v>46290</v>
      </c>
      <c r="B98" s="50">
        <f>IF(OR('运动服饰 Prices'!B46="",'运动服饰 Prices'!B$3=""),"",'运动服饰 Prices'!B46/'运动服饰 Prices'!B$3)</f>
        <v/>
      </c>
      <c r="C98" s="50">
        <f>IF(OR('运动服饰 Prices'!C46="",'运动服饰 Prices'!C$3=""),"",'运动服饰 Prices'!C46/'运动服饰 Prices'!C$3)</f>
        <v/>
      </c>
      <c r="D98" s="50">
        <f>IF(OR('运动服饰 Prices'!D46="",'运动服饰 Prices'!D$3=""),"",'运动服饰 Prices'!D46/'运动服饰 Prices'!D$3)</f>
        <v/>
      </c>
      <c r="E98" s="50">
        <f>IF(OR('运动服饰 Prices'!E46="",'运动服饰 Prices'!E$3=""),"",'运动服饰 Prices'!E46/'运动服饰 Prices'!E$3)</f>
        <v/>
      </c>
      <c r="F98" s="50">
        <f>IF(OR('运动服饰 Prices'!F46="",'运动服饰 Prices'!F$3=""),"",'运动服饰 Prices'!F46/'运动服饰 Prices'!F$3)</f>
        <v/>
      </c>
      <c r="G98" s="50">
        <f>IF(OR('运动服饰 Prices'!G46="",'运动服饰 Prices'!G$3=""),"",'运动服饰 Prices'!G46/'运动服饰 Prices'!G$3)</f>
        <v/>
      </c>
      <c r="H98" s="50">
        <f>IF(OR('运动服饰 Prices'!H46="",'运动服饰 Prices'!H$3=""),"",'运动服饰 Prices'!H46/'运动服饰 Prices'!H$3)</f>
        <v/>
      </c>
      <c r="I98" s="50">
        <f>IF(OR('运动服饰 Prices'!I46="",'运动服饰 Prices'!I$3=""),"",'运动服饰 Prices'!I46/'运动服饰 Prices'!I$3)</f>
        <v/>
      </c>
      <c r="J98" s="50">
        <f>IF(OR('运动服饰 Prices'!J46="",'运动服饰 Prices'!J$3=""),"",'运动服饰 Prices'!J46/'运动服饰 Prices'!J$3)</f>
        <v/>
      </c>
      <c r="K98" s="50">
        <f>IF(OR('运动服饰 Prices'!K46="",'运动服饰 Prices'!K$3=""),"",'运动服饰 Prices'!K46/'运动服饰 Prices'!K$3)</f>
        <v/>
      </c>
      <c r="L98" s="50">
        <f>IF(OR('运动服饰 Prices'!L46="",'运动服饰 Prices'!L$3=""),"",'运动服饰 Prices'!L46/'运动服饰 Prices'!L$3)</f>
        <v/>
      </c>
      <c r="M98" s="50">
        <f>IF(OR('运动服饰 Prices'!M46="",'运动服饰 Prices'!M$3=""),"",'运动服饰 Prices'!M46/'运动服饰 Prices'!M$3)</f>
        <v/>
      </c>
      <c r="N98" s="50">
        <f>IF(OR('运动服饰 Prices'!N46="",'运动服饰 Prices'!N$3=""),"",'运动服饰 Prices'!N46/'运动服饰 Prices'!N$3)</f>
        <v/>
      </c>
      <c r="O98" s="50">
        <f>IF(OR('运动服饰 Prices'!O46="",'运动服饰 Prices'!O$3=""),"",'运动服饰 Prices'!O46/'运动服饰 Prices'!O$3)</f>
        <v/>
      </c>
      <c r="P98" s="50">
        <f>IF(OR('运动服饰 Prices'!P46="",'运动服饰 Prices'!P$3=""),"",'运动服饰 Prices'!P46/'运动服饰 Prices'!P$3)</f>
        <v/>
      </c>
      <c r="Q98" s="50">
        <f>IF(OR('运动服饰 Prices'!Q46="",'运动服饰 Prices'!Q$3=""),"",'运动服饰 Prices'!Q46/'运动服饰 Prices'!Q$3)</f>
        <v/>
      </c>
      <c r="R98" s="50">
        <f>IF(OR('运动服饰 Prices'!R46="",'运动服饰 Prices'!R$3=""),"",'运动服饰 Prices'!R46/'运动服饰 Prices'!R$3)</f>
        <v/>
      </c>
      <c r="S98" s="50">
        <f>IF(OR('运动服饰 Prices'!S46="",'运动服饰 Prices'!S$3=""),"",'运动服饰 Prices'!S46/'运动服饰 Prices'!S$3)</f>
        <v/>
      </c>
      <c r="T98" s="50">
        <f>IF(OR('运动服饰 Prices'!T46="",'运动服饰 Prices'!T$3=""),"",'运动服饰 Prices'!T46/'运动服饰 Prices'!T$3)</f>
        <v/>
      </c>
      <c r="U98" s="50">
        <f>IF(OR('运动服饰 Prices'!U46="",'运动服饰 Prices'!U$3=""),"",'运动服饰 Prices'!U46/'运动服饰 Prices'!U$3)</f>
        <v/>
      </c>
      <c r="V98" s="50">
        <f>IF(OR('运动服饰 Prices'!V46="",'运动服饰 Prices'!V$3=""),"",'运动服饰 Prices'!V46/'运动服饰 Prices'!V$3)</f>
        <v/>
      </c>
      <c r="W98" s="50">
        <f>IF(OR('运动服饰 Prices'!W46="",'运动服饰 Prices'!W$3=""),"",'运动服饰 Prices'!W46/'运动服饰 Prices'!W$3)</f>
        <v/>
      </c>
      <c r="X98" s="50">
        <f>IF(OR('运动服饰 Prices'!X46="",'运动服饰 Prices'!X$3=""),"",'运动服饰 Prices'!X46/'运动服饰 Prices'!X$3)</f>
        <v/>
      </c>
      <c r="Y98" s="50">
        <f>IF(OR('运动服饰 Prices'!Y46="",'运动服饰 Prices'!Y$3=""),"",'运动服饰 Prices'!Y46/'运动服饰 Prices'!Y$3)</f>
        <v/>
      </c>
      <c r="Z98" s="50">
        <f>IF(OR('运动服饰 Prices'!Z46="",'运动服饰 Prices'!Z$3=""),"",'运动服饰 Prices'!Z46/'运动服饰 Prices'!Z$3)</f>
        <v/>
      </c>
      <c r="AA98" s="50">
        <f>IF(OR('运动服饰 Prices'!AA46="",'运动服饰 Prices'!AA$3=""),"",'运动服饰 Prices'!AA46/'运动服饰 Prices'!AA$3)</f>
        <v/>
      </c>
      <c r="AB98" s="50">
        <f>IF(OR('运动服饰 Prices'!AB46="",'运动服饰 Prices'!AB$3=""),"",'运动服饰 Prices'!AB46/'运动服饰 Prices'!AB$3)</f>
        <v/>
      </c>
      <c r="AC98" s="50">
        <f>IF(OR('运动服饰 Prices'!AC46="",'运动服饰 Prices'!AC$3=""),"",'运动服饰 Prices'!AC46/'运动服饰 Prices'!AC$3)</f>
        <v/>
      </c>
      <c r="AD98" s="50">
        <f>IF(OR('运动服饰 Prices'!AD46="",'运动服饰 Prices'!AD$3=""),"",'运动服饰 Prices'!AD46/'运动服饰 Prices'!AD$3)</f>
        <v/>
      </c>
      <c r="AE98" s="50">
        <f>IF(OR('运动服饰 Prices'!AE46="",'运动服饰 Prices'!AE$3=""),"",'运动服饰 Prices'!AE46/'运动服饰 Prices'!AE$3)</f>
        <v/>
      </c>
      <c r="AF98" s="50">
        <f>IF(OR('运动服饰 Prices'!AF46="",'运动服饰 Prices'!AF$3=""),"",'运动服饰 Prices'!AF46/'运动服饰 Prices'!AF$3)</f>
        <v/>
      </c>
      <c r="AG98" s="50">
        <f>IF(OR('运动服饰 Prices'!AG46="",'运动服饰 Prices'!AG$3=""),"",'运动服饰 Prices'!AG46/'运动服饰 Prices'!AG$3)</f>
        <v/>
      </c>
      <c r="AH98" s="50">
        <f>IF(OR('运动服饰 Prices'!AH46="",'运动服饰 Prices'!AH$3=""),"",'运动服饰 Prices'!AH46/'运动服饰 Prices'!AH$3)</f>
        <v/>
      </c>
      <c r="AI98" s="50">
        <f>IF(OR('运动服饰 Prices'!AI46="",'运动服饰 Prices'!AI$3=""),"",'运动服饰 Prices'!AI46/'运动服饰 Prices'!AI$3)</f>
        <v/>
      </c>
    </row>
    <row r="99">
      <c r="A99" s="49" t="n">
        <v>46297</v>
      </c>
      <c r="B99" s="50">
        <f>IF(OR('运动服饰 Prices'!B99="",'运动服饰 Prices'!B$3=""),"",'运动服饰 Prices'!B99/'运动服饰 Prices'!B$3)</f>
        <v/>
      </c>
      <c r="C99" s="50">
        <f>IF(OR('运动服饰 Prices'!C99="",'运动服饰 Prices'!C$3=""),"",'运动服饰 Prices'!C99/'运动服饰 Prices'!C$3)</f>
        <v/>
      </c>
      <c r="D99" s="50">
        <f>IF(OR('运动服饰 Prices'!D99="",'运动服饰 Prices'!D$3=""),"",'运动服饰 Prices'!D99/'运动服饰 Prices'!D$3)</f>
        <v/>
      </c>
      <c r="E99" s="50">
        <f>IF(OR('运动服饰 Prices'!E99="",'运动服饰 Prices'!E$3=""),"",'运动服饰 Prices'!E99/'运动服饰 Prices'!E$3)</f>
        <v/>
      </c>
      <c r="F99" s="50">
        <f>IF(OR('运动服饰 Prices'!F99="",'运动服饰 Prices'!F$3=""),"",'运动服饰 Prices'!F99/'运动服饰 Prices'!F$3)</f>
        <v/>
      </c>
      <c r="G99" s="50">
        <f>IF(OR('运动服饰 Prices'!G99="",'运动服饰 Prices'!G$3=""),"",'运动服饰 Prices'!G99/'运动服饰 Prices'!G$3)</f>
        <v/>
      </c>
      <c r="H99" s="50">
        <f>IF(OR('运动服饰 Prices'!H99="",'运动服饰 Prices'!H$3=""),"",'运动服饰 Prices'!H99/'运动服饰 Prices'!H$3)</f>
        <v/>
      </c>
      <c r="I99" s="50">
        <f>IF(OR('运动服饰 Prices'!I99="",'运动服饰 Prices'!I$3=""),"",'运动服饰 Prices'!I99/'运动服饰 Prices'!I$3)</f>
        <v/>
      </c>
      <c r="J99" s="50">
        <f>IF(OR('运动服饰 Prices'!J99="",'运动服饰 Prices'!J$3=""),"",'运动服饰 Prices'!J99/'运动服饰 Prices'!J$3)</f>
        <v/>
      </c>
      <c r="K99" s="50">
        <f>IF(OR('运动服饰 Prices'!K99="",'运动服饰 Prices'!K$3=""),"",'运动服饰 Prices'!K99/'运动服饰 Prices'!K$3)</f>
        <v/>
      </c>
      <c r="L99" s="50">
        <f>IF(OR('运动服饰 Prices'!L99="",'运动服饰 Prices'!L$3=""),"",'运动服饰 Prices'!L99/'运动服饰 Prices'!L$3)</f>
        <v/>
      </c>
      <c r="M99" s="50">
        <f>IF(OR('运动服饰 Prices'!M99="",'运动服饰 Prices'!M$3=""),"",'运动服饰 Prices'!M99/'运动服饰 Prices'!M$3)</f>
        <v/>
      </c>
      <c r="N99" s="50">
        <f>IF(OR('运动服饰 Prices'!N99="",'运动服饰 Prices'!N$3=""),"",'运动服饰 Prices'!N99/'运动服饰 Prices'!N$3)</f>
        <v/>
      </c>
      <c r="O99" s="50">
        <f>IF(OR('运动服饰 Prices'!O99="",'运动服饰 Prices'!O$3=""),"",'运动服饰 Prices'!O99/'运动服饰 Prices'!O$3)</f>
        <v/>
      </c>
      <c r="P99" s="50">
        <f>IF(OR('运动服饰 Prices'!P99="",'运动服饰 Prices'!P$3=""),"",'运动服饰 Prices'!P99/'运动服饰 Prices'!P$3)</f>
        <v/>
      </c>
      <c r="Q99" s="50">
        <f>IF(OR('运动服饰 Prices'!Q99="",'运动服饰 Prices'!Q$3=""),"",'运动服饰 Prices'!Q99/'运动服饰 Prices'!Q$3)</f>
        <v/>
      </c>
      <c r="R99" s="50">
        <f>IF(OR('运动服饰 Prices'!R99="",'运动服饰 Prices'!R$3=""),"",'运动服饰 Prices'!R99/'运动服饰 Prices'!R$3)</f>
        <v/>
      </c>
      <c r="S99" s="50">
        <f>IF(OR('运动服饰 Prices'!S99="",'运动服饰 Prices'!S$3=""),"",'运动服饰 Prices'!S99/'运动服饰 Prices'!S$3)</f>
        <v/>
      </c>
      <c r="T99" s="50">
        <f>IF(OR('运动服饰 Prices'!T99="",'运动服饰 Prices'!T$3=""),"",'运动服饰 Prices'!T99/'运动服饰 Prices'!T$3)</f>
        <v/>
      </c>
      <c r="U99" s="50">
        <f>IF(OR('运动服饰 Prices'!U99="",'运动服饰 Prices'!U$3=""),"",'运动服饰 Prices'!U99/'运动服饰 Prices'!U$3)</f>
        <v/>
      </c>
      <c r="V99" s="50">
        <f>IF(OR('运动服饰 Prices'!V99="",'运动服饰 Prices'!V$3=""),"",'运动服饰 Prices'!V99/'运动服饰 Prices'!V$3)</f>
        <v/>
      </c>
      <c r="W99" s="50">
        <f>IF(OR('运动服饰 Prices'!W99="",'运动服饰 Prices'!W$3=""),"",'运动服饰 Prices'!W99/'运动服饰 Prices'!W$3)</f>
        <v/>
      </c>
      <c r="X99" s="50">
        <f>IF(OR('运动服饰 Prices'!X99="",'运动服饰 Prices'!X$3=""),"",'运动服饰 Prices'!X99/'运动服饰 Prices'!X$3)</f>
        <v/>
      </c>
      <c r="Y99" s="50">
        <f>IF(OR('运动服饰 Prices'!Y99="",'运动服饰 Prices'!Y$3=""),"",'运动服饰 Prices'!Y99/'运动服饰 Prices'!Y$3)</f>
        <v/>
      </c>
      <c r="Z99" s="50">
        <f>IF(OR('运动服饰 Prices'!Z99="",'运动服饰 Prices'!Z$3=""),"",'运动服饰 Prices'!Z99/'运动服饰 Prices'!Z$3)</f>
        <v/>
      </c>
      <c r="AA99" s="50">
        <f>IF(OR('运动服饰 Prices'!AA99="",'运动服饰 Prices'!AA$3=""),"",'运动服饰 Prices'!AA99/'运动服饰 Prices'!AA$3)</f>
        <v/>
      </c>
      <c r="AB99" s="50">
        <f>IF(OR('运动服饰 Prices'!AB99="",'运动服饰 Prices'!AB$3=""),"",'运动服饰 Prices'!AB99/'运动服饰 Prices'!AB$3)</f>
        <v/>
      </c>
      <c r="AC99" s="50">
        <f>IF(OR('运动服饰 Prices'!AC99="",'运动服饰 Prices'!AC$3=""),"",'运动服饰 Prices'!AC99/'运动服饰 Prices'!AC$3)</f>
        <v/>
      </c>
      <c r="AD99" s="50">
        <f>IF(OR('运动服饰 Prices'!AD99="",'运动服饰 Prices'!AD$3=""),"",'运动服饰 Prices'!AD99/'运动服饰 Prices'!AD$3)</f>
        <v/>
      </c>
      <c r="AE99" s="50">
        <f>IF(OR('运动服饰 Prices'!AE99="",'运动服饰 Prices'!AE$3=""),"",'运动服饰 Prices'!AE99/'运动服饰 Prices'!AE$3)</f>
        <v/>
      </c>
      <c r="AF99" s="50">
        <f>IF(OR('运动服饰 Prices'!AF99="",'运动服饰 Prices'!AF$3=""),"",'运动服饰 Prices'!AF99/'运动服饰 Prices'!AF$3)</f>
        <v/>
      </c>
      <c r="AG99" s="50">
        <f>IF(OR('运动服饰 Prices'!AG99="",'运动服饰 Prices'!AG$3=""),"",'运动服饰 Prices'!AG99/'运动服饰 Prices'!AG$3)</f>
        <v/>
      </c>
      <c r="AH99" s="50">
        <f>IF(OR('运动服饰 Prices'!AH99="",'运动服饰 Prices'!AH$3=""),"",'运动服饰 Prices'!AH99/'运动服饰 Prices'!AH$3)</f>
        <v/>
      </c>
      <c r="AI99" s="50">
        <f>IF(OR('运动服饰 Prices'!AI99="",'运动服饰 Prices'!AI$3=""),"",'运动服饰 Prices'!AI99/'运动服饰 Prices'!AI$3)</f>
        <v/>
      </c>
    </row>
    <row r="100">
      <c r="A100" s="49" t="n">
        <v>46304</v>
      </c>
      <c r="B100" s="50">
        <f>IF(OR('运动服饰 Prices'!B100="",'运动服饰 Prices'!B$3=""),"",'运动服饰 Prices'!B100/'运动服饰 Prices'!B$3)</f>
        <v/>
      </c>
      <c r="C100" s="50">
        <f>IF(OR('运动服饰 Prices'!C100="",'运动服饰 Prices'!C$3=""),"",'运动服饰 Prices'!C100/'运动服饰 Prices'!C$3)</f>
        <v/>
      </c>
      <c r="D100" s="50">
        <f>IF(OR('运动服饰 Prices'!D100="",'运动服饰 Prices'!D$3=""),"",'运动服饰 Prices'!D100/'运动服饰 Prices'!D$3)</f>
        <v/>
      </c>
      <c r="E100" s="50">
        <f>IF(OR('运动服饰 Prices'!E100="",'运动服饰 Prices'!E$3=""),"",'运动服饰 Prices'!E100/'运动服饰 Prices'!E$3)</f>
        <v/>
      </c>
      <c r="F100" s="50">
        <f>IF(OR('运动服饰 Prices'!F100="",'运动服饰 Prices'!F$3=""),"",'运动服饰 Prices'!F100/'运动服饰 Prices'!F$3)</f>
        <v/>
      </c>
      <c r="G100" s="50">
        <f>IF(OR('运动服饰 Prices'!G100="",'运动服饰 Prices'!G$3=""),"",'运动服饰 Prices'!G100/'运动服饰 Prices'!G$3)</f>
        <v/>
      </c>
      <c r="H100" s="50">
        <f>IF(OR('运动服饰 Prices'!H100="",'运动服饰 Prices'!H$3=""),"",'运动服饰 Prices'!H100/'运动服饰 Prices'!H$3)</f>
        <v/>
      </c>
      <c r="I100" s="50">
        <f>IF(OR('运动服饰 Prices'!I100="",'运动服饰 Prices'!I$3=""),"",'运动服饰 Prices'!I100/'运动服饰 Prices'!I$3)</f>
        <v/>
      </c>
      <c r="J100" s="50">
        <f>IF(OR('运动服饰 Prices'!J100="",'运动服饰 Prices'!J$3=""),"",'运动服饰 Prices'!J100/'运动服饰 Prices'!J$3)</f>
        <v/>
      </c>
      <c r="K100" s="50">
        <f>IF(OR('运动服饰 Prices'!K100="",'运动服饰 Prices'!K$3=""),"",'运动服饰 Prices'!K100/'运动服饰 Prices'!K$3)</f>
        <v/>
      </c>
      <c r="L100" s="50">
        <f>IF(OR('运动服饰 Prices'!L100="",'运动服饰 Prices'!L$3=""),"",'运动服饰 Prices'!L100/'运动服饰 Prices'!L$3)</f>
        <v/>
      </c>
      <c r="M100" s="50">
        <f>IF(OR('运动服饰 Prices'!M100="",'运动服饰 Prices'!M$3=""),"",'运动服饰 Prices'!M100/'运动服饰 Prices'!M$3)</f>
        <v/>
      </c>
      <c r="N100" s="50">
        <f>IF(OR('运动服饰 Prices'!N100="",'运动服饰 Prices'!N$3=""),"",'运动服饰 Prices'!N100/'运动服饰 Prices'!N$3)</f>
        <v/>
      </c>
      <c r="O100" s="50">
        <f>IF(OR('运动服饰 Prices'!O100="",'运动服饰 Prices'!O$3=""),"",'运动服饰 Prices'!O100/'运动服饰 Prices'!O$3)</f>
        <v/>
      </c>
      <c r="P100" s="50">
        <f>IF(OR('运动服饰 Prices'!P100="",'运动服饰 Prices'!P$3=""),"",'运动服饰 Prices'!P100/'运动服饰 Prices'!P$3)</f>
        <v/>
      </c>
      <c r="Q100" s="50">
        <f>IF(OR('运动服饰 Prices'!Q100="",'运动服饰 Prices'!Q$3=""),"",'运动服饰 Prices'!Q100/'运动服饰 Prices'!Q$3)</f>
        <v/>
      </c>
      <c r="R100" s="50">
        <f>IF(OR('运动服饰 Prices'!R100="",'运动服饰 Prices'!R$3=""),"",'运动服饰 Prices'!R100/'运动服饰 Prices'!R$3)</f>
        <v/>
      </c>
      <c r="S100" s="50">
        <f>IF(OR('运动服饰 Prices'!S100="",'运动服饰 Prices'!S$3=""),"",'运动服饰 Prices'!S100/'运动服饰 Prices'!S$3)</f>
        <v/>
      </c>
      <c r="T100" s="50">
        <f>IF(OR('运动服饰 Prices'!T100="",'运动服饰 Prices'!T$3=""),"",'运动服饰 Prices'!T100/'运动服饰 Prices'!T$3)</f>
        <v/>
      </c>
      <c r="U100" s="50">
        <f>IF(OR('运动服饰 Prices'!U100="",'运动服饰 Prices'!U$3=""),"",'运动服饰 Prices'!U100/'运动服饰 Prices'!U$3)</f>
        <v/>
      </c>
      <c r="V100" s="50">
        <f>IF(OR('运动服饰 Prices'!V100="",'运动服饰 Prices'!V$3=""),"",'运动服饰 Prices'!V100/'运动服饰 Prices'!V$3)</f>
        <v/>
      </c>
      <c r="W100" s="50">
        <f>IF(OR('运动服饰 Prices'!W100="",'运动服饰 Prices'!W$3=""),"",'运动服饰 Prices'!W100/'运动服饰 Prices'!W$3)</f>
        <v/>
      </c>
      <c r="X100" s="50">
        <f>IF(OR('运动服饰 Prices'!X100="",'运动服饰 Prices'!X$3=""),"",'运动服饰 Prices'!X100/'运动服饰 Prices'!X$3)</f>
        <v/>
      </c>
      <c r="Y100" s="50">
        <f>IF(OR('运动服饰 Prices'!Y100="",'运动服饰 Prices'!Y$3=""),"",'运动服饰 Prices'!Y100/'运动服饰 Prices'!Y$3)</f>
        <v/>
      </c>
      <c r="Z100" s="50">
        <f>IF(OR('运动服饰 Prices'!Z100="",'运动服饰 Prices'!Z$3=""),"",'运动服饰 Prices'!Z100/'运动服饰 Prices'!Z$3)</f>
        <v/>
      </c>
      <c r="AA100" s="50">
        <f>IF(OR('运动服饰 Prices'!AA100="",'运动服饰 Prices'!AA$3=""),"",'运动服饰 Prices'!AA100/'运动服饰 Prices'!AA$3)</f>
        <v/>
      </c>
      <c r="AB100" s="50">
        <f>IF(OR('运动服饰 Prices'!AB100="",'运动服饰 Prices'!AB$3=""),"",'运动服饰 Prices'!AB100/'运动服饰 Prices'!AB$3)</f>
        <v/>
      </c>
      <c r="AC100" s="50">
        <f>IF(OR('运动服饰 Prices'!AC100="",'运动服饰 Prices'!AC$3=""),"",'运动服饰 Prices'!AC100/'运动服饰 Prices'!AC$3)</f>
        <v/>
      </c>
      <c r="AD100" s="50">
        <f>IF(OR('运动服饰 Prices'!AD100="",'运动服饰 Prices'!AD$3=""),"",'运动服饰 Prices'!AD100/'运动服饰 Prices'!AD$3)</f>
        <v/>
      </c>
      <c r="AE100" s="50">
        <f>IF(OR('运动服饰 Prices'!AE100="",'运动服饰 Prices'!AE$3=""),"",'运动服饰 Prices'!AE100/'运动服饰 Prices'!AE$3)</f>
        <v/>
      </c>
      <c r="AF100" s="50">
        <f>IF(OR('运动服饰 Prices'!AF100="",'运动服饰 Prices'!AF$3=""),"",'运动服饰 Prices'!AF100/'运动服饰 Prices'!AF$3)</f>
        <v/>
      </c>
      <c r="AG100" s="50">
        <f>IF(OR('运动服饰 Prices'!AG100="",'运动服饰 Prices'!AG$3=""),"",'运动服饰 Prices'!AG100/'运动服饰 Prices'!AG$3)</f>
        <v/>
      </c>
      <c r="AH100" s="50">
        <f>IF(OR('运动服饰 Prices'!AH100="",'运动服饰 Prices'!AH$3=""),"",'运动服饰 Prices'!AH100/'运动服饰 Prices'!AH$3)</f>
        <v/>
      </c>
      <c r="AI100" s="50">
        <f>IF(OR('运动服饰 Prices'!AI100="",'运动服饰 Prices'!AI$3=""),"",'运动服饰 Prices'!AI100/'运动服饰 Prices'!AI$3)</f>
        <v/>
      </c>
    </row>
    <row r="101">
      <c r="A101" s="49" t="n">
        <v>46311</v>
      </c>
      <c r="B101" s="50">
        <f>IF(OR('运动服饰 Prices'!B101="",'运动服饰 Prices'!B$3=""),"",'运动服饰 Prices'!B101/'运动服饰 Prices'!B$3)</f>
        <v/>
      </c>
      <c r="C101" s="50">
        <f>IF(OR('运动服饰 Prices'!C101="",'运动服饰 Prices'!C$3=""),"",'运动服饰 Prices'!C101/'运动服饰 Prices'!C$3)</f>
        <v/>
      </c>
      <c r="D101" s="50">
        <f>IF(OR('运动服饰 Prices'!D101="",'运动服饰 Prices'!D$3=""),"",'运动服饰 Prices'!D101/'运动服饰 Prices'!D$3)</f>
        <v/>
      </c>
      <c r="E101" s="50">
        <f>IF(OR('运动服饰 Prices'!E101="",'运动服饰 Prices'!E$3=""),"",'运动服饰 Prices'!E101/'运动服饰 Prices'!E$3)</f>
        <v/>
      </c>
      <c r="F101" s="50">
        <f>IF(OR('运动服饰 Prices'!F101="",'运动服饰 Prices'!F$3=""),"",'运动服饰 Prices'!F101/'运动服饰 Prices'!F$3)</f>
        <v/>
      </c>
      <c r="G101" s="50">
        <f>IF(OR('运动服饰 Prices'!G101="",'运动服饰 Prices'!G$3=""),"",'运动服饰 Prices'!G101/'运动服饰 Prices'!G$3)</f>
        <v/>
      </c>
      <c r="H101" s="50">
        <f>IF(OR('运动服饰 Prices'!H101="",'运动服饰 Prices'!H$3=""),"",'运动服饰 Prices'!H101/'运动服饰 Prices'!H$3)</f>
        <v/>
      </c>
      <c r="I101" s="50">
        <f>IF(OR('运动服饰 Prices'!I101="",'运动服饰 Prices'!I$3=""),"",'运动服饰 Prices'!I101/'运动服饰 Prices'!I$3)</f>
        <v/>
      </c>
      <c r="J101" s="50">
        <f>IF(OR('运动服饰 Prices'!J101="",'运动服饰 Prices'!J$3=""),"",'运动服饰 Prices'!J101/'运动服饰 Prices'!J$3)</f>
        <v/>
      </c>
      <c r="K101" s="50">
        <f>IF(OR('运动服饰 Prices'!K101="",'运动服饰 Prices'!K$3=""),"",'运动服饰 Prices'!K101/'运动服饰 Prices'!K$3)</f>
        <v/>
      </c>
      <c r="L101" s="50">
        <f>IF(OR('运动服饰 Prices'!L101="",'运动服饰 Prices'!L$3=""),"",'运动服饰 Prices'!L101/'运动服饰 Prices'!L$3)</f>
        <v/>
      </c>
      <c r="M101" s="50">
        <f>IF(OR('运动服饰 Prices'!M101="",'运动服饰 Prices'!M$3=""),"",'运动服饰 Prices'!M101/'运动服饰 Prices'!M$3)</f>
        <v/>
      </c>
      <c r="N101" s="50">
        <f>IF(OR('运动服饰 Prices'!N101="",'运动服饰 Prices'!N$3=""),"",'运动服饰 Prices'!N101/'运动服饰 Prices'!N$3)</f>
        <v/>
      </c>
      <c r="O101" s="50">
        <f>IF(OR('运动服饰 Prices'!O101="",'运动服饰 Prices'!O$3=""),"",'运动服饰 Prices'!O101/'运动服饰 Prices'!O$3)</f>
        <v/>
      </c>
      <c r="P101" s="50">
        <f>IF(OR('运动服饰 Prices'!P101="",'运动服饰 Prices'!P$3=""),"",'运动服饰 Prices'!P101/'运动服饰 Prices'!P$3)</f>
        <v/>
      </c>
      <c r="Q101" s="50">
        <f>IF(OR('运动服饰 Prices'!Q101="",'运动服饰 Prices'!Q$3=""),"",'运动服饰 Prices'!Q101/'运动服饰 Prices'!Q$3)</f>
        <v/>
      </c>
      <c r="R101" s="50">
        <f>IF(OR('运动服饰 Prices'!R101="",'运动服饰 Prices'!R$3=""),"",'运动服饰 Prices'!R101/'运动服饰 Prices'!R$3)</f>
        <v/>
      </c>
      <c r="S101" s="50">
        <f>IF(OR('运动服饰 Prices'!S101="",'运动服饰 Prices'!S$3=""),"",'运动服饰 Prices'!S101/'运动服饰 Prices'!S$3)</f>
        <v/>
      </c>
      <c r="T101" s="50">
        <f>IF(OR('运动服饰 Prices'!T101="",'运动服饰 Prices'!T$3=""),"",'运动服饰 Prices'!T101/'运动服饰 Prices'!T$3)</f>
        <v/>
      </c>
      <c r="U101" s="50">
        <f>IF(OR('运动服饰 Prices'!U101="",'运动服饰 Prices'!U$3=""),"",'运动服饰 Prices'!U101/'运动服饰 Prices'!U$3)</f>
        <v/>
      </c>
      <c r="V101" s="50">
        <f>IF(OR('运动服饰 Prices'!V101="",'运动服饰 Prices'!V$3=""),"",'运动服饰 Prices'!V101/'运动服饰 Prices'!V$3)</f>
        <v/>
      </c>
      <c r="W101" s="50">
        <f>IF(OR('运动服饰 Prices'!W101="",'运动服饰 Prices'!W$3=""),"",'运动服饰 Prices'!W101/'运动服饰 Prices'!W$3)</f>
        <v/>
      </c>
      <c r="X101" s="50">
        <f>IF(OR('运动服饰 Prices'!X101="",'运动服饰 Prices'!X$3=""),"",'运动服饰 Prices'!X101/'运动服饰 Prices'!X$3)</f>
        <v/>
      </c>
      <c r="Y101" s="50">
        <f>IF(OR('运动服饰 Prices'!Y101="",'运动服饰 Prices'!Y$3=""),"",'运动服饰 Prices'!Y101/'运动服饰 Prices'!Y$3)</f>
        <v/>
      </c>
      <c r="Z101" s="50">
        <f>IF(OR('运动服饰 Prices'!Z101="",'运动服饰 Prices'!Z$3=""),"",'运动服饰 Prices'!Z101/'运动服饰 Prices'!Z$3)</f>
        <v/>
      </c>
      <c r="AA101" s="50">
        <f>IF(OR('运动服饰 Prices'!AA101="",'运动服饰 Prices'!AA$3=""),"",'运动服饰 Prices'!AA101/'运动服饰 Prices'!AA$3)</f>
        <v/>
      </c>
      <c r="AB101" s="50">
        <f>IF(OR('运动服饰 Prices'!AB101="",'运动服饰 Prices'!AB$3=""),"",'运动服饰 Prices'!AB101/'运动服饰 Prices'!AB$3)</f>
        <v/>
      </c>
      <c r="AC101" s="50">
        <f>IF(OR('运动服饰 Prices'!AC101="",'运动服饰 Prices'!AC$3=""),"",'运动服饰 Prices'!AC101/'运动服饰 Prices'!AC$3)</f>
        <v/>
      </c>
      <c r="AD101" s="50">
        <f>IF(OR('运动服饰 Prices'!AD101="",'运动服饰 Prices'!AD$3=""),"",'运动服饰 Prices'!AD101/'运动服饰 Prices'!AD$3)</f>
        <v/>
      </c>
      <c r="AE101" s="50">
        <f>IF(OR('运动服饰 Prices'!AE101="",'运动服饰 Prices'!AE$3=""),"",'运动服饰 Prices'!AE101/'运动服饰 Prices'!AE$3)</f>
        <v/>
      </c>
      <c r="AF101" s="50">
        <f>IF(OR('运动服饰 Prices'!AF101="",'运动服饰 Prices'!AF$3=""),"",'运动服饰 Prices'!AF101/'运动服饰 Prices'!AF$3)</f>
        <v/>
      </c>
      <c r="AG101" s="50">
        <f>IF(OR('运动服饰 Prices'!AG101="",'运动服饰 Prices'!AG$3=""),"",'运动服饰 Prices'!AG101/'运动服饰 Prices'!AG$3)</f>
        <v/>
      </c>
      <c r="AH101" s="50">
        <f>IF(OR('运动服饰 Prices'!AH101="",'运动服饰 Prices'!AH$3=""),"",'运动服饰 Prices'!AH101/'运动服饰 Prices'!AH$3)</f>
        <v/>
      </c>
      <c r="AI101" s="50">
        <f>IF(OR('运动服饰 Prices'!AI101="",'运动服饰 Prices'!AI$3=""),"",'运动服饰 Prices'!AI101/'运动服饰 Prices'!AI$3)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ColWidth="9" defaultRowHeight="16.8"/>
  <cols>
    <col width="14" customWidth="1" min="1" max="1"/>
    <col width="12" customWidth="1" min="2" max="2"/>
    <col width="14" customWidth="1" min="3" max="4"/>
    <col width="8" customWidth="1" min="5" max="5"/>
    <col width="40" customWidth="1" min="6" max="6"/>
  </cols>
  <sheetData>
    <row r="1">
      <c r="A1" s="4" t="inlineStr">
        <is>
          <t>代码</t>
        </is>
      </c>
      <c r="B1" s="4" t="inlineStr">
        <is>
          <t>Yahoo</t>
        </is>
      </c>
      <c r="C1" s="4" t="inlineStr">
        <is>
          <t>Bloomberg</t>
        </is>
      </c>
      <c r="D1" s="4" t="inlineStr">
        <is>
          <t>区域</t>
        </is>
      </c>
      <c r="E1" s="4" t="inlineStr">
        <is>
          <t>状态</t>
        </is>
      </c>
      <c r="F1" s="4" t="inlineStr">
        <is>
          <t>备注</t>
        </is>
      </c>
    </row>
    <row r="2">
      <c r="A2" s="1" t="inlineStr">
        <is>
          <t>NKE.N</t>
        </is>
      </c>
      <c r="B2" s="1" t="inlineStr">
        <is>
          <t>NKE</t>
        </is>
      </c>
      <c r="C2" s="1" t="inlineStr">
        <is>
          <t>NKE US</t>
        </is>
      </c>
      <c r="D2" s="1" t="inlineStr">
        <is>
          <t>US/EU</t>
        </is>
      </c>
      <c r="E2" s="1" t="inlineStr">
        <is>
          <t>OK</t>
        </is>
      </c>
      <c r="F2" s="1" t="inlineStr">
        <is>
          <t>Nike</t>
        </is>
      </c>
    </row>
    <row r="3">
      <c r="A3" s="1" t="inlineStr">
        <is>
          <t>ADDY</t>
        </is>
      </c>
      <c r="B3" s="1" t="inlineStr">
        <is>
          <t>ADS.DE</t>
        </is>
      </c>
      <c r="C3" s="1" t="inlineStr">
        <is>
          <t>ADS GY</t>
        </is>
      </c>
      <c r="D3" s="1" t="inlineStr">
        <is>
          <t>US/EU</t>
        </is>
      </c>
      <c r="E3" s="1" t="inlineStr">
        <is>
          <t>OK</t>
        </is>
      </c>
      <c r="F3" s="1" t="inlineStr">
        <is>
          <t>Adidas 德国本地股 EUR</t>
        </is>
      </c>
    </row>
    <row r="4">
      <c r="A4" s="1" t="inlineStr">
        <is>
          <t>ZGN.N</t>
        </is>
      </c>
      <c r="B4" s="1" t="inlineStr">
        <is>
          <t>ZGN</t>
        </is>
      </c>
      <c r="C4" s="1" t="inlineStr">
        <is>
          <t>ZGN US</t>
        </is>
      </c>
      <c r="D4" s="1" t="inlineStr">
        <is>
          <t>US/EU</t>
        </is>
      </c>
      <c r="E4" s="1" t="inlineStr">
        <is>
          <t>OK</t>
        </is>
      </c>
      <c r="F4" s="1" t="inlineStr">
        <is>
          <t>Zegna</t>
        </is>
      </c>
    </row>
    <row r="5">
      <c r="A5" s="1" t="inlineStr">
        <is>
          <t>WWW.N</t>
        </is>
      </c>
      <c r="B5" s="1" t="inlineStr">
        <is>
          <t>WWW</t>
        </is>
      </c>
      <c r="C5" s="1" t="inlineStr">
        <is>
          <t>WWW US</t>
        </is>
      </c>
      <c r="D5" s="1" t="inlineStr">
        <is>
          <t>US/EU</t>
        </is>
      </c>
      <c r="E5" s="1" t="inlineStr">
        <is>
          <t>OK</t>
        </is>
      </c>
      <c r="F5" s="1" t="inlineStr">
        <is>
          <t>Wolverine</t>
        </is>
      </c>
    </row>
    <row r="6">
      <c r="A6" s="1" t="inlineStr">
        <is>
          <t>VSCO.N</t>
        </is>
      </c>
      <c r="B6" s="1" t="inlineStr">
        <is>
          <t>VSCO</t>
        </is>
      </c>
      <c r="C6" s="1" t="inlineStr">
        <is>
          <t>-</t>
        </is>
      </c>
      <c r="D6" s="1" t="inlineStr">
        <is>
          <t>US/EU</t>
        </is>
      </c>
      <c r="E6" s="1" t="inlineStr">
        <is>
          <t>无数据</t>
        </is>
      </c>
      <c r="F6" s="1" t="inlineStr">
        <is>
          <t>疑似退市</t>
        </is>
      </c>
    </row>
    <row r="7">
      <c r="A7" s="1" t="inlineStr">
        <is>
          <t>UAA.N</t>
        </is>
      </c>
      <c r="B7" s="1" t="inlineStr">
        <is>
          <t>UAA</t>
        </is>
      </c>
      <c r="C7" s="1" t="inlineStr">
        <is>
          <t>UAA US</t>
        </is>
      </c>
      <c r="D7" s="1" t="inlineStr">
        <is>
          <t>US/EU</t>
        </is>
      </c>
      <c r="E7" s="1" t="inlineStr">
        <is>
          <t>OK</t>
        </is>
      </c>
      <c r="F7" s="1" t="inlineStr">
        <is>
          <t>Under Armour</t>
        </is>
      </c>
    </row>
    <row r="8">
      <c r="A8" s="1" t="inlineStr">
        <is>
          <t>SKX.N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US/EU</t>
        </is>
      </c>
      <c r="E8" s="1" t="inlineStr">
        <is>
          <t>无数据</t>
        </is>
      </c>
      <c r="F8" s="1" t="inlineStr">
        <is>
          <t>私有化退市</t>
        </is>
      </c>
    </row>
    <row r="9">
      <c r="A9" s="1" t="inlineStr">
        <is>
          <t>SHOO.O</t>
        </is>
      </c>
      <c r="B9" s="1" t="inlineStr">
        <is>
          <t>SHOO</t>
        </is>
      </c>
      <c r="C9" s="1" t="inlineStr">
        <is>
          <t>SHOO US</t>
        </is>
      </c>
      <c r="D9" s="1" t="inlineStr">
        <is>
          <t>US/EU</t>
        </is>
      </c>
      <c r="E9" s="1" t="inlineStr">
        <is>
          <t>OK</t>
        </is>
      </c>
      <c r="F9" s="1" t="inlineStr">
        <is>
          <t>Steven Madden</t>
        </is>
      </c>
    </row>
    <row r="10">
      <c r="A10" s="1" t="inlineStr">
        <is>
          <t>RL.N</t>
        </is>
      </c>
      <c r="B10" s="1" t="inlineStr">
        <is>
          <t>RL</t>
        </is>
      </c>
      <c r="C10" s="1" t="inlineStr">
        <is>
          <t>RL US</t>
        </is>
      </c>
      <c r="D10" s="1" t="inlineStr">
        <is>
          <t>US/EU</t>
        </is>
      </c>
      <c r="E10" s="1" t="inlineStr">
        <is>
          <t>OK</t>
        </is>
      </c>
      <c r="F10" s="1" t="inlineStr">
        <is>
          <t>Ralph Lauren</t>
        </is>
      </c>
    </row>
    <row r="11">
      <c r="A11" s="1" t="inlineStr">
        <is>
          <t>PUM.DF</t>
        </is>
      </c>
      <c r="B11" s="1" t="inlineStr">
        <is>
          <t>PUM.DE</t>
        </is>
      </c>
      <c r="C11" s="1" t="inlineStr">
        <is>
          <t>PUM GY</t>
        </is>
      </c>
      <c r="D11" s="1" t="inlineStr">
        <is>
          <t>US/EU</t>
        </is>
      </c>
      <c r="E11" s="1" t="inlineStr">
        <is>
          <t>OK</t>
        </is>
      </c>
      <c r="F11" s="1" t="inlineStr">
        <is>
          <t>Puma EUR</t>
        </is>
      </c>
    </row>
    <row r="12">
      <c r="A12" s="1" t="inlineStr">
        <is>
          <t>ONON.N</t>
        </is>
      </c>
      <c r="B12" s="1" t="inlineStr">
        <is>
          <t>ONON</t>
        </is>
      </c>
      <c r="C12" s="1" t="inlineStr">
        <is>
          <t>ONON US</t>
        </is>
      </c>
      <c r="D12" s="1" t="inlineStr">
        <is>
          <t>US/EU</t>
        </is>
      </c>
      <c r="E12" s="1" t="inlineStr">
        <is>
          <t>OK</t>
        </is>
      </c>
      <c r="F12" s="1" t="inlineStr">
        <is>
          <t>On Holding</t>
        </is>
      </c>
    </row>
    <row r="13">
      <c r="A13" s="1" t="inlineStr">
        <is>
          <t>NWL.O</t>
        </is>
      </c>
      <c r="B13" s="1" t="inlineStr">
        <is>
          <t>NWL</t>
        </is>
      </c>
      <c r="C13" s="1" t="inlineStr">
        <is>
          <t>NWL US</t>
        </is>
      </c>
      <c r="D13" s="1" t="inlineStr">
        <is>
          <t>US/EU</t>
        </is>
      </c>
      <c r="E13" s="1" t="inlineStr">
        <is>
          <t>OK</t>
        </is>
      </c>
      <c r="F13" s="1" t="inlineStr">
        <is>
          <t>Newell Brands</t>
        </is>
      </c>
    </row>
    <row r="14">
      <c r="A14" s="1" t="inlineStr">
        <is>
          <t>LULU.O</t>
        </is>
      </c>
      <c r="B14" s="1" t="inlineStr">
        <is>
          <t>LULU</t>
        </is>
      </c>
      <c r="C14" s="1" t="inlineStr">
        <is>
          <t>LULU US</t>
        </is>
      </c>
      <c r="D14" s="1" t="inlineStr">
        <is>
          <t>US/EU</t>
        </is>
      </c>
      <c r="E14" s="1" t="inlineStr">
        <is>
          <t>OK</t>
        </is>
      </c>
      <c r="F14" s="1" t="inlineStr">
        <is>
          <t>Lululemon</t>
        </is>
      </c>
    </row>
    <row r="15">
      <c r="A15" s="1" t="inlineStr">
        <is>
          <t>LEVI.N</t>
        </is>
      </c>
      <c r="B15" s="1" t="inlineStr">
        <is>
          <t>LEVI</t>
        </is>
      </c>
      <c r="C15" s="1" t="inlineStr">
        <is>
          <t>LEVI US</t>
        </is>
      </c>
      <c r="D15" s="1" t="inlineStr">
        <is>
          <t>US/EU</t>
        </is>
      </c>
      <c r="E15" s="1" t="inlineStr">
        <is>
          <t>OK</t>
        </is>
      </c>
      <c r="F15" s="1" t="inlineStr">
        <is>
          <t>Levi Strauss</t>
        </is>
      </c>
    </row>
    <row r="16">
      <c r="A16" s="1" t="inlineStr">
        <is>
          <t>KTB.N</t>
        </is>
      </c>
      <c r="B16" s="1" t="inlineStr">
        <is>
          <t>KTB</t>
        </is>
      </c>
      <c r="C16" s="1" t="inlineStr">
        <is>
          <t>KTB US</t>
        </is>
      </c>
      <c r="D16" s="1" t="inlineStr">
        <is>
          <t>US/EU</t>
        </is>
      </c>
      <c r="E16" s="1" t="inlineStr">
        <is>
          <t>OK</t>
        </is>
      </c>
      <c r="F16" s="1" t="inlineStr">
        <is>
          <t>Kontoor Brands</t>
        </is>
      </c>
    </row>
    <row r="17">
      <c r="A17" s="1" t="inlineStr">
        <is>
          <t>HBI.N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US/EU</t>
        </is>
      </c>
      <c r="E17" s="1" t="inlineStr">
        <is>
          <t>无数据</t>
        </is>
      </c>
      <c r="F17" s="1" t="inlineStr">
        <is>
          <t>被 Gildan 收购退市</t>
        </is>
      </c>
    </row>
    <row r="18">
      <c r="A18" s="1" t="inlineStr">
        <is>
          <t>GIL.N</t>
        </is>
      </c>
      <c r="B18" s="1" t="inlineStr">
        <is>
          <t>GIL</t>
        </is>
      </c>
      <c r="C18" s="1" t="inlineStr">
        <is>
          <t>GIL US</t>
        </is>
      </c>
      <c r="D18" s="1" t="inlineStr">
        <is>
          <t>US/EU</t>
        </is>
      </c>
      <c r="E18" s="1" t="inlineStr">
        <is>
          <t>OK</t>
        </is>
      </c>
      <c r="F18" s="1" t="inlineStr">
        <is>
          <t>Gildan</t>
        </is>
      </c>
    </row>
    <row r="19">
      <c r="A19" s="1" t="inlineStr">
        <is>
          <t>GAP.N</t>
        </is>
      </c>
      <c r="B19" s="1" t="inlineStr">
        <is>
          <t>GAP</t>
        </is>
      </c>
      <c r="C19" s="1" t="inlineStr">
        <is>
          <t>GAP US</t>
        </is>
      </c>
      <c r="D19" s="1" t="inlineStr">
        <is>
          <t>US/EU</t>
        </is>
      </c>
      <c r="E19" s="1" t="inlineStr">
        <is>
          <t>OK</t>
        </is>
      </c>
      <c r="F19" s="1" t="inlineStr">
        <is>
          <t>Gap</t>
        </is>
      </c>
    </row>
    <row r="20">
      <c r="A20" s="1" t="inlineStr">
        <is>
          <t>DECK.N</t>
        </is>
      </c>
      <c r="B20" s="1" t="inlineStr">
        <is>
          <t>DECK</t>
        </is>
      </c>
      <c r="C20" s="1" t="inlineStr">
        <is>
          <t>DECK US</t>
        </is>
      </c>
      <c r="D20" s="1" t="inlineStr">
        <is>
          <t>US/EU</t>
        </is>
      </c>
      <c r="E20" s="1" t="inlineStr">
        <is>
          <t>OK</t>
        </is>
      </c>
      <c r="F20" s="1" t="inlineStr">
        <is>
          <t>Deckers</t>
        </is>
      </c>
    </row>
    <row r="21">
      <c r="A21" s="1" t="inlineStr">
        <is>
          <t>CROX.O</t>
        </is>
      </c>
      <c r="B21" s="1" t="inlineStr">
        <is>
          <t>CROX</t>
        </is>
      </c>
      <c r="C21" s="1" t="inlineStr">
        <is>
          <t>CROX US</t>
        </is>
      </c>
      <c r="D21" s="1" t="inlineStr">
        <is>
          <t>US/EU</t>
        </is>
      </c>
      <c r="E21" s="1" t="inlineStr">
        <is>
          <t>OK</t>
        </is>
      </c>
      <c r="F21" s="1" t="inlineStr">
        <is>
          <t>Crocs</t>
        </is>
      </c>
    </row>
    <row r="22">
      <c r="A22" s="1" t="inlineStr">
        <is>
          <t>COLM.O</t>
        </is>
      </c>
      <c r="B22" s="1" t="inlineStr">
        <is>
          <t>COLM</t>
        </is>
      </c>
      <c r="C22" s="1" t="inlineStr">
        <is>
          <t>COLM US</t>
        </is>
      </c>
      <c r="D22" s="1" t="inlineStr">
        <is>
          <t>US/EU</t>
        </is>
      </c>
      <c r="E22" s="1" t="inlineStr">
        <is>
          <t>OK</t>
        </is>
      </c>
      <c r="F22" s="1" t="inlineStr">
        <is>
          <t>Columbia</t>
        </is>
      </c>
    </row>
    <row r="23">
      <c r="A23" s="1" t="inlineStr">
        <is>
          <t>BZUN.O</t>
        </is>
      </c>
      <c r="B23" s="1" t="inlineStr">
        <is>
          <t>BZUN</t>
        </is>
      </c>
      <c r="C23" s="1" t="inlineStr">
        <is>
          <t>BZUN US</t>
        </is>
      </c>
      <c r="D23" s="1" t="inlineStr">
        <is>
          <t>US/EU</t>
        </is>
      </c>
      <c r="E23" s="1" t="inlineStr">
        <is>
          <t>OK</t>
        </is>
      </c>
      <c r="F23" s="1" t="inlineStr">
        <is>
          <t>宝尊电商 ADR</t>
        </is>
      </c>
    </row>
    <row r="24">
      <c r="A24" s="1" t="inlineStr">
        <is>
          <t>AS.N</t>
        </is>
      </c>
      <c r="B24" s="1" t="inlineStr">
        <is>
          <t>AS</t>
        </is>
      </c>
      <c r="C24" s="1" t="inlineStr">
        <is>
          <t>AS US</t>
        </is>
      </c>
      <c r="D24" s="1" t="inlineStr">
        <is>
          <t>US/EU</t>
        </is>
      </c>
      <c r="E24" s="1" t="inlineStr">
        <is>
          <t>OK</t>
        </is>
      </c>
      <c r="F24" s="1" t="inlineStr">
        <is>
          <t>Amer Sports</t>
        </is>
      </c>
    </row>
    <row r="25">
      <c r="A25" s="1" t="inlineStr">
        <is>
          <t>ANF.N</t>
        </is>
      </c>
      <c r="B25" s="1" t="inlineStr">
        <is>
          <t>ANF</t>
        </is>
      </c>
      <c r="C25" s="1" t="inlineStr">
        <is>
          <t>ANF US</t>
        </is>
      </c>
      <c r="D25" s="1" t="inlineStr">
        <is>
          <t>US/EU</t>
        </is>
      </c>
      <c r="E25" s="1" t="inlineStr">
        <is>
          <t>OK</t>
        </is>
      </c>
      <c r="F25" s="1" t="inlineStr">
        <is>
          <t>Abercrombie</t>
        </is>
      </c>
    </row>
    <row r="26">
      <c r="A26" s="1" t="inlineStr">
        <is>
          <t>9983.T</t>
        </is>
      </c>
      <c r="B26" s="1" t="inlineStr">
        <is>
          <t>9983.T</t>
        </is>
      </c>
      <c r="C26" s="1" t="inlineStr">
        <is>
          <t>9983 JT</t>
        </is>
      </c>
      <c r="D26" s="1" t="inlineStr">
        <is>
          <t>Japan</t>
        </is>
      </c>
      <c r="E26" s="1" t="inlineStr">
        <is>
          <t>OK</t>
        </is>
      </c>
      <c r="F26" s="1" t="inlineStr">
        <is>
          <t>迅销</t>
        </is>
      </c>
    </row>
    <row r="27">
      <c r="A27" s="1" t="inlineStr">
        <is>
          <t>8111.T</t>
        </is>
      </c>
      <c r="B27" s="1" t="inlineStr">
        <is>
          <t>8111.T</t>
        </is>
      </c>
      <c r="C27" s="1" t="inlineStr">
        <is>
          <t>8111 JT</t>
        </is>
      </c>
      <c r="D27" s="1" t="inlineStr">
        <is>
          <t>Japan</t>
        </is>
      </c>
      <c r="E27" s="1" t="inlineStr">
        <is>
          <t>OK</t>
        </is>
      </c>
      <c r="F27" s="1" t="inlineStr">
        <is>
          <t>Goldwin</t>
        </is>
      </c>
    </row>
    <row r="28">
      <c r="A28" s="1" t="inlineStr">
        <is>
          <t>7936.T</t>
        </is>
      </c>
      <c r="B28" s="1" t="inlineStr">
        <is>
          <t>7936.T</t>
        </is>
      </c>
      <c r="C28" s="1" t="inlineStr">
        <is>
          <t>7936 JT</t>
        </is>
      </c>
      <c r="D28" s="1" t="inlineStr">
        <is>
          <t>Japan</t>
        </is>
      </c>
      <c r="E28" s="1" t="inlineStr">
        <is>
          <t>OK</t>
        </is>
      </c>
      <c r="F28" s="1" t="inlineStr">
        <is>
          <t>亚瑟士</t>
        </is>
      </c>
    </row>
    <row r="29">
      <c r="A29" s="1" t="inlineStr">
        <is>
          <t>3998.HK</t>
        </is>
      </c>
      <c r="B29" s="1" t="inlineStr">
        <is>
          <t>3998.HK</t>
        </is>
      </c>
      <c r="C29" s="1" t="inlineStr">
        <is>
          <t>3998 HK</t>
        </is>
      </c>
      <c r="D29" s="1" t="inlineStr">
        <is>
          <t>China/HK</t>
        </is>
      </c>
      <c r="E29" s="1" t="inlineStr">
        <is>
          <t>OK</t>
        </is>
      </c>
      <c r="F29" s="1" t="inlineStr">
        <is>
          <t>波司登</t>
        </is>
      </c>
    </row>
    <row r="30">
      <c r="A30" s="1" t="inlineStr">
        <is>
          <t>2331.HK</t>
        </is>
      </c>
      <c r="B30" s="1" t="inlineStr">
        <is>
          <t>2331.HK</t>
        </is>
      </c>
      <c r="C30" s="1" t="inlineStr">
        <is>
          <t>2331 HK</t>
        </is>
      </c>
      <c r="D30" s="1" t="inlineStr">
        <is>
          <t>China/HK</t>
        </is>
      </c>
      <c r="E30" s="1" t="inlineStr">
        <is>
          <t>OK</t>
        </is>
      </c>
      <c r="F30" s="1" t="inlineStr">
        <is>
          <t>李宁</t>
        </is>
      </c>
    </row>
    <row r="31">
      <c r="A31" s="1" t="inlineStr">
        <is>
          <t>2020.HK</t>
        </is>
      </c>
      <c r="B31" s="1" t="inlineStr">
        <is>
          <t>2020.HK</t>
        </is>
      </c>
      <c r="C31" s="1" t="inlineStr">
        <is>
          <t>2020 HK</t>
        </is>
      </c>
      <c r="D31" s="1" t="inlineStr">
        <is>
          <t>China/HK</t>
        </is>
      </c>
      <c r="E31" s="1" t="inlineStr">
        <is>
          <t>OK</t>
        </is>
      </c>
      <c r="F31" s="1" t="inlineStr">
        <is>
          <t>安踏</t>
        </is>
      </c>
    </row>
    <row r="32">
      <c r="A32" s="1" t="inlineStr">
        <is>
          <t>1836.HK</t>
        </is>
      </c>
      <c r="B32" s="1" t="inlineStr">
        <is>
          <t>1836.HK</t>
        </is>
      </c>
      <c r="C32" s="1" t="inlineStr">
        <is>
          <t>1836 HK</t>
        </is>
      </c>
      <c r="D32" s="1" t="inlineStr">
        <is>
          <t>China/HK</t>
        </is>
      </c>
      <c r="E32" s="1" t="inlineStr">
        <is>
          <t>OK</t>
        </is>
      </c>
      <c r="F32" s="1" t="inlineStr">
        <is>
          <t>九兴控股</t>
        </is>
      </c>
    </row>
    <row r="33">
      <c r="A33" s="1" t="inlineStr">
        <is>
          <t>1368.HK</t>
        </is>
      </c>
      <c r="B33" s="1" t="inlineStr">
        <is>
          <t>1368.HK</t>
        </is>
      </c>
      <c r="C33" s="1" t="inlineStr">
        <is>
          <t>1368 HK</t>
        </is>
      </c>
      <c r="D33" s="1" t="inlineStr">
        <is>
          <t>China/HK</t>
        </is>
      </c>
      <c r="E33" s="1" t="inlineStr">
        <is>
          <t>OK</t>
        </is>
      </c>
      <c r="F33" s="1" t="inlineStr">
        <is>
          <t>特步</t>
        </is>
      </c>
    </row>
    <row r="34">
      <c r="A34" s="1" t="inlineStr">
        <is>
          <t>1361.HK</t>
        </is>
      </c>
      <c r="B34" s="1" t="inlineStr">
        <is>
          <t>1361.HK</t>
        </is>
      </c>
      <c r="C34" s="1" t="inlineStr">
        <is>
          <t>1361 HK</t>
        </is>
      </c>
      <c r="D34" s="1" t="inlineStr">
        <is>
          <t>China/HK</t>
        </is>
      </c>
      <c r="E34" s="1" t="inlineStr">
        <is>
          <t>OK</t>
        </is>
      </c>
      <c r="F34" s="1" t="inlineStr">
        <is>
          <t>361度</t>
        </is>
      </c>
    </row>
    <row r="35">
      <c r="A35" s="1" t="inlineStr">
        <is>
          <t>002832.SZ</t>
        </is>
      </c>
      <c r="B35" s="1" t="inlineStr">
        <is>
          <t>002832.SZ</t>
        </is>
      </c>
      <c r="C35" s="1" t="inlineStr">
        <is>
          <t>002832 CH</t>
        </is>
      </c>
      <c r="D35" s="1" t="inlineStr">
        <is>
          <t>China/HK</t>
        </is>
      </c>
      <c r="E35" s="1" t="inlineStr">
        <is>
          <t>OK</t>
        </is>
      </c>
      <c r="F35" s="1" t="inlineStr">
        <is>
          <t>比音勒芬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pane xSplit="1" ySplit="2" topLeftCell="B3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6.8"/>
  <cols>
    <col width="27.1538461538462" customWidth="1" min="1" max="1"/>
    <col width="11" customWidth="1" min="2" max="16"/>
  </cols>
  <sheetData>
    <row r="1">
      <c r="A1" s="2" t="inlineStr">
        <is>
          <t>奢侈品 收盘价（本地货币）</t>
        </is>
      </c>
    </row>
    <row r="2">
      <c r="A2" s="4" t="inlineStr">
        <is>
          <t>Date</t>
        </is>
      </c>
      <c r="B2" s="5" t="inlineStr">
        <is>
          <t>VFC</t>
        </is>
      </c>
      <c r="C2" s="5" t="inlineStr">
        <is>
          <t>CFR</t>
        </is>
      </c>
      <c r="D2" s="5" t="inlineStr">
        <is>
          <t>1913.HK</t>
        </is>
      </c>
      <c r="E2" s="5" t="inlineStr">
        <is>
          <t>MONC</t>
        </is>
      </c>
      <c r="F2" s="5" t="inlineStr">
        <is>
          <t>KER</t>
        </is>
      </c>
      <c r="G2" s="5" t="inlineStr">
        <is>
          <t>SFER</t>
        </is>
      </c>
      <c r="H2" s="5" t="inlineStr">
        <is>
          <t>RACE</t>
        </is>
      </c>
      <c r="I2" s="5" t="inlineStr">
        <is>
          <t>RMS</t>
        </is>
      </c>
      <c r="J2" s="5" t="inlineStr">
        <is>
          <t>MC</t>
        </is>
      </c>
      <c r="K2" s="5" t="inlineStr">
        <is>
          <t>BRBY</t>
        </is>
      </c>
      <c r="L2" s="5" t="inlineStr">
        <is>
          <t>CPRI</t>
        </is>
      </c>
      <c r="M2" s="5" t="inlineStr">
        <is>
          <t>PVH</t>
        </is>
      </c>
      <c r="N2" s="5" t="inlineStr">
        <is>
          <t>TPR</t>
        </is>
      </c>
      <c r="O2" s="5" t="inlineStr">
        <is>
          <t>GOOS</t>
        </is>
      </c>
      <c r="P2" s="5" t="inlineStr">
        <is>
          <t>ZGN</t>
        </is>
      </c>
    </row>
    <row r="3">
      <c r="A3" s="47" t="n">
        <v>45257</v>
      </c>
      <c r="B3" t="n">
        <v>16.92374610900879</v>
      </c>
      <c r="C3" t="n">
        <v>102.595588684082</v>
      </c>
      <c r="D3" t="n">
        <v>38.81277084350586</v>
      </c>
      <c r="E3" t="n">
        <v>47.2968635559082</v>
      </c>
      <c r="F3" t="n">
        <v>360.0069580078125</v>
      </c>
      <c r="G3" t="n">
        <v>11.57913208007812</v>
      </c>
      <c r="H3" t="n">
        <v>347.8950805664062</v>
      </c>
      <c r="I3" t="n">
        <v>1855.480712890625</v>
      </c>
      <c r="J3" t="n">
        <v>654.1801147460938</v>
      </c>
      <c r="K3" t="n">
        <v>1497.651123046875</v>
      </c>
      <c r="L3" t="n">
        <v>48.41999816894531</v>
      </c>
      <c r="M3" t="n">
        <v>99.08985900878906</v>
      </c>
      <c r="N3" t="n">
        <v>30.62021636962891</v>
      </c>
      <c r="O3" t="n">
        <v>15.8100004196167</v>
      </c>
      <c r="P3" t="n">
        <v>11.3301420211792</v>
      </c>
    </row>
    <row r="4">
      <c r="A4" s="47" t="n">
        <v>45264</v>
      </c>
      <c r="B4" t="n">
        <v>17.05486297607422</v>
      </c>
      <c r="C4" t="n">
        <v>108.0076446533203</v>
      </c>
      <c r="D4" t="n">
        <v>40.36711120605469</v>
      </c>
      <c r="E4" t="n">
        <v>50.07793045043945</v>
      </c>
      <c r="F4" t="n">
        <v>379.1572570800781</v>
      </c>
      <c r="G4" t="n">
        <v>11.95520687103271</v>
      </c>
      <c r="H4" t="n">
        <v>357.4064331054688</v>
      </c>
      <c r="I4" t="n">
        <v>1920.58544921875</v>
      </c>
      <c r="J4" t="n">
        <v>696.9937133789062</v>
      </c>
      <c r="K4" t="n">
        <v>1517.639892578125</v>
      </c>
      <c r="L4" t="n">
        <v>48.43999862670898</v>
      </c>
      <c r="M4" t="n">
        <v>107.748779296875</v>
      </c>
      <c r="N4" t="n">
        <v>31.73912620544434</v>
      </c>
      <c r="O4" t="n">
        <v>15.93000030517578</v>
      </c>
      <c r="P4" t="n">
        <v>11.43612003326416</v>
      </c>
    </row>
    <row r="5">
      <c r="A5" s="47" t="n">
        <v>45271</v>
      </c>
      <c r="B5" t="n">
        <v>18.7189769744873</v>
      </c>
      <c r="C5" t="n">
        <v>113.7462768554688</v>
      </c>
      <c r="D5" t="n">
        <v>41.510009765625</v>
      </c>
      <c r="E5" t="n">
        <v>52.18706512451172</v>
      </c>
      <c r="F5" t="n">
        <v>382.8682556152344</v>
      </c>
      <c r="G5" t="n">
        <v>12.50942230224609</v>
      </c>
      <c r="H5" t="n">
        <v>345.468505859375</v>
      </c>
      <c r="I5" t="n">
        <v>1960.403686523438</v>
      </c>
      <c r="J5" t="n">
        <v>705.7638549804688</v>
      </c>
      <c r="K5" t="n">
        <v>1522.823608398438</v>
      </c>
      <c r="L5" t="n">
        <v>49.27999877929688</v>
      </c>
      <c r="M5" t="n">
        <v>117.9404220581055</v>
      </c>
      <c r="N5" t="n">
        <v>34.15292358398438</v>
      </c>
      <c r="O5" t="n">
        <v>16.96999931335449</v>
      </c>
      <c r="P5" t="n">
        <v>11.26270008087158</v>
      </c>
    </row>
    <row r="6">
      <c r="A6" s="47" t="n">
        <v>45278</v>
      </c>
      <c r="B6" t="n">
        <v>17.47794151306152</v>
      </c>
      <c r="C6" t="n">
        <v>108.1942596435547</v>
      </c>
      <c r="D6" t="n">
        <v>40.04710006713867</v>
      </c>
      <c r="E6" t="n">
        <v>52.26172637939453</v>
      </c>
      <c r="F6" t="n">
        <v>364.4967651367188</v>
      </c>
      <c r="G6" t="n">
        <v>12.14324474334717</v>
      </c>
      <c r="H6" t="n">
        <v>326.0950012207031</v>
      </c>
      <c r="I6" t="n">
        <v>1880.670166015625</v>
      </c>
      <c r="J6" t="n">
        <v>695.6734619140625</v>
      </c>
      <c r="K6" t="n">
        <v>1419.869384765625</v>
      </c>
      <c r="L6" t="n">
        <v>50.08000183105469</v>
      </c>
      <c r="M6" t="n">
        <v>120.4087219238281</v>
      </c>
      <c r="N6" t="n">
        <v>35.07112503051758</v>
      </c>
      <c r="O6" t="n">
        <v>15.98999977111816</v>
      </c>
      <c r="P6" t="n">
        <v>11.14708614349365</v>
      </c>
    </row>
    <row r="7">
      <c r="A7" s="47" t="n">
        <v>45285</v>
      </c>
      <c r="B7" t="n">
        <v>17.67537689208984</v>
      </c>
      <c r="C7" t="n">
        <v>108.0076446533203</v>
      </c>
      <c r="D7" t="n">
        <v>40.82427215576172</v>
      </c>
      <c r="E7" t="n">
        <v>51.98174667358398</v>
      </c>
      <c r="F7" t="n">
        <v>365.5963134765625</v>
      </c>
      <c r="G7" t="n">
        <v>12.08386421203613</v>
      </c>
      <c r="H7" t="n">
        <v>329.8079223632812</v>
      </c>
      <c r="I7" t="n">
        <v>1858.968505859375</v>
      </c>
      <c r="J7" t="n">
        <v>691.8070068359375</v>
      </c>
      <c r="K7" t="n">
        <v>1415.371337890625</v>
      </c>
      <c r="L7" t="n">
        <v>50.2400016784668</v>
      </c>
      <c r="M7" t="n">
        <v>121.5433349609375</v>
      </c>
      <c r="N7" t="n">
        <v>34.84393692016602</v>
      </c>
      <c r="O7" t="n">
        <v>15.73999977111816</v>
      </c>
      <c r="P7" t="n">
        <v>11.14708614349365</v>
      </c>
    </row>
    <row r="8">
      <c r="A8" s="47" t="n">
        <v>45292</v>
      </c>
      <c r="B8" t="n">
        <v>15.88903427124023</v>
      </c>
      <c r="C8" t="n">
        <v>104.6017837524414</v>
      </c>
      <c r="D8" t="n">
        <v>37.98988723754883</v>
      </c>
      <c r="E8" t="n">
        <v>48.6407356262207</v>
      </c>
      <c r="F8" t="n">
        <v>346.7209167480469</v>
      </c>
      <c r="G8" t="n">
        <v>11.51975250244141</v>
      </c>
      <c r="H8" t="n">
        <v>326.3970947265625</v>
      </c>
      <c r="I8" t="n">
        <v>1763.0556640625</v>
      </c>
      <c r="J8" t="n">
        <v>649.653564453125</v>
      </c>
      <c r="K8" t="n">
        <v>1377.388305664062</v>
      </c>
      <c r="L8" t="n">
        <v>50.68999862670898</v>
      </c>
      <c r="M8" t="n">
        <v>116.447509765625</v>
      </c>
      <c r="N8" t="n">
        <v>35.33616638183594</v>
      </c>
      <c r="O8" t="n">
        <v>15.25</v>
      </c>
      <c r="P8" t="n">
        <v>10.53048038482666</v>
      </c>
    </row>
    <row r="9">
      <c r="A9" s="47" t="n">
        <v>45299</v>
      </c>
      <c r="B9" t="n">
        <v>15.24031448364258</v>
      </c>
      <c r="C9" t="n">
        <v>102.8755264282227</v>
      </c>
      <c r="D9" t="n">
        <v>37.76130676269531</v>
      </c>
      <c r="E9" t="n">
        <v>50.15259170532227</v>
      </c>
      <c r="F9" t="n">
        <v>336.0003967285156</v>
      </c>
      <c r="G9" t="n">
        <v>11.22285175323486</v>
      </c>
      <c r="H9" t="n">
        <v>342.3500366210938</v>
      </c>
      <c r="I9" t="n">
        <v>1779.525512695312</v>
      </c>
      <c r="J9" t="n">
        <v>631.7360229492188</v>
      </c>
      <c r="K9" t="n">
        <v>1284.929321289062</v>
      </c>
      <c r="L9" t="n">
        <v>50.65999984741211</v>
      </c>
      <c r="M9" t="n">
        <v>119.3935165405273</v>
      </c>
      <c r="N9" t="n">
        <v>34.39904403686523</v>
      </c>
      <c r="O9" t="n">
        <v>15.80000019073486</v>
      </c>
      <c r="P9" t="n">
        <v>10.45340442657471</v>
      </c>
    </row>
    <row r="10">
      <c r="A10" s="47" t="n">
        <v>45306</v>
      </c>
      <c r="B10" t="n">
        <v>14.77022361755371</v>
      </c>
      <c r="C10" t="n">
        <v>108.6141586303711</v>
      </c>
      <c r="D10" t="n">
        <v>41.78430557250977</v>
      </c>
      <c r="E10" t="n">
        <v>48.00612640380859</v>
      </c>
      <c r="F10" t="n">
        <v>325.1466979980469</v>
      </c>
      <c r="G10" t="n">
        <v>10.45090961456299</v>
      </c>
      <c r="H10" t="n">
        <v>340.5082092285156</v>
      </c>
      <c r="I10" t="n">
        <v>1775.650268554688</v>
      </c>
      <c r="J10" t="n">
        <v>621.8341674804688</v>
      </c>
      <c r="K10" t="n">
        <v>1231.952880859375</v>
      </c>
      <c r="L10" t="n">
        <v>50.22000122070312</v>
      </c>
      <c r="M10" t="n">
        <v>120.2096557617188</v>
      </c>
      <c r="N10" t="n">
        <v>34.68302536010742</v>
      </c>
      <c r="O10" t="n">
        <v>15.39999961853027</v>
      </c>
      <c r="P10" t="n">
        <v>9.923508644104004</v>
      </c>
    </row>
    <row r="11">
      <c r="A11" s="47" t="n">
        <v>45313</v>
      </c>
      <c r="B11" t="n">
        <v>16.31211853027344</v>
      </c>
      <c r="C11" t="n">
        <v>119.9048156738281</v>
      </c>
      <c r="D11" t="n">
        <v>43.79580307006836</v>
      </c>
      <c r="E11" t="n">
        <v>53.06431198120117</v>
      </c>
      <c r="F11" t="n">
        <v>356.9656066894531</v>
      </c>
      <c r="G11" t="n">
        <v>11.61871910095215</v>
      </c>
      <c r="H11" t="n">
        <v>331.5036315917969</v>
      </c>
      <c r="I11" t="n">
        <v>1904.890502929688</v>
      </c>
      <c r="J11" t="n">
        <v>729.0567016601562</v>
      </c>
      <c r="K11" t="n">
        <v>1340.904418945312</v>
      </c>
      <c r="L11" t="n">
        <v>48.70999908447266</v>
      </c>
      <c r="M11" t="n">
        <v>122.7774887084961</v>
      </c>
      <c r="N11" t="n">
        <v>36.88857650756836</v>
      </c>
      <c r="O11" t="n">
        <v>16.20000076293945</v>
      </c>
      <c r="P11" t="n">
        <v>10.92549419403076</v>
      </c>
    </row>
    <row r="12">
      <c r="A12" s="47" t="n">
        <v>45320</v>
      </c>
      <c r="B12" t="n">
        <v>15.67279720306396</v>
      </c>
      <c r="C12" t="n">
        <v>119.9981231689453</v>
      </c>
      <c r="D12" t="n">
        <v>43.70436859130859</v>
      </c>
      <c r="E12" t="n">
        <v>53.88557052612305</v>
      </c>
      <c r="F12" t="n">
        <v>349.3587951660156</v>
      </c>
      <c r="G12" t="n">
        <v>11.54944229125977</v>
      </c>
      <c r="H12" t="n">
        <v>369.5879821777344</v>
      </c>
      <c r="I12" t="n">
        <v>1959.919311523438</v>
      </c>
      <c r="J12" t="n">
        <v>733.7717895507812</v>
      </c>
      <c r="K12" t="n">
        <v>1281.9306640625</v>
      </c>
      <c r="L12" t="n">
        <v>47.56999969482422</v>
      </c>
      <c r="M12" t="n">
        <v>120.8068237304688</v>
      </c>
      <c r="N12" t="n">
        <v>37.87302398681641</v>
      </c>
      <c r="O12" t="n">
        <v>16.75</v>
      </c>
      <c r="P12" t="n">
        <v>12.64042949676514</v>
      </c>
    </row>
    <row r="13">
      <c r="A13" s="47" t="n">
        <v>45327</v>
      </c>
      <c r="B13" t="n">
        <v>14.38475227355957</v>
      </c>
      <c r="C13" t="n">
        <v>125.2701950073242</v>
      </c>
      <c r="D13" t="n">
        <v>46.6759033203125</v>
      </c>
      <c r="E13" t="n">
        <v>55.58407592773438</v>
      </c>
      <c r="F13" t="n">
        <v>383.2185668945312</v>
      </c>
      <c r="G13" t="n">
        <v>11.94530963897705</v>
      </c>
      <c r="H13" t="n">
        <v>382.5588989257812</v>
      </c>
      <c r="I13" t="n">
        <v>2106.6953125</v>
      </c>
      <c r="J13" t="n">
        <v>761.4969482421875</v>
      </c>
      <c r="K13" t="n">
        <v>1270.435791015625</v>
      </c>
      <c r="L13" t="n">
        <v>46.83000183105469</v>
      </c>
      <c r="M13" t="n">
        <v>127.1567077636719</v>
      </c>
      <c r="N13" t="n">
        <v>39.75674057006836</v>
      </c>
      <c r="O13" t="n">
        <v>16.44000053405762</v>
      </c>
      <c r="P13" t="n">
        <v>12.05272674560547</v>
      </c>
    </row>
    <row r="14">
      <c r="A14" s="47" t="n">
        <v>45334</v>
      </c>
      <c r="B14" t="n">
        <v>15.65399265289307</v>
      </c>
      <c r="C14" t="n">
        <v>127.8829193115234</v>
      </c>
      <c r="D14" t="n">
        <v>48.45882034301758</v>
      </c>
      <c r="E14" t="n">
        <v>58.34648132324219</v>
      </c>
      <c r="F14" t="n">
        <v>397.1335754394531</v>
      </c>
      <c r="G14" t="n">
        <v>12.70735549926758</v>
      </c>
      <c r="H14" t="n">
        <v>379.313720703125</v>
      </c>
      <c r="I14" t="n">
        <v>2133.8486328125</v>
      </c>
      <c r="J14" t="n">
        <v>769.3240966796875</v>
      </c>
      <c r="K14" t="n">
        <v>1337.90576171875</v>
      </c>
      <c r="L14" t="n">
        <v>47.31999969482422</v>
      </c>
      <c r="M14" t="n">
        <v>131.0382995605469</v>
      </c>
      <c r="N14" t="n">
        <v>43.45789337158203</v>
      </c>
      <c r="O14" t="n">
        <v>17.63999938964844</v>
      </c>
      <c r="P14" t="n">
        <v>12.4959135055542</v>
      </c>
    </row>
    <row r="15">
      <c r="A15" s="47" t="n">
        <v>45341</v>
      </c>
      <c r="B15" t="n">
        <v>15.02407264709473</v>
      </c>
      <c r="C15" t="n">
        <v>128.3961181640625</v>
      </c>
      <c r="D15" t="n">
        <v>51.0189094543457</v>
      </c>
      <c r="E15" t="n">
        <v>59.82100677490234</v>
      </c>
      <c r="F15" t="n">
        <v>394.8607788085938</v>
      </c>
      <c r="G15" t="n">
        <v>12.43024826049805</v>
      </c>
      <c r="H15" t="n">
        <v>405.4699401855469</v>
      </c>
      <c r="I15" t="n">
        <v>2232.82666015625</v>
      </c>
      <c r="J15" t="n">
        <v>801.6700439453125</v>
      </c>
      <c r="K15" t="n">
        <v>1303.421142578125</v>
      </c>
      <c r="L15" t="n">
        <v>46.36999893188477</v>
      </c>
      <c r="M15" t="n">
        <v>135.3080139160156</v>
      </c>
      <c r="N15" t="n">
        <v>45.95689010620117</v>
      </c>
      <c r="O15" t="n">
        <v>18.5</v>
      </c>
      <c r="P15" t="n">
        <v>13.68095302581787</v>
      </c>
    </row>
    <row r="16">
      <c r="A16" s="47" t="n">
        <v>45348</v>
      </c>
      <c r="B16" t="n">
        <v>15.26851940155029</v>
      </c>
      <c r="C16" t="n">
        <v>133.5748901367188</v>
      </c>
      <c r="D16" t="n">
        <v>51.11034393310547</v>
      </c>
      <c r="E16" t="n">
        <v>62.95671081542969</v>
      </c>
      <c r="F16" t="n">
        <v>393.2837219238281</v>
      </c>
      <c r="G16" t="n">
        <v>12.18283081054688</v>
      </c>
      <c r="H16" t="n">
        <v>414.5134887695312</v>
      </c>
      <c r="I16" t="n">
        <v>2239.61962890625</v>
      </c>
      <c r="J16" t="n">
        <v>798.1807861328125</v>
      </c>
      <c r="K16" t="n">
        <v>1286.4287109375</v>
      </c>
      <c r="L16" t="n">
        <v>45.81000137329102</v>
      </c>
      <c r="M16" t="n">
        <v>137.1890869140625</v>
      </c>
      <c r="N16" t="n">
        <v>44.69792938232422</v>
      </c>
      <c r="O16" t="n">
        <v>18.6299991607666</v>
      </c>
      <c r="P16" t="n">
        <v>14.01815986633301</v>
      </c>
    </row>
    <row r="17">
      <c r="A17" s="47" t="n">
        <v>45355</v>
      </c>
      <c r="B17" t="n">
        <v>15.22203922271729</v>
      </c>
      <c r="C17" t="n">
        <v>135.3944702148438</v>
      </c>
      <c r="D17" t="n">
        <v>58.42488098144531</v>
      </c>
      <c r="E17" t="n">
        <v>62.62074279785156</v>
      </c>
      <c r="F17" t="n">
        <v>387.2075500488281</v>
      </c>
      <c r="G17" t="n">
        <v>11.48016548156738</v>
      </c>
      <c r="H17" t="n">
        <v>410.0209350585938</v>
      </c>
      <c r="I17" t="n">
        <v>2244.47119140625</v>
      </c>
      <c r="J17" t="n">
        <v>796.7662353515625</v>
      </c>
      <c r="K17" t="n">
        <v>1257.441528320312</v>
      </c>
      <c r="L17" t="n">
        <v>46.79000091552734</v>
      </c>
      <c r="M17" t="n">
        <v>133.7326049804688</v>
      </c>
      <c r="N17" t="n">
        <v>44.89984130859375</v>
      </c>
      <c r="O17" t="n">
        <v>17.43000030517578</v>
      </c>
      <c r="P17" t="n">
        <v>13.92181491851807</v>
      </c>
    </row>
    <row r="18">
      <c r="A18" s="47" t="n">
        <v>45362</v>
      </c>
      <c r="B18" t="n">
        <v>13.97401905059814</v>
      </c>
      <c r="C18" t="n">
        <v>136.0476379394531</v>
      </c>
      <c r="D18" t="n">
        <v>57.14483642578125</v>
      </c>
      <c r="E18" t="n">
        <v>64.63655853271484</v>
      </c>
      <c r="F18" t="n">
        <v>395.3245849609375</v>
      </c>
      <c r="G18" t="n">
        <v>11.410888671875</v>
      </c>
      <c r="H18" t="n">
        <v>413.7241516113281</v>
      </c>
      <c r="I18" t="n">
        <v>2319.18994140625</v>
      </c>
      <c r="J18" t="n">
        <v>813.175048828125</v>
      </c>
      <c r="K18" t="n">
        <v>1268.936401367188</v>
      </c>
      <c r="L18" t="n">
        <v>46.81999969482422</v>
      </c>
      <c r="M18" t="n">
        <v>130.3377380371094</v>
      </c>
      <c r="N18" t="n">
        <v>44.67095184326172</v>
      </c>
      <c r="O18" t="n">
        <v>17.05999946594238</v>
      </c>
      <c r="P18" t="n">
        <v>14.20121383666992</v>
      </c>
    </row>
    <row r="19">
      <c r="A19" s="47" t="n">
        <v>45369</v>
      </c>
      <c r="B19" t="n">
        <v>13.32164859771729</v>
      </c>
      <c r="C19" t="n">
        <v>125.2701950073242</v>
      </c>
      <c r="D19" t="n">
        <v>53.53327941894531</v>
      </c>
      <c r="E19" t="n">
        <v>63.60998916625977</v>
      </c>
      <c r="F19" t="n">
        <v>332.1506042480469</v>
      </c>
      <c r="G19" t="n">
        <v>10.98533153533936</v>
      </c>
      <c r="H19" t="n">
        <v>422.251220703125</v>
      </c>
      <c r="I19" t="n">
        <v>2315.308349609375</v>
      </c>
      <c r="J19" t="n">
        <v>781.3948974609375</v>
      </c>
      <c r="K19" t="n">
        <v>1182.974609375</v>
      </c>
      <c r="L19" t="n">
        <v>45.29000091552734</v>
      </c>
      <c r="M19" t="n">
        <v>133.7525024414062</v>
      </c>
      <c r="N19" t="n">
        <v>44.77585983276367</v>
      </c>
      <c r="O19" t="n">
        <v>16.20000076293945</v>
      </c>
      <c r="P19" t="n">
        <v>14.08560085296631</v>
      </c>
    </row>
    <row r="20">
      <c r="A20" s="47" t="n">
        <v>45376</v>
      </c>
      <c r="B20" t="n">
        <v>14.50348377227783</v>
      </c>
      <c r="C20" t="n">
        <v>128.3028106689453</v>
      </c>
      <c r="D20" t="n">
        <v>56.68767929077148</v>
      </c>
      <c r="E20" t="n">
        <v>64.56189727783203</v>
      </c>
      <c r="F20" t="n">
        <v>339.8502502441406</v>
      </c>
      <c r="G20" t="n">
        <v>11.15357494354248</v>
      </c>
      <c r="H20" t="n">
        <v>424.8337097167969</v>
      </c>
      <c r="I20" t="n">
        <v>2295.90087890625</v>
      </c>
      <c r="J20" t="n">
        <v>786.204345703125</v>
      </c>
      <c r="K20" t="n">
        <v>1212.461547851562</v>
      </c>
      <c r="L20" t="n">
        <v>45.29999923706055</v>
      </c>
      <c r="M20" t="n">
        <v>139.9846649169922</v>
      </c>
      <c r="N20" t="n">
        <v>45.28131484985352</v>
      </c>
      <c r="O20" t="n">
        <v>16.32999992370605</v>
      </c>
      <c r="P20" t="n">
        <v>14.11450386047363</v>
      </c>
    </row>
    <row r="21">
      <c r="A21" s="47" t="n">
        <v>45383</v>
      </c>
      <c r="B21" t="n">
        <v>13.0096435546875</v>
      </c>
      <c r="C21" t="n">
        <v>124.9902648925781</v>
      </c>
      <c r="D21" t="n">
        <v>56.23051834106445</v>
      </c>
      <c r="E21" t="n">
        <v>61.63150405883789</v>
      </c>
      <c r="F21" t="n">
        <v>336.5569458007812</v>
      </c>
      <c r="G21" t="n">
        <v>10.63894653320312</v>
      </c>
      <c r="H21" t="n">
        <v>408.1888122558594</v>
      </c>
      <c r="I21" t="n">
        <v>2275.52294921875</v>
      </c>
      <c r="J21" t="n">
        <v>754.235595703125</v>
      </c>
      <c r="K21" t="n">
        <v>1158.985229492188</v>
      </c>
      <c r="L21" t="n">
        <v>43.75</v>
      </c>
      <c r="M21" t="n">
        <v>108.1767654418945</v>
      </c>
      <c r="N21" t="n">
        <v>40.94202041625977</v>
      </c>
      <c r="O21" t="n">
        <v>15.30000019073486</v>
      </c>
      <c r="P21" t="n">
        <v>11.52283096313477</v>
      </c>
    </row>
    <row r="22">
      <c r="A22" s="47" t="n">
        <v>45390</v>
      </c>
      <c r="B22" t="n">
        <v>11.44962120056152</v>
      </c>
      <c r="C22" t="n">
        <v>119.4849166870117</v>
      </c>
      <c r="D22" t="n">
        <v>53.1218376159668</v>
      </c>
      <c r="E22" t="n">
        <v>59.87700653076172</v>
      </c>
      <c r="F22" t="n">
        <v>325.1466979980469</v>
      </c>
      <c r="G22" t="n">
        <v>9.332583427429199</v>
      </c>
      <c r="H22" t="n">
        <v>399.9443969726562</v>
      </c>
      <c r="I22" t="n">
        <v>2202.7451171875</v>
      </c>
      <c r="J22" t="n">
        <v>736.6953125</v>
      </c>
      <c r="K22" t="n">
        <v>1168.980834960938</v>
      </c>
      <c r="L22" t="n">
        <v>39.31000137329102</v>
      </c>
      <c r="M22" t="n">
        <v>105.1204147338867</v>
      </c>
      <c r="N22" t="n">
        <v>39.23490142822266</v>
      </c>
      <c r="O22" t="n">
        <v>14.85000038146973</v>
      </c>
      <c r="P22" t="n">
        <v>10.89659023284912</v>
      </c>
    </row>
    <row r="23">
      <c r="A23" s="47" t="n">
        <v>45397</v>
      </c>
      <c r="B23" t="n">
        <v>12.13035678863525</v>
      </c>
      <c r="C23" t="n">
        <v>118.9250411987305</v>
      </c>
      <c r="D23" t="n">
        <v>53.07612609863281</v>
      </c>
      <c r="E23" t="n">
        <v>61.07156372070312</v>
      </c>
      <c r="F23" t="n">
        <v>314.5713195800781</v>
      </c>
      <c r="G23" t="n">
        <v>8.961457252502441</v>
      </c>
      <c r="H23" t="n">
        <v>398.2389526367188</v>
      </c>
      <c r="I23" t="n">
        <v>2251.263916015625</v>
      </c>
      <c r="J23" t="n">
        <v>751.2179565429688</v>
      </c>
      <c r="K23" t="n">
        <v>1131.497436523438</v>
      </c>
      <c r="L23" t="n">
        <v>38.52999877929688</v>
      </c>
      <c r="M23" t="n">
        <v>106.3051147460938</v>
      </c>
      <c r="N23" t="n">
        <v>38.73898315429688</v>
      </c>
      <c r="O23" t="n">
        <v>15.69999980926514</v>
      </c>
      <c r="P23" t="n">
        <v>11.08927917480469</v>
      </c>
    </row>
    <row r="24">
      <c r="A24" s="47" t="n">
        <v>45404</v>
      </c>
      <c r="B24" t="n">
        <v>11.95071983337402</v>
      </c>
      <c r="C24" t="n">
        <v>121.1645202636719</v>
      </c>
      <c r="D24" t="n">
        <v>57.92200469970703</v>
      </c>
      <c r="E24" t="n">
        <v>60.58626937866211</v>
      </c>
      <c r="F24" t="n">
        <v>313.5045166015625</v>
      </c>
      <c r="G24" t="n">
        <v>9.421653747558594</v>
      </c>
      <c r="H24" t="n">
        <v>414.3373718261719</v>
      </c>
      <c r="I24" t="n">
        <v>2280.375</v>
      </c>
      <c r="J24" t="n">
        <v>754.1672973632812</v>
      </c>
      <c r="K24" t="n">
        <v>1151.488525390625</v>
      </c>
      <c r="L24" t="n">
        <v>35.54000091552734</v>
      </c>
      <c r="M24" t="n">
        <v>110.5362167358398</v>
      </c>
      <c r="N24" t="n">
        <v>38.19537734985352</v>
      </c>
      <c r="O24" t="n">
        <v>15.39000034332275</v>
      </c>
      <c r="P24" t="n">
        <v>11.59027099609375</v>
      </c>
    </row>
    <row r="25">
      <c r="A25" s="47" t="n">
        <v>45411</v>
      </c>
      <c r="B25" t="n">
        <v>11.92235469818115</v>
      </c>
      <c r="C25" t="n">
        <v>122.9840774536133</v>
      </c>
      <c r="D25" t="n">
        <v>60.79304504394531</v>
      </c>
      <c r="E25" t="n">
        <v>60.00765991210938</v>
      </c>
      <c r="F25" t="n">
        <v>313.818603515625</v>
      </c>
      <c r="G25" t="n">
        <v>9.431549072265625</v>
      </c>
      <c r="H25" t="n">
        <v>422.0168151855469</v>
      </c>
      <c r="I25" t="n">
        <v>2238.68310546875</v>
      </c>
      <c r="J25" t="n">
        <v>744.4569702148438</v>
      </c>
      <c r="K25" t="n">
        <v>1179.476196289062</v>
      </c>
      <c r="L25" t="n">
        <v>35.68000030517578</v>
      </c>
      <c r="M25" t="n">
        <v>112.7164764404297</v>
      </c>
      <c r="N25" t="n">
        <v>37.42289352416992</v>
      </c>
      <c r="O25" t="n">
        <v>15.52000045776367</v>
      </c>
      <c r="P25" t="n">
        <v>12.24541664123535</v>
      </c>
    </row>
    <row r="26">
      <c r="A26" s="47" t="n">
        <v>45418</v>
      </c>
      <c r="B26" t="n">
        <v>11.75217056274414</v>
      </c>
      <c r="C26" t="n">
        <v>126.4365768432617</v>
      </c>
      <c r="D26" t="n">
        <v>60.42065048217773</v>
      </c>
      <c r="E26" t="n">
        <v>59.2050666809082</v>
      </c>
      <c r="F26" t="n">
        <v>317.5437622070312</v>
      </c>
      <c r="G26" t="n">
        <v>9.54536247253418</v>
      </c>
      <c r="H26" t="n">
        <v>397.2130737304688</v>
      </c>
      <c r="I26" t="n">
        <v>2249.4599609375</v>
      </c>
      <c r="J26" t="n">
        <v>750.5497436523438</v>
      </c>
      <c r="K26" t="n">
        <v>1174.478393554688</v>
      </c>
      <c r="L26" t="n">
        <v>36.11999893188477</v>
      </c>
      <c r="M26" t="n">
        <v>113.5029678344727</v>
      </c>
      <c r="N26" t="n">
        <v>38.21445465087891</v>
      </c>
      <c r="O26" t="n">
        <v>14.93000030517578</v>
      </c>
      <c r="P26" t="n">
        <v>11.86967182159424</v>
      </c>
    </row>
    <row r="27">
      <c r="A27" s="47" t="n">
        <v>45425</v>
      </c>
      <c r="B27" t="n">
        <v>12.06417560577393</v>
      </c>
      <c r="C27" t="n">
        <v>135.0678558349609</v>
      </c>
      <c r="D27" t="n">
        <v>56.13813400268555</v>
      </c>
      <c r="E27" t="n">
        <v>59.72768402099609</v>
      </c>
      <c r="F27" t="n">
        <v>317.1616821289062</v>
      </c>
      <c r="G27" t="n">
        <v>9.580000877380371</v>
      </c>
      <c r="H27" t="n">
        <v>414.180419921875</v>
      </c>
      <c r="I27" t="n">
        <v>2248.480224609375</v>
      </c>
      <c r="J27" t="n">
        <v>745.599365234375</v>
      </c>
      <c r="K27" t="n">
        <v>1099.51171875</v>
      </c>
      <c r="L27" t="n">
        <v>35.95000076293945</v>
      </c>
      <c r="M27" t="n">
        <v>113.5726470947266</v>
      </c>
      <c r="N27" t="n">
        <v>40.36026000976562</v>
      </c>
      <c r="O27" t="n">
        <v>18.06999969482422</v>
      </c>
      <c r="P27" t="n">
        <v>12.70787048339844</v>
      </c>
    </row>
    <row r="28">
      <c r="A28" s="47" t="n">
        <v>45432</v>
      </c>
      <c r="B28" t="n">
        <v>11.66707801818848</v>
      </c>
      <c r="C28" t="n">
        <v>133.7615051269531</v>
      </c>
      <c r="D28" t="n">
        <v>58.18629455566406</v>
      </c>
      <c r="E28" t="n">
        <v>58.86289215087891</v>
      </c>
      <c r="F28" t="n">
        <v>317.5437622070312</v>
      </c>
      <c r="G28" t="n">
        <v>9.319999694824219</v>
      </c>
      <c r="H28" t="n">
        <v>408.1584777832031</v>
      </c>
      <c r="I28" t="n">
        <v>2135.8115234375</v>
      </c>
      <c r="J28" t="n">
        <v>713.9932861328125</v>
      </c>
      <c r="K28" t="n">
        <v>1035.040283203125</v>
      </c>
      <c r="L28" t="n">
        <v>34.63000106811523</v>
      </c>
      <c r="M28" t="n">
        <v>114.8270492553711</v>
      </c>
      <c r="N28" t="n">
        <v>40.34119033813477</v>
      </c>
      <c r="O28" t="n">
        <v>19.1200008392334</v>
      </c>
      <c r="P28" t="n">
        <v>12.15870666503906</v>
      </c>
    </row>
    <row r="29">
      <c r="A29" s="47" t="n">
        <v>45439</v>
      </c>
      <c r="B29" t="n">
        <v>12.55581760406494</v>
      </c>
      <c r="C29" t="n">
        <v>134.4146881103516</v>
      </c>
      <c r="D29" t="n">
        <v>60.04825592041016</v>
      </c>
      <c r="E29" t="n">
        <v>58.19766998291016</v>
      </c>
      <c r="F29" t="n">
        <v>302.9775695800781</v>
      </c>
      <c r="G29" t="n">
        <v>9.340000152587891</v>
      </c>
      <c r="H29" t="n">
        <v>403.0976867675781</v>
      </c>
      <c r="I29" t="n">
        <v>2131.892578125</v>
      </c>
      <c r="J29" t="n">
        <v>699.6181640625</v>
      </c>
      <c r="K29" t="n">
        <v>1034.54052734375</v>
      </c>
      <c r="L29" t="n">
        <v>34.54999923706055</v>
      </c>
      <c r="M29" t="n">
        <v>119.4762802124023</v>
      </c>
      <c r="N29" t="n">
        <v>41.47608947753906</v>
      </c>
      <c r="O29" t="n">
        <v>19.70000076293945</v>
      </c>
      <c r="P29" t="n">
        <v>11.86967182159424</v>
      </c>
    </row>
    <row r="30">
      <c r="A30" s="47" t="n">
        <v>45446</v>
      </c>
      <c r="B30" t="n">
        <v>12.83945846557617</v>
      </c>
      <c r="C30" t="n">
        <v>140.0600280761719</v>
      </c>
      <c r="D30" t="n">
        <v>60.8395881652832</v>
      </c>
      <c r="E30" t="n">
        <v>58.40673828125</v>
      </c>
      <c r="F30" t="n">
        <v>313.3888244628906</v>
      </c>
      <c r="G30" t="n">
        <v>9.345000267028809</v>
      </c>
      <c r="H30" t="n">
        <v>404.9905700683594</v>
      </c>
      <c r="I30" t="n">
        <v>2156.3857421875</v>
      </c>
      <c r="J30" t="n">
        <v>725.8931884765625</v>
      </c>
      <c r="K30" t="n">
        <v>1031.541870117188</v>
      </c>
      <c r="L30" t="n">
        <v>33.90000152587891</v>
      </c>
      <c r="M30" t="n">
        <v>119.4446411132812</v>
      </c>
      <c r="N30" t="n">
        <v>41.70636367797852</v>
      </c>
      <c r="O30" t="n">
        <v>18.71999931335449</v>
      </c>
      <c r="P30" t="n">
        <v>11.85040283203125</v>
      </c>
    </row>
    <row r="31">
      <c r="A31" s="47" t="n">
        <v>45453</v>
      </c>
      <c r="B31" t="n">
        <v>12.98222541809082</v>
      </c>
      <c r="C31" t="n">
        <v>134.2280731201172</v>
      </c>
      <c r="D31" t="n">
        <v>57.95354843139648</v>
      </c>
      <c r="E31" t="n">
        <v>55.72683334350586</v>
      </c>
      <c r="F31" t="n">
        <v>288.9366455078125</v>
      </c>
      <c r="G31" t="n">
        <v>8.694999694824219</v>
      </c>
      <c r="H31" t="n">
        <v>402.0973510742188</v>
      </c>
      <c r="I31" t="n">
        <v>2069.189697265625</v>
      </c>
      <c r="J31" t="n">
        <v>677.2464599609375</v>
      </c>
      <c r="K31" t="n">
        <v>979.764892578125</v>
      </c>
      <c r="L31" t="n">
        <v>31.70000076293945</v>
      </c>
      <c r="M31" t="n">
        <v>112.7922286987305</v>
      </c>
      <c r="N31" t="n">
        <v>40.19693374633789</v>
      </c>
      <c r="O31" t="n">
        <v>17.97999954223633</v>
      </c>
      <c r="P31" t="n">
        <v>11.22416210174561</v>
      </c>
    </row>
    <row r="32">
      <c r="A32" s="47" t="n">
        <v>45460</v>
      </c>
      <c r="B32" t="n">
        <v>13.61991596221924</v>
      </c>
      <c r="C32" t="n">
        <v>129.6558227539062</v>
      </c>
      <c r="D32" t="n">
        <v>53.06589889526367</v>
      </c>
      <c r="E32" t="n">
        <v>53.99724960327148</v>
      </c>
      <c r="F32" t="n">
        <v>305.7475280761719</v>
      </c>
      <c r="G32" t="n">
        <v>8.869999885559082</v>
      </c>
      <c r="H32" t="n">
        <v>406.6775207519531</v>
      </c>
      <c r="I32" t="n">
        <v>2117.196533203125</v>
      </c>
      <c r="J32" t="n">
        <v>682.8631591796875</v>
      </c>
      <c r="K32" t="n">
        <v>984.562744140625</v>
      </c>
      <c r="L32" t="n">
        <v>31.29999923706055</v>
      </c>
      <c r="M32" t="n">
        <v>113.9573974609375</v>
      </c>
      <c r="N32" t="n">
        <v>40.03348541259766</v>
      </c>
      <c r="O32" t="n">
        <v>17.94000053405762</v>
      </c>
      <c r="P32" t="n">
        <v>11.41685199737549</v>
      </c>
    </row>
    <row r="33">
      <c r="A33" s="47" t="n">
        <v>45467</v>
      </c>
      <c r="B33" t="n">
        <v>12.84897708892822</v>
      </c>
      <c r="C33" t="n">
        <v>130.8688659667969</v>
      </c>
      <c r="D33" t="n">
        <v>54.3692741394043</v>
      </c>
      <c r="E33" t="n">
        <v>54.22532653808594</v>
      </c>
      <c r="F33" t="n">
        <v>323.3224792480469</v>
      </c>
      <c r="G33" t="n">
        <v>7.90500020980835</v>
      </c>
      <c r="H33" t="n">
        <v>400.5182800292969</v>
      </c>
      <c r="I33" t="n">
        <v>2096.6220703125</v>
      </c>
      <c r="J33" t="n">
        <v>679.3408203125</v>
      </c>
      <c r="K33" t="n">
        <v>877.7999877929688</v>
      </c>
      <c r="L33" t="n">
        <v>33.08000183105469</v>
      </c>
      <c r="M33" t="n">
        <v>105.4327697753906</v>
      </c>
      <c r="N33" t="n">
        <v>41.13912582397461</v>
      </c>
      <c r="O33" t="n">
        <v>17.69000053405762</v>
      </c>
      <c r="P33" t="n">
        <v>11.40721702575684</v>
      </c>
    </row>
    <row r="34">
      <c r="A34" s="47" t="n">
        <v>45474</v>
      </c>
      <c r="B34" t="n">
        <v>12.32549953460693</v>
      </c>
      <c r="C34" t="n">
        <v>130.448974609375</v>
      </c>
      <c r="D34" t="n">
        <v>52.60041046142578</v>
      </c>
      <c r="E34" t="n">
        <v>53.86420440673828</v>
      </c>
      <c r="F34" t="n">
        <v>320.0271606445312</v>
      </c>
      <c r="G34" t="n">
        <v>8.574999809265137</v>
      </c>
      <c r="H34" t="n">
        <v>414.2687377929688</v>
      </c>
      <c r="I34" t="n">
        <v>2073.108642578125</v>
      </c>
      <c r="J34" t="n">
        <v>682.0064086914062</v>
      </c>
      <c r="K34" t="n">
        <v>888.7999877929688</v>
      </c>
      <c r="L34" t="n">
        <v>33.38999938964844</v>
      </c>
      <c r="M34" t="n">
        <v>103.3314971923828</v>
      </c>
      <c r="N34" t="n">
        <v>38.59135818481445</v>
      </c>
      <c r="O34" t="n">
        <v>17.02000045776367</v>
      </c>
      <c r="P34" t="n">
        <v>11.06859302520752</v>
      </c>
    </row>
    <row r="35">
      <c r="A35" s="47" t="n">
        <v>45481</v>
      </c>
      <c r="B35" t="n">
        <v>13.0869197845459</v>
      </c>
      <c r="C35" t="n">
        <v>133.4349212646484</v>
      </c>
      <c r="D35" t="n">
        <v>52.32111740112305</v>
      </c>
      <c r="E35" t="n">
        <v>55.38471984863281</v>
      </c>
      <c r="F35" t="n">
        <v>323.9911193847656</v>
      </c>
      <c r="G35" t="n">
        <v>8.850000381469727</v>
      </c>
      <c r="H35" t="n">
        <v>426.7931823730469</v>
      </c>
      <c r="I35" t="n">
        <v>2126.013916015625</v>
      </c>
      <c r="J35" t="n">
        <v>690.0031127929688</v>
      </c>
      <c r="K35" t="n">
        <v>886.5999755859375</v>
      </c>
      <c r="L35" t="n">
        <v>35.81000137329102</v>
      </c>
      <c r="M35" t="n">
        <v>106.9763488769531</v>
      </c>
      <c r="N35" t="n">
        <v>42.206298828125</v>
      </c>
      <c r="O35" t="n">
        <v>17.88999938964844</v>
      </c>
      <c r="P35" t="n">
        <v>11.05885028839111</v>
      </c>
    </row>
    <row r="36">
      <c r="A36" s="47" t="n">
        <v>45488</v>
      </c>
      <c r="B36" t="n">
        <v>15.59009170532227</v>
      </c>
      <c r="C36" t="n">
        <v>124.2904281616211</v>
      </c>
      <c r="D36" t="n">
        <v>49.01613235473633</v>
      </c>
      <c r="E36" t="n">
        <v>53.57910919189453</v>
      </c>
      <c r="F36" t="n">
        <v>300.9239196777344</v>
      </c>
      <c r="G36" t="n">
        <v>8.149999618530273</v>
      </c>
      <c r="H36" t="n">
        <v>408.3056030273438</v>
      </c>
      <c r="I36" t="n">
        <v>2020.203247070312</v>
      </c>
      <c r="J36" t="n">
        <v>647.1634521484375</v>
      </c>
      <c r="K36" t="n">
        <v>697.5999755859375</v>
      </c>
      <c r="L36" t="n">
        <v>33.68000030517578</v>
      </c>
      <c r="M36" t="n">
        <v>100.1646194458008</v>
      </c>
      <c r="N36" t="n">
        <v>39.63930511474609</v>
      </c>
      <c r="O36" t="n">
        <v>16.79000091552734</v>
      </c>
      <c r="P36" t="n">
        <v>10.83475017547607</v>
      </c>
    </row>
    <row r="37">
      <c r="A37" s="47" t="n">
        <v>45495</v>
      </c>
      <c r="B37" t="n">
        <v>15.599609375</v>
      </c>
      <c r="C37" t="n">
        <v>125.8767242431641</v>
      </c>
      <c r="D37" t="n">
        <v>49.66781997680664</v>
      </c>
      <c r="E37" t="n">
        <v>53.67414093017578</v>
      </c>
      <c r="F37" t="n">
        <v>271.4571838378906</v>
      </c>
      <c r="G37" t="n">
        <v>8.149999618530273</v>
      </c>
      <c r="H37" t="n">
        <v>405.8438720703125</v>
      </c>
      <c r="I37" t="n">
        <v>2032.939575195312</v>
      </c>
      <c r="J37" t="n">
        <v>631.2652587890625</v>
      </c>
      <c r="K37" t="n">
        <v>747.2000122070312</v>
      </c>
      <c r="L37" t="n">
        <v>33.75</v>
      </c>
      <c r="M37" t="n">
        <v>99.63680267333984</v>
      </c>
      <c r="N37" t="n">
        <v>39.24512481689453</v>
      </c>
      <c r="O37" t="n">
        <v>15.75</v>
      </c>
      <c r="P37" t="n">
        <v>10.83475017547607</v>
      </c>
    </row>
    <row r="38">
      <c r="A38" s="47" t="n">
        <v>45502</v>
      </c>
      <c r="B38" t="n">
        <v>15.28552341461182</v>
      </c>
      <c r="C38" t="n">
        <v>119.0183563232422</v>
      </c>
      <c r="D38" t="n">
        <v>53.67103958129883</v>
      </c>
      <c r="E38" t="n">
        <v>50.15795135498047</v>
      </c>
      <c r="F38" t="n">
        <v>260.186279296875</v>
      </c>
      <c r="G38" t="n">
        <v>7.985000133514404</v>
      </c>
      <c r="H38" t="n">
        <v>425.2533874511719</v>
      </c>
      <c r="I38" t="n">
        <v>1920.760620117188</v>
      </c>
      <c r="J38" t="n">
        <v>600.2303466796875</v>
      </c>
      <c r="K38" t="n">
        <v>730.2000122070312</v>
      </c>
      <c r="L38" t="n">
        <v>33.20000076293945</v>
      </c>
      <c r="M38" t="n">
        <v>94.40848541259766</v>
      </c>
      <c r="N38" t="n">
        <v>36.65891265869141</v>
      </c>
      <c r="O38" t="n">
        <v>14.89999961853027</v>
      </c>
      <c r="P38" t="n">
        <v>10.86398029327393</v>
      </c>
    </row>
    <row r="39">
      <c r="A39" s="47" t="n">
        <v>45509</v>
      </c>
      <c r="B39" t="n">
        <v>16.5609016418457</v>
      </c>
      <c r="C39" t="n">
        <v>118.1785583496094</v>
      </c>
      <c r="D39" t="n">
        <v>53.76413726806641</v>
      </c>
      <c r="E39" t="n">
        <v>49.79683303833008</v>
      </c>
      <c r="F39" t="n">
        <v>243.1366119384766</v>
      </c>
      <c r="G39" t="n">
        <v>7.375</v>
      </c>
      <c r="H39" t="n">
        <v>412.0325317382812</v>
      </c>
      <c r="I39" t="n">
        <v>1975.135620117188</v>
      </c>
      <c r="J39" t="n">
        <v>605.46630859375</v>
      </c>
      <c r="K39" t="n">
        <v>684.7999877929688</v>
      </c>
      <c r="L39" t="n">
        <v>30.54000091552734</v>
      </c>
      <c r="M39" t="n">
        <v>95.99191284179688</v>
      </c>
      <c r="N39" t="n">
        <v>36.75505447387695</v>
      </c>
      <c r="O39" t="n">
        <v>14.09000015258789</v>
      </c>
      <c r="P39" t="n">
        <v>9.918863296508789</v>
      </c>
    </row>
    <row r="40">
      <c r="A40" s="47" t="n">
        <v>45516</v>
      </c>
      <c r="B40" t="n">
        <v>16.06598091125488</v>
      </c>
      <c r="C40" t="n">
        <v>123.777214050293</v>
      </c>
      <c r="D40" t="n">
        <v>53.90378189086914</v>
      </c>
      <c r="E40" t="n">
        <v>50.84218597412109</v>
      </c>
      <c r="F40" t="n">
        <v>243.0888366699219</v>
      </c>
      <c r="G40" t="n">
        <v>7.425000190734863</v>
      </c>
      <c r="H40" t="n">
        <v>450.8613586425781</v>
      </c>
      <c r="I40" t="n">
        <v>2078.007080078125</v>
      </c>
      <c r="J40" t="n">
        <v>626.5051879882812</v>
      </c>
      <c r="K40" t="n">
        <v>686.5999755859375</v>
      </c>
      <c r="L40" t="n">
        <v>32.47000122070312</v>
      </c>
      <c r="M40" t="n">
        <v>99.14881896972656</v>
      </c>
      <c r="N40" t="n">
        <v>38.84133529663086</v>
      </c>
      <c r="O40" t="n">
        <v>14.69999980926514</v>
      </c>
      <c r="P40" t="n">
        <v>9.987067222595215</v>
      </c>
    </row>
    <row r="41">
      <c r="A41" s="47" t="n">
        <v>45523</v>
      </c>
      <c r="B41" t="n">
        <v>16.25633430480957</v>
      </c>
      <c r="C41" t="n">
        <v>128.4894256591797</v>
      </c>
      <c r="D41" t="n">
        <v>50.17985916137695</v>
      </c>
      <c r="E41" t="n">
        <v>53.08494186401367</v>
      </c>
      <c r="F41" t="n">
        <v>248.3422393798828</v>
      </c>
      <c r="G41" t="n">
        <v>7.59499979019165</v>
      </c>
      <c r="H41" t="n">
        <v>474.6352844238281</v>
      </c>
      <c r="I41" t="n">
        <v>2150.50732421875</v>
      </c>
      <c r="J41" t="n">
        <v>648.4010620117188</v>
      </c>
      <c r="K41" t="n">
        <v>715</v>
      </c>
      <c r="L41" t="n">
        <v>35.77999877929688</v>
      </c>
      <c r="M41" t="n">
        <v>105.2236404418945</v>
      </c>
      <c r="N41" t="n">
        <v>40.0527229309082</v>
      </c>
      <c r="O41" t="n">
        <v>15.67000007629395</v>
      </c>
      <c r="P41" t="n">
        <v>10.15270709991455</v>
      </c>
    </row>
    <row r="42">
      <c r="A42" s="47" t="n">
        <v>45530</v>
      </c>
      <c r="B42" t="n">
        <v>17.33184242248535</v>
      </c>
      <c r="C42" t="n">
        <v>124.8969573974609</v>
      </c>
      <c r="D42" t="n">
        <v>51.90217208862305</v>
      </c>
      <c r="E42" t="n">
        <v>52.66679763793945</v>
      </c>
      <c r="F42" t="n">
        <v>247.3870544433594</v>
      </c>
      <c r="G42" t="n">
        <v>7.485000133514404</v>
      </c>
      <c r="H42" t="n">
        <v>487.2382202148438</v>
      </c>
      <c r="I42" t="n">
        <v>2125.03466796875</v>
      </c>
      <c r="J42" t="n">
        <v>641.9275512695312</v>
      </c>
      <c r="K42" t="n">
        <v>667.7999877929688</v>
      </c>
      <c r="L42" t="n">
        <v>35.72000122070312</v>
      </c>
      <c r="M42" t="n">
        <v>98.28242492675781</v>
      </c>
      <c r="N42" t="n">
        <v>39.38933944702148</v>
      </c>
      <c r="O42" t="n">
        <v>15.76000022888184</v>
      </c>
      <c r="P42" t="n">
        <v>10.29885864257812</v>
      </c>
    </row>
    <row r="43">
      <c r="A43" s="47" t="n">
        <v>45537</v>
      </c>
      <c r="B43" t="n">
        <v>16.82740020751953</v>
      </c>
      <c r="C43" t="n">
        <v>111.6934280395508</v>
      </c>
      <c r="D43" t="n">
        <v>49.48162841796875</v>
      </c>
      <c r="E43" t="n">
        <v>47.89619064331055</v>
      </c>
      <c r="F43" t="n">
        <v>225.6571350097656</v>
      </c>
      <c r="G43" t="n">
        <v>6.84499979019165</v>
      </c>
      <c r="H43" t="n">
        <v>461.6498718261719</v>
      </c>
      <c r="I43" t="n">
        <v>1870.79443359375</v>
      </c>
      <c r="J43" t="n">
        <v>582.6185302734375</v>
      </c>
      <c r="K43" t="n">
        <v>604.4000244140625</v>
      </c>
      <c r="L43" t="n">
        <v>34.77000045776367</v>
      </c>
      <c r="M43" t="n">
        <v>94.60500335693359</v>
      </c>
      <c r="N43" t="n">
        <v>39.13404083251953</v>
      </c>
      <c r="O43" t="n">
        <v>14.27000045776367</v>
      </c>
      <c r="P43" t="n">
        <v>9.655789375305176</v>
      </c>
    </row>
    <row r="44">
      <c r="A44" s="47" t="n">
        <v>45544</v>
      </c>
      <c r="B44" t="n">
        <v>17.88979911804199</v>
      </c>
      <c r="C44" t="n">
        <v>112.4399185180664</v>
      </c>
      <c r="D44" t="n">
        <v>46.36283874511719</v>
      </c>
      <c r="E44" t="n">
        <v>48.46638107299805</v>
      </c>
      <c r="F44" t="n">
        <v>218.7321929931641</v>
      </c>
      <c r="G44" t="n">
        <v>6.710000038146973</v>
      </c>
      <c r="H44" t="n">
        <v>460.07080078125</v>
      </c>
      <c r="I44" t="n">
        <v>1877.16259765625</v>
      </c>
      <c r="J44" t="n">
        <v>578.90576171875</v>
      </c>
      <c r="K44" t="n">
        <v>592.4000244140625</v>
      </c>
      <c r="L44" t="n">
        <v>38.22000122070312</v>
      </c>
      <c r="M44" t="n">
        <v>94.36589813232422</v>
      </c>
      <c r="N44" t="n">
        <v>41.46113204956055</v>
      </c>
      <c r="O44" t="n">
        <v>14.22999954223633</v>
      </c>
      <c r="P44" t="n">
        <v>9.694762229919434</v>
      </c>
    </row>
    <row r="45">
      <c r="A45" s="47" t="n">
        <v>45551</v>
      </c>
      <c r="B45" t="n">
        <v>17.84196662902832</v>
      </c>
      <c r="C45" t="n">
        <v>109.4383773803711</v>
      </c>
      <c r="D45" t="n">
        <v>47.29381942749023</v>
      </c>
      <c r="E45" t="n">
        <v>45.61541748046875</v>
      </c>
      <c r="F45" t="n">
        <v>215.1503448486328</v>
      </c>
      <c r="G45" t="n">
        <v>6.074999809265137</v>
      </c>
      <c r="H45" t="n">
        <v>461.5125427246094</v>
      </c>
      <c r="I45" t="n">
        <v>1890.879028320312</v>
      </c>
      <c r="J45" t="n">
        <v>563.4835205078125</v>
      </c>
      <c r="K45" t="n">
        <v>604.4000244140625</v>
      </c>
      <c r="L45" t="n">
        <v>38.29000091552734</v>
      </c>
      <c r="M45" t="n">
        <v>96.76689147949219</v>
      </c>
      <c r="N45" t="n">
        <v>41.27691268920898</v>
      </c>
      <c r="O45" t="n">
        <v>14.30000019073486</v>
      </c>
      <c r="P45" t="n">
        <v>8.252728462219238</v>
      </c>
    </row>
    <row r="46">
      <c r="A46" s="47" t="n">
        <v>45558</v>
      </c>
      <c r="B46" t="n">
        <v>18.72210502624512</v>
      </c>
      <c r="C46" t="n">
        <v>128.6414337158203</v>
      </c>
      <c r="D46" t="n">
        <v>55.25370025634766</v>
      </c>
      <c r="E46" t="n">
        <v>54.87154388427734</v>
      </c>
      <c r="F46" t="n">
        <v>254.8850860595703</v>
      </c>
      <c r="G46" t="n">
        <v>7.065000057220459</v>
      </c>
      <c r="H46" t="n">
        <v>462.6110229492188</v>
      </c>
      <c r="I46" t="n">
        <v>2186.75732421875</v>
      </c>
      <c r="J46" t="n">
        <v>669.6305541992188</v>
      </c>
      <c r="K46" t="n">
        <v>710</v>
      </c>
      <c r="L46" t="n">
        <v>39.47000122070312</v>
      </c>
      <c r="M46" t="n">
        <v>100.0545501708984</v>
      </c>
      <c r="N46" t="n">
        <v>46.48378753662109</v>
      </c>
      <c r="O46" t="n">
        <v>17.13999938964844</v>
      </c>
      <c r="P46" t="n">
        <v>9.499893188476562</v>
      </c>
    </row>
    <row r="47">
      <c r="A47" s="47" t="n">
        <v>45565</v>
      </c>
      <c r="B47" t="n">
        <v>20.38671875</v>
      </c>
      <c r="C47" t="n">
        <v>125.0110168457031</v>
      </c>
      <c r="D47" t="n">
        <v>53.06589889526367</v>
      </c>
      <c r="E47" t="n">
        <v>51.12728118896484</v>
      </c>
      <c r="F47" t="n">
        <v>225.9436798095703</v>
      </c>
      <c r="G47" t="n">
        <v>6.730000019073486</v>
      </c>
      <c r="H47" t="n">
        <v>441.1614990234375</v>
      </c>
      <c r="I47" t="n">
        <v>2094.66259765625</v>
      </c>
      <c r="J47" t="n">
        <v>630.1229248046875</v>
      </c>
      <c r="K47" t="n">
        <v>650</v>
      </c>
      <c r="L47" t="n">
        <v>42.27999877929688</v>
      </c>
      <c r="M47" t="n">
        <v>97.53401184082031</v>
      </c>
      <c r="N47" t="n">
        <v>45.08752822875977</v>
      </c>
      <c r="O47" t="n">
        <v>16.32999992370605</v>
      </c>
      <c r="P47" t="n">
        <v>8.681441307067871</v>
      </c>
    </row>
    <row r="48">
      <c r="A48" s="47" t="n">
        <v>45572</v>
      </c>
      <c r="B48" t="n">
        <v>19.44918060302734</v>
      </c>
      <c r="C48" t="n">
        <v>125.5364608764648</v>
      </c>
      <c r="D48" t="n">
        <v>49.90056228637695</v>
      </c>
      <c r="E48" t="n">
        <v>51.88753509521484</v>
      </c>
      <c r="F48" t="n">
        <v>228.4271240234375</v>
      </c>
      <c r="G48" t="n">
        <v>6.675000190734863</v>
      </c>
      <c r="H48" t="n">
        <v>460.0610046386719</v>
      </c>
      <c r="I48" t="n">
        <v>2088.783935546875</v>
      </c>
      <c r="J48" t="n">
        <v>621.745361328125</v>
      </c>
      <c r="K48" t="n">
        <v>663</v>
      </c>
      <c r="L48" t="n">
        <v>42.97999954223633</v>
      </c>
      <c r="M48" t="n">
        <v>96.77684783935547</v>
      </c>
      <c r="N48" t="n">
        <v>43.8948974609375</v>
      </c>
      <c r="O48" t="n">
        <v>16.31999969482422</v>
      </c>
      <c r="P48" t="n">
        <v>8.564518928527832</v>
      </c>
    </row>
    <row r="49">
      <c r="A49" s="47" t="n">
        <v>45579</v>
      </c>
      <c r="B49" t="n">
        <v>18.75080299377441</v>
      </c>
      <c r="C49" t="n">
        <v>121.7627258300781</v>
      </c>
      <c r="D49" t="n">
        <v>51.52978134155273</v>
      </c>
      <c r="E49" t="n">
        <v>52.45773315429688</v>
      </c>
      <c r="F49" t="n">
        <v>227.3764038085938</v>
      </c>
      <c r="G49" t="n">
        <v>6.650000095367432</v>
      </c>
      <c r="H49" t="n">
        <v>473.0758666992188</v>
      </c>
      <c r="I49" t="n">
        <v>2046.655883789062</v>
      </c>
      <c r="J49" t="n">
        <v>593.2808227539062</v>
      </c>
      <c r="K49" t="n">
        <v>691</v>
      </c>
      <c r="L49" t="n">
        <v>41.97999954223633</v>
      </c>
      <c r="M49" t="n">
        <v>100.6523132324219</v>
      </c>
      <c r="N49" t="n">
        <v>43.77853393554688</v>
      </c>
      <c r="O49" t="n">
        <v>15.51000022888184</v>
      </c>
      <c r="P49" t="n">
        <v>8.174779891967773</v>
      </c>
    </row>
    <row r="50">
      <c r="A50" s="47" t="n">
        <v>45586</v>
      </c>
      <c r="B50" t="n">
        <v>16.00514984130859</v>
      </c>
      <c r="C50" t="n">
        <v>122.7181091308594</v>
      </c>
      <c r="D50" t="n">
        <v>53.20555114746094</v>
      </c>
      <c r="E50" t="n">
        <v>51.37436676025391</v>
      </c>
      <c r="F50" t="n">
        <v>224.4154205322266</v>
      </c>
      <c r="G50" t="n">
        <v>6.635000228881836</v>
      </c>
      <c r="H50" t="n">
        <v>475.4100952148438</v>
      </c>
      <c r="I50" t="n">
        <v>2062.331787109375</v>
      </c>
      <c r="J50" t="n">
        <v>596.8983764648438</v>
      </c>
      <c r="K50" t="n">
        <v>785.4000244140625</v>
      </c>
      <c r="L50" t="n">
        <v>21.26000022888184</v>
      </c>
      <c r="M50" t="n">
        <v>92.91136169433594</v>
      </c>
      <c r="N50" t="n">
        <v>48.95633316040039</v>
      </c>
      <c r="O50" t="n">
        <v>14.21000003814697</v>
      </c>
      <c r="P50" t="n">
        <v>7.824014663696289</v>
      </c>
    </row>
    <row r="51">
      <c r="A51" s="47" t="n">
        <v>45593</v>
      </c>
      <c r="B51" t="n">
        <v>20.13798332214355</v>
      </c>
      <c r="C51" t="n">
        <v>120.9028930664062</v>
      </c>
      <c r="D51" t="n">
        <v>54.18307876586914</v>
      </c>
      <c r="E51" t="n">
        <v>48.33333587646484</v>
      </c>
      <c r="F51" t="n">
        <v>220.3559875488281</v>
      </c>
      <c r="G51" t="n">
        <v>6.184999942779541</v>
      </c>
      <c r="H51" t="n">
        <v>467.5933227539062</v>
      </c>
      <c r="I51" t="n">
        <v>2038.818237304688</v>
      </c>
      <c r="J51" t="n">
        <v>581.66650390625</v>
      </c>
      <c r="K51" t="n">
        <v>812</v>
      </c>
      <c r="L51" t="n">
        <v>20.10000038146973</v>
      </c>
      <c r="M51" t="n">
        <v>98.0919189453125</v>
      </c>
      <c r="N51" t="n">
        <v>45.54325485229492</v>
      </c>
      <c r="O51" t="n">
        <v>13.59000015258789</v>
      </c>
      <c r="P51" t="n">
        <v>7.405045032501221</v>
      </c>
    </row>
    <row r="52">
      <c r="A52" s="47" t="n">
        <v>45600</v>
      </c>
      <c r="B52" t="n">
        <v>20.05187797546387</v>
      </c>
      <c r="C52" t="n">
        <v>113.9764175415039</v>
      </c>
      <c r="D52" t="n">
        <v>53.71758651733398</v>
      </c>
      <c r="E52" t="n">
        <v>46.36617279052734</v>
      </c>
      <c r="F52" t="n">
        <v>211.0908966064453</v>
      </c>
      <c r="G52" t="n">
        <v>6.130000114440918</v>
      </c>
      <c r="H52" t="n">
        <v>445.7221069335938</v>
      </c>
      <c r="I52" t="n">
        <v>2026.081787109375</v>
      </c>
      <c r="J52" t="n">
        <v>569.6714477539062</v>
      </c>
      <c r="K52" t="n">
        <v>804.7999877929688</v>
      </c>
      <c r="L52" t="n">
        <v>20.52000045776367</v>
      </c>
      <c r="M52" t="n">
        <v>103.8403472900391</v>
      </c>
      <c r="N52" t="n">
        <v>50.6337890625</v>
      </c>
      <c r="O52" t="n">
        <v>13.55000019073486</v>
      </c>
      <c r="P52" t="n">
        <v>7.278379440307617</v>
      </c>
    </row>
    <row r="53">
      <c r="A53" s="47" t="n">
        <v>45607</v>
      </c>
      <c r="B53" t="n">
        <v>19.28654098510742</v>
      </c>
      <c r="C53" t="n">
        <v>114.7884902954102</v>
      </c>
      <c r="D53" t="n">
        <v>51.20394134521484</v>
      </c>
      <c r="E53" t="n">
        <v>45.45386505126953</v>
      </c>
      <c r="F53" t="n">
        <v>212.7146911621094</v>
      </c>
      <c r="G53" t="n">
        <v>6.114999771118164</v>
      </c>
      <c r="H53" t="n">
        <v>422.703369140625</v>
      </c>
      <c r="I53" t="n">
        <v>1992.770751953125</v>
      </c>
      <c r="J53" t="n">
        <v>558.1522827148438</v>
      </c>
      <c r="K53" t="n">
        <v>906.2000122070312</v>
      </c>
      <c r="L53" t="n">
        <v>21</v>
      </c>
      <c r="M53" t="n">
        <v>101.7083435058594</v>
      </c>
      <c r="N53" t="n">
        <v>55.49159622192383</v>
      </c>
      <c r="O53" t="n">
        <v>13.26000022888184</v>
      </c>
      <c r="P53" t="n">
        <v>7.219918727874756</v>
      </c>
    </row>
    <row r="54">
      <c r="A54" s="47" t="n">
        <v>45614</v>
      </c>
      <c r="B54" t="n">
        <v>18.88473701477051</v>
      </c>
      <c r="C54" t="n">
        <v>113.2598876953125</v>
      </c>
      <c r="D54" t="n">
        <v>51.06428909301758</v>
      </c>
      <c r="E54" t="n">
        <v>44.14241790771484</v>
      </c>
      <c r="F54" t="n">
        <v>200.6796417236328</v>
      </c>
      <c r="G54" t="n">
        <v>5.65500020980835</v>
      </c>
      <c r="H54" t="n">
        <v>429.2059020996094</v>
      </c>
      <c r="I54" t="n">
        <v>1979.054565429688</v>
      </c>
      <c r="J54" t="n">
        <v>555.0108032226562</v>
      </c>
      <c r="K54" t="n">
        <v>887.4000244140625</v>
      </c>
      <c r="L54" t="n">
        <v>20.47999954223633</v>
      </c>
      <c r="M54" t="n">
        <v>103.4816970825195</v>
      </c>
      <c r="N54" t="n">
        <v>57.13026428222656</v>
      </c>
      <c r="O54" t="n">
        <v>13.10000038146973</v>
      </c>
      <c r="P54" t="n">
        <v>7.502479553222656</v>
      </c>
    </row>
    <row r="55">
      <c r="A55" s="47" t="n">
        <v>45621</v>
      </c>
      <c r="B55" t="n">
        <v>19.35350799560547</v>
      </c>
      <c r="C55" t="n">
        <v>117.2246932983398</v>
      </c>
      <c r="D55" t="n">
        <v>49.62126922607422</v>
      </c>
      <c r="E55" t="n">
        <v>44.04738235473633</v>
      </c>
      <c r="F55" t="n">
        <v>210.8521118164062</v>
      </c>
      <c r="G55" t="n">
        <v>5.539999961853027</v>
      </c>
      <c r="H55" t="n">
        <v>425.8124084472656</v>
      </c>
      <c r="I55" t="n">
        <v>2023.142578125</v>
      </c>
      <c r="J55" t="n">
        <v>564.0546264648438</v>
      </c>
      <c r="K55" t="n">
        <v>898.2000122070312</v>
      </c>
      <c r="L55" t="n">
        <v>23.40999984741211</v>
      </c>
      <c r="M55" t="n">
        <v>108.0030364990234</v>
      </c>
      <c r="N55" t="n">
        <v>60.38820266723633</v>
      </c>
      <c r="O55" t="n">
        <v>13.34000015258789</v>
      </c>
      <c r="P55" t="n">
        <v>7.88247537612915</v>
      </c>
    </row>
    <row r="56">
      <c r="A56" s="48" t="n">
        <v>45628</v>
      </c>
      <c r="B56" t="n">
        <v>20.87</v>
      </c>
      <c r="C56" t="n">
        <v>125.85</v>
      </c>
      <c r="D56" t="n">
        <v>56.1</v>
      </c>
      <c r="E56" t="n">
        <v>46.6</v>
      </c>
      <c r="F56" t="n">
        <v>222.65</v>
      </c>
      <c r="G56" t="n">
        <v>5.72</v>
      </c>
      <c r="H56" t="n">
        <v>437.4</v>
      </c>
      <c r="I56" t="n">
        <v>2163</v>
      </c>
      <c r="J56" t="n">
        <v>606.1</v>
      </c>
      <c r="K56" t="n">
        <v>912.8</v>
      </c>
      <c r="L56" t="n">
        <v>23.38</v>
      </c>
      <c r="M56" t="n">
        <v>111.17</v>
      </c>
      <c r="N56" t="n">
        <v>64.58</v>
      </c>
      <c r="O56" t="n">
        <v>13.52</v>
      </c>
      <c r="P56" t="n">
        <v>8.199999999999999</v>
      </c>
    </row>
    <row r="57">
      <c r="A57" s="48" t="n">
        <v>45635</v>
      </c>
      <c r="B57" t="n">
        <v>21.34</v>
      </c>
      <c r="C57" t="n">
        <v>134</v>
      </c>
      <c r="D57" t="n">
        <v>60.9</v>
      </c>
      <c r="E57" t="n">
        <v>51.76</v>
      </c>
      <c r="F57" t="n">
        <v>246.5</v>
      </c>
      <c r="G57" t="n">
        <v>6.77</v>
      </c>
      <c r="H57" t="n">
        <v>448.48</v>
      </c>
      <c r="I57" t="n">
        <v>2278</v>
      </c>
      <c r="J57" t="n">
        <v>652.6</v>
      </c>
      <c r="K57" t="n">
        <v>970</v>
      </c>
      <c r="L57" t="n">
        <v>22.3</v>
      </c>
      <c r="M57" t="n">
        <v>108.07</v>
      </c>
      <c r="N57" t="n">
        <v>62.27</v>
      </c>
      <c r="O57" t="n">
        <v>14.07</v>
      </c>
      <c r="P57" t="n">
        <v>8.49</v>
      </c>
    </row>
    <row r="58">
      <c r="A58" s="48" t="n">
        <v>45642</v>
      </c>
      <c r="B58" t="n">
        <v>21.62</v>
      </c>
      <c r="C58" t="n">
        <v>135.45</v>
      </c>
      <c r="D58" t="n">
        <v>62.05</v>
      </c>
      <c r="E58" t="n">
        <v>51.4</v>
      </c>
      <c r="F58" t="n">
        <v>239.65</v>
      </c>
      <c r="G58" t="n">
        <v>6.82</v>
      </c>
      <c r="H58" t="n">
        <v>436.96</v>
      </c>
      <c r="I58" t="n">
        <v>2269</v>
      </c>
      <c r="J58" t="n">
        <v>631.2</v>
      </c>
      <c r="K58" t="n">
        <v>952.8</v>
      </c>
      <c r="L58" t="n">
        <v>22.15</v>
      </c>
      <c r="M58" t="n">
        <v>110.24</v>
      </c>
      <c r="N58" t="n">
        <v>64.2</v>
      </c>
      <c r="O58" t="n">
        <v>14.28</v>
      </c>
      <c r="P58" t="n">
        <v>8.869999999999999</v>
      </c>
    </row>
    <row r="59">
      <c r="A59" s="48" t="n">
        <v>45649</v>
      </c>
      <c r="B59" t="n">
        <v>22.03</v>
      </c>
      <c r="C59" t="n">
        <v>136.1</v>
      </c>
      <c r="D59" t="n">
        <v>63.7</v>
      </c>
      <c r="E59" t="n">
        <v>49.91</v>
      </c>
      <c r="F59" t="n">
        <v>235.6</v>
      </c>
      <c r="G59" t="n">
        <v>6.68</v>
      </c>
      <c r="H59" t="n">
        <v>430.15</v>
      </c>
      <c r="I59" t="n">
        <v>2302</v>
      </c>
      <c r="J59" t="n">
        <v>629.2</v>
      </c>
      <c r="K59" t="n">
        <v>970.2</v>
      </c>
      <c r="L59" t="n">
        <v>21.35</v>
      </c>
      <c r="M59" t="n">
        <v>107.44</v>
      </c>
      <c r="N59" t="n">
        <v>64.73</v>
      </c>
      <c r="O59" t="n">
        <v>14.5</v>
      </c>
      <c r="P59" t="n">
        <v>8.51</v>
      </c>
    </row>
    <row r="60">
      <c r="A60" s="48" t="n">
        <v>45656</v>
      </c>
      <c r="B60" t="n">
        <v>21.41</v>
      </c>
      <c r="C60" t="n">
        <v>137.9</v>
      </c>
      <c r="D60" t="n">
        <v>63.5</v>
      </c>
      <c r="E60" t="n">
        <v>50.98</v>
      </c>
      <c r="F60" t="n">
        <v>237.1</v>
      </c>
      <c r="G60" t="n">
        <v>6.77</v>
      </c>
      <c r="H60" t="n">
        <v>426.77</v>
      </c>
      <c r="I60" t="n">
        <v>2305</v>
      </c>
      <c r="J60" t="n">
        <v>629.3</v>
      </c>
      <c r="K60" t="n">
        <v>962.4</v>
      </c>
      <c r="L60" t="n">
        <v>20.52</v>
      </c>
      <c r="M60" t="n">
        <v>105.71</v>
      </c>
      <c r="N60" t="n">
        <v>65.81999999999999</v>
      </c>
      <c r="O60" t="n">
        <v>14.16</v>
      </c>
      <c r="P60" t="n">
        <v>8.25</v>
      </c>
    </row>
    <row r="61">
      <c r="A61" s="48" t="n">
        <v>45663</v>
      </c>
      <c r="B61" t="n">
        <v>21.52</v>
      </c>
      <c r="C61" t="n">
        <v>139.05</v>
      </c>
      <c r="D61" t="n">
        <v>60.6</v>
      </c>
      <c r="E61" t="n">
        <v>51.36</v>
      </c>
      <c r="F61" t="n">
        <v>229.85</v>
      </c>
      <c r="G61" t="n">
        <v>6.76</v>
      </c>
      <c r="H61" t="n">
        <v>426.77</v>
      </c>
      <c r="I61" t="n">
        <v>2338</v>
      </c>
      <c r="J61" t="n">
        <v>634.6</v>
      </c>
      <c r="K61" t="n">
        <v>953.6</v>
      </c>
      <c r="L61" t="n">
        <v>21.89</v>
      </c>
      <c r="M61" t="n">
        <v>107.78</v>
      </c>
      <c r="N61" t="n">
        <v>67.66</v>
      </c>
      <c r="O61" t="n">
        <v>14.95</v>
      </c>
      <c r="P61" t="n">
        <v>8</v>
      </c>
    </row>
    <row r="62">
      <c r="A62" s="48" t="n">
        <v>45670</v>
      </c>
      <c r="B62" t="n">
        <v>23.01</v>
      </c>
      <c r="C62" t="n">
        <v>138.45</v>
      </c>
      <c r="D62" t="n">
        <v>61.45</v>
      </c>
      <c r="E62" t="n">
        <v>53.42</v>
      </c>
      <c r="F62" t="n">
        <v>227.4</v>
      </c>
      <c r="G62" t="n">
        <v>6.8</v>
      </c>
      <c r="H62" t="n">
        <v>418.37</v>
      </c>
      <c r="I62" t="n">
        <v>2353</v>
      </c>
      <c r="J62" t="n">
        <v>646.4</v>
      </c>
      <c r="K62" t="n">
        <v>968</v>
      </c>
      <c r="L62" t="n">
        <v>23.78</v>
      </c>
      <c r="M62" t="n">
        <v>97.61</v>
      </c>
      <c r="N62" t="n">
        <v>66.75</v>
      </c>
      <c r="O62" t="n">
        <v>14.21</v>
      </c>
      <c r="P62" t="n">
        <v>7.63</v>
      </c>
    </row>
    <row r="63">
      <c r="A63" s="48" t="n">
        <v>45677</v>
      </c>
      <c r="B63" t="n">
        <v>23.67</v>
      </c>
      <c r="C63" t="n">
        <v>164.05</v>
      </c>
      <c r="D63" t="n">
        <v>62.2</v>
      </c>
      <c r="E63" t="n">
        <v>57.6</v>
      </c>
      <c r="F63" t="n">
        <v>247.55</v>
      </c>
      <c r="G63" t="n">
        <v>6.68</v>
      </c>
      <c r="H63" t="n">
        <v>435.87</v>
      </c>
      <c r="I63" t="n">
        <v>2498</v>
      </c>
      <c r="J63" t="n">
        <v>683.1</v>
      </c>
      <c r="K63" t="n">
        <v>972.8</v>
      </c>
      <c r="L63" t="n">
        <v>23.82</v>
      </c>
      <c r="M63" t="n">
        <v>92.78</v>
      </c>
      <c r="N63" t="n">
        <v>71.39</v>
      </c>
      <c r="O63" t="n">
        <v>14.89</v>
      </c>
      <c r="P63" t="n">
        <v>8.31</v>
      </c>
    </row>
    <row r="64">
      <c r="A64" s="48" t="n">
        <v>45684</v>
      </c>
      <c r="B64" t="n">
        <v>25.99</v>
      </c>
      <c r="C64" t="n">
        <v>172.35</v>
      </c>
      <c r="D64" t="n">
        <v>63.7</v>
      </c>
      <c r="E64" t="n">
        <v>61.46</v>
      </c>
      <c r="F64" t="n">
        <v>262.55</v>
      </c>
      <c r="G64" t="n">
        <v>7.24</v>
      </c>
      <c r="H64" t="n">
        <v>432.32</v>
      </c>
      <c r="I64" t="n">
        <v>2662</v>
      </c>
      <c r="J64" t="n">
        <v>754.8</v>
      </c>
      <c r="K64" t="n">
        <v>1133</v>
      </c>
      <c r="L64" t="n">
        <v>25.34</v>
      </c>
      <c r="M64" t="n">
        <v>90.39</v>
      </c>
      <c r="N64" t="n">
        <v>72.51000000000001</v>
      </c>
      <c r="O64" t="n">
        <v>15.5</v>
      </c>
      <c r="P64" t="n">
        <v>9.52</v>
      </c>
    </row>
    <row r="65">
      <c r="A65" s="48" t="n">
        <v>45691</v>
      </c>
      <c r="B65" t="n">
        <v>24.62</v>
      </c>
      <c r="C65" t="n">
        <v>175.75</v>
      </c>
      <c r="D65" t="n">
        <v>61.9</v>
      </c>
      <c r="E65" t="n">
        <v>61</v>
      </c>
      <c r="F65" t="n">
        <v>243.95</v>
      </c>
      <c r="G65" t="n">
        <v>7.65</v>
      </c>
      <c r="H65" t="n">
        <v>428.94</v>
      </c>
      <c r="I65" t="n">
        <v>2720</v>
      </c>
      <c r="J65" t="n">
        <v>690.1</v>
      </c>
      <c r="K65" t="n">
        <v>1191</v>
      </c>
      <c r="L65" t="n">
        <v>23.95</v>
      </c>
      <c r="M65" t="n">
        <v>83.31999999999999</v>
      </c>
      <c r="N65" t="n">
        <v>73.53</v>
      </c>
      <c r="O65" t="n">
        <v>15.24</v>
      </c>
      <c r="P65" t="n">
        <v>8.84</v>
      </c>
    </row>
    <row r="66">
      <c r="A66" s="48" t="n">
        <v>45698</v>
      </c>
      <c r="B66" t="n">
        <v>23.67</v>
      </c>
      <c r="C66" t="n">
        <v>175.9</v>
      </c>
      <c r="D66" t="n">
        <v>63.8</v>
      </c>
      <c r="E66" t="n">
        <v>60.9</v>
      </c>
      <c r="F66" t="n">
        <v>244.2</v>
      </c>
      <c r="G66" t="n">
        <v>7.08</v>
      </c>
      <c r="H66" t="n">
        <v>460.8</v>
      </c>
      <c r="I66" t="n">
        <v>2750</v>
      </c>
      <c r="J66" t="n">
        <v>685.3</v>
      </c>
      <c r="K66" t="n">
        <v>1184.5</v>
      </c>
      <c r="L66" t="n">
        <v>21.98</v>
      </c>
      <c r="M66" t="n">
        <v>77.40000000000001</v>
      </c>
      <c r="N66" t="n">
        <v>79.05</v>
      </c>
      <c r="O66" t="n">
        <v>14.09</v>
      </c>
      <c r="P66" t="n">
        <v>8.779999999999999</v>
      </c>
    </row>
    <row r="67">
      <c r="A67" s="48" t="n">
        <v>45705</v>
      </c>
      <c r="B67" t="n">
        <v>25.59</v>
      </c>
      <c r="C67" t="n">
        <v>182.9</v>
      </c>
      <c r="D67" t="n">
        <v>69</v>
      </c>
      <c r="E67" t="n">
        <v>65.66</v>
      </c>
      <c r="F67" t="n">
        <v>280.1</v>
      </c>
      <c r="G67" t="n">
        <v>7.96</v>
      </c>
      <c r="H67" t="n">
        <v>503.84</v>
      </c>
      <c r="I67" t="n">
        <v>2809</v>
      </c>
      <c r="J67" t="n">
        <v>701.5</v>
      </c>
      <c r="K67" t="n">
        <v>1155</v>
      </c>
      <c r="L67" t="n">
        <v>22.46</v>
      </c>
      <c r="M67" t="n">
        <v>77.70999999999999</v>
      </c>
      <c r="N67" t="n">
        <v>87.7</v>
      </c>
      <c r="O67" t="n">
        <v>14.3</v>
      </c>
      <c r="P67" t="n">
        <v>8.92</v>
      </c>
    </row>
    <row r="68">
      <c r="A68" s="48" t="n">
        <v>45712</v>
      </c>
      <c r="B68" t="n">
        <v>25.25</v>
      </c>
      <c r="C68" t="n">
        <v>178.1</v>
      </c>
      <c r="D68" t="n">
        <v>67.75</v>
      </c>
      <c r="E68" t="n">
        <v>66.23999999999999</v>
      </c>
      <c r="F68" t="n">
        <v>273.9</v>
      </c>
      <c r="G68" t="n">
        <v>7.7</v>
      </c>
      <c r="H68" t="n">
        <v>499.22</v>
      </c>
      <c r="I68" t="n">
        <v>2694</v>
      </c>
      <c r="J68" t="n">
        <v>692.1</v>
      </c>
      <c r="K68" t="n">
        <v>1022</v>
      </c>
      <c r="L68" t="n">
        <v>21.22</v>
      </c>
      <c r="M68" t="n">
        <v>78.54000000000001</v>
      </c>
      <c r="N68" t="n">
        <v>84.39</v>
      </c>
      <c r="O68" t="n">
        <v>16.56</v>
      </c>
      <c r="P68" t="n">
        <v>8.58</v>
      </c>
    </row>
    <row r="69">
      <c r="A69" s="48" t="n">
        <v>45719</v>
      </c>
      <c r="B69" t="n">
        <v>24.34</v>
      </c>
      <c r="C69" t="n">
        <v>184.85</v>
      </c>
      <c r="D69" t="n">
        <v>68.5</v>
      </c>
      <c r="E69" t="n">
        <v>65.73999999999999</v>
      </c>
      <c r="F69" t="n">
        <v>268.6</v>
      </c>
      <c r="G69" t="n">
        <v>7.83</v>
      </c>
      <c r="H69" t="n">
        <v>464.2</v>
      </c>
      <c r="I69" t="n">
        <v>2735</v>
      </c>
      <c r="J69" t="n">
        <v>690.8</v>
      </c>
      <c r="K69" t="n">
        <v>1108</v>
      </c>
      <c r="L69" t="n">
        <v>22.83</v>
      </c>
      <c r="M69" t="n">
        <v>71.25</v>
      </c>
      <c r="N69" t="n">
        <v>84.09</v>
      </c>
      <c r="O69" t="n">
        <v>14.14</v>
      </c>
      <c r="P69" t="n">
        <v>8.34</v>
      </c>
    </row>
    <row r="70">
      <c r="A70" s="48" t="n">
        <v>45726</v>
      </c>
      <c r="B70" t="n">
        <v>17.4</v>
      </c>
      <c r="C70" t="n">
        <v>158.45</v>
      </c>
      <c r="D70" t="n">
        <v>62.9</v>
      </c>
      <c r="E70" t="n">
        <v>62.72</v>
      </c>
      <c r="F70" t="n">
        <v>255</v>
      </c>
      <c r="G70" t="n">
        <v>6.81</v>
      </c>
      <c r="H70" t="n">
        <v>437.08</v>
      </c>
      <c r="I70" t="n">
        <v>2495</v>
      </c>
      <c r="J70" t="n">
        <v>630.3</v>
      </c>
      <c r="K70" t="n">
        <v>1004.5</v>
      </c>
      <c r="L70" t="n">
        <v>19.02</v>
      </c>
      <c r="M70" t="n">
        <v>70.06</v>
      </c>
      <c r="N70" t="n">
        <v>70.7</v>
      </c>
      <c r="O70" t="n">
        <v>13.46</v>
      </c>
      <c r="P70" t="n">
        <v>7.55</v>
      </c>
    </row>
    <row r="71">
      <c r="A71" s="48" t="n">
        <v>45733</v>
      </c>
      <c r="B71" t="n">
        <v>16.44</v>
      </c>
      <c r="C71" t="n">
        <v>164</v>
      </c>
      <c r="D71" t="n">
        <v>57.15</v>
      </c>
      <c r="E71" t="n">
        <v>60.92</v>
      </c>
      <c r="F71" t="n">
        <v>217.4</v>
      </c>
      <c r="G71" t="n">
        <v>6.84</v>
      </c>
      <c r="H71" t="n">
        <v>454.2</v>
      </c>
      <c r="I71" t="n">
        <v>2486</v>
      </c>
      <c r="J71" t="n">
        <v>609.7</v>
      </c>
      <c r="K71" t="n">
        <v>907.8</v>
      </c>
      <c r="L71" t="n">
        <v>21.33</v>
      </c>
      <c r="M71" t="n">
        <v>65.37</v>
      </c>
      <c r="N71" t="n">
        <v>71.22</v>
      </c>
      <c r="O71" t="n">
        <v>12.19</v>
      </c>
      <c r="P71" t="n">
        <v>7.4</v>
      </c>
    </row>
    <row r="72">
      <c r="A72" s="48" t="n">
        <v>45740</v>
      </c>
      <c r="B72" t="n">
        <v>17</v>
      </c>
      <c r="C72" t="n">
        <v>162.1</v>
      </c>
      <c r="D72" t="n">
        <v>54.8</v>
      </c>
      <c r="E72" t="n">
        <v>60.04</v>
      </c>
      <c r="F72" t="n">
        <v>202.4</v>
      </c>
      <c r="G72" t="n">
        <v>6.6</v>
      </c>
      <c r="H72" t="n">
        <v>435.83</v>
      </c>
      <c r="I72" t="n">
        <v>2498</v>
      </c>
      <c r="J72" t="n">
        <v>596.3</v>
      </c>
      <c r="K72" t="n">
        <v>836</v>
      </c>
      <c r="L72" t="n">
        <v>21.27</v>
      </c>
      <c r="M72" t="n">
        <v>69.3</v>
      </c>
      <c r="N72" t="n">
        <v>75.72</v>
      </c>
      <c r="O72" t="n">
        <v>12.33</v>
      </c>
      <c r="P72" t="n">
        <v>7.31</v>
      </c>
    </row>
    <row r="73">
      <c r="A73" s="48" t="n">
        <v>45747</v>
      </c>
      <c r="B73" t="n">
        <v>15.52</v>
      </c>
      <c r="C73" t="n">
        <v>152.95</v>
      </c>
      <c r="D73" t="n">
        <v>54.15</v>
      </c>
      <c r="E73" t="n">
        <v>56.6</v>
      </c>
      <c r="F73" t="n">
        <v>190.92</v>
      </c>
      <c r="G73" t="n">
        <v>6.2</v>
      </c>
      <c r="H73" t="n">
        <v>427.88</v>
      </c>
      <c r="I73" t="n">
        <v>2411</v>
      </c>
      <c r="J73" t="n">
        <v>571.7</v>
      </c>
      <c r="K73" t="n">
        <v>771.8</v>
      </c>
      <c r="L73" t="n">
        <v>19.73</v>
      </c>
      <c r="M73" t="n">
        <v>64.64</v>
      </c>
      <c r="N73" t="n">
        <v>70.41</v>
      </c>
      <c r="O73" t="n">
        <v>11.41</v>
      </c>
      <c r="P73" t="n">
        <v>7.4</v>
      </c>
    </row>
    <row r="74">
      <c r="A74" s="48" t="n">
        <v>45754</v>
      </c>
      <c r="B74" t="n">
        <v>11.26</v>
      </c>
      <c r="C74" t="n">
        <v>129</v>
      </c>
      <c r="D74" t="n">
        <v>44.65</v>
      </c>
      <c r="E74" t="n">
        <v>49.07</v>
      </c>
      <c r="F74" t="n">
        <v>164.12</v>
      </c>
      <c r="G74" t="n">
        <v>5.16</v>
      </c>
      <c r="H74" t="n">
        <v>398.7</v>
      </c>
      <c r="I74" t="n">
        <v>2135</v>
      </c>
      <c r="J74" t="n">
        <v>507.6</v>
      </c>
      <c r="K74" t="n">
        <v>639</v>
      </c>
      <c r="L74" t="n">
        <v>13.91</v>
      </c>
      <c r="M74" t="n">
        <v>65.98</v>
      </c>
      <c r="N74" t="n">
        <v>62.99</v>
      </c>
      <c r="O74" t="n">
        <v>10.41</v>
      </c>
      <c r="P74" t="n">
        <v>6.48</v>
      </c>
    </row>
    <row r="75">
      <c r="A75" s="48" t="n">
        <v>45761</v>
      </c>
      <c r="B75" t="n">
        <v>11.27</v>
      </c>
      <c r="C75" t="n">
        <v>137</v>
      </c>
      <c r="D75" t="n">
        <v>49</v>
      </c>
      <c r="E75" t="n">
        <v>54.72</v>
      </c>
      <c r="F75" t="n">
        <v>171</v>
      </c>
      <c r="G75" t="n">
        <v>5.19</v>
      </c>
      <c r="H75" t="n">
        <v>429.53</v>
      </c>
      <c r="I75" t="n">
        <v>2350</v>
      </c>
      <c r="J75" t="n">
        <v>530.1</v>
      </c>
      <c r="K75" t="n">
        <v>686.4</v>
      </c>
      <c r="L75" t="n">
        <v>14.4</v>
      </c>
      <c r="M75" t="n">
        <v>70.29000000000001</v>
      </c>
      <c r="N75" t="n">
        <v>63.78</v>
      </c>
      <c r="O75" t="n">
        <v>10.86</v>
      </c>
      <c r="P75" t="n">
        <v>6.85</v>
      </c>
    </row>
    <row r="76">
      <c r="A76" s="48" t="n">
        <v>45768</v>
      </c>
      <c r="B76" t="n">
        <v>10.47</v>
      </c>
      <c r="C76" t="n">
        <v>136.9</v>
      </c>
      <c r="D76" t="n">
        <v>46.75</v>
      </c>
      <c r="E76" t="n">
        <v>53.7</v>
      </c>
      <c r="F76" t="n">
        <v>164.48</v>
      </c>
      <c r="G76" t="n">
        <v>4.79</v>
      </c>
      <c r="H76" t="n">
        <v>434.76</v>
      </c>
      <c r="I76" t="n">
        <v>2287</v>
      </c>
      <c r="J76" t="n">
        <v>485.6</v>
      </c>
      <c r="K76" t="n">
        <v>654.2</v>
      </c>
      <c r="L76" t="n">
        <v>13.66</v>
      </c>
      <c r="M76" t="n">
        <v>69.40000000000001</v>
      </c>
      <c r="N76" t="n">
        <v>63.18</v>
      </c>
      <c r="O76" t="n">
        <v>11.3</v>
      </c>
      <c r="P76" t="n">
        <v>7.01</v>
      </c>
    </row>
    <row r="77">
      <c r="A77" s="48" t="n">
        <v>45775</v>
      </c>
      <c r="B77" t="n">
        <v>11.57</v>
      </c>
      <c r="C77" t="n">
        <v>147.25</v>
      </c>
      <c r="D77" t="n">
        <v>49</v>
      </c>
      <c r="E77" t="n">
        <v>54.6</v>
      </c>
      <c r="F77" t="n">
        <v>178.5</v>
      </c>
      <c r="G77" t="n">
        <v>5.52</v>
      </c>
      <c r="H77" t="n">
        <v>458.2</v>
      </c>
      <c r="I77" t="n">
        <v>2395</v>
      </c>
      <c r="J77" t="n">
        <v>502</v>
      </c>
      <c r="K77" t="n">
        <v>727.8</v>
      </c>
      <c r="L77" t="n">
        <v>15.18</v>
      </c>
      <c r="M77" t="n">
        <v>71.11</v>
      </c>
      <c r="N77" t="n">
        <v>69.26000000000001</v>
      </c>
      <c r="O77" t="n">
        <v>11.5</v>
      </c>
      <c r="P77" t="n">
        <v>7.88</v>
      </c>
    </row>
    <row r="78">
      <c r="A78" s="48" t="n">
        <v>45782</v>
      </c>
      <c r="B78" t="n">
        <v>12.57</v>
      </c>
      <c r="C78" t="n">
        <v>145.4</v>
      </c>
      <c r="D78" t="n">
        <v>48.1</v>
      </c>
      <c r="E78" t="n">
        <v>55.32</v>
      </c>
      <c r="F78" t="n">
        <v>176.14</v>
      </c>
      <c r="G78" t="n">
        <v>5.59</v>
      </c>
      <c r="H78" t="n">
        <v>466.46</v>
      </c>
      <c r="I78" t="n">
        <v>2467</v>
      </c>
      <c r="J78" t="n">
        <v>492.25</v>
      </c>
      <c r="K78" t="n">
        <v>726.8</v>
      </c>
      <c r="L78" t="n">
        <v>15.41</v>
      </c>
      <c r="M78" t="n">
        <v>71.59</v>
      </c>
      <c r="N78" t="n">
        <v>73.29000000000001</v>
      </c>
      <c r="O78" t="n">
        <v>11.59</v>
      </c>
      <c r="P78" t="n">
        <v>8.109999999999999</v>
      </c>
    </row>
    <row r="79">
      <c r="A79" s="48" t="n">
        <v>45789</v>
      </c>
      <c r="B79" t="n">
        <v>14.44</v>
      </c>
      <c r="C79" t="n">
        <v>154.4</v>
      </c>
      <c r="D79" t="n">
        <v>52.05</v>
      </c>
      <c r="E79" t="n">
        <v>57.14</v>
      </c>
      <c r="F79" t="n">
        <v>188.34</v>
      </c>
      <c r="G79" t="n">
        <v>6.07</v>
      </c>
      <c r="H79" t="n">
        <v>486.76</v>
      </c>
      <c r="I79" t="n">
        <v>2539</v>
      </c>
      <c r="J79" t="n">
        <v>530.5</v>
      </c>
      <c r="K79" t="n">
        <v>797</v>
      </c>
      <c r="L79" t="n">
        <v>18.45</v>
      </c>
      <c r="M79" t="n">
        <v>78.94</v>
      </c>
      <c r="N79" t="n">
        <v>82.66</v>
      </c>
      <c r="O79" t="n">
        <v>12.65</v>
      </c>
      <c r="P79" t="n">
        <v>8.539999999999999</v>
      </c>
    </row>
    <row r="80">
      <c r="A80" s="48" t="n">
        <v>45796</v>
      </c>
      <c r="B80" t="n">
        <v>14.32</v>
      </c>
      <c r="C80" t="n">
        <v>165.6</v>
      </c>
      <c r="D80" t="n">
        <v>52.45</v>
      </c>
      <c r="E80" t="n">
        <v>56.14</v>
      </c>
      <c r="F80" t="n">
        <v>175.62</v>
      </c>
      <c r="G80" t="n">
        <v>5.88</v>
      </c>
      <c r="H80" t="n">
        <v>497.63</v>
      </c>
      <c r="I80" t="n">
        <v>2559</v>
      </c>
      <c r="J80" t="n">
        <v>498.6</v>
      </c>
      <c r="K80" t="n">
        <v>1011</v>
      </c>
      <c r="L80" t="n">
        <v>18.22</v>
      </c>
      <c r="M80" t="n">
        <v>84.70999999999999</v>
      </c>
      <c r="N80" t="n">
        <v>82.37</v>
      </c>
      <c r="O80" t="n">
        <v>12.74</v>
      </c>
      <c r="P80" t="n">
        <v>8.58</v>
      </c>
    </row>
    <row r="81">
      <c r="A81" s="48" t="n">
        <v>45803</v>
      </c>
      <c r="B81" t="n">
        <v>12</v>
      </c>
      <c r="C81" t="n">
        <v>158.1</v>
      </c>
      <c r="D81" t="n">
        <v>51</v>
      </c>
      <c r="E81" t="n">
        <v>54.56</v>
      </c>
      <c r="F81" t="n">
        <v>175.24</v>
      </c>
      <c r="G81" t="n">
        <v>5.66</v>
      </c>
      <c r="H81" t="n">
        <v>476.22</v>
      </c>
      <c r="I81" t="n">
        <v>2389</v>
      </c>
      <c r="J81" t="n">
        <v>483.45</v>
      </c>
      <c r="K81" t="n">
        <v>961.8</v>
      </c>
      <c r="L81" t="n">
        <v>16.8</v>
      </c>
      <c r="M81" t="n">
        <v>81.98999999999999</v>
      </c>
      <c r="N81" t="n">
        <v>76.87</v>
      </c>
      <c r="O81" t="n">
        <v>16.5</v>
      </c>
      <c r="P81" t="n">
        <v>8.41</v>
      </c>
    </row>
    <row r="82">
      <c r="A82" s="48" t="n">
        <v>45810</v>
      </c>
      <c r="B82" t="n">
        <v>12.23</v>
      </c>
      <c r="C82" t="n">
        <v>153.15</v>
      </c>
      <c r="D82" t="n">
        <v>51</v>
      </c>
      <c r="E82" t="n">
        <v>54.76</v>
      </c>
      <c r="F82" t="n">
        <v>171.42</v>
      </c>
      <c r="G82" t="n">
        <v>5.6</v>
      </c>
      <c r="H82" t="n">
        <v>480.08</v>
      </c>
      <c r="I82" t="n">
        <v>2395</v>
      </c>
      <c r="J82" t="n">
        <v>477.2</v>
      </c>
      <c r="K82" t="n">
        <v>1045</v>
      </c>
      <c r="L82" t="n">
        <v>17.4</v>
      </c>
      <c r="M82" t="n">
        <v>82.13</v>
      </c>
      <c r="N82" t="n">
        <v>78.56</v>
      </c>
      <c r="O82" t="n">
        <v>15.73</v>
      </c>
      <c r="P82" t="n">
        <v>8.51</v>
      </c>
    </row>
    <row r="83">
      <c r="A83" s="48" t="n">
        <v>45817</v>
      </c>
      <c r="B83" t="n">
        <v>13.02</v>
      </c>
      <c r="C83" t="n">
        <v>151.55</v>
      </c>
      <c r="D83" t="n">
        <v>50.15</v>
      </c>
      <c r="E83" t="n">
        <v>53.74</v>
      </c>
      <c r="F83" t="n">
        <v>177.74</v>
      </c>
      <c r="G83" t="n">
        <v>5.36</v>
      </c>
      <c r="H83" t="n">
        <v>479.12</v>
      </c>
      <c r="I83" t="n">
        <v>2325</v>
      </c>
      <c r="J83" t="n">
        <v>471.55</v>
      </c>
      <c r="K83" t="n">
        <v>1076</v>
      </c>
      <c r="L83" t="n">
        <v>17.41</v>
      </c>
      <c r="M83" t="n">
        <v>65.31999999999999</v>
      </c>
      <c r="N83" t="n">
        <v>79.26000000000001</v>
      </c>
      <c r="O83" t="n">
        <v>16.05</v>
      </c>
      <c r="P83" t="n">
        <v>8.640000000000001</v>
      </c>
    </row>
    <row r="84">
      <c r="A84" s="48" t="n">
        <v>45824</v>
      </c>
      <c r="B84" t="n">
        <v>12.41</v>
      </c>
      <c r="C84" t="n">
        <v>152.45</v>
      </c>
      <c r="D84" t="n">
        <v>47.65</v>
      </c>
      <c r="E84" t="n">
        <v>51.24</v>
      </c>
      <c r="F84" t="n">
        <v>192.88</v>
      </c>
      <c r="G84" t="n">
        <v>5.3</v>
      </c>
      <c r="H84" t="n">
        <v>464.81</v>
      </c>
      <c r="I84" t="n">
        <v>2306</v>
      </c>
      <c r="J84" t="n">
        <v>467.35</v>
      </c>
      <c r="K84" t="n">
        <v>1111</v>
      </c>
      <c r="L84" t="n">
        <v>17.4</v>
      </c>
      <c r="M84" t="n">
        <v>65.15000000000001</v>
      </c>
      <c r="N84" t="n">
        <v>84.26000000000001</v>
      </c>
      <c r="O84" t="n">
        <v>15.75</v>
      </c>
      <c r="P84" t="n">
        <v>9.039999999999999</v>
      </c>
    </row>
    <row r="85">
      <c r="A85" s="48" t="n">
        <v>45831</v>
      </c>
      <c r="B85" t="n">
        <v>11.48</v>
      </c>
      <c r="C85" t="n">
        <v>147.35</v>
      </c>
      <c r="D85" t="n">
        <v>47.8</v>
      </c>
      <c r="E85" t="n">
        <v>48.06</v>
      </c>
      <c r="F85" t="n">
        <v>175.5</v>
      </c>
      <c r="G85" t="n">
        <v>4.93</v>
      </c>
      <c r="H85" t="n">
        <v>461.08</v>
      </c>
      <c r="I85" t="n">
        <v>2264</v>
      </c>
      <c r="J85" t="n">
        <v>449.8</v>
      </c>
      <c r="K85" t="n">
        <v>1000</v>
      </c>
      <c r="L85" t="n">
        <v>16.78</v>
      </c>
      <c r="M85" t="n">
        <v>63.29</v>
      </c>
      <c r="N85" t="n">
        <v>85.75</v>
      </c>
      <c r="O85" t="n">
        <v>15.53</v>
      </c>
      <c r="P85" t="n">
        <v>8.74</v>
      </c>
    </row>
    <row r="86">
      <c r="A86" s="48" t="n">
        <v>45838</v>
      </c>
      <c r="B86" t="n">
        <v>11.75</v>
      </c>
      <c r="C86" t="n">
        <v>149.45</v>
      </c>
      <c r="D86" t="n">
        <v>48.7</v>
      </c>
      <c r="E86" t="n">
        <v>48.39</v>
      </c>
      <c r="F86" t="n">
        <v>184.56</v>
      </c>
      <c r="G86" t="n">
        <v>5</v>
      </c>
      <c r="H86" t="n">
        <v>490.74</v>
      </c>
      <c r="I86" t="n">
        <v>2299</v>
      </c>
      <c r="J86" t="n">
        <v>444.6</v>
      </c>
      <c r="K86" t="n">
        <v>1182</v>
      </c>
      <c r="L86" t="n">
        <v>17.7</v>
      </c>
      <c r="M86" t="n">
        <v>68.59999999999999</v>
      </c>
      <c r="N86" t="n">
        <v>87.81</v>
      </c>
      <c r="O86" t="n">
        <v>15.23</v>
      </c>
      <c r="P86" t="n">
        <v>8.550000000000001</v>
      </c>
    </row>
    <row r="87">
      <c r="A87" s="48" t="n">
        <v>45845</v>
      </c>
      <c r="B87" t="n">
        <v>12.49</v>
      </c>
      <c r="C87" t="n">
        <v>150.8</v>
      </c>
      <c r="D87" t="n">
        <v>49.5</v>
      </c>
      <c r="E87" t="n">
        <v>51.48</v>
      </c>
      <c r="F87" t="n">
        <v>195.4</v>
      </c>
      <c r="G87" t="n">
        <v>5.16</v>
      </c>
      <c r="H87" t="n">
        <v>486.32</v>
      </c>
      <c r="I87" t="n">
        <v>2400</v>
      </c>
      <c r="J87" t="n">
        <v>475.35</v>
      </c>
      <c r="K87" t="n">
        <v>1256</v>
      </c>
      <c r="L87" t="n">
        <v>18.5</v>
      </c>
      <c r="M87" t="n">
        <v>73.02</v>
      </c>
      <c r="N87" t="n">
        <v>92.47</v>
      </c>
      <c r="O87" t="n">
        <v>17.16</v>
      </c>
      <c r="P87" t="n">
        <v>8.99</v>
      </c>
    </row>
    <row r="88">
      <c r="A88" s="48" t="n">
        <v>45852</v>
      </c>
      <c r="B88" t="n">
        <v>12.25</v>
      </c>
      <c r="C88" t="n">
        <v>147.5</v>
      </c>
      <c r="D88" t="n">
        <v>49.4</v>
      </c>
      <c r="E88" t="n">
        <v>50.3</v>
      </c>
      <c r="F88" t="n">
        <v>196.98</v>
      </c>
      <c r="G88" t="n">
        <v>5.15</v>
      </c>
      <c r="H88" t="n">
        <v>488.29</v>
      </c>
      <c r="I88" t="n">
        <v>2409</v>
      </c>
      <c r="J88" t="n">
        <v>479.55</v>
      </c>
      <c r="K88" t="n">
        <v>1235.5</v>
      </c>
      <c r="L88" t="n">
        <v>19.18</v>
      </c>
      <c r="M88" t="n">
        <v>72.34999999999999</v>
      </c>
      <c r="N88" t="n">
        <v>101.55</v>
      </c>
      <c r="O88" t="n">
        <v>18.88</v>
      </c>
      <c r="P88" t="n">
        <v>8.800000000000001</v>
      </c>
    </row>
    <row r="89">
      <c r="A89" s="48" t="n">
        <v>45859</v>
      </c>
      <c r="B89" t="n">
        <v>12.45</v>
      </c>
      <c r="C89" t="n">
        <v>140.05</v>
      </c>
      <c r="D89" t="n">
        <v>49.1</v>
      </c>
      <c r="E89" t="n">
        <v>49.86</v>
      </c>
      <c r="F89" t="n">
        <v>197.34</v>
      </c>
      <c r="G89" t="n">
        <v>5.12</v>
      </c>
      <c r="H89" t="n">
        <v>507.34</v>
      </c>
      <c r="I89" t="n">
        <v>2329</v>
      </c>
      <c r="J89" t="n">
        <v>468.8</v>
      </c>
      <c r="K89" t="n">
        <v>1306</v>
      </c>
      <c r="L89" t="n">
        <v>19.41</v>
      </c>
      <c r="M89" t="n">
        <v>73.27</v>
      </c>
      <c r="N89" t="n">
        <v>106.41</v>
      </c>
      <c r="O89" t="n">
        <v>19.41</v>
      </c>
      <c r="P89" t="n">
        <v>8.949999999999999</v>
      </c>
    </row>
    <row r="90">
      <c r="A90" s="48" t="n">
        <v>45866</v>
      </c>
      <c r="B90" t="n">
        <v>12.52</v>
      </c>
      <c r="C90" t="n">
        <v>137.7</v>
      </c>
      <c r="D90" t="n">
        <v>48</v>
      </c>
      <c r="E90" t="n">
        <v>48.13</v>
      </c>
      <c r="F90" t="n">
        <v>215.9</v>
      </c>
      <c r="G90" t="n">
        <v>5.25</v>
      </c>
      <c r="H90" t="n">
        <v>507.31</v>
      </c>
      <c r="I90" t="n">
        <v>2388</v>
      </c>
      <c r="J90" t="n">
        <v>489.2</v>
      </c>
      <c r="K90" t="n">
        <v>1371.5</v>
      </c>
      <c r="L90" t="n">
        <v>19.74</v>
      </c>
      <c r="M90" t="n">
        <v>76.93000000000001</v>
      </c>
      <c r="N90" t="n">
        <v>110.42</v>
      </c>
      <c r="O90" t="n">
        <v>18.82</v>
      </c>
      <c r="P90" t="n">
        <v>9.050000000000001</v>
      </c>
    </row>
    <row r="91">
      <c r="A91" s="48" t="n">
        <v>45873</v>
      </c>
      <c r="B91" t="n">
        <v>12.58</v>
      </c>
      <c r="C91" t="n">
        <v>131.7</v>
      </c>
      <c r="D91" t="n">
        <v>41.56</v>
      </c>
      <c r="E91" t="n">
        <v>46.92</v>
      </c>
      <c r="F91" t="n">
        <v>215.05</v>
      </c>
      <c r="G91" t="n">
        <v>4.77</v>
      </c>
      <c r="H91" t="n">
        <v>438.32</v>
      </c>
      <c r="I91" t="n">
        <v>2097</v>
      </c>
      <c r="J91" t="n">
        <v>462.3</v>
      </c>
      <c r="K91" t="n">
        <v>1287.5</v>
      </c>
      <c r="L91" t="n">
        <v>18.31</v>
      </c>
      <c r="M91" t="n">
        <v>74.47</v>
      </c>
      <c r="N91" t="n">
        <v>111.89</v>
      </c>
      <c r="O91" t="n">
        <v>15.55</v>
      </c>
      <c r="P91" t="n">
        <v>7.86</v>
      </c>
    </row>
    <row r="92">
      <c r="A92" s="48" t="n">
        <v>45880</v>
      </c>
      <c r="B92" t="n">
        <v>11.79</v>
      </c>
      <c r="C92" t="n">
        <v>130.1</v>
      </c>
      <c r="D92" t="n">
        <v>40.44</v>
      </c>
      <c r="E92" t="n">
        <v>45.97</v>
      </c>
      <c r="F92" t="n">
        <v>213.1</v>
      </c>
      <c r="G92" t="n">
        <v>4.44</v>
      </c>
      <c r="H92" t="n">
        <v>441.35</v>
      </c>
      <c r="I92" t="n">
        <v>2037</v>
      </c>
      <c r="J92" t="n">
        <v>458</v>
      </c>
      <c r="K92" t="n">
        <v>1144</v>
      </c>
      <c r="L92" t="n">
        <v>19.42</v>
      </c>
      <c r="M92" t="n">
        <v>71.84</v>
      </c>
      <c r="N92" t="n">
        <v>107.96</v>
      </c>
      <c r="O92" t="n">
        <v>15.25</v>
      </c>
      <c r="P92" t="n">
        <v>7.71</v>
      </c>
    </row>
    <row r="93">
      <c r="A93" s="48" t="n">
        <v>45887</v>
      </c>
      <c r="B93" t="n">
        <v>13.13</v>
      </c>
      <c r="C93" t="n">
        <v>131.8</v>
      </c>
      <c r="D93" t="n">
        <v>41.52</v>
      </c>
      <c r="E93" t="n">
        <v>46.05</v>
      </c>
      <c r="F93" t="n">
        <v>210.25</v>
      </c>
      <c r="G93" t="n">
        <v>4.51</v>
      </c>
      <c r="H93" t="n">
        <v>463.17</v>
      </c>
      <c r="I93" t="n">
        <v>2073</v>
      </c>
      <c r="J93" t="n">
        <v>475.85</v>
      </c>
      <c r="K93" t="n">
        <v>1113.5</v>
      </c>
      <c r="L93" t="n">
        <v>20.5</v>
      </c>
      <c r="M93" t="n">
        <v>76.23999999999999</v>
      </c>
      <c r="N93" t="n">
        <v>99.91</v>
      </c>
      <c r="O93" t="n">
        <v>15.59</v>
      </c>
      <c r="P93" t="n">
        <v>8</v>
      </c>
    </row>
    <row r="94">
      <c r="A94" s="48" t="n">
        <v>45894</v>
      </c>
      <c r="B94" t="n">
        <v>13.67</v>
      </c>
      <c r="C94" t="n">
        <v>135.15</v>
      </c>
      <c r="D94" t="n">
        <v>40.32</v>
      </c>
      <c r="E94" t="n">
        <v>47.87</v>
      </c>
      <c r="F94" t="n">
        <v>224.25</v>
      </c>
      <c r="G94" t="n">
        <v>4.85</v>
      </c>
      <c r="H94" t="n">
        <v>467.54</v>
      </c>
      <c r="I94" t="n">
        <v>2081</v>
      </c>
      <c r="J94" t="n">
        <v>488.05</v>
      </c>
      <c r="K94" t="n">
        <v>1223</v>
      </c>
      <c r="L94" t="n">
        <v>21.33</v>
      </c>
      <c r="M94" t="n">
        <v>81.59999999999999</v>
      </c>
      <c r="N94" t="n">
        <v>98.47</v>
      </c>
      <c r="O94" t="n">
        <v>16.33</v>
      </c>
      <c r="P94" t="n">
        <v>8.199999999999999</v>
      </c>
    </row>
    <row r="95">
      <c r="A95" s="48" t="n">
        <v>45901</v>
      </c>
      <c r="B95" t="n">
        <v>15.13</v>
      </c>
      <c r="C95" t="n">
        <v>138.85</v>
      </c>
      <c r="D95" t="n">
        <v>45.26</v>
      </c>
      <c r="E95" t="n">
        <v>49.4</v>
      </c>
      <c r="F95" t="n">
        <v>229.8</v>
      </c>
      <c r="G95" t="n">
        <v>4.63</v>
      </c>
      <c r="H95" t="n">
        <v>477.21</v>
      </c>
      <c r="I95" t="n">
        <v>2063</v>
      </c>
      <c r="J95" t="n">
        <v>503.7</v>
      </c>
      <c r="K95" t="n">
        <v>1248</v>
      </c>
      <c r="L95" t="n">
        <v>20.59</v>
      </c>
      <c r="M95" t="n">
        <v>84.31999999999999</v>
      </c>
      <c r="N95" t="n">
        <v>101.82</v>
      </c>
      <c r="O95" t="n">
        <v>17.8</v>
      </c>
      <c r="P95" t="n">
        <v>8.44</v>
      </c>
    </row>
    <row r="96">
      <c r="A96" s="48" t="n">
        <v>45908</v>
      </c>
      <c r="B96" t="n">
        <v>15.56</v>
      </c>
      <c r="C96" t="n">
        <v>143.95</v>
      </c>
      <c r="D96" t="n">
        <v>44.04</v>
      </c>
      <c r="E96" t="n">
        <v>46.87</v>
      </c>
      <c r="F96" t="n">
        <v>238.9</v>
      </c>
      <c r="G96" t="n">
        <v>4.62</v>
      </c>
      <c r="H96" t="n">
        <v>478.97</v>
      </c>
      <c r="I96" t="n">
        <v>2044</v>
      </c>
      <c r="J96" t="n">
        <v>496.15</v>
      </c>
      <c r="K96" t="n">
        <v>1272</v>
      </c>
      <c r="L96" t="n">
        <v>20.47</v>
      </c>
      <c r="M96" t="n">
        <v>84.62</v>
      </c>
      <c r="N96" t="n">
        <v>104.82</v>
      </c>
      <c r="O96" t="n">
        <v>20.85</v>
      </c>
      <c r="P96" t="n">
        <v>9.02</v>
      </c>
    </row>
    <row r="97">
      <c r="A97" s="48" t="n">
        <v>45915</v>
      </c>
      <c r="B97" t="n">
        <v>14.71</v>
      </c>
      <c r="C97" t="n">
        <v>152.65</v>
      </c>
      <c r="D97" t="n">
        <v>45</v>
      </c>
      <c r="E97" t="n">
        <v>51</v>
      </c>
      <c r="F97" t="n">
        <v>255.35</v>
      </c>
      <c r="G97" t="n">
        <v>4.66</v>
      </c>
      <c r="H97" t="n">
        <v>478.94</v>
      </c>
      <c r="I97" t="n">
        <v>2121</v>
      </c>
      <c r="J97" t="n">
        <v>504.2</v>
      </c>
      <c r="K97" t="n">
        <v>1072</v>
      </c>
      <c r="L97" t="n">
        <v>21.67</v>
      </c>
      <c r="M97" t="n">
        <v>84.02</v>
      </c>
      <c r="N97" t="n">
        <v>110.17</v>
      </c>
      <c r="O97" t="n">
        <v>19.63</v>
      </c>
      <c r="P97" t="n">
        <v>9.4</v>
      </c>
    </row>
    <row r="98">
      <c r="A98" s="48" t="n">
        <v>45922</v>
      </c>
      <c r="B98" t="n">
        <v>14.33</v>
      </c>
      <c r="C98" t="n">
        <v>148.65</v>
      </c>
      <c r="D98" t="n">
        <v>46.62</v>
      </c>
      <c r="E98" t="n">
        <v>50.5</v>
      </c>
      <c r="F98" t="n">
        <v>265</v>
      </c>
      <c r="G98" t="n">
        <v>5.36</v>
      </c>
      <c r="H98" t="n">
        <v>477.74</v>
      </c>
      <c r="I98" t="n">
        <v>2114</v>
      </c>
      <c r="J98" t="n">
        <v>507</v>
      </c>
      <c r="K98" t="n">
        <v>1121.5</v>
      </c>
      <c r="L98" t="n">
        <v>20.05</v>
      </c>
      <c r="M98" t="n">
        <v>85.08</v>
      </c>
      <c r="N98" t="n">
        <v>113.88</v>
      </c>
      <c r="O98" t="n">
        <v>18.93</v>
      </c>
      <c r="P98" t="n">
        <v>9.44</v>
      </c>
    </row>
    <row r="99">
      <c r="A99" s="48" t="n">
        <v>45929</v>
      </c>
      <c r="B99" t="n">
        <v>14.45</v>
      </c>
      <c r="C99" t="n">
        <v>151.15</v>
      </c>
      <c r="D99" t="n">
        <v>46.4</v>
      </c>
      <c r="E99" t="n">
        <v>50.44</v>
      </c>
      <c r="F99" t="n">
        <v>287.95</v>
      </c>
      <c r="G99" t="n">
        <v>5.4</v>
      </c>
      <c r="H99" t="n">
        <v>482.04</v>
      </c>
      <c r="I99" t="n">
        <v>2119</v>
      </c>
      <c r="J99" t="n">
        <v>523.1</v>
      </c>
      <c r="K99" t="n">
        <v>1172.5</v>
      </c>
      <c r="L99" t="n">
        <v>19.69</v>
      </c>
      <c r="M99" t="n">
        <v>84.88</v>
      </c>
      <c r="N99" t="n">
        <v>111.46</v>
      </c>
      <c r="O99" t="n">
        <v>19.11</v>
      </c>
      <c r="P99" t="n">
        <v>9.15</v>
      </c>
    </row>
    <row r="100">
      <c r="A100" s="48" t="n">
        <v>45936</v>
      </c>
      <c r="B100" t="n">
        <v>14.5</v>
      </c>
      <c r="C100" t="n">
        <v>152.7</v>
      </c>
      <c r="D100" t="n">
        <v>46.72</v>
      </c>
      <c r="E100" t="n">
        <v>50.24</v>
      </c>
      <c r="F100" t="n">
        <v>292.4</v>
      </c>
      <c r="G100" t="n">
        <v>5.77</v>
      </c>
      <c r="H100" t="n">
        <v>491.53</v>
      </c>
      <c r="I100" t="n">
        <v>2108</v>
      </c>
      <c r="J100" t="n">
        <v>540.4</v>
      </c>
      <c r="K100" t="n">
        <v>1202</v>
      </c>
      <c r="L100" t="n">
        <v>21.18</v>
      </c>
      <c r="M100" t="n">
        <v>85.11</v>
      </c>
      <c r="N100" t="n">
        <v>115.49</v>
      </c>
      <c r="O100" t="n">
        <v>19.91</v>
      </c>
      <c r="P100" t="n">
        <v>10.21</v>
      </c>
    </row>
    <row r="101">
      <c r="A101" s="48" t="n">
        <v>45943</v>
      </c>
      <c r="B101" t="n">
        <v>14.05</v>
      </c>
      <c r="C101" t="n">
        <v>152.7</v>
      </c>
      <c r="D101" t="n">
        <v>44.4</v>
      </c>
      <c r="E101" t="n">
        <v>49.8</v>
      </c>
      <c r="F101" t="n">
        <v>303.75</v>
      </c>
      <c r="G101" t="n">
        <v>5.69</v>
      </c>
      <c r="H101" t="n">
        <v>378.72</v>
      </c>
      <c r="I101" t="n">
        <v>2042</v>
      </c>
      <c r="J101" t="n">
        <v>540.4</v>
      </c>
      <c r="K101" t="n">
        <v>1182.5</v>
      </c>
      <c r="L101" t="n">
        <v>19.98</v>
      </c>
      <c r="M101" t="n">
        <v>80.08</v>
      </c>
      <c r="N101" t="n">
        <v>114.06</v>
      </c>
      <c r="O101" t="n">
        <v>18.05</v>
      </c>
      <c r="P101" t="n">
        <v>8.76</v>
      </c>
    </row>
    <row r="102">
      <c r="A102" s="48" t="n">
        <v>45950</v>
      </c>
      <c r="B102" t="n">
        <v>14.43</v>
      </c>
      <c r="C102" t="n">
        <v>160.55</v>
      </c>
      <c r="D102" t="n">
        <v>47.1</v>
      </c>
      <c r="E102" t="n">
        <v>53.3</v>
      </c>
      <c r="F102" t="n">
        <v>324.5</v>
      </c>
      <c r="G102" t="n">
        <v>6.18</v>
      </c>
      <c r="H102" t="n">
        <v>398.31</v>
      </c>
      <c r="I102" t="n">
        <v>2218</v>
      </c>
      <c r="J102" t="n">
        <v>612.1</v>
      </c>
      <c r="K102" t="n">
        <v>1233.5</v>
      </c>
      <c r="L102" t="n">
        <v>21.43</v>
      </c>
      <c r="M102" t="n">
        <v>82.09999999999999</v>
      </c>
      <c r="N102" t="n">
        <v>116.34</v>
      </c>
      <c r="O102" t="n">
        <v>18.46</v>
      </c>
      <c r="P102" t="n">
        <v>10.52</v>
      </c>
    </row>
    <row r="103">
      <c r="A103" s="48" t="n">
        <v>45957</v>
      </c>
      <c r="B103" t="n">
        <v>16.61</v>
      </c>
      <c r="C103" t="n">
        <v>161.35</v>
      </c>
      <c r="D103" t="n">
        <v>50.25</v>
      </c>
      <c r="E103" t="n">
        <v>53.8</v>
      </c>
      <c r="F103" t="n">
        <v>327.9</v>
      </c>
      <c r="G103" t="n">
        <v>7.25</v>
      </c>
      <c r="H103" t="n">
        <v>407.46</v>
      </c>
      <c r="I103" t="n">
        <v>2207</v>
      </c>
      <c r="J103" t="n">
        <v>611.5</v>
      </c>
      <c r="K103" t="n">
        <v>1325.5</v>
      </c>
      <c r="L103" t="n">
        <v>22.54</v>
      </c>
      <c r="M103" t="n">
        <v>85.48999999999999</v>
      </c>
      <c r="N103" t="n">
        <v>114.97</v>
      </c>
      <c r="O103" t="n">
        <v>19.58</v>
      </c>
      <c r="P103" t="n">
        <v>10.48</v>
      </c>
    </row>
    <row r="104">
      <c r="A104" s="48" t="n">
        <v>45964</v>
      </c>
      <c r="B104" t="n">
        <v>14.17</v>
      </c>
      <c r="C104" t="n">
        <v>161.8</v>
      </c>
      <c r="D104" t="n">
        <v>46.26</v>
      </c>
      <c r="E104" t="n">
        <v>52.68</v>
      </c>
      <c r="F104" t="n">
        <v>304.6</v>
      </c>
      <c r="G104" t="n">
        <v>6.85</v>
      </c>
      <c r="H104" t="n">
        <v>392.03</v>
      </c>
      <c r="I104" t="n">
        <v>2116</v>
      </c>
      <c r="J104" t="n">
        <v>616.8</v>
      </c>
      <c r="K104" t="n">
        <v>1215</v>
      </c>
      <c r="L104" t="n">
        <v>20.72</v>
      </c>
      <c r="M104" t="n">
        <v>76.68000000000001</v>
      </c>
      <c r="N104" t="n">
        <v>106.33</v>
      </c>
      <c r="O104" t="n">
        <v>19.84</v>
      </c>
      <c r="P104" t="n">
        <v>9.960000000000001</v>
      </c>
    </row>
    <row r="105">
      <c r="A105" s="48" t="n">
        <v>45971</v>
      </c>
      <c r="B105" t="n">
        <v>14.63</v>
      </c>
      <c r="C105" t="n">
        <v>158.1</v>
      </c>
      <c r="D105" t="n">
        <v>46.32</v>
      </c>
      <c r="E105" t="n">
        <v>56.42</v>
      </c>
      <c r="F105" t="n">
        <v>310.45</v>
      </c>
      <c r="G105" t="n">
        <v>7.57</v>
      </c>
      <c r="H105" t="n">
        <v>411.4</v>
      </c>
      <c r="I105" t="n">
        <v>2086</v>
      </c>
      <c r="J105" t="n">
        <v>617.9</v>
      </c>
      <c r="K105" t="n">
        <v>1182.5</v>
      </c>
      <c r="L105" t="n">
        <v>21.62</v>
      </c>
      <c r="M105" t="n">
        <v>76.53</v>
      </c>
      <c r="N105" t="n">
        <v>106.08</v>
      </c>
      <c r="O105" t="n">
        <v>18.23</v>
      </c>
      <c r="P105" t="n">
        <v>9.98</v>
      </c>
    </row>
    <row r="106">
      <c r="A106" s="48" t="n">
        <v>45978</v>
      </c>
      <c r="B106" t="n">
        <v>14.25</v>
      </c>
      <c r="C106" t="n">
        <v>169.6</v>
      </c>
      <c r="D106" t="n">
        <v>47.04</v>
      </c>
      <c r="E106" t="n">
        <v>56.04</v>
      </c>
      <c r="F106" t="n">
        <v>313.45</v>
      </c>
      <c r="G106" t="n">
        <v>7.5</v>
      </c>
      <c r="H106" t="n">
        <v>405.38</v>
      </c>
      <c r="I106" t="n">
        <v>2125</v>
      </c>
      <c r="J106" t="n">
        <v>624</v>
      </c>
      <c r="K106" t="n">
        <v>1150.5</v>
      </c>
      <c r="L106" t="n">
        <v>21.7</v>
      </c>
      <c r="M106" t="n">
        <v>76.08</v>
      </c>
      <c r="N106" t="n">
        <v>101.74</v>
      </c>
      <c r="O106" t="n">
        <v>17.84</v>
      </c>
      <c r="P106" t="n">
        <v>9.699999999999999</v>
      </c>
    </row>
    <row r="107">
      <c r="A107" s="48" t="n">
        <v>45985</v>
      </c>
      <c r="B107" t="n">
        <v>16.37</v>
      </c>
      <c r="C107" t="n">
        <v>166.5</v>
      </c>
      <c r="D107" t="n">
        <v>44.8</v>
      </c>
      <c r="E107" t="n">
        <v>56.4</v>
      </c>
      <c r="F107" t="n">
        <v>295.65</v>
      </c>
      <c r="G107" t="n">
        <v>7.65</v>
      </c>
      <c r="H107" t="n">
        <v>381.58</v>
      </c>
      <c r="I107" t="n">
        <v>2110</v>
      </c>
      <c r="J107" t="n">
        <v>621.7</v>
      </c>
      <c r="K107" t="n">
        <v>1116</v>
      </c>
      <c r="L107" t="n">
        <v>24</v>
      </c>
      <c r="M107" t="n">
        <v>77.86</v>
      </c>
      <c r="N107" t="n">
        <v>105.69</v>
      </c>
      <c r="O107" t="n">
        <v>18.17</v>
      </c>
      <c r="P107" t="n">
        <v>10.32</v>
      </c>
    </row>
    <row r="108">
      <c r="A108" s="49" t="n">
        <v>45992</v>
      </c>
      <c r="B108" s="11" t="n">
        <v>18.1399993896484</v>
      </c>
      <c r="C108" s="11" t="n">
        <v>173.600006103516</v>
      </c>
      <c r="D108" s="11" t="n">
        <v>46.4599990844727</v>
      </c>
      <c r="E108" s="11" t="n">
        <v>58.1199989318848</v>
      </c>
      <c r="F108" s="11" t="n">
        <v>299.5</v>
      </c>
      <c r="G108" s="11" t="n">
        <v>8.069999694824221</v>
      </c>
      <c r="H108" s="11" t="n">
        <v>386.929992675781</v>
      </c>
      <c r="I108" s="11" t="n">
        <v>2147</v>
      </c>
      <c r="J108" s="11" t="n">
        <v>642.700012207031</v>
      </c>
      <c r="K108" s="11" t="n">
        <v>1166</v>
      </c>
      <c r="L108" s="11" t="n">
        <v>25.2000007629394</v>
      </c>
      <c r="M108" s="11" t="n">
        <v>85.25</v>
      </c>
      <c r="N108" s="11" t="n">
        <v>112.099998474121</v>
      </c>
      <c r="O108" s="11" t="n">
        <v>20.1100006103516</v>
      </c>
      <c r="P108" s="11" t="n">
        <v>10.5500001907349</v>
      </c>
    </row>
    <row r="109">
      <c r="A109" s="49" t="n">
        <v>45996</v>
      </c>
      <c r="B109" s="11" t="n">
        <v>19.0499992370606</v>
      </c>
      <c r="C109" s="11" t="n">
        <v>173.449996948242</v>
      </c>
      <c r="D109" s="11" t="n">
        <v>44.5999984741211</v>
      </c>
      <c r="E109" s="11" t="n">
        <v>58.0400009155273</v>
      </c>
      <c r="F109" s="11" t="n">
        <v>295.5</v>
      </c>
      <c r="G109" s="11" t="n">
        <v>8</v>
      </c>
      <c r="H109" s="11" t="n">
        <v>393.209991455078</v>
      </c>
      <c r="I109" s="11" t="n">
        <v>2165</v>
      </c>
      <c r="J109" s="11" t="n">
        <v>628.099975585938</v>
      </c>
      <c r="K109" s="11" t="n">
        <v>1230.5</v>
      </c>
      <c r="L109" s="11" t="n">
        <v>27.0400009155273</v>
      </c>
      <c r="M109" s="11" t="n">
        <v>78.4899978637695</v>
      </c>
      <c r="N109" s="11" t="n">
        <v>116.300003051758</v>
      </c>
      <c r="O109" s="11" t="n">
        <v>18.5400009155273</v>
      </c>
      <c r="P109" s="11" t="n">
        <v>10.6400003433228</v>
      </c>
    </row>
    <row r="110">
      <c r="A110" s="49" t="n">
        <v>46003</v>
      </c>
      <c r="B110" s="11" t="n">
        <v>19.6599998474121</v>
      </c>
      <c r="C110" s="11" t="n">
        <v>166.350006103516</v>
      </c>
      <c r="D110" s="11" t="n">
        <v>46</v>
      </c>
      <c r="E110" s="11" t="n">
        <v>55.9799995422363</v>
      </c>
      <c r="F110" s="11" t="n">
        <v>296.200012207031</v>
      </c>
      <c r="G110" s="11" t="n">
        <v>7.99499988555908</v>
      </c>
      <c r="H110" s="11" t="n">
        <v>367.130004882813</v>
      </c>
      <c r="I110" s="11" t="n">
        <v>2134</v>
      </c>
      <c r="J110" s="11" t="n">
        <v>624.5</v>
      </c>
      <c r="K110" s="11" t="n">
        <v>1272.5</v>
      </c>
      <c r="L110" s="11" t="n">
        <v>26.0300006866455</v>
      </c>
      <c r="M110" s="11" t="n">
        <v>75.26999664306641</v>
      </c>
      <c r="N110" s="11" t="n">
        <v>123.209999084473</v>
      </c>
      <c r="O110" s="11" t="n">
        <v>17.6399993896484</v>
      </c>
      <c r="P110" s="11" t="n">
        <v>10.460000038147</v>
      </c>
    </row>
    <row r="111">
      <c r="A111" s="49" t="n">
        <v>46010</v>
      </c>
      <c r="B111" s="11" t="n">
        <v>18.6200008392334</v>
      </c>
      <c r="C111" s="11" t="n">
        <v>168.300003051758</v>
      </c>
      <c r="D111" s="11" t="n">
        <v>47.0999984741211</v>
      </c>
      <c r="E111" s="11" t="n">
        <v>56.5200004577637</v>
      </c>
      <c r="F111" s="11" t="n">
        <v>302.549987792969</v>
      </c>
      <c r="G111" s="11" t="n">
        <v>8.19999980926514</v>
      </c>
      <c r="H111" s="11" t="n">
        <v>378.290008544922</v>
      </c>
      <c r="I111" s="11" t="n">
        <v>2102</v>
      </c>
      <c r="J111" s="11" t="n">
        <v>631.700012207031</v>
      </c>
      <c r="K111" s="11" t="n">
        <v>1283</v>
      </c>
      <c r="L111" s="11" t="n">
        <v>25.25</v>
      </c>
      <c r="M111" s="11" t="n">
        <v>70.59999847412109</v>
      </c>
      <c r="N111" s="11" t="n">
        <v>125.419998168945</v>
      </c>
      <c r="O111" s="11" t="n">
        <v>17.7700004577637</v>
      </c>
      <c r="P111" s="11" t="n">
        <v>10.6199998855591</v>
      </c>
    </row>
    <row r="112">
      <c r="A112" s="49" t="n">
        <v>46017</v>
      </c>
      <c r="B112" s="11" t="n">
        <v>18.5</v>
      </c>
      <c r="C112" s="11" t="n">
        <v>170.050003051758</v>
      </c>
      <c r="D112" s="11" t="n">
        <v>45.560001373291</v>
      </c>
      <c r="E112" s="11" t="n">
        <v>55.9199981689453</v>
      </c>
      <c r="F112" s="11" t="n">
        <v>303.600006103516</v>
      </c>
      <c r="G112" s="11" t="n">
        <v>8.064999580383301</v>
      </c>
      <c r="H112" s="11" t="n">
        <v>378.130004882813</v>
      </c>
      <c r="I112" s="11" t="n">
        <v>2095</v>
      </c>
      <c r="J112" s="11" t="n">
        <v>632.099975585938</v>
      </c>
      <c r="K112" s="11" t="n">
        <v>1252.5</v>
      </c>
      <c r="L112" s="11" t="n">
        <v>24.9899997711182</v>
      </c>
      <c r="M112" s="11" t="n">
        <v>68.65000152587891</v>
      </c>
      <c r="N112" s="11" t="n">
        <v>131.300003051758</v>
      </c>
      <c r="O112" s="11" t="n">
        <v>17.4099998474121</v>
      </c>
      <c r="P112" s="11" t="n">
        <v>10.4700002670288</v>
      </c>
    </row>
    <row r="113">
      <c r="A113" s="49" t="n">
        <v>46024</v>
      </c>
      <c r="B113" s="11" t="n">
        <v>18.1599998474121</v>
      </c>
      <c r="C113" s="11" t="n">
        <v>172.050003051758</v>
      </c>
      <c r="D113" s="11" t="n">
        <v>44.7000007629395</v>
      </c>
      <c r="E113" s="11" t="n">
        <v>54.7200012207031</v>
      </c>
      <c r="F113" s="11" t="n">
        <v>304.600006103516</v>
      </c>
      <c r="G113" s="11" t="n">
        <v>8.34500026702881</v>
      </c>
      <c r="H113" s="11" t="n">
        <v>371.890014648438</v>
      </c>
      <c r="I113" s="11" t="n">
        <v>2104</v>
      </c>
      <c r="J113" s="11" t="n">
        <v>641.799987792969</v>
      </c>
      <c r="K113" s="11" t="n">
        <v>1316.5</v>
      </c>
      <c r="L113" s="11" t="n">
        <v>24.3899993896484</v>
      </c>
      <c r="M113" s="11" t="n">
        <v>67.8199996948242</v>
      </c>
      <c r="N113" s="11" t="n">
        <v>129.070007324219</v>
      </c>
      <c r="O113" s="11" t="n">
        <v>18.5699996948242</v>
      </c>
      <c r="P113" s="11" t="n">
        <v>10.4300003051758</v>
      </c>
    </row>
    <row r="114">
      <c r="A114" s="49" t="n">
        <v>46031</v>
      </c>
      <c r="B114" s="11" t="n">
        <v>19.8600006103516</v>
      </c>
      <c r="C114" s="11" t="n">
        <v>176.449996948242</v>
      </c>
      <c r="D114" s="11" t="n">
        <v>43.2000007629395</v>
      </c>
      <c r="E114" s="11" t="n">
        <v>54.1199989318848</v>
      </c>
      <c r="F114" s="11" t="n">
        <v>317.399993896484</v>
      </c>
      <c r="G114" s="11" t="n">
        <v>7.92500019073486</v>
      </c>
      <c r="H114" s="11" t="n">
        <v>376.190002441406</v>
      </c>
      <c r="I114" s="11" t="n">
        <v>2217</v>
      </c>
      <c r="J114" s="11" t="n">
        <v>652.099975585938</v>
      </c>
      <c r="K114" s="11" t="n">
        <v>1335</v>
      </c>
      <c r="L114" s="11" t="n">
        <v>26.1200008392334</v>
      </c>
      <c r="M114" s="11" t="n">
        <v>66.2399978637695</v>
      </c>
      <c r="N114" s="11" t="n">
        <v>134.350006103516</v>
      </c>
      <c r="O114" s="11" t="n">
        <v>18.3600006103516</v>
      </c>
      <c r="P114" s="11" t="n">
        <v>10.8400001525879</v>
      </c>
    </row>
    <row r="115">
      <c r="A115" s="49" t="n">
        <v>46038</v>
      </c>
      <c r="B115" s="11" t="n">
        <v>18.8199996948242</v>
      </c>
      <c r="C115" s="11" t="n">
        <v>161.350006103516</v>
      </c>
      <c r="D115" s="11" t="n">
        <v>42.2000007629395</v>
      </c>
      <c r="E115" s="11" t="n">
        <v>51</v>
      </c>
      <c r="F115" s="11" t="n">
        <v>288.700012207031</v>
      </c>
      <c r="G115" s="11" t="n">
        <v>7.2649998664856</v>
      </c>
      <c r="H115" s="11" t="n">
        <v>345.230010986328</v>
      </c>
      <c r="I115" s="11" t="n">
        <v>2190</v>
      </c>
      <c r="J115" s="11" t="n">
        <v>609.200012207031</v>
      </c>
      <c r="K115" s="11" t="n">
        <v>1272</v>
      </c>
      <c r="L115" s="11" t="n">
        <v>24.8400001525879</v>
      </c>
      <c r="M115" s="11" t="n">
        <v>64.629997253418</v>
      </c>
      <c r="N115" s="11" t="n">
        <v>130.690002441406</v>
      </c>
      <c r="O115" s="11" t="n">
        <v>17.9099998474121</v>
      </c>
      <c r="P115" s="11" t="n">
        <v>9.560000419616699</v>
      </c>
    </row>
    <row r="116">
      <c r="A116" s="49" t="n">
        <v>46045</v>
      </c>
      <c r="B116" s="11" t="n">
        <v>19.7399997711182</v>
      </c>
      <c r="C116" s="11" t="n">
        <v>154.550003051758</v>
      </c>
      <c r="D116" s="11" t="n">
        <v>41.7599983215332</v>
      </c>
      <c r="E116" s="11" t="n">
        <v>49.6199989318848</v>
      </c>
      <c r="F116" s="11" t="n">
        <v>274.950012207031</v>
      </c>
      <c r="G116" s="11" t="n">
        <v>7.03000020980835</v>
      </c>
      <c r="H116" s="11" t="n">
        <v>338.529998779297</v>
      </c>
      <c r="I116" s="11" t="n">
        <v>2130</v>
      </c>
      <c r="J116" s="11" t="n">
        <v>591.400024414063</v>
      </c>
      <c r="K116" s="11" t="n">
        <v>1195.5</v>
      </c>
      <c r="L116" s="11" t="n">
        <v>24.6700000762939</v>
      </c>
      <c r="M116" s="11" t="n">
        <v>61.3499984741211</v>
      </c>
      <c r="N116" s="11" t="n">
        <v>130.039993286133</v>
      </c>
      <c r="O116" s="11" t="n">
        <v>17.5699996948242</v>
      </c>
      <c r="P116" s="11" t="n">
        <v>9.61999988555908</v>
      </c>
    </row>
    <row r="117">
      <c r="A117" s="49" t="n">
        <v>46052</v>
      </c>
      <c r="B117" s="11" t="n">
        <v>19.5900001525879</v>
      </c>
      <c r="C117" s="11" t="n">
        <v>149.550003051758</v>
      </c>
      <c r="D117" s="11" t="n">
        <v>40.0400009155273</v>
      </c>
      <c r="E117" s="11" t="n">
        <v>49.0099983215332</v>
      </c>
      <c r="F117" s="11" t="n">
        <v>264.149993896484</v>
      </c>
      <c r="G117" s="11" t="n">
        <v>6.61499977111816</v>
      </c>
      <c r="H117" s="11" t="n">
        <v>333.170013427734</v>
      </c>
      <c r="I117" s="11" t="n">
        <v>2029</v>
      </c>
      <c r="J117" s="11" t="n">
        <v>546.900024414063</v>
      </c>
      <c r="K117" s="11" t="n">
        <v>1099</v>
      </c>
      <c r="L117" s="11" t="n">
        <v>22.5699996948242</v>
      </c>
      <c r="M117" s="11" t="n">
        <v>62.3600006103516</v>
      </c>
      <c r="N117" s="11" t="n">
        <v>126.910003662109</v>
      </c>
      <c r="O117" s="11" t="n">
        <v>16.5200004577637</v>
      </c>
      <c r="P117" s="11" t="n">
        <v>8.689999580383301</v>
      </c>
    </row>
    <row r="118">
      <c r="A118" s="49" t="n">
        <v>46059</v>
      </c>
      <c r="B118" s="11" t="n">
        <v>20.3400001525879</v>
      </c>
      <c r="C118" s="11" t="n">
        <v>155.449996948242</v>
      </c>
      <c r="D118" s="11" t="n">
        <v>40.4799995422363</v>
      </c>
      <c r="E118" s="11" t="n">
        <v>48.3600006103516</v>
      </c>
      <c r="F118" s="11" t="n">
        <v>258.049987792969</v>
      </c>
      <c r="G118" s="11" t="n">
        <v>6.69000005722046</v>
      </c>
      <c r="H118" s="11" t="n">
        <v>333.790008544922</v>
      </c>
      <c r="I118" s="11" t="n">
        <v>2055</v>
      </c>
      <c r="J118" s="11" t="n">
        <v>536.200012207031</v>
      </c>
      <c r="K118" s="11" t="n">
        <v>1180</v>
      </c>
      <c r="L118" s="11" t="n">
        <v>20.1800003051758</v>
      </c>
      <c r="M118" s="11" t="n">
        <v>66.120002746582</v>
      </c>
      <c r="N118" s="11" t="n">
        <v>152.100006103516</v>
      </c>
      <c r="O118" s="11" t="n">
        <v>15.3900003433228</v>
      </c>
      <c r="P118" s="11" t="n">
        <v>10.3900003433228</v>
      </c>
    </row>
    <row r="119">
      <c r="A119" s="49" t="n">
        <v>46066</v>
      </c>
      <c r="B119" s="11" t="n">
        <v>20.2999992370606</v>
      </c>
      <c r="C119" s="11" t="n">
        <v>158.649993896484</v>
      </c>
      <c r="D119" s="11" t="n">
        <v>41.8800010681152</v>
      </c>
      <c r="E119" s="11" t="n">
        <v>50.6800003051758</v>
      </c>
      <c r="F119" s="11" t="n">
        <v>284.350006103516</v>
      </c>
      <c r="G119" s="11" t="n">
        <v>6.71999979019165</v>
      </c>
      <c r="H119" s="11" t="n">
        <v>379.079986572266</v>
      </c>
      <c r="I119" s="11" t="n">
        <v>2147</v>
      </c>
      <c r="J119" s="11" t="n">
        <v>514.200012207031</v>
      </c>
      <c r="K119" s="11" t="n">
        <v>1195.5</v>
      </c>
      <c r="L119" s="11" t="n">
        <v>20.4200000762939</v>
      </c>
      <c r="M119" s="11" t="n">
        <v>68.7099990844727</v>
      </c>
      <c r="N119" s="11" t="n">
        <v>153.800003051758</v>
      </c>
      <c r="O119" s="11" t="n">
        <v>16.6900005340576</v>
      </c>
      <c r="P119" s="11" t="n">
        <v>11.039999961853</v>
      </c>
    </row>
    <row r="120">
      <c r="A120" s="49" t="n">
        <v>46073</v>
      </c>
      <c r="B120" s="11" t="n">
        <v>21.2299995422363</v>
      </c>
      <c r="C120" s="11" t="n">
        <v>162.300003051758</v>
      </c>
      <c r="D120" s="11" t="n">
        <v>42.2000007629395</v>
      </c>
      <c r="E120" s="11" t="n">
        <v>57</v>
      </c>
      <c r="F120" s="11" t="n">
        <v>278</v>
      </c>
      <c r="G120" s="11" t="n">
        <v>6.96999979019165</v>
      </c>
      <c r="H120" s="11" t="n">
        <v>366.950012207031</v>
      </c>
      <c r="I120" s="11" t="n">
        <v>2112</v>
      </c>
      <c r="J120" s="11" t="n">
        <v>554.700012207031</v>
      </c>
      <c r="K120" s="11" t="n">
        <v>1213.5</v>
      </c>
      <c r="L120" s="11" t="n">
        <v>22.1499996185303</v>
      </c>
      <c r="M120" s="11" t="n">
        <v>72.1699981689453</v>
      </c>
      <c r="N120" s="11" t="n">
        <v>157.089996337891</v>
      </c>
      <c r="O120" s="11" t="n">
        <v>17.0200004577637</v>
      </c>
      <c r="P120" s="11" t="n">
        <v>11.4499998092651</v>
      </c>
    </row>
    <row r="121">
      <c r="A121" s="49" t="n">
        <v>46080</v>
      </c>
      <c r="B121" s="11" t="n">
        <v>19.4200000762939</v>
      </c>
      <c r="C121" s="11" t="n">
        <v>157.25</v>
      </c>
      <c r="D121" s="11" t="n">
        <v>44.5</v>
      </c>
      <c r="E121" s="11" t="n">
        <v>58.439998626709</v>
      </c>
      <c r="F121" s="11" t="n">
        <v>285.899993896484</v>
      </c>
      <c r="G121" s="11" t="n">
        <v>6.75</v>
      </c>
      <c r="H121" s="11" t="n">
        <v>379.920013427734</v>
      </c>
      <c r="I121" s="11" t="n">
        <v>2049</v>
      </c>
      <c r="J121" s="11" t="n">
        <v>544.099975585938</v>
      </c>
      <c r="K121" s="11" t="n">
        <v>1163</v>
      </c>
      <c r="L121" s="11" t="n">
        <v>20.5100002288818</v>
      </c>
      <c r="M121" s="11" t="n">
        <v>68.59999847412109</v>
      </c>
      <c r="N121" s="11" t="n">
        <v>155.470001220703</v>
      </c>
      <c r="O121" s="11" t="n">
        <v>16.7999992370606</v>
      </c>
      <c r="P121" s="11" t="n">
        <v>11.2700004577637</v>
      </c>
    </row>
    <row r="122">
      <c r="A122" s="49" t="n">
        <v>46087</v>
      </c>
      <c r="B122" s="11" t="n">
        <v>17.3199996948242</v>
      </c>
      <c r="C122" s="11" t="n">
        <v>142.699996948242</v>
      </c>
      <c r="D122" s="11" t="n">
        <v>40.8800010681152</v>
      </c>
      <c r="E122" s="11" t="n">
        <v>55</v>
      </c>
      <c r="F122" s="11" t="n">
        <v>257.399993896484</v>
      </c>
      <c r="G122" s="11" t="n">
        <v>6.07000017166138</v>
      </c>
      <c r="H122" s="11" t="n">
        <v>350.079986572266</v>
      </c>
      <c r="I122" s="11" t="n">
        <v>1905.5</v>
      </c>
      <c r="J122" s="11" t="n">
        <v>502.200012207031</v>
      </c>
      <c r="K122" s="11" t="n">
        <v>1097.5</v>
      </c>
      <c r="L122" s="11" t="n">
        <v>17.9500007629394</v>
      </c>
      <c r="M122" s="11" t="n">
        <v>64.9100036621094</v>
      </c>
      <c r="N122" s="11" t="n">
        <v>144.149993896484</v>
      </c>
      <c r="O122" s="11" t="n">
        <v>15.1899995803833</v>
      </c>
      <c r="P122" s="11" t="n">
        <v>10.4700002670288</v>
      </c>
    </row>
    <row r="123">
      <c r="A123" s="49" t="n">
        <v>46094</v>
      </c>
      <c r="B123" s="11" t="n">
        <v>15.960000038147</v>
      </c>
      <c r="C123" s="11" t="n">
        <v>138.100006103516</v>
      </c>
      <c r="D123" s="11" t="n">
        <v>39.0800018310547</v>
      </c>
      <c r="E123" s="11" t="n">
        <v>52.560001373291</v>
      </c>
      <c r="F123" s="11" t="n">
        <v>248.699996948242</v>
      </c>
      <c r="G123" s="11" t="n">
        <v>6.82999992370605</v>
      </c>
      <c r="H123" s="11" t="n">
        <v>331.859985351563</v>
      </c>
      <c r="I123" s="11" t="n">
        <v>1873</v>
      </c>
      <c r="J123" s="11" t="n">
        <v>473.700012207031</v>
      </c>
      <c r="K123" s="11" t="n">
        <v>1029.5</v>
      </c>
      <c r="L123" s="11" t="n">
        <v>18.5799999237061</v>
      </c>
      <c r="M123" s="11" t="n">
        <v>60.8699989318848</v>
      </c>
      <c r="N123" s="11" t="n">
        <v>142.100006103516</v>
      </c>
      <c r="O123" s="11" t="n">
        <v>14.75</v>
      </c>
      <c r="P123" s="11" t="n">
        <v>9.69999980926514</v>
      </c>
    </row>
    <row r="124">
      <c r="A124" s="49" t="n">
        <v>46101</v>
      </c>
      <c r="B124" s="11" t="n">
        <v>16.2800006866455</v>
      </c>
      <c r="C124" s="11" t="n">
        <v>130.399993896484</v>
      </c>
      <c r="D124" s="11" t="n">
        <v>36.8400001525879</v>
      </c>
      <c r="E124" s="11" t="n">
        <v>52.0999984741211</v>
      </c>
      <c r="F124" s="11" t="n">
        <v>234.149993896484</v>
      </c>
      <c r="G124" s="11" t="n">
        <v>6.29500007629395</v>
      </c>
      <c r="H124" s="11" t="n">
        <v>314.630004882813</v>
      </c>
      <c r="I124" s="11" t="n">
        <v>1656</v>
      </c>
      <c r="J124" s="11" t="n">
        <v>457.950012207031</v>
      </c>
      <c r="K124" s="11" t="n">
        <v>1014.5</v>
      </c>
      <c r="L124" s="11" t="n">
        <v>18.0900001525879</v>
      </c>
      <c r="M124" s="11" t="n">
        <v>63.2700004577637</v>
      </c>
      <c r="N124" s="11" t="n">
        <v>140.880004882812</v>
      </c>
      <c r="O124" s="11" t="n">
        <v>14.8100004196167</v>
      </c>
      <c r="P124" s="11" t="n">
        <v>9.680000305175779</v>
      </c>
    </row>
    <row r="125">
      <c r="A125" s="49" t="n">
        <v>46108</v>
      </c>
      <c r="B125" s="11" t="n">
        <v>16.3999996185303</v>
      </c>
      <c r="C125" s="11" t="n">
        <v>138.050003051758</v>
      </c>
      <c r="D125" s="11" t="n">
        <v>37.0999984741211</v>
      </c>
      <c r="E125" s="11" t="n">
        <v>50.1399993896484</v>
      </c>
      <c r="F125" s="11" t="n">
        <v>248.300003051758</v>
      </c>
      <c r="G125" s="11" t="n">
        <v>6.40000009536743</v>
      </c>
      <c r="H125" s="11" t="n">
        <v>317.399993896484</v>
      </c>
      <c r="I125" s="11" t="n">
        <v>1621.5</v>
      </c>
      <c r="J125" s="11" t="n">
        <v>455.75</v>
      </c>
      <c r="K125" s="11" t="n">
        <v>1026.5</v>
      </c>
      <c r="L125" s="11" t="n">
        <v>17.2700004577637</v>
      </c>
      <c r="M125" s="11" t="n">
        <v>66.40000152587891</v>
      </c>
      <c r="N125" s="11" t="n">
        <v>138.839996337891</v>
      </c>
      <c r="O125" s="11" t="n">
        <v>14.6499996185303</v>
      </c>
      <c r="P125" s="11" t="n">
        <v>9.760000228881839</v>
      </c>
    </row>
    <row r="126">
      <c r="A126" s="49" t="n">
        <v>46115</v>
      </c>
      <c r="B126" s="11" t="n">
        <v>16.8700008392334</v>
      </c>
      <c r="C126" s="11" t="n">
        <v>142.899993896484</v>
      </c>
      <c r="D126" s="11" t="n">
        <v>37.0400009155273</v>
      </c>
      <c r="E126" s="11" t="n">
        <v>53.1599998474121</v>
      </c>
      <c r="F126" s="11" t="n">
        <v>265.25</v>
      </c>
      <c r="G126" s="11" t="n">
        <v>7.03000020980835</v>
      </c>
      <c r="H126" s="11" t="n">
        <v>340</v>
      </c>
      <c r="I126" s="11" t="n">
        <v>1667.5</v>
      </c>
      <c r="J126" s="11" t="n">
        <v>471.049987792969</v>
      </c>
      <c r="K126" s="11" t="n">
        <v>1091</v>
      </c>
      <c r="L126" s="11" t="n">
        <v>17.9599990844727</v>
      </c>
      <c r="M126" s="11" t="n">
        <v>77.11000061035161</v>
      </c>
      <c r="N126" s="11" t="n">
        <v>141.199996948242</v>
      </c>
      <c r="O126" s="11" t="n">
        <v>14.6800003051758</v>
      </c>
      <c r="P126" s="11" t="n">
        <v>10.5500001907349</v>
      </c>
    </row>
    <row r="127">
      <c r="A127" s="49" t="n">
        <v>46122</v>
      </c>
      <c r="B127" s="11" t="n">
        <v>18.2299995422363</v>
      </c>
      <c r="C127" s="11" t="n">
        <v>153.350006103516</v>
      </c>
      <c r="D127" s="11" t="n">
        <v>38.9199981689453</v>
      </c>
      <c r="E127" s="11" t="n">
        <v>54.3800010681152</v>
      </c>
      <c r="F127" s="11" t="n">
        <v>276.450012207031</v>
      </c>
      <c r="G127" s="11" t="n">
        <v>7.63500022888184</v>
      </c>
      <c r="H127" s="11" t="n">
        <v>351.890014648438</v>
      </c>
      <c r="I127" s="11" t="n">
        <v>1757.5</v>
      </c>
      <c r="J127" s="11" t="n">
        <v>483.299987792969</v>
      </c>
      <c r="K127" s="11" t="n">
        <v>1157.40002441406</v>
      </c>
      <c r="L127" s="11" t="n">
        <v>19.8799991607666</v>
      </c>
      <c r="M127" s="11" t="n">
        <v>90.7399978637695</v>
      </c>
      <c r="N127" s="11" t="n">
        <v>150.300003051758</v>
      </c>
      <c r="O127" s="11" t="n">
        <v>15.4499998092651</v>
      </c>
      <c r="P127" s="11" t="n">
        <v>11.5100002288818</v>
      </c>
    </row>
    <row r="128">
      <c r="A128" s="49" t="n">
        <v>46129</v>
      </c>
      <c r="B128" s="11" t="n">
        <v>21</v>
      </c>
      <c r="C128" s="11" t="n">
        <v>160</v>
      </c>
      <c r="D128" s="11" t="n">
        <v>36.9599990844727</v>
      </c>
      <c r="E128" s="11" t="n">
        <v>56.7999992370605</v>
      </c>
      <c r="F128" s="11" t="n">
        <v>253.600006103516</v>
      </c>
      <c r="G128" s="11" t="n">
        <v>8.13000011444092</v>
      </c>
      <c r="H128" s="11" t="n">
        <v>372.850006103516</v>
      </c>
      <c r="I128" s="11" t="n">
        <v>1741</v>
      </c>
      <c r="J128" s="11" t="n">
        <v>499.399993896484</v>
      </c>
      <c r="K128" s="11" t="n">
        <v>1182</v>
      </c>
      <c r="L128" s="11" t="n">
        <v>20.8999996185303</v>
      </c>
      <c r="M128" s="11" t="n">
        <v>94.1699981689453</v>
      </c>
      <c r="N128" s="11" t="n">
        <v>155.850006103516</v>
      </c>
      <c r="O128" s="11" t="n">
        <v>16.3400001525879</v>
      </c>
      <c r="P128" s="11" t="n">
        <v>12.1499996185303</v>
      </c>
    </row>
    <row r="129">
      <c r="A129" s="49" t="n">
        <v>46136</v>
      </c>
      <c r="B129" s="11" t="n">
        <v>19.7900009155273</v>
      </c>
      <c r="C129" s="11" t="n">
        <v>150.300003051758</v>
      </c>
      <c r="D129" s="11" t="n">
        <v>37.5200004577637</v>
      </c>
      <c r="E129" s="11" t="n">
        <v>54.0999984741211</v>
      </c>
      <c r="F129" s="11" t="n">
        <v>240.050003051758</v>
      </c>
      <c r="G129" s="11" t="n">
        <v>7.68499994277954</v>
      </c>
      <c r="H129" s="11" t="n">
        <v>351.950012207031</v>
      </c>
      <c r="I129" s="11" t="n">
        <v>1648</v>
      </c>
      <c r="J129" s="11" t="n">
        <v>471.649993896484</v>
      </c>
      <c r="K129" s="11" t="n">
        <v>1147.59997558594</v>
      </c>
      <c r="L129" s="11" t="n">
        <v>20.6299991607666</v>
      </c>
      <c r="M129" s="11" t="n">
        <v>93.63999938964839</v>
      </c>
      <c r="N129" s="11" t="n">
        <v>145.889999389648</v>
      </c>
      <c r="O129" s="11" t="n">
        <v>16</v>
      </c>
      <c r="P129" s="11" t="n">
        <v>11.960000038147</v>
      </c>
    </row>
    <row r="130">
      <c r="A130" s="49" t="n">
        <v>46143</v>
      </c>
      <c r="B130" s="11" t="n">
        <v>19.0100002288818</v>
      </c>
      <c r="C130" s="11" t="n">
        <v>148.5</v>
      </c>
      <c r="D130" s="11" t="n">
        <v>34.7000007629395</v>
      </c>
      <c r="E130" s="11" t="n">
        <v>51.2400016784668</v>
      </c>
      <c r="F130" s="11" t="n">
        <v>232.649993896484</v>
      </c>
      <c r="G130" s="11" t="n">
        <v>7.40000009536743</v>
      </c>
      <c r="H130" s="11" t="n">
        <v>341.260009765625</v>
      </c>
      <c r="I130" s="11" t="n">
        <v>1623.5</v>
      </c>
      <c r="J130" s="11" t="n">
        <v>451.399993896484</v>
      </c>
      <c r="K130" s="11" t="n">
        <v>1175</v>
      </c>
      <c r="L130" s="11" t="n">
        <v>19.6299991607666</v>
      </c>
      <c r="M130" s="11" t="n">
        <v>91.63999938964839</v>
      </c>
      <c r="N130" s="11" t="n">
        <v>142.740005493164</v>
      </c>
      <c r="O130" s="11" t="n">
        <v>15.3400001525879</v>
      </c>
      <c r="P130" s="11" t="n">
        <v>12.4399995803833</v>
      </c>
    </row>
    <row r="131">
      <c r="A131" s="49" t="n">
        <v>46150</v>
      </c>
      <c r="B131" s="11" t="n">
        <v>18.9799995422363</v>
      </c>
      <c r="C131" s="11" t="n">
        <v>158.399993896484</v>
      </c>
      <c r="D131" s="11" t="n">
        <v>38.4599990844727</v>
      </c>
      <c r="E131" s="11" t="n">
        <v>54.5</v>
      </c>
      <c r="F131" s="11" t="n">
        <v>245.899993896484</v>
      </c>
      <c r="G131" s="11" t="n">
        <v>8.689999580383301</v>
      </c>
      <c r="H131" s="11" t="n">
        <v>339.690002441406</v>
      </c>
      <c r="I131" s="11" t="n">
        <v>1661</v>
      </c>
      <c r="J131" s="11" t="n">
        <v>472.700012207031</v>
      </c>
      <c r="K131" s="11" t="n">
        <v>1219.19995117187</v>
      </c>
      <c r="L131" s="11" t="n">
        <v>18.5300006866455</v>
      </c>
      <c r="M131" s="11" t="n">
        <v>89.48000335693359</v>
      </c>
      <c r="N131" s="11" t="n">
        <v>133.479995727539</v>
      </c>
      <c r="O131" s="11" t="n">
        <v>16.3199996948242</v>
      </c>
      <c r="P131" s="11" t="n">
        <v>13.1599998474121</v>
      </c>
    </row>
    <row r="132">
      <c r="A132" s="49" t="n">
        <v>46157</v>
      </c>
      <c r="B132" s="11" t="n">
        <v>16.6800003051758</v>
      </c>
      <c r="C132" s="11" t="n">
        <v>155.600006103516</v>
      </c>
      <c r="D132" s="11" t="n">
        <v>35.7000007629395</v>
      </c>
      <c r="E132" s="11" t="n">
        <v>49.7099990844727</v>
      </c>
      <c r="F132" s="11" t="n">
        <v>236.850006103516</v>
      </c>
      <c r="G132" s="11" t="n">
        <v>6.6100001335144</v>
      </c>
      <c r="H132" s="11" t="n">
        <v>321.200012207031</v>
      </c>
      <c r="I132" s="11" t="n">
        <v>1575.5</v>
      </c>
      <c r="J132" s="11" t="n">
        <v>455.600006103516</v>
      </c>
      <c r="K132" s="11" t="n">
        <v>1061.5</v>
      </c>
      <c r="L132" s="11" t="n">
        <v>17.2600002288818</v>
      </c>
      <c r="M132" s="11" t="n">
        <v>79.4499969482422</v>
      </c>
      <c r="N132" s="11" t="n">
        <v>129.320007324219</v>
      </c>
      <c r="O132" s="11" t="n">
        <v>13.1999998092651</v>
      </c>
      <c r="P132" s="11" t="n">
        <v>12.579999923706</v>
      </c>
    </row>
    <row r="133">
      <c r="A133" s="49" t="n">
        <v>46164</v>
      </c>
      <c r="B133" s="11" t="n">
        <v>16.7000007629394</v>
      </c>
      <c r="C133" s="11" t="n">
        <v>155.75</v>
      </c>
      <c r="D133" s="11" t="n">
        <v>36.6800003051758</v>
      </c>
      <c r="E133" s="11" t="n">
        <v>51.5200004577637</v>
      </c>
      <c r="F133" s="11" t="n">
        <v>242</v>
      </c>
      <c r="G133" s="11" t="n">
        <v>7.69999980926514</v>
      </c>
      <c r="H133" s="11" t="n">
        <v>348.239990234375</v>
      </c>
      <c r="I133" s="11" t="n">
        <v>1605</v>
      </c>
      <c r="J133" s="11" t="n">
        <v>472.600006103516</v>
      </c>
      <c r="K133" s="11" t="n">
        <v>1124</v>
      </c>
      <c r="L133" s="11" t="n">
        <v>18.4799995422363</v>
      </c>
      <c r="M133" s="11" t="n">
        <v>88.9199981689453</v>
      </c>
      <c r="N133" s="11" t="n">
        <v>138.490005493164</v>
      </c>
      <c r="O133" s="11" t="n">
        <v>13.5600004196167</v>
      </c>
      <c r="P133" s="11" t="n">
        <v>13.3000001907349</v>
      </c>
    </row>
    <row r="134">
      <c r="A134" s="49" t="n">
        <v>46171</v>
      </c>
      <c r="B134" s="11" t="n">
        <v>17.1800003051758</v>
      </c>
      <c r="C134" s="11" t="n">
        <v>168.899993896484</v>
      </c>
      <c r="D134" s="11" t="n">
        <v>36.6800003051758</v>
      </c>
      <c r="E134" s="11" t="n">
        <v>55.8600006103516</v>
      </c>
      <c r="F134" s="11" t="n">
        <v>255.350006103516</v>
      </c>
      <c r="G134" s="11" t="n">
        <v>9.44999980926514</v>
      </c>
      <c r="H134" s="11" t="n">
        <v>340.230010986328</v>
      </c>
      <c r="I134" s="11" t="n">
        <v>1620</v>
      </c>
      <c r="J134" s="11" t="n">
        <v>473.049987792969</v>
      </c>
      <c r="K134" s="11" t="n">
        <v>1179</v>
      </c>
      <c r="L134" s="11" t="n">
        <v>18.5100002288818</v>
      </c>
      <c r="M134" s="11" t="n">
        <v>93.2799987792969</v>
      </c>
      <c r="N134" s="11" t="n">
        <v>145.460006713867</v>
      </c>
      <c r="O134" s="11" t="n">
        <v>14.1599998474121</v>
      </c>
      <c r="P134" s="11" t="n">
        <v>14.6999998092651</v>
      </c>
    </row>
    <row r="135">
      <c r="A135" s="49" t="n">
        <v>46178</v>
      </c>
      <c r="B135" s="11" t="n">
        <v>16.5900001525879</v>
      </c>
      <c r="C135" s="11" t="n">
        <v>164.649993896484</v>
      </c>
      <c r="D135" s="11" t="n">
        <v>36.7400016784668</v>
      </c>
      <c r="E135" s="11" t="n">
        <v>54.1800003051758</v>
      </c>
      <c r="F135" s="11" t="n">
        <v>249.449996948242</v>
      </c>
      <c r="G135" s="11" t="n">
        <v>9.19999980926514</v>
      </c>
      <c r="H135" s="11" t="n">
        <v>346.989990234375</v>
      </c>
      <c r="I135" s="11" t="n">
        <v>1619</v>
      </c>
      <c r="J135" s="11" t="n">
        <v>479.049987792969</v>
      </c>
      <c r="K135" s="11" t="n">
        <v>1106</v>
      </c>
      <c r="L135" s="11" t="n">
        <v>18.8700008392334</v>
      </c>
      <c r="M135" s="11" t="n">
        <v>77.8000030517578</v>
      </c>
      <c r="N135" s="11" t="n">
        <v>140.100006103516</v>
      </c>
      <c r="O135" s="11" t="n">
        <v>13.6000003814697</v>
      </c>
      <c r="P135" s="11" t="n">
        <v>14.6499996185303</v>
      </c>
    </row>
    <row r="136">
      <c r="A136" s="49" t="n">
        <v>46185</v>
      </c>
      <c r="B136" s="11" t="n">
        <v>17.6399993896484</v>
      </c>
      <c r="C136" s="11" t="n">
        <v>178.899993896484</v>
      </c>
      <c r="D136" s="11" t="n">
        <v>40.5800018310547</v>
      </c>
      <c r="E136" s="11" t="n">
        <v>53.8600006103516</v>
      </c>
      <c r="F136" s="11" t="n">
        <v>268.350006103516</v>
      </c>
      <c r="G136" s="11" t="n">
        <v>9.52999973297119</v>
      </c>
      <c r="H136" s="11" t="n">
        <v>354.910003662109</v>
      </c>
      <c r="I136" s="11" t="n">
        <v>1697</v>
      </c>
      <c r="J136" s="11" t="n">
        <v>510.600006103516</v>
      </c>
      <c r="K136" s="11" t="n">
        <v>1175.5</v>
      </c>
      <c r="L136" s="11" t="n">
        <v>21.3299999237061</v>
      </c>
      <c r="M136" s="11" t="n">
        <v>81.9599990844727</v>
      </c>
      <c r="N136" s="11" t="n">
        <v>147.419998168945</v>
      </c>
      <c r="O136" s="11" t="n">
        <v>14.1199998855591</v>
      </c>
      <c r="P136" s="11" t="n">
        <v>14.6999998092651</v>
      </c>
    </row>
    <row r="137">
      <c r="A137" s="49" t="n">
        <v>46192</v>
      </c>
      <c r="B137" s="11" t="n">
        <v>17.3299999237061</v>
      </c>
      <c r="C137" s="11" t="n">
        <v>183.649993896484</v>
      </c>
      <c r="D137" s="11" t="n">
        <v>40.3600006103516</v>
      </c>
      <c r="E137" s="11" t="n">
        <v>52.8400001525879</v>
      </c>
      <c r="F137" s="11" t="n">
        <v>271.950012207031</v>
      </c>
      <c r="G137" s="11" t="n">
        <v>9.64999961853027</v>
      </c>
      <c r="H137" s="11" t="n">
        <v>362.130004882813</v>
      </c>
      <c r="I137" s="11" t="n">
        <v>1721.5</v>
      </c>
      <c r="J137" s="11" t="n">
        <v>499.25</v>
      </c>
      <c r="K137" s="11" t="n">
        <v>1134.5</v>
      </c>
      <c r="L137" s="11" t="n">
        <v>20.3199996948242</v>
      </c>
      <c r="M137" s="11" t="n">
        <v>77.0699996948242</v>
      </c>
      <c r="N137" s="11" t="n">
        <v>143.5</v>
      </c>
      <c r="O137" s="11" t="n">
        <v>13.5299997329712</v>
      </c>
      <c r="P137" s="11" t="n">
        <v>13.8699998855591</v>
      </c>
    </row>
    <row r="138">
      <c r="A138" s="49" t="n">
        <v>46199</v>
      </c>
      <c r="B138" s="11" t="n">
        <v>17.3700008392334</v>
      </c>
      <c r="C138" s="11" t="n">
        <v>186.800003051758</v>
      </c>
      <c r="D138" s="11" t="n">
        <v>38.2400016784668</v>
      </c>
      <c r="E138" s="11" t="n">
        <v>51.3199996948242</v>
      </c>
      <c r="F138" s="11" t="n">
        <v>267.049987792969</v>
      </c>
      <c r="G138" s="11" t="n">
        <v>10.8100004196167</v>
      </c>
      <c r="H138" s="11" t="n">
        <v>368.339996337891</v>
      </c>
      <c r="I138" s="11" t="n">
        <v>1626</v>
      </c>
      <c r="J138" s="11" t="n">
        <v>495.75</v>
      </c>
      <c r="K138" s="11" t="n">
        <v>1108.5</v>
      </c>
      <c r="L138" s="11" t="n">
        <v>19.3799991607666</v>
      </c>
      <c r="M138" s="11" t="n">
        <v>74.379997253418</v>
      </c>
      <c r="N138" s="11" t="n">
        <v>146</v>
      </c>
      <c r="O138" s="11" t="n">
        <v>13.6599998474121</v>
      </c>
      <c r="P138" s="11" t="n">
        <v>13.1499996185303</v>
      </c>
    </row>
    <row r="139">
      <c r="A139" s="49" t="n">
        <v>46206</v>
      </c>
      <c r="B139" s="11" t="n">
        <v>16.2999992370606</v>
      </c>
      <c r="C139" s="11" t="n">
        <v>184.199996948242</v>
      </c>
      <c r="D139" s="11" t="n">
        <v>38.6800003051758</v>
      </c>
      <c r="E139" s="11" t="n">
        <v>51.1399993896484</v>
      </c>
      <c r="F139" s="11" t="n">
        <v>248.449996948242</v>
      </c>
      <c r="G139" s="11" t="n">
        <v>10.4799995422363</v>
      </c>
      <c r="H139" s="11" t="n">
        <v>384.970001220703</v>
      </c>
      <c r="I139" s="11" t="n">
        <v>1641</v>
      </c>
      <c r="J139" s="11" t="n">
        <v>495.700012207031</v>
      </c>
      <c r="K139" s="11" t="n">
        <v>1079.5</v>
      </c>
      <c r="L139" s="11" t="n">
        <v>18.9599990844727</v>
      </c>
      <c r="M139" s="11" t="n">
        <v>75.23000335693359</v>
      </c>
      <c r="N139" s="11" t="n">
        <v>144.210006713867</v>
      </c>
      <c r="O139" s="11" t="n">
        <v>13.4300003051758</v>
      </c>
      <c r="P139" s="11" t="n">
        <v>13.170000076294</v>
      </c>
    </row>
    <row r="140">
      <c r="A140" s="49" t="n">
        <v>46213</v>
      </c>
      <c r="B140" s="11" t="n">
        <v>16.7700004577637</v>
      </c>
      <c r="C140" s="11" t="n">
        <v>182.199996948242</v>
      </c>
      <c r="D140" s="11" t="n">
        <v>39.5400009155273</v>
      </c>
      <c r="E140" s="11" t="n">
        <v>49.939998626709</v>
      </c>
      <c r="F140" s="11" t="n">
        <v>248.5</v>
      </c>
      <c r="G140" s="11" t="n">
        <v>10.1000003814697</v>
      </c>
      <c r="H140" s="11" t="n">
        <v>376.640014648438</v>
      </c>
      <c r="I140" s="11" t="n">
        <v>1641.5</v>
      </c>
      <c r="J140" s="11" t="n">
        <v>489.899993896484</v>
      </c>
      <c r="K140" s="11" t="n">
        <v>1069.5</v>
      </c>
      <c r="L140" s="11" t="n">
        <v>18.0400009155273</v>
      </c>
      <c r="M140" s="11" t="n">
        <v>79.370002746582</v>
      </c>
      <c r="N140" s="11" t="n">
        <v>140.729995727539</v>
      </c>
      <c r="O140" s="11" t="n">
        <v>13.710000038147</v>
      </c>
      <c r="P140" s="11" t="n">
        <v>13.4399995803833</v>
      </c>
    </row>
    <row r="141">
      <c r="A141" s="49" t="n">
        <v>46220</v>
      </c>
      <c r="B141" s="11" t="n">
        <v>16.9799995422363</v>
      </c>
      <c r="C141" s="11" t="n">
        <v>194.199996948242</v>
      </c>
      <c r="D141" s="11" t="n">
        <v>41.1599998474121</v>
      </c>
      <c r="E141" s="11" t="n">
        <v>50.6399993896484</v>
      </c>
      <c r="F141" s="11" t="n">
        <v>252.300003051758</v>
      </c>
      <c r="G141" s="11" t="n">
        <v>10.4399995803833</v>
      </c>
      <c r="H141" s="11" t="n">
        <v>376.829986572266</v>
      </c>
      <c r="I141" s="11" t="n">
        <v>1681</v>
      </c>
      <c r="J141" s="11" t="n">
        <v>495.100006103516</v>
      </c>
      <c r="K141" s="11" t="n">
        <v>1049</v>
      </c>
      <c r="L141" s="11" t="n">
        <v>16.3799991607666</v>
      </c>
      <c r="M141" s="11" t="n">
        <v>78.15000152587891</v>
      </c>
      <c r="N141" s="11" t="n">
        <v>141.460006713867</v>
      </c>
      <c r="O141" s="11" t="n">
        <v>13.789999961853</v>
      </c>
      <c r="P141" s="11" t="n">
        <v>13.8999996185303</v>
      </c>
    </row>
    <row r="142">
      <c r="A142" s="49" t="n">
        <v>46227</v>
      </c>
      <c r="B142" s="11" t="n">
        <v>17.0300006866455</v>
      </c>
      <c r="C142" s="11" t="n">
        <v>193.050003051758</v>
      </c>
      <c r="D142" s="11" t="n">
        <v>38.7000007629395</v>
      </c>
      <c r="E142" s="11" t="n">
        <v>47.939998626709</v>
      </c>
      <c r="F142" s="11" t="n">
        <v>242.300003051758</v>
      </c>
      <c r="G142" s="11" t="n">
        <v>10</v>
      </c>
      <c r="H142" s="11" t="n">
        <v>360.140014648438</v>
      </c>
      <c r="I142" s="11" t="n">
        <v>1643</v>
      </c>
      <c r="J142" s="11" t="n">
        <v>461.700012207031</v>
      </c>
      <c r="K142" s="11" t="n">
        <v>1068</v>
      </c>
      <c r="L142" s="11" t="n">
        <v>15.4399995803833</v>
      </c>
      <c r="M142" s="11" t="n">
        <v>80.4100036621094</v>
      </c>
      <c r="N142" s="11" t="n">
        <v>142.600006103516</v>
      </c>
      <c r="O142" s="11" t="n">
        <v>12.539999961853</v>
      </c>
      <c r="P142" s="11" t="n">
        <v>14.3199996948242</v>
      </c>
    </row>
    <row r="143">
      <c r="A143" s="49" t="n">
        <v>46234</v>
      </c>
      <c r="B143" s="11" t="n">
        <v>14.3199996948242</v>
      </c>
      <c r="C143" s="11" t="n">
        <v>190.899993896484</v>
      </c>
      <c r="D143" s="11" t="n">
        <v>43.2599983215332</v>
      </c>
      <c r="E143" s="11" t="n">
        <v>49.0999984741211</v>
      </c>
      <c r="F143" s="11" t="n">
        <v>284.200012207031</v>
      </c>
      <c r="G143" s="11" t="n">
        <v>10.1800003051758</v>
      </c>
      <c r="H143" s="11" t="n">
        <v>393.869995117188</v>
      </c>
      <c r="I143" s="11" t="n">
        <v>1531.5</v>
      </c>
      <c r="J143" s="11" t="n">
        <v>475.149993896484</v>
      </c>
      <c r="K143" s="11" t="n">
        <v>1187.5</v>
      </c>
      <c r="L143" s="11" t="n">
        <v>15.9300003051758</v>
      </c>
      <c r="M143" s="11" t="n">
        <v>86.6600036621094</v>
      </c>
      <c r="N143" s="11" t="n">
        <v>152.369995117187</v>
      </c>
      <c r="O143" s="11" t="n">
        <v>12.5299997329712</v>
      </c>
      <c r="P143" s="11" t="n">
        <v>14.710000038147</v>
      </c>
    </row>
    <row r="144">
      <c r="A144" s="49" t="n">
        <v>46241</v>
      </c>
      <c r="B144" s="11" t="n">
        <v>14.9899997711182</v>
      </c>
      <c r="C144" s="11" t="n">
        <v>195.449996948242</v>
      </c>
      <c r="D144" s="11" t="n">
        <v>44.0999984741211</v>
      </c>
      <c r="E144" s="11" t="n">
        <v>50.6599998474121</v>
      </c>
      <c r="F144" s="11" t="n">
        <v>286.649993896484</v>
      </c>
      <c r="G144" s="11" t="n">
        <v>10.1000003814697</v>
      </c>
      <c r="H144" s="11" t="n">
        <v>412.260009765625</v>
      </c>
      <c r="I144" s="11" t="n">
        <v>1635.5</v>
      </c>
      <c r="J144" s="11" t="n">
        <v>480</v>
      </c>
      <c r="K144" s="11" t="n">
        <v>1164.5</v>
      </c>
      <c r="L144" s="11" t="n">
        <v>15.3100004196167</v>
      </c>
      <c r="M144" s="11" t="n">
        <v>87.5800018310547</v>
      </c>
      <c r="N144" s="11" t="n">
        <v>162.360000610352</v>
      </c>
      <c r="O144" s="11" t="n">
        <v>12.1999998092651</v>
      </c>
      <c r="P144" s="11" t="n">
        <v>14.9099998474121</v>
      </c>
    </row>
    <row r="145">
      <c r="A145" s="49" t="n">
        <v>46248</v>
      </c>
      <c r="B145" s="11" t="n">
        <v>14.8699998855591</v>
      </c>
      <c r="C145" s="11" t="n">
        <v>192.449996948242</v>
      </c>
      <c r="D145" s="11" t="n">
        <v>41.6599998474121</v>
      </c>
      <c r="E145" s="11" t="n">
        <v>48.939998626709</v>
      </c>
      <c r="F145" s="11" t="n">
        <v>268.549987792969</v>
      </c>
      <c r="G145" s="11" t="n">
        <v>9.60499954223633</v>
      </c>
      <c r="H145" s="11" t="n">
        <v>414.850006103516</v>
      </c>
      <c r="I145" s="11" t="n">
        <v>1576</v>
      </c>
      <c r="J145" s="11" t="n">
        <v>458.399993896484</v>
      </c>
      <c r="K145" s="11" t="n">
        <v>1079.5</v>
      </c>
      <c r="L145" s="11" t="n">
        <v>15.3400001525879</v>
      </c>
      <c r="M145" s="11" t="n">
        <v>82.4700012207031</v>
      </c>
      <c r="N145" s="11" t="n">
        <v>128.979995727539</v>
      </c>
      <c r="O145" s="11" t="n">
        <v>12.1300001144409</v>
      </c>
      <c r="P145" s="11" t="n">
        <v>13.7600002288818</v>
      </c>
    </row>
    <row r="146">
      <c r="A146" s="49" t="n">
        <v>46255</v>
      </c>
      <c r="B146" s="11" t="n">
        <v>14.3699998855591</v>
      </c>
      <c r="C146" s="11" t="n">
        <v>185.75</v>
      </c>
      <c r="D146" s="11" t="n">
        <v>41.0999984741211</v>
      </c>
      <c r="E146" s="11" t="n">
        <v>47.0999984741211</v>
      </c>
      <c r="F146" s="11" t="n">
        <v>254.300003051758</v>
      </c>
      <c r="G146" s="11" t="n">
        <v>9.27000045776367</v>
      </c>
      <c r="H146" s="11" t="n">
        <v>436.540008544922</v>
      </c>
      <c r="I146" s="11" t="n">
        <v>1573</v>
      </c>
      <c r="J146" s="11" t="n">
        <v>452.5</v>
      </c>
      <c r="K146" s="11" t="n">
        <v>1069.5</v>
      </c>
      <c r="L146" s="11" t="n">
        <v>13.6499996185303</v>
      </c>
      <c r="M146" s="11" t="n">
        <v>78.5</v>
      </c>
      <c r="N146" s="11" t="n">
        <v>130.169998168945</v>
      </c>
      <c r="O146" s="11" t="n">
        <v>12.0200004577637</v>
      </c>
      <c r="P146" s="11" t="n">
        <v>13.8999996185303</v>
      </c>
    </row>
    <row r="147">
      <c r="A147" s="49" t="n">
        <v>46262</v>
      </c>
      <c r="B147" s="11" t="n">
        <v>13.670000076294</v>
      </c>
      <c r="C147" s="11" t="n">
        <v>194.550003051758</v>
      </c>
      <c r="D147" s="11" t="n">
        <v>41.6399993896484</v>
      </c>
      <c r="E147" s="11" t="n">
        <v>47.7200012207031</v>
      </c>
      <c r="F147" s="11" t="n">
        <v>254.199996948242</v>
      </c>
      <c r="G147" s="11" t="n">
        <v>9.49499988555908</v>
      </c>
      <c r="H147" s="11" t="n">
        <v>420.540008544922</v>
      </c>
      <c r="I147" s="11" t="n">
        <v>1598</v>
      </c>
      <c r="J147" s="11" t="n">
        <v>458.149993896484</v>
      </c>
      <c r="K147" s="11" t="n">
        <v>1084</v>
      </c>
      <c r="L147" s="11" t="n">
        <v>13.5</v>
      </c>
      <c r="M147" s="11" t="n">
        <v>75.7900009155273</v>
      </c>
      <c r="N147" s="11" t="n">
        <v>125.48999786377</v>
      </c>
      <c r="O147" s="11" t="n">
        <v>11.460000038147</v>
      </c>
      <c r="P147" s="11" t="n">
        <v>13.7299995422363</v>
      </c>
    </row>
    <row r="148">
      <c r="A148" s="49" t="n">
        <v>46269</v>
      </c>
      <c r="B148" s="11" t="n">
        <v>13.4499998092651</v>
      </c>
      <c r="C148" s="11" t="n">
        <v>185.449996948242</v>
      </c>
      <c r="D148" s="11" t="n">
        <v>39.3400001525879</v>
      </c>
      <c r="E148" s="11" t="n">
        <v>45.8400001525879</v>
      </c>
      <c r="F148" s="11" t="n">
        <v>245.199996948242</v>
      </c>
      <c r="G148" s="11" t="n">
        <v>9.10999965667725</v>
      </c>
      <c r="H148" s="11" t="n">
        <v>409.950012207031</v>
      </c>
      <c r="I148" s="11" t="n">
        <v>1457</v>
      </c>
      <c r="J148" s="11" t="n">
        <v>429.100006103516</v>
      </c>
      <c r="K148" s="11" t="n">
        <v>1103.5</v>
      </c>
      <c r="L148" s="11" t="n">
        <v>13.5600004196167</v>
      </c>
      <c r="M148" s="11" t="n">
        <v>74.3300018310547</v>
      </c>
      <c r="N148" s="11" t="n">
        <v>122.139999389648</v>
      </c>
      <c r="O148" s="11" t="n">
        <v>11.2799997329712</v>
      </c>
      <c r="P148" s="11" t="n">
        <v>12.5600004196167</v>
      </c>
    </row>
    <row r="149">
      <c r="A149" s="49" t="n">
        <v>46276</v>
      </c>
      <c r="B149" s="11" t="n">
        <v>13.170000076294</v>
      </c>
      <c r="C149" s="11" t="n">
        <v>175</v>
      </c>
      <c r="D149" s="11" t="n">
        <v>38.5</v>
      </c>
      <c r="E149" s="11" t="n">
        <v>44.689998626709</v>
      </c>
      <c r="F149" s="11" t="n">
        <v>238.600006103516</v>
      </c>
      <c r="G149" s="11" t="n">
        <v>8.579999923706049</v>
      </c>
      <c r="H149" s="11" t="n">
        <v>413.779998779297</v>
      </c>
      <c r="I149" s="11" t="n">
        <v>1399.5</v>
      </c>
      <c r="J149" s="11" t="n">
        <v>415.299987792969</v>
      </c>
      <c r="K149" s="11" t="n">
        <v>1018</v>
      </c>
      <c r="L149" s="11" t="n">
        <v>13.8900003433228</v>
      </c>
      <c r="M149" s="11" t="n">
        <v>70.63999938964839</v>
      </c>
      <c r="N149" s="11" t="n">
        <v>118.48999786377</v>
      </c>
      <c r="O149" s="11" t="n">
        <v>10.9899997711182</v>
      </c>
      <c r="P149" s="11" t="n">
        <v>11.6099996566772</v>
      </c>
    </row>
    <row r="150">
      <c r="A150" s="49" t="n">
        <v>46283</v>
      </c>
      <c r="B150" s="11" t="n">
        <v>12.789999961853</v>
      </c>
      <c r="C150" s="11" t="n">
        <v>168.850006103516</v>
      </c>
      <c r="D150" s="11" t="n">
        <v>39.1399993896484</v>
      </c>
      <c r="E150" s="11" t="n">
        <v>43.25</v>
      </c>
      <c r="F150" s="11" t="n">
        <v>233</v>
      </c>
      <c r="G150" s="11" t="n">
        <v>7.60500001907349</v>
      </c>
      <c r="H150" s="11" t="n">
        <v>406.690002441406</v>
      </c>
      <c r="I150" s="11" t="n">
        <v>1331.5</v>
      </c>
      <c r="J150" s="11" t="n">
        <v>402.799987792969</v>
      </c>
      <c r="K150" s="11" t="n">
        <v>996</v>
      </c>
      <c r="L150" s="11" t="n">
        <v>14.75</v>
      </c>
      <c r="M150" s="11" t="n">
        <v>73.34999847412109</v>
      </c>
      <c r="N150" s="11" t="n">
        <v>115</v>
      </c>
      <c r="O150" s="11" t="n">
        <v>10.4300003051758</v>
      </c>
      <c r="P150" s="11" t="n">
        <v>12.289999961853</v>
      </c>
    </row>
    <row r="151">
      <c r="A151" s="49" t="n">
        <v>46290</v>
      </c>
      <c r="B151" s="11" t="n">
        <v>13.0500001907349</v>
      </c>
      <c r="C151" s="11" t="n">
        <v>168.850006103516</v>
      </c>
      <c r="D151" s="11" t="n">
        <v>37.4000015258789</v>
      </c>
      <c r="E151" s="11" t="n">
        <v>43.25</v>
      </c>
      <c r="F151" s="11" t="n">
        <v>233</v>
      </c>
      <c r="G151" s="11" t="n">
        <v>7.60500001907349</v>
      </c>
      <c r="H151" s="11" t="n">
        <v>416.130004882813</v>
      </c>
      <c r="I151" s="11" t="n">
        <v>1331.5</v>
      </c>
      <c r="J151" s="11" t="n">
        <v>402.799987792969</v>
      </c>
      <c r="K151" s="11" t="n">
        <v>996</v>
      </c>
      <c r="L151" s="11" t="n">
        <v>14.3100004196167</v>
      </c>
      <c r="M151" s="11" t="n">
        <v>73.40000152587891</v>
      </c>
      <c r="N151" s="11" t="n">
        <v>113.069999694824</v>
      </c>
      <c r="O151" s="11" t="n">
        <v>10.5299997329712</v>
      </c>
      <c r="P151" s="11" t="n">
        <v>12.420000076294</v>
      </c>
    </row>
    <row r="152">
      <c r="A152" s="49" t="n">
        <v>46297</v>
      </c>
      <c r="B152" s="11" t="n">
        <v>14.329999923706</v>
      </c>
      <c r="C152" s="11" t="n">
        <v>172.850006103516</v>
      </c>
      <c r="D152" s="11" t="n">
        <v>36.6199989318848</v>
      </c>
      <c r="E152" s="11" t="n">
        <v>43.7000007629395</v>
      </c>
      <c r="F152" s="11" t="n">
        <v>210.300003051758</v>
      </c>
      <c r="G152" s="11" t="n">
        <v>7.02500009536743</v>
      </c>
      <c r="H152" s="11" t="n">
        <v>388.329986572266</v>
      </c>
      <c r="I152" s="11" t="n">
        <v>1299.5</v>
      </c>
      <c r="J152" s="11" t="n">
        <v>378.549987792969</v>
      </c>
      <c r="K152" s="11" t="n">
        <v>1010.5</v>
      </c>
      <c r="L152" s="11" t="n">
        <v>14.4399995803833</v>
      </c>
      <c r="M152" s="11" t="n">
        <v>75.5299987792969</v>
      </c>
      <c r="N152" s="11" t="n">
        <v>118.120002746582</v>
      </c>
      <c r="O152" s="11" t="n">
        <v>10.9099998474121</v>
      </c>
      <c r="P152" s="11" t="n">
        <v>12.5200004577637</v>
      </c>
    </row>
    <row r="153">
      <c r="A153" s="49" t="n">
        <v>46304</v>
      </c>
      <c r="B153" s="11" t="n">
        <v>15</v>
      </c>
      <c r="C153" s="11" t="n">
        <v>170.300003051758</v>
      </c>
      <c r="D153" s="11" t="n">
        <v>37.2200012207031</v>
      </c>
      <c r="E153" s="11" t="n">
        <v>43.5200004577637</v>
      </c>
      <c r="F153" s="11" t="n">
        <v>211.399993896484</v>
      </c>
      <c r="G153" s="11" t="n">
        <v>6.82999992370605</v>
      </c>
      <c r="H153" s="11" t="n">
        <v>389.910003662109</v>
      </c>
      <c r="I153" s="11" t="n">
        <v>1283</v>
      </c>
      <c r="J153" s="11" t="n">
        <v>380</v>
      </c>
      <c r="K153" s="11" t="n">
        <v>1024.5</v>
      </c>
      <c r="L153" s="11" t="n">
        <v>14.9499998092651</v>
      </c>
      <c r="M153" s="11" t="n">
        <v>81.34999847412109</v>
      </c>
      <c r="N153" s="11" t="n">
        <v>116.23999786377</v>
      </c>
      <c r="O153" s="11" t="n">
        <v>11.2700004577637</v>
      </c>
      <c r="P153" s="11" t="n">
        <v>12.6800003051758</v>
      </c>
    </row>
    <row r="154">
      <c r="A154" s="49" t="n">
        <v>46311</v>
      </c>
      <c r="B154" s="11" t="n">
        <v>15</v>
      </c>
      <c r="C154" s="11" t="n">
        <v>170.399993896484</v>
      </c>
      <c r="D154" s="11" t="n">
        <v>36.9000015258789</v>
      </c>
      <c r="E154" s="11" t="n">
        <v>43.6500015258789</v>
      </c>
      <c r="F154" s="11" t="n">
        <v>214.699996948242</v>
      </c>
      <c r="G154" s="11" t="n">
        <v>6.92999982833862</v>
      </c>
      <c r="H154" s="11" t="n">
        <v>389.910003662109</v>
      </c>
      <c r="I154" s="11" t="n">
        <v>1309</v>
      </c>
      <c r="J154" s="11" t="n">
        <v>384.299987792969</v>
      </c>
      <c r="K154" s="11" t="n">
        <v>1036.5</v>
      </c>
      <c r="L154" s="11" t="n">
        <v>14.9499998092651</v>
      </c>
      <c r="M154" s="11" t="n">
        <v>81.34999847412109</v>
      </c>
      <c r="N154" s="11" t="n">
        <v>116.23999786377</v>
      </c>
      <c r="O154" s="11" t="n">
        <v>11.2700004577637</v>
      </c>
      <c r="P154" s="11" t="n">
        <v>12.6800003051758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zoomScale="78" zoomScaleNormal="78" workbookViewId="0">
      <pane xSplit="1" ySplit="2" topLeftCell="B67" activePane="bottomRight" state="frozen"/>
      <selection activeCell="A1" sqref="A1"/>
      <selection pane="topRight" activeCell="A1" sqref="A1"/>
      <selection pane="bottomLeft" activeCell="A1" sqref="A1"/>
      <selection pane="bottomRight" activeCell="B98" sqref="B98"/>
    </sheetView>
  </sheetViews>
  <sheetFormatPr baseColWidth="8" defaultColWidth="9" defaultRowHeight="16.8"/>
  <cols>
    <col width="33.3076923076923" customWidth="1" min="1" max="1"/>
    <col width="11" customWidth="1" min="2" max="16"/>
  </cols>
  <sheetData>
    <row r="1">
      <c r="A1" s="2" t="inlineStr">
        <is>
          <t>奢侈品 归一化（2025-12-01 = 1）</t>
        </is>
      </c>
    </row>
    <row r="2">
      <c r="A2" s="4" t="inlineStr">
        <is>
          <t>Date</t>
        </is>
      </c>
      <c r="B2" s="5" t="inlineStr">
        <is>
          <t>VFC</t>
        </is>
      </c>
      <c r="C2" s="5" t="inlineStr">
        <is>
          <t>CFR</t>
        </is>
      </c>
      <c r="D2" s="5" t="inlineStr">
        <is>
          <t>1913.HK</t>
        </is>
      </c>
      <c r="E2" s="5" t="inlineStr">
        <is>
          <t>MONC</t>
        </is>
      </c>
      <c r="F2" s="5" t="inlineStr">
        <is>
          <t>KER</t>
        </is>
      </c>
      <c r="G2" s="5" t="inlineStr">
        <is>
          <t>SFER</t>
        </is>
      </c>
      <c r="H2" s="5" t="inlineStr">
        <is>
          <t>RACE</t>
        </is>
      </c>
      <c r="I2" s="5" t="inlineStr">
        <is>
          <t>RMS</t>
        </is>
      </c>
      <c r="J2" s="5" t="inlineStr">
        <is>
          <t>MC</t>
        </is>
      </c>
      <c r="K2" s="5" t="inlineStr">
        <is>
          <t>BRBY</t>
        </is>
      </c>
      <c r="L2" s="5" t="inlineStr">
        <is>
          <t>CPRI</t>
        </is>
      </c>
      <c r="M2" s="5" t="inlineStr">
        <is>
          <t>PVH</t>
        </is>
      </c>
      <c r="N2" s="5" t="inlineStr">
        <is>
          <t>TPR</t>
        </is>
      </c>
      <c r="O2" s="5" t="inlineStr">
        <is>
          <t>GOOS</t>
        </is>
      </c>
      <c r="P2" s="5" t="inlineStr">
        <is>
          <t>ZGN</t>
        </is>
      </c>
    </row>
    <row r="3">
      <c r="A3" s="48" t="n">
        <v>45628</v>
      </c>
      <c r="B3" t="n">
        <v>1.150496</v>
      </c>
      <c r="C3" t="n">
        <v>0.724942</v>
      </c>
      <c r="D3" t="n">
        <v>1.20749</v>
      </c>
      <c r="E3" t="n">
        <v>0.801789</v>
      </c>
      <c r="F3" t="n">
        <v>0.743406</v>
      </c>
      <c r="G3" t="n">
        <v>0.708798</v>
      </c>
      <c r="H3" t="n">
        <v>1.130437</v>
      </c>
      <c r="I3" t="n">
        <v>1.007452</v>
      </c>
      <c r="J3" t="n">
        <v>0.943053</v>
      </c>
      <c r="K3" t="n">
        <v>0.782847</v>
      </c>
      <c r="L3" t="n">
        <v>0.927778</v>
      </c>
      <c r="M3" t="n">
        <v>1.304047</v>
      </c>
      <c r="N3" t="n">
        <v>0.576093</v>
      </c>
      <c r="O3" t="n">
        <v>0.672302</v>
      </c>
      <c r="P3" t="n">
        <v>0.777251</v>
      </c>
    </row>
    <row r="4">
      <c r="A4" s="48" t="n">
        <v>45635</v>
      </c>
      <c r="B4" t="n">
        <v>1.176406</v>
      </c>
      <c r="C4" t="n">
        <v>0.771889</v>
      </c>
      <c r="D4" t="n">
        <v>1.310805</v>
      </c>
      <c r="E4" t="n">
        <v>0.890571</v>
      </c>
      <c r="F4" t="n">
        <v>0.823038</v>
      </c>
      <c r="G4" t="n">
        <v>0.83891</v>
      </c>
      <c r="H4" t="n">
        <v>1.159073</v>
      </c>
      <c r="I4" t="n">
        <v>1.061015</v>
      </c>
      <c r="J4" t="n">
        <v>1.015404</v>
      </c>
      <c r="K4" t="n">
        <v>0.831904</v>
      </c>
      <c r="L4" t="n">
        <v>0.884921</v>
      </c>
      <c r="M4" t="n">
        <v>1.267683</v>
      </c>
      <c r="N4" t="n">
        <v>0.555486</v>
      </c>
      <c r="O4" t="n">
        <v>0.6996520000000001</v>
      </c>
      <c r="P4" t="n">
        <v>0.804739</v>
      </c>
    </row>
    <row r="5">
      <c r="A5" s="48" t="n">
        <v>45642</v>
      </c>
      <c r="B5" t="n">
        <v>1.191841</v>
      </c>
      <c r="C5" t="n">
        <v>0.780242</v>
      </c>
      <c r="D5" t="n">
        <v>1.335557</v>
      </c>
      <c r="E5" t="n">
        <v>0.884377</v>
      </c>
      <c r="F5" t="n">
        <v>0.800167</v>
      </c>
      <c r="G5" t="n">
        <v>0.845105</v>
      </c>
      <c r="H5" t="n">
        <v>1.1293</v>
      </c>
      <c r="I5" t="n">
        <v>1.056823</v>
      </c>
      <c r="J5" t="n">
        <v>0.982107</v>
      </c>
      <c r="K5" t="n">
        <v>0.817153</v>
      </c>
      <c r="L5" t="n">
        <v>0.878968</v>
      </c>
      <c r="M5" t="n">
        <v>1.293138</v>
      </c>
      <c r="N5" t="n">
        <v>0.572703</v>
      </c>
      <c r="O5" t="n">
        <v>0.710094</v>
      </c>
      <c r="P5" t="n">
        <v>0.840758</v>
      </c>
    </row>
    <row r="6">
      <c r="A6" s="48" t="n">
        <v>45649</v>
      </c>
      <c r="B6" t="n">
        <v>1.214443</v>
      </c>
      <c r="C6" t="n">
        <v>0.783986</v>
      </c>
      <c r="D6" t="n">
        <v>1.371072</v>
      </c>
      <c r="E6" t="n">
        <v>0.858741</v>
      </c>
      <c r="F6" t="n">
        <v>0.786644</v>
      </c>
      <c r="G6" t="n">
        <v>0.827757</v>
      </c>
      <c r="H6" t="n">
        <v>1.1117</v>
      </c>
      <c r="I6" t="n">
        <v>1.072194</v>
      </c>
      <c r="J6" t="n">
        <v>0.9789949999999999</v>
      </c>
      <c r="K6" t="n">
        <v>0.832075</v>
      </c>
      <c r="L6" t="n">
        <v>0.847222</v>
      </c>
      <c r="M6" t="n">
        <v>1.260293</v>
      </c>
      <c r="N6" t="n">
        <v>0.577431</v>
      </c>
      <c r="O6" t="n">
        <v>0.721034</v>
      </c>
      <c r="P6" t="n">
        <v>0.806635</v>
      </c>
    </row>
    <row r="7">
      <c r="A7" s="48" t="n">
        <v>45656</v>
      </c>
      <c r="B7" t="n">
        <v>1.180265</v>
      </c>
      <c r="C7" t="n">
        <v>0.794355</v>
      </c>
      <c r="D7" t="n">
        <v>1.366767</v>
      </c>
      <c r="E7" t="n">
        <v>0.877151</v>
      </c>
      <c r="F7" t="n">
        <v>0.7916530000000001</v>
      </c>
      <c r="G7" t="n">
        <v>0.83891</v>
      </c>
      <c r="H7" t="n">
        <v>1.102964</v>
      </c>
      <c r="I7" t="n">
        <v>1.073591</v>
      </c>
      <c r="J7" t="n">
        <v>0.97915</v>
      </c>
      <c r="K7" t="n">
        <v>0.825386</v>
      </c>
      <c r="L7" t="n">
        <v>0.814286</v>
      </c>
      <c r="M7" t="n">
        <v>1.24</v>
      </c>
      <c r="N7" t="n">
        <v>0.587154</v>
      </c>
      <c r="O7" t="n">
        <v>0.7041269999999999</v>
      </c>
      <c r="P7" t="n">
        <v>0.781991</v>
      </c>
    </row>
    <row r="8">
      <c r="A8" s="48" t="n">
        <v>45663</v>
      </c>
      <c r="B8" t="n">
        <v>1.186329</v>
      </c>
      <c r="C8" t="n">
        <v>0.800979</v>
      </c>
      <c r="D8" t="n">
        <v>1.304348</v>
      </c>
      <c r="E8" t="n">
        <v>0.8836889999999999</v>
      </c>
      <c r="F8" t="n">
        <v>0.767446</v>
      </c>
      <c r="G8" t="n">
        <v>0.83767</v>
      </c>
      <c r="H8" t="n">
        <v>1.102964</v>
      </c>
      <c r="I8" t="n">
        <v>1.088961</v>
      </c>
      <c r="J8" t="n">
        <v>0.987397</v>
      </c>
      <c r="K8" t="n">
        <v>0.817839</v>
      </c>
      <c r="L8" t="n">
        <v>0.868651</v>
      </c>
      <c r="M8" t="n">
        <v>1.264282</v>
      </c>
      <c r="N8" t="n">
        <v>0.603568</v>
      </c>
      <c r="O8" t="n">
        <v>0.743411</v>
      </c>
      <c r="P8" t="n">
        <v>0.758294</v>
      </c>
    </row>
    <row r="9">
      <c r="A9" s="48" t="n">
        <v>45670</v>
      </c>
      <c r="B9" t="n">
        <v>1.268468</v>
      </c>
      <c r="C9" t="n">
        <v>0.797523</v>
      </c>
      <c r="D9" t="n">
        <v>1.322643</v>
      </c>
      <c r="E9" t="n">
        <v>0.919133</v>
      </c>
      <c r="F9" t="n">
        <v>0.759265</v>
      </c>
      <c r="G9" t="n">
        <v>0.842627</v>
      </c>
      <c r="H9" t="n">
        <v>1.081255</v>
      </c>
      <c r="I9" t="n">
        <v>1.095948</v>
      </c>
      <c r="J9" t="n">
        <v>1.005757</v>
      </c>
      <c r="K9" t="n">
        <v>0.830189</v>
      </c>
      <c r="L9" t="n">
        <v>0.943651</v>
      </c>
      <c r="M9" t="n">
        <v>1.144985</v>
      </c>
      <c r="N9" t="n">
        <v>0.59545</v>
      </c>
      <c r="O9" t="n">
        <v>0.706614</v>
      </c>
      <c r="P9" t="n">
        <v>0.7232229999999999</v>
      </c>
    </row>
    <row r="10">
      <c r="A10" s="48" t="n">
        <v>45677</v>
      </c>
      <c r="B10" t="n">
        <v>1.304851</v>
      </c>
      <c r="C10" t="n">
        <v>0.9449880000000001</v>
      </c>
      <c r="D10" t="n">
        <v>1.338786</v>
      </c>
      <c r="E10" t="n">
        <v>0.991053</v>
      </c>
      <c r="F10" t="n">
        <v>0.8265439999999999</v>
      </c>
      <c r="G10" t="n">
        <v>0.827757</v>
      </c>
      <c r="H10" t="n">
        <v>1.126483</v>
      </c>
      <c r="I10" t="n">
        <v>1.163484</v>
      </c>
      <c r="J10" t="n">
        <v>1.06286</v>
      </c>
      <c r="K10" t="n">
        <v>0.834305</v>
      </c>
      <c r="L10" t="n">
        <v>0.945238</v>
      </c>
      <c r="M10" t="n">
        <v>1.088328</v>
      </c>
      <c r="N10" t="n">
        <v>0.636842</v>
      </c>
      <c r="O10" t="n">
        <v>0.740428</v>
      </c>
      <c r="P10" t="n">
        <v>0.787678</v>
      </c>
    </row>
    <row r="11">
      <c r="A11" s="48" t="n">
        <v>45684</v>
      </c>
      <c r="B11" t="n">
        <v>1.432745</v>
      </c>
      <c r="C11" t="n">
        <v>0.9928</v>
      </c>
      <c r="D11" t="n">
        <v>1.371072</v>
      </c>
      <c r="E11" t="n">
        <v>1.057467</v>
      </c>
      <c r="F11" t="n">
        <v>0.876628</v>
      </c>
      <c r="G11" t="n">
        <v>0.89715</v>
      </c>
      <c r="H11" t="n">
        <v>1.117308</v>
      </c>
      <c r="I11" t="n">
        <v>1.23987</v>
      </c>
      <c r="J11" t="n">
        <v>1.17442</v>
      </c>
      <c r="K11" t="n">
        <v>0.971698</v>
      </c>
      <c r="L11" t="n">
        <v>1.005556</v>
      </c>
      <c r="M11" t="n">
        <v>1.060293</v>
      </c>
      <c r="N11" t="n">
        <v>0.646833</v>
      </c>
      <c r="O11" t="n">
        <v>0.770761</v>
      </c>
      <c r="P11" t="n">
        <v>0.90237</v>
      </c>
    </row>
    <row r="12">
      <c r="A12" s="48" t="n">
        <v>45691</v>
      </c>
      <c r="B12" t="n">
        <v>1.357222</v>
      </c>
      <c r="C12" t="n">
        <v>1.012385</v>
      </c>
      <c r="D12" t="n">
        <v>1.332329</v>
      </c>
      <c r="E12" t="n">
        <v>1.049553</v>
      </c>
      <c r="F12" t="n">
        <v>0.814524</v>
      </c>
      <c r="G12" t="n">
        <v>0.947955</v>
      </c>
      <c r="H12" t="n">
        <v>1.108573</v>
      </c>
      <c r="I12" t="n">
        <v>1.266884</v>
      </c>
      <c r="J12" t="n">
        <v>1.073751</v>
      </c>
      <c r="K12" t="n">
        <v>1.021441</v>
      </c>
      <c r="L12" t="n">
        <v>0.950397</v>
      </c>
      <c r="M12" t="n">
        <v>0.977361</v>
      </c>
      <c r="N12" t="n">
        <v>0.655932</v>
      </c>
      <c r="O12" t="n">
        <v>0.757832</v>
      </c>
      <c r="P12" t="n">
        <v>0.837915</v>
      </c>
    </row>
    <row r="13">
      <c r="A13" s="48" t="n">
        <v>45698</v>
      </c>
      <c r="B13" t="n">
        <v>1.304851</v>
      </c>
      <c r="C13" t="n">
        <v>1.013249</v>
      </c>
      <c r="D13" t="n">
        <v>1.373224</v>
      </c>
      <c r="E13" t="n">
        <v>1.047832</v>
      </c>
      <c r="F13" t="n">
        <v>0.8153589999999999</v>
      </c>
      <c r="G13" t="n">
        <v>0.877323</v>
      </c>
      <c r="H13" t="n">
        <v>1.190913</v>
      </c>
      <c r="I13" t="n">
        <v>1.280857</v>
      </c>
      <c r="J13" t="n">
        <v>1.066283</v>
      </c>
      <c r="K13" t="n">
        <v>1.015866</v>
      </c>
      <c r="L13" t="n">
        <v>0.8722220000000001</v>
      </c>
      <c r="M13" t="n">
        <v>0.907918</v>
      </c>
      <c r="N13" t="n">
        <v>0.705174</v>
      </c>
      <c r="O13" t="n">
        <v>0.700646</v>
      </c>
      <c r="P13" t="n">
        <v>0.8322270000000001</v>
      </c>
    </row>
    <row r="14">
      <c r="A14" s="48" t="n">
        <v>45705</v>
      </c>
      <c r="B14" t="n">
        <v>1.410695</v>
      </c>
      <c r="C14" t="n">
        <v>1.053571</v>
      </c>
      <c r="D14" t="n">
        <v>1.485149</v>
      </c>
      <c r="E14" t="n">
        <v>1.129732</v>
      </c>
      <c r="F14" t="n">
        <v>0.935225</v>
      </c>
      <c r="G14" t="n">
        <v>0.9863690000000001</v>
      </c>
      <c r="H14" t="n">
        <v>1.302148</v>
      </c>
      <c r="I14" t="n">
        <v>1.308337</v>
      </c>
      <c r="J14" t="n">
        <v>1.091489</v>
      </c>
      <c r="K14" t="n">
        <v>0.9905659999999999</v>
      </c>
      <c r="L14" t="n">
        <v>0.89127</v>
      </c>
      <c r="M14" t="n">
        <v>0.911554</v>
      </c>
      <c r="N14" t="n">
        <v>0.7823369999999999</v>
      </c>
      <c r="O14" t="n">
        <v>0.711089</v>
      </c>
      <c r="P14" t="n">
        <v>0.845498</v>
      </c>
    </row>
    <row r="15">
      <c r="A15" s="48" t="n">
        <v>45712</v>
      </c>
      <c r="B15" t="n">
        <v>1.391952</v>
      </c>
      <c r="C15" t="n">
        <v>1.025922</v>
      </c>
      <c r="D15" t="n">
        <v>1.458244</v>
      </c>
      <c r="E15" t="n">
        <v>1.139711</v>
      </c>
      <c r="F15" t="n">
        <v>0.914524</v>
      </c>
      <c r="G15" t="n">
        <v>0.954151</v>
      </c>
      <c r="H15" t="n">
        <v>1.290208</v>
      </c>
      <c r="I15" t="n">
        <v>1.254774</v>
      </c>
      <c r="J15" t="n">
        <v>1.076863</v>
      </c>
      <c r="K15" t="n">
        <v>0.876501</v>
      </c>
      <c r="L15" t="n">
        <v>0.842063</v>
      </c>
      <c r="M15" t="n">
        <v>0.9212900000000001</v>
      </c>
      <c r="N15" t="n">
        <v>0.75281</v>
      </c>
      <c r="O15" t="n">
        <v>0.823471</v>
      </c>
      <c r="P15" t="n">
        <v>0.81327</v>
      </c>
    </row>
    <row r="16">
      <c r="A16" s="48" t="n">
        <v>45719</v>
      </c>
      <c r="B16" t="n">
        <v>1.341786</v>
      </c>
      <c r="C16" t="n">
        <v>1.064804</v>
      </c>
      <c r="D16" t="n">
        <v>1.474387</v>
      </c>
      <c r="E16" t="n">
        <v>1.131108</v>
      </c>
      <c r="F16" t="n">
        <v>0.896828</v>
      </c>
      <c r="G16" t="n">
        <v>0.97026</v>
      </c>
      <c r="H16" t="n">
        <v>1.1997</v>
      </c>
      <c r="I16" t="n">
        <v>1.273871</v>
      </c>
      <c r="J16" t="n">
        <v>1.07484</v>
      </c>
      <c r="K16" t="n">
        <v>0.950257</v>
      </c>
      <c r="L16" t="n">
        <v>0.905952</v>
      </c>
      <c r="M16" t="n">
        <v>0.835777</v>
      </c>
      <c r="N16" t="n">
        <v>0.750134</v>
      </c>
      <c r="O16" t="n">
        <v>0.703133</v>
      </c>
      <c r="P16" t="n">
        <v>0.790521</v>
      </c>
    </row>
    <row r="17">
      <c r="A17" s="48" t="n">
        <v>45726</v>
      </c>
      <c r="B17" t="n">
        <v>0.959206</v>
      </c>
      <c r="C17" t="n">
        <v>0.91273</v>
      </c>
      <c r="D17" t="n">
        <v>1.353853</v>
      </c>
      <c r="E17" t="n">
        <v>1.079147</v>
      </c>
      <c r="F17" t="n">
        <v>0.851419</v>
      </c>
      <c r="G17" t="n">
        <v>0.843866</v>
      </c>
      <c r="H17" t="n">
        <v>1.12961</v>
      </c>
      <c r="I17" t="n">
        <v>1.162087</v>
      </c>
      <c r="J17" t="n">
        <v>0.980706</v>
      </c>
      <c r="K17" t="n">
        <v>0.861492</v>
      </c>
      <c r="L17" t="n">
        <v>0.754762</v>
      </c>
      <c r="M17" t="n">
        <v>0.821818</v>
      </c>
      <c r="N17" t="n">
        <v>0.630687</v>
      </c>
      <c r="O17" t="n">
        <v>0.669319</v>
      </c>
      <c r="P17" t="n">
        <v>0.7156400000000001</v>
      </c>
    </row>
    <row r="18">
      <c r="A18" s="48" t="n">
        <v>45733</v>
      </c>
      <c r="B18" t="n">
        <v>0.906284</v>
      </c>
      <c r="C18" t="n">
        <v>0.9447</v>
      </c>
      <c r="D18" t="n">
        <v>1.23009</v>
      </c>
      <c r="E18" t="n">
        <v>1.048176</v>
      </c>
      <c r="F18" t="n">
        <v>0.725876</v>
      </c>
      <c r="G18" t="n">
        <v>0.847584</v>
      </c>
      <c r="H18" t="n">
        <v>1.173856</v>
      </c>
      <c r="I18" t="n">
        <v>1.157895</v>
      </c>
      <c r="J18" t="n">
        <v>0.948654</v>
      </c>
      <c r="K18" t="n">
        <v>0.778559</v>
      </c>
      <c r="L18" t="n">
        <v>0.846429</v>
      </c>
      <c r="M18" t="n">
        <v>0.766804</v>
      </c>
      <c r="N18" t="n">
        <v>0.6353259999999999</v>
      </c>
      <c r="O18" t="n">
        <v>0.606166</v>
      </c>
      <c r="P18" t="n">
        <v>0.701422</v>
      </c>
    </row>
    <row r="19">
      <c r="A19" s="48" t="n">
        <v>45740</v>
      </c>
      <c r="B19" t="n">
        <v>0.937155</v>
      </c>
      <c r="C19" t="n">
        <v>0.933756</v>
      </c>
      <c r="D19" t="n">
        <v>1.179509</v>
      </c>
      <c r="E19" t="n">
        <v>1.033035</v>
      </c>
      <c r="F19" t="n">
        <v>0.675793</v>
      </c>
      <c r="G19" t="n">
        <v>0.817844</v>
      </c>
      <c r="H19" t="n">
        <v>1.126379</v>
      </c>
      <c r="I19" t="n">
        <v>1.163484</v>
      </c>
      <c r="J19" t="n">
        <v>0.927805</v>
      </c>
      <c r="K19" t="n">
        <v>0.716981</v>
      </c>
      <c r="L19" t="n">
        <v>0.844048</v>
      </c>
      <c r="M19" t="n">
        <v>0.812903</v>
      </c>
      <c r="N19" t="n">
        <v>0.675468</v>
      </c>
      <c r="O19" t="n">
        <v>0.613128</v>
      </c>
      <c r="P19" t="n">
        <v>0.692891</v>
      </c>
    </row>
    <row r="20">
      <c r="A20" s="48" t="n">
        <v>45747</v>
      </c>
      <c r="B20" t="n">
        <v>0.855568</v>
      </c>
      <c r="C20" t="n">
        <v>0.8810480000000001</v>
      </c>
      <c r="D20" t="n">
        <v>1.165519</v>
      </c>
      <c r="E20" t="n">
        <v>0.973847</v>
      </c>
      <c r="F20" t="n">
        <v>0.637462</v>
      </c>
      <c r="G20" t="n">
        <v>0.768278</v>
      </c>
      <c r="H20" t="n">
        <v>1.105833</v>
      </c>
      <c r="I20" t="n">
        <v>1.122962</v>
      </c>
      <c r="J20" t="n">
        <v>0.889529</v>
      </c>
      <c r="K20" t="n">
        <v>0.661921</v>
      </c>
      <c r="L20" t="n">
        <v>0.782936</v>
      </c>
      <c r="M20" t="n">
        <v>0.75824</v>
      </c>
      <c r="N20" t="n">
        <v>0.6281</v>
      </c>
      <c r="O20" t="n">
        <v>0.567379</v>
      </c>
      <c r="P20" t="n">
        <v>0.701422</v>
      </c>
    </row>
    <row r="21">
      <c r="A21" s="48" t="n">
        <v>45754</v>
      </c>
      <c r="B21" t="n">
        <v>0.6207279999999999</v>
      </c>
      <c r="C21" t="n">
        <v>0.743088</v>
      </c>
      <c r="D21" t="n">
        <v>0.961042</v>
      </c>
      <c r="E21" t="n">
        <v>0.844288</v>
      </c>
      <c r="F21" t="n">
        <v>0.54798</v>
      </c>
      <c r="G21" t="n">
        <v>0.639405</v>
      </c>
      <c r="H21" t="n">
        <v>1.030419</v>
      </c>
      <c r="I21" t="n">
        <v>0.994411</v>
      </c>
      <c r="J21" t="n">
        <v>0.789793</v>
      </c>
      <c r="K21" t="n">
        <v>0.548027</v>
      </c>
      <c r="L21" t="n">
        <v>0.551984</v>
      </c>
      <c r="M21" t="n">
        <v>0.773959</v>
      </c>
      <c r="N21" t="n">
        <v>0.561909</v>
      </c>
      <c r="O21" t="n">
        <v>0.517653</v>
      </c>
      <c r="P21" t="n">
        <v>0.614218</v>
      </c>
    </row>
    <row r="22">
      <c r="A22" s="48" t="n">
        <v>45761</v>
      </c>
      <c r="B22" t="n">
        <v>0.621279</v>
      </c>
      <c r="C22" t="n">
        <v>0.78917</v>
      </c>
      <c r="D22" t="n">
        <v>1.054671</v>
      </c>
      <c r="E22" t="n">
        <v>0.9415</v>
      </c>
      <c r="F22" t="n">
        <v>0.570952</v>
      </c>
      <c r="G22" t="n">
        <v>0.643123</v>
      </c>
      <c r="H22" t="n">
        <v>1.110097</v>
      </c>
      <c r="I22" t="n">
        <v>1.094551</v>
      </c>
      <c r="J22" t="n">
        <v>0.824802</v>
      </c>
      <c r="K22" t="n">
        <v>0.588679</v>
      </c>
      <c r="L22" t="n">
        <v>0.571429</v>
      </c>
      <c r="M22" t="n">
        <v>0.824516</v>
      </c>
      <c r="N22" t="n">
        <v>0.568956</v>
      </c>
      <c r="O22" t="n">
        <v>0.54003</v>
      </c>
      <c r="P22" t="n">
        <v>0.649289</v>
      </c>
    </row>
    <row r="23">
      <c r="A23" s="48" t="n">
        <v>45768</v>
      </c>
      <c r="B23" t="n">
        <v>0.577178</v>
      </c>
      <c r="C23" t="n">
        <v>0.788594</v>
      </c>
      <c r="D23" t="n">
        <v>1.006242</v>
      </c>
      <c r="E23" t="n">
        <v>0.92395</v>
      </c>
      <c r="F23" t="n">
        <v>0.5491819999999999</v>
      </c>
      <c r="G23" t="n">
        <v>0.593556</v>
      </c>
      <c r="H23" t="n">
        <v>1.123614</v>
      </c>
      <c r="I23" t="n">
        <v>1.065207</v>
      </c>
      <c r="J23" t="n">
        <v>0.755562</v>
      </c>
      <c r="K23" t="n">
        <v>0.561063</v>
      </c>
      <c r="L23" t="n">
        <v>0.542063</v>
      </c>
      <c r="M23" t="n">
        <v>0.814076</v>
      </c>
      <c r="N23" t="n">
        <v>0.563604</v>
      </c>
      <c r="O23" t="n">
        <v>0.561909</v>
      </c>
      <c r="P23" t="n">
        <v>0.664455</v>
      </c>
    </row>
    <row r="24">
      <c r="A24" s="48" t="n">
        <v>45775</v>
      </c>
      <c r="B24" t="n">
        <v>0.637817</v>
      </c>
      <c r="C24" t="n">
        <v>0.848214</v>
      </c>
      <c r="D24" t="n">
        <v>1.054671</v>
      </c>
      <c r="E24" t="n">
        <v>0.939436</v>
      </c>
      <c r="F24" t="n">
        <v>0.595993</v>
      </c>
      <c r="G24" t="n">
        <v>0.684015</v>
      </c>
      <c r="H24" t="n">
        <v>1.184194</v>
      </c>
      <c r="I24" t="n">
        <v>1.11551</v>
      </c>
      <c r="J24" t="n">
        <v>0.78108</v>
      </c>
      <c r="K24" t="n">
        <v>0.624185</v>
      </c>
      <c r="L24" t="n">
        <v>0.6023810000000001</v>
      </c>
      <c r="M24" t="n">
        <v>0.834135</v>
      </c>
      <c r="N24" t="n">
        <v>0.617841</v>
      </c>
      <c r="O24" t="n">
        <v>0.571855</v>
      </c>
      <c r="P24" t="n">
        <v>0.746919</v>
      </c>
    </row>
    <row r="25">
      <c r="A25" s="48" t="n">
        <v>45782</v>
      </c>
      <c r="B25" t="n">
        <v>0.692944</v>
      </c>
      <c r="C25" t="n">
        <v>0.837558</v>
      </c>
      <c r="D25" t="n">
        <v>1.035299</v>
      </c>
      <c r="E25" t="n">
        <v>0.951824</v>
      </c>
      <c r="F25" t="n">
        <v>0.588114</v>
      </c>
      <c r="G25" t="n">
        <v>0.692689</v>
      </c>
      <c r="H25" t="n">
        <v>1.205541</v>
      </c>
      <c r="I25" t="n">
        <v>1.149045</v>
      </c>
      <c r="J25" t="n">
        <v>0.765909</v>
      </c>
      <c r="K25" t="n">
        <v>0.623328</v>
      </c>
      <c r="L25" t="n">
        <v>0.6115080000000001</v>
      </c>
      <c r="M25" t="n">
        <v>0.839765</v>
      </c>
      <c r="N25" t="n">
        <v>0.653791</v>
      </c>
      <c r="O25" t="n">
        <v>0.57633</v>
      </c>
      <c r="P25" t="n">
        <v>0.76872</v>
      </c>
    </row>
    <row r="26">
      <c r="A26" s="48" t="n">
        <v>45789</v>
      </c>
      <c r="B26" t="n">
        <v>0.796031</v>
      </c>
      <c r="C26" t="n">
        <v>0.889401</v>
      </c>
      <c r="D26" t="n">
        <v>1.120319</v>
      </c>
      <c r="E26" t="n">
        <v>0.983138</v>
      </c>
      <c r="F26" t="n">
        <v>0.628848</v>
      </c>
      <c r="G26" t="n">
        <v>0.752169</v>
      </c>
      <c r="H26" t="n">
        <v>1.258005</v>
      </c>
      <c r="I26" t="n">
        <v>1.18258</v>
      </c>
      <c r="J26" t="n">
        <v>0.825424</v>
      </c>
      <c r="K26" t="n">
        <v>0.6835329999999999</v>
      </c>
      <c r="L26" t="n">
        <v>0.732143</v>
      </c>
      <c r="M26" t="n">
        <v>0.925982</v>
      </c>
      <c r="N26" t="n">
        <v>0.7373769999999999</v>
      </c>
      <c r="O26" t="n">
        <v>0.62904</v>
      </c>
      <c r="P26" t="n">
        <v>0.8094789999999999</v>
      </c>
    </row>
    <row r="27">
      <c r="A27" s="48" t="n">
        <v>45796</v>
      </c>
      <c r="B27" t="n">
        <v>0.789416</v>
      </c>
      <c r="C27" t="n">
        <v>0.953917</v>
      </c>
      <c r="D27" t="n">
        <v>1.128928</v>
      </c>
      <c r="E27" t="n">
        <v>0.965933</v>
      </c>
      <c r="F27" t="n">
        <v>0.586377</v>
      </c>
      <c r="G27" t="n">
        <v>0.728625</v>
      </c>
      <c r="H27" t="n">
        <v>1.286098</v>
      </c>
      <c r="I27" t="n">
        <v>1.191896</v>
      </c>
      <c r="J27" t="n">
        <v>0.77579</v>
      </c>
      <c r="K27" t="n">
        <v>0.867067</v>
      </c>
      <c r="L27" t="n">
        <v>0.723016</v>
      </c>
      <c r="M27" t="n">
        <v>0.993666</v>
      </c>
      <c r="N27" t="n">
        <v>0.7347900000000001</v>
      </c>
      <c r="O27" t="n">
        <v>0.633516</v>
      </c>
      <c r="P27" t="n">
        <v>0.81327</v>
      </c>
    </row>
    <row r="28">
      <c r="A28" s="48" t="n">
        <v>45803</v>
      </c>
      <c r="B28" t="n">
        <v>0.6615220000000001</v>
      </c>
      <c r="C28" t="n">
        <v>0.910714</v>
      </c>
      <c r="D28" t="n">
        <v>1.097718</v>
      </c>
      <c r="E28" t="n">
        <v>0.938747</v>
      </c>
      <c r="F28" t="n">
        <v>0.585109</v>
      </c>
      <c r="G28" t="n">
        <v>0.701363</v>
      </c>
      <c r="H28" t="n">
        <v>1.230765</v>
      </c>
      <c r="I28" t="n">
        <v>1.112715</v>
      </c>
      <c r="J28" t="n">
        <v>0.752217</v>
      </c>
      <c r="K28" t="n">
        <v>0.824871</v>
      </c>
      <c r="L28" t="n">
        <v>0.666667</v>
      </c>
      <c r="M28" t="n">
        <v>0.9617599999999999</v>
      </c>
      <c r="N28" t="n">
        <v>0.685727</v>
      </c>
      <c r="O28" t="n">
        <v>0.820487</v>
      </c>
      <c r="P28" t="n">
        <v>0.797156</v>
      </c>
    </row>
    <row r="29">
      <c r="A29" s="48" t="n">
        <v>45810</v>
      </c>
      <c r="B29" t="n">
        <v>0.6742010000000001</v>
      </c>
      <c r="C29" t="n">
        <v>0.8822</v>
      </c>
      <c r="D29" t="n">
        <v>1.097718</v>
      </c>
      <c r="E29" t="n">
        <v>0.9421890000000001</v>
      </c>
      <c r="F29" t="n">
        <v>0.572354</v>
      </c>
      <c r="G29" t="n">
        <v>0.693928</v>
      </c>
      <c r="H29" t="n">
        <v>1.240741</v>
      </c>
      <c r="I29" t="n">
        <v>1.11551</v>
      </c>
      <c r="J29" t="n">
        <v>0.742493</v>
      </c>
      <c r="K29" t="n">
        <v>0.896226</v>
      </c>
      <c r="L29" t="n">
        <v>0.690476</v>
      </c>
      <c r="M29" t="n">
        <v>0.963402</v>
      </c>
      <c r="N29" t="n">
        <v>0.700803</v>
      </c>
      <c r="O29" t="n">
        <v>0.7821979999999999</v>
      </c>
      <c r="P29" t="n">
        <v>0.806635</v>
      </c>
    </row>
    <row r="30">
      <c r="A30" s="48" t="n">
        <v>45817</v>
      </c>
      <c r="B30" t="n">
        <v>0.717751</v>
      </c>
      <c r="C30" t="n">
        <v>0.872984</v>
      </c>
      <c r="D30" t="n">
        <v>1.079423</v>
      </c>
      <c r="E30" t="n">
        <v>0.924639</v>
      </c>
      <c r="F30" t="n">
        <v>0.593456</v>
      </c>
      <c r="G30" t="n">
        <v>0.664188</v>
      </c>
      <c r="H30" t="n">
        <v>1.23826</v>
      </c>
      <c r="I30" t="n">
        <v>1.082906</v>
      </c>
      <c r="J30" t="n">
        <v>0.733702</v>
      </c>
      <c r="K30" t="n">
        <v>0.922813</v>
      </c>
      <c r="L30" t="n">
        <v>0.690873</v>
      </c>
      <c r="M30" t="n">
        <v>0.766217</v>
      </c>
      <c r="N30" t="n">
        <v>0.707047</v>
      </c>
      <c r="O30" t="n">
        <v>0.79811</v>
      </c>
      <c r="P30" t="n">
        <v>0.818957</v>
      </c>
    </row>
    <row r="31">
      <c r="A31" s="48" t="n">
        <v>45824</v>
      </c>
      <c r="B31" t="n">
        <v>0.684124</v>
      </c>
      <c r="C31" t="n">
        <v>0.8781679999999999</v>
      </c>
      <c r="D31" t="n">
        <v>1.025613</v>
      </c>
      <c r="E31" t="n">
        <v>0.881624</v>
      </c>
      <c r="F31" t="n">
        <v>0.644007</v>
      </c>
      <c r="G31" t="n">
        <v>0.656753</v>
      </c>
      <c r="H31" t="n">
        <v>1.201277</v>
      </c>
      <c r="I31" t="n">
        <v>1.074057</v>
      </c>
      <c r="J31" t="n">
        <v>0.727167</v>
      </c>
      <c r="K31" t="n">
        <v>0.95283</v>
      </c>
      <c r="L31" t="n">
        <v>0.690476</v>
      </c>
      <c r="M31" t="n">
        <v>0.764223</v>
      </c>
      <c r="N31" t="n">
        <v>0.75165</v>
      </c>
      <c r="O31" t="n">
        <v>0.783192</v>
      </c>
      <c r="P31" t="n">
        <v>0.856872</v>
      </c>
    </row>
    <row r="32">
      <c r="A32" s="48" t="n">
        <v>45831</v>
      </c>
      <c r="B32" t="n">
        <v>0.632856</v>
      </c>
      <c r="C32" t="n">
        <v>0.84879</v>
      </c>
      <c r="D32" t="n">
        <v>1.028842</v>
      </c>
      <c r="E32" t="n">
        <v>0.82691</v>
      </c>
      <c r="F32" t="n">
        <v>0.585977</v>
      </c>
      <c r="G32" t="n">
        <v>0.610905</v>
      </c>
      <c r="H32" t="n">
        <v>1.191637</v>
      </c>
      <c r="I32" t="n">
        <v>1.054495</v>
      </c>
      <c r="J32" t="n">
        <v>0.69986</v>
      </c>
      <c r="K32" t="n">
        <v>0.857633</v>
      </c>
      <c r="L32" t="n">
        <v>0.665873</v>
      </c>
      <c r="M32" t="n">
        <v>0.742405</v>
      </c>
      <c r="N32" t="n">
        <v>0.764942</v>
      </c>
      <c r="O32" t="n">
        <v>0.772253</v>
      </c>
      <c r="P32" t="n">
        <v>0.828436</v>
      </c>
    </row>
    <row r="33">
      <c r="A33" s="48" t="n">
        <v>45838</v>
      </c>
      <c r="B33" t="n">
        <v>0.64774</v>
      </c>
      <c r="C33" t="n">
        <v>0.860887</v>
      </c>
      <c r="D33" t="n">
        <v>1.048214</v>
      </c>
      <c r="E33" t="n">
        <v>0.832588</v>
      </c>
      <c r="F33" t="n">
        <v>0.616227</v>
      </c>
      <c r="G33" t="n">
        <v>0.619579</v>
      </c>
      <c r="H33" t="n">
        <v>1.268291</v>
      </c>
      <c r="I33" t="n">
        <v>1.070796</v>
      </c>
      <c r="J33" t="n">
        <v>0.691769</v>
      </c>
      <c r="K33" t="n">
        <v>1.013722</v>
      </c>
      <c r="L33" t="n">
        <v>0.702381</v>
      </c>
      <c r="M33" t="n">
        <v>0.804692</v>
      </c>
      <c r="N33" t="n">
        <v>0.783318</v>
      </c>
      <c r="O33" t="n">
        <v>0.757335</v>
      </c>
      <c r="P33" t="n">
        <v>0.810427</v>
      </c>
    </row>
    <row r="34">
      <c r="A34" s="48" t="n">
        <v>45845</v>
      </c>
      <c r="B34" t="n">
        <v>0.688534</v>
      </c>
      <c r="C34" t="n">
        <v>0.868664</v>
      </c>
      <c r="D34" t="n">
        <v>1.065433</v>
      </c>
      <c r="E34" t="n">
        <v>0.885754</v>
      </c>
      <c r="F34" t="n">
        <v>0.652421</v>
      </c>
      <c r="G34" t="n">
        <v>0.639405</v>
      </c>
      <c r="H34" t="n">
        <v>1.256868</v>
      </c>
      <c r="I34" t="n">
        <v>1.117839</v>
      </c>
      <c r="J34" t="n">
        <v>0.739614</v>
      </c>
      <c r="K34" t="n">
        <v>1.077187</v>
      </c>
      <c r="L34" t="n">
        <v>0.734127</v>
      </c>
      <c r="M34" t="n">
        <v>0.85654</v>
      </c>
      <c r="N34" t="n">
        <v>0.824889</v>
      </c>
      <c r="O34" t="n">
        <v>0.853307</v>
      </c>
      <c r="P34" t="n">
        <v>0.852133</v>
      </c>
    </row>
    <row r="35">
      <c r="A35" s="48" t="n">
        <v>45852</v>
      </c>
      <c r="B35" t="n">
        <v>0.675303</v>
      </c>
      <c r="C35" t="n">
        <v>0.849654</v>
      </c>
      <c r="D35" t="n">
        <v>1.06328</v>
      </c>
      <c r="E35" t="n">
        <v>0.865451</v>
      </c>
      <c r="F35" t="n">
        <v>0.6576959999999999</v>
      </c>
      <c r="G35" t="n">
        <v>0.638166</v>
      </c>
      <c r="H35" t="n">
        <v>1.26196</v>
      </c>
      <c r="I35" t="n">
        <v>1.122031</v>
      </c>
      <c r="J35" t="n">
        <v>0.746149</v>
      </c>
      <c r="K35" t="n">
        <v>1.059605</v>
      </c>
      <c r="L35" t="n">
        <v>0.761111</v>
      </c>
      <c r="M35" t="n">
        <v>0.84868</v>
      </c>
      <c r="N35" t="n">
        <v>0.905888</v>
      </c>
      <c r="O35" t="n">
        <v>0.938836</v>
      </c>
      <c r="P35" t="n">
        <v>0.8341229999999999</v>
      </c>
    </row>
    <row r="36">
      <c r="A36" s="48" t="n">
        <v>45859</v>
      </c>
      <c r="B36" t="n">
        <v>0.686329</v>
      </c>
      <c r="C36" t="n">
        <v>0.80674</v>
      </c>
      <c r="D36" t="n">
        <v>1.056823</v>
      </c>
      <c r="E36" t="n">
        <v>0.85788</v>
      </c>
      <c r="F36" t="n">
        <v>0.658898</v>
      </c>
      <c r="G36" t="n">
        <v>0.634449</v>
      </c>
      <c r="H36" t="n">
        <v>1.311193</v>
      </c>
      <c r="I36" t="n">
        <v>1.084769</v>
      </c>
      <c r="J36" t="n">
        <v>0.729423</v>
      </c>
      <c r="K36" t="n">
        <v>1.120069</v>
      </c>
      <c r="L36" t="n">
        <v>0.770238</v>
      </c>
      <c r="M36" t="n">
        <v>0.859472</v>
      </c>
      <c r="N36" t="n">
        <v>0.949242</v>
      </c>
      <c r="O36" t="n">
        <v>0.965191</v>
      </c>
      <c r="P36" t="n">
        <v>0.848341</v>
      </c>
    </row>
    <row r="37">
      <c r="A37" s="48" t="n">
        <v>45866</v>
      </c>
      <c r="B37" t="n">
        <v>0.690187</v>
      </c>
      <c r="C37" t="n">
        <v>0.793203</v>
      </c>
      <c r="D37" t="n">
        <v>1.033147</v>
      </c>
      <c r="E37" t="n">
        <v>0.828114</v>
      </c>
      <c r="F37" t="n">
        <v>0.720868</v>
      </c>
      <c r="G37" t="n">
        <v>0.650558</v>
      </c>
      <c r="H37" t="n">
        <v>1.311116</v>
      </c>
      <c r="I37" t="n">
        <v>1.11225</v>
      </c>
      <c r="J37" t="n">
        <v>0.761164</v>
      </c>
      <c r="K37" t="n">
        <v>1.176244</v>
      </c>
      <c r="L37" t="n">
        <v>0.7833329999999999</v>
      </c>
      <c r="M37" t="n">
        <v>0.902405</v>
      </c>
      <c r="N37" t="n">
        <v>0.985013</v>
      </c>
      <c r="O37" t="n">
        <v>0.935853</v>
      </c>
      <c r="P37" t="n">
        <v>0.85782</v>
      </c>
    </row>
    <row r="38">
      <c r="A38" s="48" t="n">
        <v>45873</v>
      </c>
      <c r="B38" t="n">
        <v>0.693495</v>
      </c>
      <c r="C38" t="n">
        <v>0.758641</v>
      </c>
      <c r="D38" t="n">
        <v>0.894533</v>
      </c>
      <c r="E38" t="n">
        <v>0.807295</v>
      </c>
      <c r="F38" t="n">
        <v>0.7180299999999999</v>
      </c>
      <c r="G38" t="n">
        <v>0.591078</v>
      </c>
      <c r="H38" t="n">
        <v>1.132815</v>
      </c>
      <c r="I38" t="n">
        <v>0.976712</v>
      </c>
      <c r="J38" t="n">
        <v>0.719309</v>
      </c>
      <c r="K38" t="n">
        <v>1.104202</v>
      </c>
      <c r="L38" t="n">
        <v>0.726587</v>
      </c>
      <c r="M38" t="n">
        <v>0.873548</v>
      </c>
      <c r="N38" t="n">
        <v>0.998127</v>
      </c>
      <c r="O38" t="n">
        <v>0.773247</v>
      </c>
      <c r="P38" t="n">
        <v>0.745024</v>
      </c>
    </row>
    <row r="39">
      <c r="A39" s="48" t="n">
        <v>45880</v>
      </c>
      <c r="B39" t="n">
        <v>0.649945</v>
      </c>
      <c r="C39" t="n">
        <v>0.749424</v>
      </c>
      <c r="D39" t="n">
        <v>0.870426</v>
      </c>
      <c r="E39" t="n">
        <v>0.79095</v>
      </c>
      <c r="F39" t="n">
        <v>0.711519</v>
      </c>
      <c r="G39" t="n">
        <v>0.550186</v>
      </c>
      <c r="H39" t="n">
        <v>1.140646</v>
      </c>
      <c r="I39" t="n">
        <v>0.948766</v>
      </c>
      <c r="J39" t="n">
        <v>0.712619</v>
      </c>
      <c r="K39" t="n">
        <v>0.981132</v>
      </c>
      <c r="L39" t="n">
        <v>0.770635</v>
      </c>
      <c r="M39" t="n">
        <v>0.8426979999999999</v>
      </c>
      <c r="N39" t="n">
        <v>0.963069</v>
      </c>
      <c r="O39" t="n">
        <v>0.758329</v>
      </c>
      <c r="P39" t="n">
        <v>0.730806</v>
      </c>
    </row>
    <row r="40">
      <c r="A40" s="48" t="n">
        <v>45887</v>
      </c>
      <c r="B40" t="n">
        <v>0.723815</v>
      </c>
      <c r="C40" t="n">
        <v>0.759217</v>
      </c>
      <c r="D40" t="n">
        <v>0.893672</v>
      </c>
      <c r="E40" t="n">
        <v>0.792326</v>
      </c>
      <c r="F40" t="n">
        <v>0.702003</v>
      </c>
      <c r="G40" t="n">
        <v>0.55886</v>
      </c>
      <c r="H40" t="n">
        <v>1.197038</v>
      </c>
      <c r="I40" t="n">
        <v>0.965533</v>
      </c>
      <c r="J40" t="n">
        <v>0.7403920000000001</v>
      </c>
      <c r="K40" t="n">
        <v>0.954974</v>
      </c>
      <c r="L40" t="n">
        <v>0.813492</v>
      </c>
      <c r="M40" t="n">
        <v>0.894311</v>
      </c>
      <c r="N40" t="n">
        <v>0.891258</v>
      </c>
      <c r="O40" t="n">
        <v>0.775236</v>
      </c>
      <c r="P40" t="n">
        <v>0.758294</v>
      </c>
    </row>
    <row r="41">
      <c r="A41" s="48" t="n">
        <v>45894</v>
      </c>
      <c r="B41" t="n">
        <v>0.753583</v>
      </c>
      <c r="C41" t="n">
        <v>0.778514</v>
      </c>
      <c r="D41" t="n">
        <v>0.867843</v>
      </c>
      <c r="E41" t="n">
        <v>0.823641</v>
      </c>
      <c r="F41" t="n">
        <v>0.748748</v>
      </c>
      <c r="G41" t="n">
        <v>0.6009910000000001</v>
      </c>
      <c r="H41" t="n">
        <v>1.208332</v>
      </c>
      <c r="I41" t="n">
        <v>0.969259</v>
      </c>
      <c r="J41" t="n">
        <v>0.759374</v>
      </c>
      <c r="K41" t="n">
        <v>1.048885</v>
      </c>
      <c r="L41" t="n">
        <v>0.846429</v>
      </c>
      <c r="M41" t="n">
        <v>0.957185</v>
      </c>
      <c r="N41" t="n">
        <v>0.878412</v>
      </c>
      <c r="O41" t="n">
        <v>0.812034</v>
      </c>
      <c r="P41" t="n">
        <v>0.777251</v>
      </c>
    </row>
    <row r="42">
      <c r="A42" s="48" t="n">
        <v>45901</v>
      </c>
      <c r="B42" t="n">
        <v>0.834068</v>
      </c>
      <c r="C42" t="n">
        <v>0.799827</v>
      </c>
      <c r="D42" t="n">
        <v>0.974171</v>
      </c>
      <c r="E42" t="n">
        <v>0.849966</v>
      </c>
      <c r="F42" t="n">
        <v>0.767279</v>
      </c>
      <c r="G42" t="n">
        <v>0.57373</v>
      </c>
      <c r="H42" t="n">
        <v>1.233324</v>
      </c>
      <c r="I42" t="n">
        <v>0.960876</v>
      </c>
      <c r="J42" t="n">
        <v>0.783725</v>
      </c>
      <c r="K42" t="n">
        <v>1.070326</v>
      </c>
      <c r="L42" t="n">
        <v>0.817063</v>
      </c>
      <c r="M42" t="n">
        <v>0.9890910000000001</v>
      </c>
      <c r="N42" t="n">
        <v>0.908296</v>
      </c>
      <c r="O42" t="n">
        <v>0.885132</v>
      </c>
      <c r="P42" t="n">
        <v>0.8</v>
      </c>
    </row>
    <row r="43">
      <c r="A43" s="48" t="n">
        <v>45908</v>
      </c>
      <c r="B43" t="n">
        <v>0.857773</v>
      </c>
      <c r="C43" t="n">
        <v>0.829205</v>
      </c>
      <c r="D43" t="n">
        <v>0.947912</v>
      </c>
      <c r="E43" t="n">
        <v>0.806435</v>
      </c>
      <c r="F43" t="n">
        <v>0.797663</v>
      </c>
      <c r="G43" t="n">
        <v>0.572491</v>
      </c>
      <c r="H43" t="n">
        <v>1.237873</v>
      </c>
      <c r="I43" t="n">
        <v>0.952026</v>
      </c>
      <c r="J43" t="n">
        <v>0.7719780000000001</v>
      </c>
      <c r="K43" t="n">
        <v>1.090909</v>
      </c>
      <c r="L43" t="n">
        <v>0.812302</v>
      </c>
      <c r="M43" t="n">
        <v>0.99261</v>
      </c>
      <c r="N43" t="n">
        <v>0.9350579999999999</v>
      </c>
      <c r="O43" t="n">
        <v>1.036798</v>
      </c>
      <c r="P43" t="n">
        <v>0.854976</v>
      </c>
    </row>
    <row r="44">
      <c r="A44" s="48" t="n">
        <v>45915</v>
      </c>
      <c r="B44" t="n">
        <v>0.8109150000000001</v>
      </c>
      <c r="C44" t="n">
        <v>0.87932</v>
      </c>
      <c r="D44" t="n">
        <v>0.968575</v>
      </c>
      <c r="E44" t="n">
        <v>0.877495</v>
      </c>
      <c r="F44" t="n">
        <v>0.852588</v>
      </c>
      <c r="G44" t="n">
        <v>0.577447</v>
      </c>
      <c r="H44" t="n">
        <v>1.237795</v>
      </c>
      <c r="I44" t="n">
        <v>0.98789</v>
      </c>
      <c r="J44" t="n">
        <v>0.784503</v>
      </c>
      <c r="K44" t="n">
        <v>0.919383</v>
      </c>
      <c r="L44" t="n">
        <v>0.859921</v>
      </c>
      <c r="M44" t="n">
        <v>0.985572</v>
      </c>
      <c r="N44" t="n">
        <v>0.982783</v>
      </c>
      <c r="O44" t="n">
        <v>0.976131</v>
      </c>
      <c r="P44" t="n">
        <v>0.890995</v>
      </c>
    </row>
    <row r="45">
      <c r="A45" s="48" t="n">
        <v>45922</v>
      </c>
      <c r="B45" t="n">
        <v>0.789967</v>
      </c>
      <c r="C45" t="n">
        <v>0.856279</v>
      </c>
      <c r="D45" t="n">
        <v>1.003444</v>
      </c>
      <c r="E45" t="n">
        <v>0.868892</v>
      </c>
      <c r="F45" t="n">
        <v>0.884808</v>
      </c>
      <c r="G45" t="n">
        <v>0.664188</v>
      </c>
      <c r="H45" t="n">
        <v>1.234694</v>
      </c>
      <c r="I45" t="n">
        <v>0.98463</v>
      </c>
      <c r="J45" t="n">
        <v>0.788859</v>
      </c>
      <c r="K45" t="n">
        <v>0.961835</v>
      </c>
      <c r="L45" t="n">
        <v>0.795635</v>
      </c>
      <c r="M45" t="n">
        <v>0.9980059999999999</v>
      </c>
      <c r="N45" t="n">
        <v>1.015879</v>
      </c>
      <c r="O45" t="n">
        <v>0.941323</v>
      </c>
      <c r="P45" t="n">
        <v>0.894787</v>
      </c>
    </row>
    <row r="46">
      <c r="A46" s="48" t="n">
        <v>45929</v>
      </c>
      <c r="B46" t="n">
        <v>0.796582</v>
      </c>
      <c r="C46" t="n">
        <v>0.87068</v>
      </c>
      <c r="D46" t="n">
        <v>0.998709</v>
      </c>
      <c r="E46" t="n">
        <v>0.86786</v>
      </c>
      <c r="F46" t="n">
        <v>0.961436</v>
      </c>
      <c r="G46" t="n">
        <v>0.669145</v>
      </c>
      <c r="H46" t="n">
        <v>1.245807</v>
      </c>
      <c r="I46" t="n">
        <v>0.986959</v>
      </c>
      <c r="J46" t="n">
        <v>0.81391</v>
      </c>
      <c r="K46" t="n">
        <v>1.005575</v>
      </c>
      <c r="L46" t="n">
        <v>0.781349</v>
      </c>
      <c r="M46" t="n">
        <v>0.99566</v>
      </c>
      <c r="N46" t="n">
        <v>0.994291</v>
      </c>
      <c r="O46" t="n">
        <v>0.950273</v>
      </c>
      <c r="P46" t="n">
        <v>0.867299</v>
      </c>
    </row>
    <row r="47">
      <c r="A47" s="48" t="n">
        <v>45936</v>
      </c>
      <c r="B47" t="n">
        <v>0.799339</v>
      </c>
      <c r="C47" t="n">
        <v>0.8796079999999999</v>
      </c>
      <c r="D47" t="n">
        <v>1.005596</v>
      </c>
      <c r="E47" t="n">
        <v>0.864418</v>
      </c>
      <c r="F47" t="n">
        <v>0.976294</v>
      </c>
      <c r="G47" t="n">
        <v>0.714994</v>
      </c>
      <c r="H47" t="n">
        <v>1.270333</v>
      </c>
      <c r="I47" t="n">
        <v>0.981835</v>
      </c>
      <c r="J47" t="n">
        <v>0.840828</v>
      </c>
      <c r="K47" t="n">
        <v>1.030875</v>
      </c>
      <c r="L47" t="n">
        <v>0.840476</v>
      </c>
      <c r="M47" t="n">
        <v>0.998358</v>
      </c>
      <c r="N47" t="n">
        <v>1.030241</v>
      </c>
      <c r="O47" t="n">
        <v>0.990055</v>
      </c>
      <c r="P47" t="n">
        <v>0.967772</v>
      </c>
    </row>
    <row r="48">
      <c r="A48" s="48" t="n">
        <v>45943</v>
      </c>
      <c r="B48" t="n">
        <v>0.774531</v>
      </c>
      <c r="C48" t="n">
        <v>0.8796079999999999</v>
      </c>
      <c r="D48" t="n">
        <v>0.955661</v>
      </c>
      <c r="E48" t="n">
        <v>0.8568480000000001</v>
      </c>
      <c r="F48" t="n">
        <v>1.01419</v>
      </c>
      <c r="G48" t="n">
        <v>0.705081</v>
      </c>
      <c r="H48" t="n">
        <v>0.978782</v>
      </c>
      <c r="I48" t="n">
        <v>0.951095</v>
      </c>
      <c r="J48" t="n">
        <v>0.840828</v>
      </c>
      <c r="K48" t="n">
        <v>1.014151</v>
      </c>
      <c r="L48" t="n">
        <v>0.792857</v>
      </c>
      <c r="M48" t="n">
        <v>0.9393550000000001</v>
      </c>
      <c r="N48" t="n">
        <v>1.017484</v>
      </c>
      <c r="O48" t="n">
        <v>0.897563</v>
      </c>
      <c r="P48" t="n">
        <v>0.830332</v>
      </c>
    </row>
    <row r="49">
      <c r="A49" s="48" t="n">
        <v>45950</v>
      </c>
      <c r="B49" t="n">
        <v>0.79548</v>
      </c>
      <c r="C49" t="n">
        <v>0.924827</v>
      </c>
      <c r="D49" t="n">
        <v>1.013775</v>
      </c>
      <c r="E49" t="n">
        <v>0.917068</v>
      </c>
      <c r="F49" t="n">
        <v>1.083472</v>
      </c>
      <c r="G49" t="n">
        <v>0.765799</v>
      </c>
      <c r="H49" t="n">
        <v>1.029411</v>
      </c>
      <c r="I49" t="n">
        <v>1.033069</v>
      </c>
      <c r="J49" t="n">
        <v>0.952388</v>
      </c>
      <c r="K49" t="n">
        <v>1.05789</v>
      </c>
      <c r="L49" t="n">
        <v>0.850397</v>
      </c>
      <c r="M49" t="n">
        <v>0.96305</v>
      </c>
      <c r="N49" t="n">
        <v>1.037823</v>
      </c>
      <c r="O49" t="n">
        <v>0.917951</v>
      </c>
      <c r="P49" t="n">
        <v>0.997156</v>
      </c>
    </row>
    <row r="50">
      <c r="A50" s="48" t="n">
        <v>45957</v>
      </c>
      <c r="B50" t="n">
        <v>0.915656</v>
      </c>
      <c r="C50" t="n">
        <v>0.929435</v>
      </c>
      <c r="D50" t="n">
        <v>1.081576</v>
      </c>
      <c r="E50" t="n">
        <v>0.925671</v>
      </c>
      <c r="F50" t="n">
        <v>1.094825</v>
      </c>
      <c r="G50" t="n">
        <v>0.898389</v>
      </c>
      <c r="H50" t="n">
        <v>1.053059</v>
      </c>
      <c r="I50" t="n">
        <v>1.027946</v>
      </c>
      <c r="J50" t="n">
        <v>0.9514550000000001</v>
      </c>
      <c r="K50" t="n">
        <v>1.136792</v>
      </c>
      <c r="L50" t="n">
        <v>0.894444</v>
      </c>
      <c r="M50" t="n">
        <v>1.002815</v>
      </c>
      <c r="N50" t="n">
        <v>1.025602</v>
      </c>
      <c r="O50" t="n">
        <v>0.973645</v>
      </c>
      <c r="P50" t="n">
        <v>0.9933650000000001</v>
      </c>
    </row>
    <row r="51">
      <c r="A51" s="48" t="n">
        <v>45964</v>
      </c>
      <c r="B51" t="n">
        <v>0.781147</v>
      </c>
      <c r="C51" t="n">
        <v>0.932028</v>
      </c>
      <c r="D51" t="n">
        <v>0.995695</v>
      </c>
      <c r="E51" t="n">
        <v>0.906401</v>
      </c>
      <c r="F51" t="n">
        <v>1.017028</v>
      </c>
      <c r="G51" t="n">
        <v>0.848823</v>
      </c>
      <c r="H51" t="n">
        <v>1.013181</v>
      </c>
      <c r="I51" t="n">
        <v>0.985561</v>
      </c>
      <c r="J51" t="n">
        <v>0.959701</v>
      </c>
      <c r="K51" t="n">
        <v>1.042024</v>
      </c>
      <c r="L51" t="n">
        <v>0.822222</v>
      </c>
      <c r="M51" t="n">
        <v>0.899472</v>
      </c>
      <c r="N51" t="n">
        <v>0.948528</v>
      </c>
      <c r="O51" t="n">
        <v>0.986574</v>
      </c>
      <c r="P51" t="n">
        <v>0.944076</v>
      </c>
    </row>
    <row r="52">
      <c r="A52" s="48" t="n">
        <v>45971</v>
      </c>
      <c r="B52" t="n">
        <v>0.806505</v>
      </c>
      <c r="C52" t="n">
        <v>0.910714</v>
      </c>
      <c r="D52" t="n">
        <v>0.996987</v>
      </c>
      <c r="E52" t="n">
        <v>0.97075</v>
      </c>
      <c r="F52" t="n">
        <v>1.036561</v>
      </c>
      <c r="G52" t="n">
        <v>0.938042</v>
      </c>
      <c r="H52" t="n">
        <v>1.063241</v>
      </c>
      <c r="I52" t="n">
        <v>0.971588</v>
      </c>
      <c r="J52" t="n">
        <v>0.961413</v>
      </c>
      <c r="K52" t="n">
        <v>1.014151</v>
      </c>
      <c r="L52" t="n">
        <v>0.857936</v>
      </c>
      <c r="M52" t="n">
        <v>0.897713</v>
      </c>
      <c r="N52" t="n">
        <v>0.946298</v>
      </c>
      <c r="O52" t="n">
        <v>0.906514</v>
      </c>
      <c r="P52" t="n">
        <v>0.945972</v>
      </c>
    </row>
    <row r="53">
      <c r="A53" s="48" t="n">
        <v>45978</v>
      </c>
      <c r="B53" t="n">
        <v>0.7855569999999999</v>
      </c>
      <c r="C53" t="n">
        <v>0.976958</v>
      </c>
      <c r="D53" t="n">
        <v>1.012484</v>
      </c>
      <c r="E53" t="n">
        <v>0.964212</v>
      </c>
      <c r="F53" t="n">
        <v>1.046578</v>
      </c>
      <c r="G53" t="n">
        <v>0.929368</v>
      </c>
      <c r="H53" t="n">
        <v>1.047683</v>
      </c>
      <c r="I53" t="n">
        <v>0.989753</v>
      </c>
      <c r="J53" t="n">
        <v>0.970904</v>
      </c>
      <c r="K53" t="n">
        <v>0.986707</v>
      </c>
      <c r="L53" t="n">
        <v>0.861111</v>
      </c>
      <c r="M53" t="n">
        <v>0.8924339999999999</v>
      </c>
      <c r="N53" t="n">
        <v>0.907583</v>
      </c>
      <c r="O53" t="n">
        <v>0.887121</v>
      </c>
      <c r="P53" t="n">
        <v>0.919431</v>
      </c>
    </row>
    <row r="54">
      <c r="A54" s="48" t="n">
        <v>45985</v>
      </c>
      <c r="B54" t="n">
        <v>0.902426</v>
      </c>
      <c r="C54" t="n">
        <v>0.959101</v>
      </c>
      <c r="D54" t="n">
        <v>0.96427</v>
      </c>
      <c r="E54" t="n">
        <v>0.970406</v>
      </c>
      <c r="F54" t="n">
        <v>0.9871450000000001</v>
      </c>
      <c r="G54" t="n">
        <v>0.947955</v>
      </c>
      <c r="H54" t="n">
        <v>0.986173</v>
      </c>
      <c r="I54" t="n">
        <v>0.9827669999999999</v>
      </c>
      <c r="J54" t="n">
        <v>0.967325</v>
      </c>
      <c r="K54" t="n">
        <v>0.957118</v>
      </c>
      <c r="L54" t="n">
        <v>0.952381</v>
      </c>
      <c r="M54" t="n">
        <v>0.913314</v>
      </c>
      <c r="N54" t="n">
        <v>0.942819</v>
      </c>
      <c r="O54" t="n">
        <v>0.903531</v>
      </c>
      <c r="P54" t="n">
        <v>0.978199</v>
      </c>
    </row>
    <row r="55">
      <c r="A55" s="49" t="n">
        <v>45992</v>
      </c>
      <c r="B55" s="50">
        <f>IF(OR('奢侈品 Prices'!B3="",'奢侈品 Prices'!B$3=""),"",'奢侈品 Prices'!B3/'奢侈品 Prices'!B$3)</f>
        <v/>
      </c>
      <c r="C55" s="50">
        <f>IF(OR('奢侈品 Prices'!C3="",'奢侈品 Prices'!C$3=""),"",'奢侈品 Prices'!C3/'奢侈品 Prices'!C$3)</f>
        <v/>
      </c>
      <c r="D55" s="50">
        <f>IF(OR('奢侈品 Prices'!D3="",'奢侈品 Prices'!D$3=""),"",'奢侈品 Prices'!D3/'奢侈品 Prices'!D$3)</f>
        <v/>
      </c>
      <c r="E55" s="50">
        <f>IF(OR('奢侈品 Prices'!E3="",'奢侈品 Prices'!E$3=""),"",'奢侈品 Prices'!E3/'奢侈品 Prices'!E$3)</f>
        <v/>
      </c>
      <c r="F55" s="50">
        <f>IF(OR('奢侈品 Prices'!F3="",'奢侈品 Prices'!F$3=""),"",'奢侈品 Prices'!F3/'奢侈品 Prices'!F$3)</f>
        <v/>
      </c>
      <c r="G55" s="50">
        <f>IF(OR('奢侈品 Prices'!G3="",'奢侈品 Prices'!G$3=""),"",'奢侈品 Prices'!G3/'奢侈品 Prices'!G$3)</f>
        <v/>
      </c>
      <c r="H55" s="50">
        <f>IF(OR('奢侈品 Prices'!H3="",'奢侈品 Prices'!H$3=""),"",'奢侈品 Prices'!H3/'奢侈品 Prices'!H$3)</f>
        <v/>
      </c>
      <c r="I55" s="50">
        <f>IF(OR('奢侈品 Prices'!I3="",'奢侈品 Prices'!I$3=""),"",'奢侈品 Prices'!I3/'奢侈品 Prices'!I$3)</f>
        <v/>
      </c>
      <c r="J55" s="50">
        <f>IF(OR('奢侈品 Prices'!J3="",'奢侈品 Prices'!J$3=""),"",'奢侈品 Prices'!J3/'奢侈品 Prices'!J$3)</f>
        <v/>
      </c>
      <c r="K55" s="50">
        <f>IF(OR('奢侈品 Prices'!K3="",'奢侈品 Prices'!K$3=""),"",'奢侈品 Prices'!K3/'奢侈品 Prices'!K$3)</f>
        <v/>
      </c>
      <c r="L55" s="50">
        <f>IF(OR('奢侈品 Prices'!L3="",'奢侈品 Prices'!L$3=""),"",'奢侈品 Prices'!L3/'奢侈品 Prices'!L$3)</f>
        <v/>
      </c>
      <c r="M55" s="50">
        <f>IF(OR('奢侈品 Prices'!M3="",'奢侈品 Prices'!M$3=""),"",'奢侈品 Prices'!M3/'奢侈品 Prices'!M$3)</f>
        <v/>
      </c>
      <c r="N55" s="50">
        <f>IF(OR('奢侈品 Prices'!N3="",'奢侈品 Prices'!N$3=""),"",'奢侈品 Prices'!N3/'奢侈品 Prices'!N$3)</f>
        <v/>
      </c>
      <c r="O55" s="50">
        <f>IF(OR('奢侈品 Prices'!O3="",'奢侈品 Prices'!O$3=""),"",'奢侈品 Prices'!O3/'奢侈品 Prices'!O$3)</f>
        <v/>
      </c>
      <c r="P55" s="50">
        <f>IF(OR('奢侈品 Prices'!P3="",'奢侈品 Prices'!P$3=""),"",'奢侈品 Prices'!P3/'奢侈品 Prices'!P$3)</f>
        <v/>
      </c>
    </row>
    <row r="56">
      <c r="A56" s="49" t="n">
        <v>45996</v>
      </c>
      <c r="B56" s="50">
        <f>IF(OR('奢侈品 Prices'!B4="",'奢侈品 Prices'!B$3=""),"",'奢侈品 Prices'!B4/'奢侈品 Prices'!B$3)</f>
        <v/>
      </c>
      <c r="C56" s="50">
        <f>IF(OR('奢侈品 Prices'!C4="",'奢侈品 Prices'!C$3=""),"",'奢侈品 Prices'!C4/'奢侈品 Prices'!C$3)</f>
        <v/>
      </c>
      <c r="D56" s="50">
        <f>IF(OR('奢侈品 Prices'!D4="",'奢侈品 Prices'!D$3=""),"",'奢侈品 Prices'!D4/'奢侈品 Prices'!D$3)</f>
        <v/>
      </c>
      <c r="E56" s="50">
        <f>IF(OR('奢侈品 Prices'!E4="",'奢侈品 Prices'!E$3=""),"",'奢侈品 Prices'!E4/'奢侈品 Prices'!E$3)</f>
        <v/>
      </c>
      <c r="F56" s="50">
        <f>IF(OR('奢侈品 Prices'!F4="",'奢侈品 Prices'!F$3=""),"",'奢侈品 Prices'!F4/'奢侈品 Prices'!F$3)</f>
        <v/>
      </c>
      <c r="G56" s="50">
        <f>IF(OR('奢侈品 Prices'!G4="",'奢侈品 Prices'!G$3=""),"",'奢侈品 Prices'!G4/'奢侈品 Prices'!G$3)</f>
        <v/>
      </c>
      <c r="H56" s="50">
        <f>IF(OR('奢侈品 Prices'!H4="",'奢侈品 Prices'!H$3=""),"",'奢侈品 Prices'!H4/'奢侈品 Prices'!H$3)</f>
        <v/>
      </c>
      <c r="I56" s="50">
        <f>IF(OR('奢侈品 Prices'!I4="",'奢侈品 Prices'!I$3=""),"",'奢侈品 Prices'!I4/'奢侈品 Prices'!I$3)</f>
        <v/>
      </c>
      <c r="J56" s="50">
        <f>IF(OR('奢侈品 Prices'!J4="",'奢侈品 Prices'!J$3=""),"",'奢侈品 Prices'!J4/'奢侈品 Prices'!J$3)</f>
        <v/>
      </c>
      <c r="K56" s="50">
        <f>IF(OR('奢侈品 Prices'!K4="",'奢侈品 Prices'!K$3=""),"",'奢侈品 Prices'!K4/'奢侈品 Prices'!K$3)</f>
        <v/>
      </c>
      <c r="L56" s="50">
        <f>IF(OR('奢侈品 Prices'!L4="",'奢侈品 Prices'!L$3=""),"",'奢侈品 Prices'!L4/'奢侈品 Prices'!L$3)</f>
        <v/>
      </c>
      <c r="M56" s="50">
        <f>IF(OR('奢侈品 Prices'!M4="",'奢侈品 Prices'!M$3=""),"",'奢侈品 Prices'!M4/'奢侈品 Prices'!M$3)</f>
        <v/>
      </c>
      <c r="N56" s="50">
        <f>IF(OR('奢侈品 Prices'!N4="",'奢侈品 Prices'!N$3=""),"",'奢侈品 Prices'!N4/'奢侈品 Prices'!N$3)</f>
        <v/>
      </c>
      <c r="O56" s="50">
        <f>IF(OR('奢侈品 Prices'!O4="",'奢侈品 Prices'!O$3=""),"",'奢侈品 Prices'!O4/'奢侈品 Prices'!O$3)</f>
        <v/>
      </c>
      <c r="P56" s="50">
        <f>IF(OR('奢侈品 Prices'!P4="",'奢侈品 Prices'!P$3=""),"",'奢侈品 Prices'!P4/'奢侈品 Prices'!P$3)</f>
        <v/>
      </c>
    </row>
    <row r="57">
      <c r="A57" s="49" t="n">
        <v>46003</v>
      </c>
      <c r="B57" s="50">
        <f>IF(OR('奢侈品 Prices'!B5="",'奢侈品 Prices'!B$3=""),"",'奢侈品 Prices'!B5/'奢侈品 Prices'!B$3)</f>
        <v/>
      </c>
      <c r="C57" s="50">
        <f>IF(OR('奢侈品 Prices'!C5="",'奢侈品 Prices'!C$3=""),"",'奢侈品 Prices'!C5/'奢侈品 Prices'!C$3)</f>
        <v/>
      </c>
      <c r="D57" s="50">
        <f>IF(OR('奢侈品 Prices'!D5="",'奢侈品 Prices'!D$3=""),"",'奢侈品 Prices'!D5/'奢侈品 Prices'!D$3)</f>
        <v/>
      </c>
      <c r="E57" s="50">
        <f>IF(OR('奢侈品 Prices'!E5="",'奢侈品 Prices'!E$3=""),"",'奢侈品 Prices'!E5/'奢侈品 Prices'!E$3)</f>
        <v/>
      </c>
      <c r="F57" s="50">
        <f>IF(OR('奢侈品 Prices'!F5="",'奢侈品 Prices'!F$3=""),"",'奢侈品 Prices'!F5/'奢侈品 Prices'!F$3)</f>
        <v/>
      </c>
      <c r="G57" s="50">
        <f>IF(OR('奢侈品 Prices'!G5="",'奢侈品 Prices'!G$3=""),"",'奢侈品 Prices'!G5/'奢侈品 Prices'!G$3)</f>
        <v/>
      </c>
      <c r="H57" s="50">
        <f>IF(OR('奢侈品 Prices'!H5="",'奢侈品 Prices'!H$3=""),"",'奢侈品 Prices'!H5/'奢侈品 Prices'!H$3)</f>
        <v/>
      </c>
      <c r="I57" s="50">
        <f>IF(OR('奢侈品 Prices'!I5="",'奢侈品 Prices'!I$3=""),"",'奢侈品 Prices'!I5/'奢侈品 Prices'!I$3)</f>
        <v/>
      </c>
      <c r="J57" s="50">
        <f>IF(OR('奢侈品 Prices'!J5="",'奢侈品 Prices'!J$3=""),"",'奢侈品 Prices'!J5/'奢侈品 Prices'!J$3)</f>
        <v/>
      </c>
      <c r="K57" s="50">
        <f>IF(OR('奢侈品 Prices'!K5="",'奢侈品 Prices'!K$3=""),"",'奢侈品 Prices'!K5/'奢侈品 Prices'!K$3)</f>
        <v/>
      </c>
      <c r="L57" s="50">
        <f>IF(OR('奢侈品 Prices'!L5="",'奢侈品 Prices'!L$3=""),"",'奢侈品 Prices'!L5/'奢侈品 Prices'!L$3)</f>
        <v/>
      </c>
      <c r="M57" s="50">
        <f>IF(OR('奢侈品 Prices'!M5="",'奢侈品 Prices'!M$3=""),"",'奢侈品 Prices'!M5/'奢侈品 Prices'!M$3)</f>
        <v/>
      </c>
      <c r="N57" s="50">
        <f>IF(OR('奢侈品 Prices'!N5="",'奢侈品 Prices'!N$3=""),"",'奢侈品 Prices'!N5/'奢侈品 Prices'!N$3)</f>
        <v/>
      </c>
      <c r="O57" s="50">
        <f>IF(OR('奢侈品 Prices'!O5="",'奢侈品 Prices'!O$3=""),"",'奢侈品 Prices'!O5/'奢侈品 Prices'!O$3)</f>
        <v/>
      </c>
      <c r="P57" s="50">
        <f>IF(OR('奢侈品 Prices'!P5="",'奢侈品 Prices'!P$3=""),"",'奢侈品 Prices'!P5/'奢侈品 Prices'!P$3)</f>
        <v/>
      </c>
    </row>
    <row r="58">
      <c r="A58" s="49" t="n">
        <v>46010</v>
      </c>
      <c r="B58" s="50">
        <f>IF(OR('奢侈品 Prices'!B6="",'奢侈品 Prices'!B$3=""),"",'奢侈品 Prices'!B6/'奢侈品 Prices'!B$3)</f>
        <v/>
      </c>
      <c r="C58" s="50">
        <f>IF(OR('奢侈品 Prices'!C6="",'奢侈品 Prices'!C$3=""),"",'奢侈品 Prices'!C6/'奢侈品 Prices'!C$3)</f>
        <v/>
      </c>
      <c r="D58" s="50">
        <f>IF(OR('奢侈品 Prices'!D6="",'奢侈品 Prices'!D$3=""),"",'奢侈品 Prices'!D6/'奢侈品 Prices'!D$3)</f>
        <v/>
      </c>
      <c r="E58" s="50">
        <f>IF(OR('奢侈品 Prices'!E6="",'奢侈品 Prices'!E$3=""),"",'奢侈品 Prices'!E6/'奢侈品 Prices'!E$3)</f>
        <v/>
      </c>
      <c r="F58" s="50">
        <f>IF(OR('奢侈品 Prices'!F6="",'奢侈品 Prices'!F$3=""),"",'奢侈品 Prices'!F6/'奢侈品 Prices'!F$3)</f>
        <v/>
      </c>
      <c r="G58" s="50">
        <f>IF(OR('奢侈品 Prices'!G6="",'奢侈品 Prices'!G$3=""),"",'奢侈品 Prices'!G6/'奢侈品 Prices'!G$3)</f>
        <v/>
      </c>
      <c r="H58" s="50">
        <f>IF(OR('奢侈品 Prices'!H6="",'奢侈品 Prices'!H$3=""),"",'奢侈品 Prices'!H6/'奢侈品 Prices'!H$3)</f>
        <v/>
      </c>
      <c r="I58" s="50">
        <f>IF(OR('奢侈品 Prices'!I6="",'奢侈品 Prices'!I$3=""),"",'奢侈品 Prices'!I6/'奢侈品 Prices'!I$3)</f>
        <v/>
      </c>
      <c r="J58" s="50">
        <f>IF(OR('奢侈品 Prices'!J6="",'奢侈品 Prices'!J$3=""),"",'奢侈品 Prices'!J6/'奢侈品 Prices'!J$3)</f>
        <v/>
      </c>
      <c r="K58" s="50">
        <f>IF(OR('奢侈品 Prices'!K6="",'奢侈品 Prices'!K$3=""),"",'奢侈品 Prices'!K6/'奢侈品 Prices'!K$3)</f>
        <v/>
      </c>
      <c r="L58" s="50">
        <f>IF(OR('奢侈品 Prices'!L6="",'奢侈品 Prices'!L$3=""),"",'奢侈品 Prices'!L6/'奢侈品 Prices'!L$3)</f>
        <v/>
      </c>
      <c r="M58" s="50">
        <f>IF(OR('奢侈品 Prices'!M6="",'奢侈品 Prices'!M$3=""),"",'奢侈品 Prices'!M6/'奢侈品 Prices'!M$3)</f>
        <v/>
      </c>
      <c r="N58" s="50">
        <f>IF(OR('奢侈品 Prices'!N6="",'奢侈品 Prices'!N$3=""),"",'奢侈品 Prices'!N6/'奢侈品 Prices'!N$3)</f>
        <v/>
      </c>
      <c r="O58" s="50">
        <f>IF(OR('奢侈品 Prices'!O6="",'奢侈品 Prices'!O$3=""),"",'奢侈品 Prices'!O6/'奢侈品 Prices'!O$3)</f>
        <v/>
      </c>
      <c r="P58" s="50">
        <f>IF(OR('奢侈品 Prices'!P6="",'奢侈品 Prices'!P$3=""),"",'奢侈品 Prices'!P6/'奢侈品 Prices'!P$3)</f>
        <v/>
      </c>
    </row>
    <row r="59">
      <c r="A59" s="49" t="n">
        <v>46017</v>
      </c>
      <c r="B59" s="50">
        <f>IF(OR('奢侈品 Prices'!B7="",'奢侈品 Prices'!B$3=""),"",'奢侈品 Prices'!B7/'奢侈品 Prices'!B$3)</f>
        <v/>
      </c>
      <c r="C59" s="50">
        <f>IF(OR('奢侈品 Prices'!C7="",'奢侈品 Prices'!C$3=""),"",'奢侈品 Prices'!C7/'奢侈品 Prices'!C$3)</f>
        <v/>
      </c>
      <c r="D59" s="50">
        <f>IF(OR('奢侈品 Prices'!D7="",'奢侈品 Prices'!D$3=""),"",'奢侈品 Prices'!D7/'奢侈品 Prices'!D$3)</f>
        <v/>
      </c>
      <c r="E59" s="50">
        <f>IF(OR('奢侈品 Prices'!E7="",'奢侈品 Prices'!E$3=""),"",'奢侈品 Prices'!E7/'奢侈品 Prices'!E$3)</f>
        <v/>
      </c>
      <c r="F59" s="50">
        <f>IF(OR('奢侈品 Prices'!F7="",'奢侈品 Prices'!F$3=""),"",'奢侈品 Prices'!F7/'奢侈品 Prices'!F$3)</f>
        <v/>
      </c>
      <c r="G59" s="50">
        <f>IF(OR('奢侈品 Prices'!G7="",'奢侈品 Prices'!G$3=""),"",'奢侈品 Prices'!G7/'奢侈品 Prices'!G$3)</f>
        <v/>
      </c>
      <c r="H59" s="50">
        <f>IF(OR('奢侈品 Prices'!H7="",'奢侈品 Prices'!H$3=""),"",'奢侈品 Prices'!H7/'奢侈品 Prices'!H$3)</f>
        <v/>
      </c>
      <c r="I59" s="50">
        <f>IF(OR('奢侈品 Prices'!I7="",'奢侈品 Prices'!I$3=""),"",'奢侈品 Prices'!I7/'奢侈品 Prices'!I$3)</f>
        <v/>
      </c>
      <c r="J59" s="50">
        <f>IF(OR('奢侈品 Prices'!J7="",'奢侈品 Prices'!J$3=""),"",'奢侈品 Prices'!J7/'奢侈品 Prices'!J$3)</f>
        <v/>
      </c>
      <c r="K59" s="50">
        <f>IF(OR('奢侈品 Prices'!K7="",'奢侈品 Prices'!K$3=""),"",'奢侈品 Prices'!K7/'奢侈品 Prices'!K$3)</f>
        <v/>
      </c>
      <c r="L59" s="50">
        <f>IF(OR('奢侈品 Prices'!L7="",'奢侈品 Prices'!L$3=""),"",'奢侈品 Prices'!L7/'奢侈品 Prices'!L$3)</f>
        <v/>
      </c>
      <c r="M59" s="50">
        <f>IF(OR('奢侈品 Prices'!M7="",'奢侈品 Prices'!M$3=""),"",'奢侈品 Prices'!M7/'奢侈品 Prices'!M$3)</f>
        <v/>
      </c>
      <c r="N59" s="50">
        <f>IF(OR('奢侈品 Prices'!N7="",'奢侈品 Prices'!N$3=""),"",'奢侈品 Prices'!N7/'奢侈品 Prices'!N$3)</f>
        <v/>
      </c>
      <c r="O59" s="50">
        <f>IF(OR('奢侈品 Prices'!O7="",'奢侈品 Prices'!O$3=""),"",'奢侈品 Prices'!O7/'奢侈品 Prices'!O$3)</f>
        <v/>
      </c>
      <c r="P59" s="50">
        <f>IF(OR('奢侈品 Prices'!P7="",'奢侈品 Prices'!P$3=""),"",'奢侈品 Prices'!P7/'奢侈品 Prices'!P$3)</f>
        <v/>
      </c>
    </row>
    <row r="60">
      <c r="A60" s="49" t="n">
        <v>46024</v>
      </c>
      <c r="B60" s="50">
        <f>IF(OR('奢侈品 Prices'!B8="",'奢侈品 Prices'!B$3=""),"",'奢侈品 Prices'!B8/'奢侈品 Prices'!B$3)</f>
        <v/>
      </c>
      <c r="C60" s="50">
        <f>IF(OR('奢侈品 Prices'!C8="",'奢侈品 Prices'!C$3=""),"",'奢侈品 Prices'!C8/'奢侈品 Prices'!C$3)</f>
        <v/>
      </c>
      <c r="D60" s="50">
        <f>IF(OR('奢侈品 Prices'!D8="",'奢侈品 Prices'!D$3=""),"",'奢侈品 Prices'!D8/'奢侈品 Prices'!D$3)</f>
        <v/>
      </c>
      <c r="E60" s="50">
        <f>IF(OR('奢侈品 Prices'!E8="",'奢侈品 Prices'!E$3=""),"",'奢侈品 Prices'!E8/'奢侈品 Prices'!E$3)</f>
        <v/>
      </c>
      <c r="F60" s="50">
        <f>IF(OR('奢侈品 Prices'!F8="",'奢侈品 Prices'!F$3=""),"",'奢侈品 Prices'!F8/'奢侈品 Prices'!F$3)</f>
        <v/>
      </c>
      <c r="G60" s="50">
        <f>IF(OR('奢侈品 Prices'!G8="",'奢侈品 Prices'!G$3=""),"",'奢侈品 Prices'!G8/'奢侈品 Prices'!G$3)</f>
        <v/>
      </c>
      <c r="H60" s="50">
        <f>IF(OR('奢侈品 Prices'!H8="",'奢侈品 Prices'!H$3=""),"",'奢侈品 Prices'!H8/'奢侈品 Prices'!H$3)</f>
        <v/>
      </c>
      <c r="I60" s="50">
        <f>IF(OR('奢侈品 Prices'!I8="",'奢侈品 Prices'!I$3=""),"",'奢侈品 Prices'!I8/'奢侈品 Prices'!I$3)</f>
        <v/>
      </c>
      <c r="J60" s="50">
        <f>IF(OR('奢侈品 Prices'!J8="",'奢侈品 Prices'!J$3=""),"",'奢侈品 Prices'!J8/'奢侈品 Prices'!J$3)</f>
        <v/>
      </c>
      <c r="K60" s="50">
        <f>IF(OR('奢侈品 Prices'!K8="",'奢侈品 Prices'!K$3=""),"",'奢侈品 Prices'!K8/'奢侈品 Prices'!K$3)</f>
        <v/>
      </c>
      <c r="L60" s="50">
        <f>IF(OR('奢侈品 Prices'!L8="",'奢侈品 Prices'!L$3=""),"",'奢侈品 Prices'!L8/'奢侈品 Prices'!L$3)</f>
        <v/>
      </c>
      <c r="M60" s="50">
        <f>IF(OR('奢侈品 Prices'!M8="",'奢侈品 Prices'!M$3=""),"",'奢侈品 Prices'!M8/'奢侈品 Prices'!M$3)</f>
        <v/>
      </c>
      <c r="N60" s="50">
        <f>IF(OR('奢侈品 Prices'!N8="",'奢侈品 Prices'!N$3=""),"",'奢侈品 Prices'!N8/'奢侈品 Prices'!N$3)</f>
        <v/>
      </c>
      <c r="O60" s="50">
        <f>IF(OR('奢侈品 Prices'!O8="",'奢侈品 Prices'!O$3=""),"",'奢侈品 Prices'!O8/'奢侈品 Prices'!O$3)</f>
        <v/>
      </c>
      <c r="P60" s="50">
        <f>IF(OR('奢侈品 Prices'!P8="",'奢侈品 Prices'!P$3=""),"",'奢侈品 Prices'!P8/'奢侈品 Prices'!P$3)</f>
        <v/>
      </c>
    </row>
    <row r="61">
      <c r="A61" s="49" t="n">
        <v>46031</v>
      </c>
      <c r="B61" s="50">
        <f>IF(OR('奢侈品 Prices'!B9="",'奢侈品 Prices'!B$3=""),"",'奢侈品 Prices'!B9/'奢侈品 Prices'!B$3)</f>
        <v/>
      </c>
      <c r="C61" s="50">
        <f>IF(OR('奢侈品 Prices'!C9="",'奢侈品 Prices'!C$3=""),"",'奢侈品 Prices'!C9/'奢侈品 Prices'!C$3)</f>
        <v/>
      </c>
      <c r="D61" s="50">
        <f>IF(OR('奢侈品 Prices'!D9="",'奢侈品 Prices'!D$3=""),"",'奢侈品 Prices'!D9/'奢侈品 Prices'!D$3)</f>
        <v/>
      </c>
      <c r="E61" s="50">
        <f>IF(OR('奢侈品 Prices'!E9="",'奢侈品 Prices'!E$3=""),"",'奢侈品 Prices'!E9/'奢侈品 Prices'!E$3)</f>
        <v/>
      </c>
      <c r="F61" s="50">
        <f>IF(OR('奢侈品 Prices'!F9="",'奢侈品 Prices'!F$3=""),"",'奢侈品 Prices'!F9/'奢侈品 Prices'!F$3)</f>
        <v/>
      </c>
      <c r="G61" s="50">
        <f>IF(OR('奢侈品 Prices'!G9="",'奢侈品 Prices'!G$3=""),"",'奢侈品 Prices'!G9/'奢侈品 Prices'!G$3)</f>
        <v/>
      </c>
      <c r="H61" s="50">
        <f>IF(OR('奢侈品 Prices'!H9="",'奢侈品 Prices'!H$3=""),"",'奢侈品 Prices'!H9/'奢侈品 Prices'!H$3)</f>
        <v/>
      </c>
      <c r="I61" s="50">
        <f>IF(OR('奢侈品 Prices'!I9="",'奢侈品 Prices'!I$3=""),"",'奢侈品 Prices'!I9/'奢侈品 Prices'!I$3)</f>
        <v/>
      </c>
      <c r="J61" s="50">
        <f>IF(OR('奢侈品 Prices'!J9="",'奢侈品 Prices'!J$3=""),"",'奢侈品 Prices'!J9/'奢侈品 Prices'!J$3)</f>
        <v/>
      </c>
      <c r="K61" s="50">
        <f>IF(OR('奢侈品 Prices'!K9="",'奢侈品 Prices'!K$3=""),"",'奢侈品 Prices'!K9/'奢侈品 Prices'!K$3)</f>
        <v/>
      </c>
      <c r="L61" s="50">
        <f>IF(OR('奢侈品 Prices'!L9="",'奢侈品 Prices'!L$3=""),"",'奢侈品 Prices'!L9/'奢侈品 Prices'!L$3)</f>
        <v/>
      </c>
      <c r="M61" s="50">
        <f>IF(OR('奢侈品 Prices'!M9="",'奢侈品 Prices'!M$3=""),"",'奢侈品 Prices'!M9/'奢侈品 Prices'!M$3)</f>
        <v/>
      </c>
      <c r="N61" s="50">
        <f>IF(OR('奢侈品 Prices'!N9="",'奢侈品 Prices'!N$3=""),"",'奢侈品 Prices'!N9/'奢侈品 Prices'!N$3)</f>
        <v/>
      </c>
      <c r="O61" s="50">
        <f>IF(OR('奢侈品 Prices'!O9="",'奢侈品 Prices'!O$3=""),"",'奢侈品 Prices'!O9/'奢侈品 Prices'!O$3)</f>
        <v/>
      </c>
      <c r="P61" s="50">
        <f>IF(OR('奢侈品 Prices'!P9="",'奢侈品 Prices'!P$3=""),"",'奢侈品 Prices'!P9/'奢侈品 Prices'!P$3)</f>
        <v/>
      </c>
    </row>
    <row r="62">
      <c r="A62" s="49" t="n">
        <v>46038</v>
      </c>
      <c r="B62" s="50">
        <f>IF(OR('奢侈品 Prices'!B10="",'奢侈品 Prices'!B$3=""),"",'奢侈品 Prices'!B10/'奢侈品 Prices'!B$3)</f>
        <v/>
      </c>
      <c r="C62" s="50">
        <f>IF(OR('奢侈品 Prices'!C10="",'奢侈品 Prices'!C$3=""),"",'奢侈品 Prices'!C10/'奢侈品 Prices'!C$3)</f>
        <v/>
      </c>
      <c r="D62" s="50">
        <f>IF(OR('奢侈品 Prices'!D10="",'奢侈品 Prices'!D$3=""),"",'奢侈品 Prices'!D10/'奢侈品 Prices'!D$3)</f>
        <v/>
      </c>
      <c r="E62" s="50">
        <f>IF(OR('奢侈品 Prices'!E10="",'奢侈品 Prices'!E$3=""),"",'奢侈品 Prices'!E10/'奢侈品 Prices'!E$3)</f>
        <v/>
      </c>
      <c r="F62" s="50">
        <f>IF(OR('奢侈品 Prices'!F10="",'奢侈品 Prices'!F$3=""),"",'奢侈品 Prices'!F10/'奢侈品 Prices'!F$3)</f>
        <v/>
      </c>
      <c r="G62" s="50">
        <f>IF(OR('奢侈品 Prices'!G10="",'奢侈品 Prices'!G$3=""),"",'奢侈品 Prices'!G10/'奢侈品 Prices'!G$3)</f>
        <v/>
      </c>
      <c r="H62" s="50">
        <f>IF(OR('奢侈品 Prices'!H10="",'奢侈品 Prices'!H$3=""),"",'奢侈品 Prices'!H10/'奢侈品 Prices'!H$3)</f>
        <v/>
      </c>
      <c r="I62" s="50">
        <f>IF(OR('奢侈品 Prices'!I10="",'奢侈品 Prices'!I$3=""),"",'奢侈品 Prices'!I10/'奢侈品 Prices'!I$3)</f>
        <v/>
      </c>
      <c r="J62" s="50">
        <f>IF(OR('奢侈品 Prices'!J10="",'奢侈品 Prices'!J$3=""),"",'奢侈品 Prices'!J10/'奢侈品 Prices'!J$3)</f>
        <v/>
      </c>
      <c r="K62" s="50">
        <f>IF(OR('奢侈品 Prices'!K10="",'奢侈品 Prices'!K$3=""),"",'奢侈品 Prices'!K10/'奢侈品 Prices'!K$3)</f>
        <v/>
      </c>
      <c r="L62" s="50">
        <f>IF(OR('奢侈品 Prices'!L10="",'奢侈品 Prices'!L$3=""),"",'奢侈品 Prices'!L10/'奢侈品 Prices'!L$3)</f>
        <v/>
      </c>
      <c r="M62" s="50">
        <f>IF(OR('奢侈品 Prices'!M10="",'奢侈品 Prices'!M$3=""),"",'奢侈品 Prices'!M10/'奢侈品 Prices'!M$3)</f>
        <v/>
      </c>
      <c r="N62" s="50">
        <f>IF(OR('奢侈品 Prices'!N10="",'奢侈品 Prices'!N$3=""),"",'奢侈品 Prices'!N10/'奢侈品 Prices'!N$3)</f>
        <v/>
      </c>
      <c r="O62" s="50">
        <f>IF(OR('奢侈品 Prices'!O10="",'奢侈品 Prices'!O$3=""),"",'奢侈品 Prices'!O10/'奢侈品 Prices'!O$3)</f>
        <v/>
      </c>
      <c r="P62" s="50">
        <f>IF(OR('奢侈品 Prices'!P10="",'奢侈品 Prices'!P$3=""),"",'奢侈品 Prices'!P10/'奢侈品 Prices'!P$3)</f>
        <v/>
      </c>
    </row>
    <row r="63">
      <c r="A63" s="49" t="n">
        <v>46045</v>
      </c>
      <c r="B63" s="50">
        <f>IF(OR('奢侈品 Prices'!B11="",'奢侈品 Prices'!B$3=""),"",'奢侈品 Prices'!B11/'奢侈品 Prices'!B$3)</f>
        <v/>
      </c>
      <c r="C63" s="50">
        <f>IF(OR('奢侈品 Prices'!C11="",'奢侈品 Prices'!C$3=""),"",'奢侈品 Prices'!C11/'奢侈品 Prices'!C$3)</f>
        <v/>
      </c>
      <c r="D63" s="50">
        <f>IF(OR('奢侈品 Prices'!D11="",'奢侈品 Prices'!D$3=""),"",'奢侈品 Prices'!D11/'奢侈品 Prices'!D$3)</f>
        <v/>
      </c>
      <c r="E63" s="50">
        <f>IF(OR('奢侈品 Prices'!E11="",'奢侈品 Prices'!E$3=""),"",'奢侈品 Prices'!E11/'奢侈品 Prices'!E$3)</f>
        <v/>
      </c>
      <c r="F63" s="50">
        <f>IF(OR('奢侈品 Prices'!F11="",'奢侈品 Prices'!F$3=""),"",'奢侈品 Prices'!F11/'奢侈品 Prices'!F$3)</f>
        <v/>
      </c>
      <c r="G63" s="50">
        <f>IF(OR('奢侈品 Prices'!G11="",'奢侈品 Prices'!G$3=""),"",'奢侈品 Prices'!G11/'奢侈品 Prices'!G$3)</f>
        <v/>
      </c>
      <c r="H63" s="50">
        <f>IF(OR('奢侈品 Prices'!H11="",'奢侈品 Prices'!H$3=""),"",'奢侈品 Prices'!H11/'奢侈品 Prices'!H$3)</f>
        <v/>
      </c>
      <c r="I63" s="50">
        <f>IF(OR('奢侈品 Prices'!I11="",'奢侈品 Prices'!I$3=""),"",'奢侈品 Prices'!I11/'奢侈品 Prices'!I$3)</f>
        <v/>
      </c>
      <c r="J63" s="50">
        <f>IF(OR('奢侈品 Prices'!J11="",'奢侈品 Prices'!J$3=""),"",'奢侈品 Prices'!J11/'奢侈品 Prices'!J$3)</f>
        <v/>
      </c>
      <c r="K63" s="50">
        <f>IF(OR('奢侈品 Prices'!K11="",'奢侈品 Prices'!K$3=""),"",'奢侈品 Prices'!K11/'奢侈品 Prices'!K$3)</f>
        <v/>
      </c>
      <c r="L63" s="50">
        <f>IF(OR('奢侈品 Prices'!L11="",'奢侈品 Prices'!L$3=""),"",'奢侈品 Prices'!L11/'奢侈品 Prices'!L$3)</f>
        <v/>
      </c>
      <c r="M63" s="50">
        <f>IF(OR('奢侈品 Prices'!M11="",'奢侈品 Prices'!M$3=""),"",'奢侈品 Prices'!M11/'奢侈品 Prices'!M$3)</f>
        <v/>
      </c>
      <c r="N63" s="50">
        <f>IF(OR('奢侈品 Prices'!N11="",'奢侈品 Prices'!N$3=""),"",'奢侈品 Prices'!N11/'奢侈品 Prices'!N$3)</f>
        <v/>
      </c>
      <c r="O63" s="50">
        <f>IF(OR('奢侈品 Prices'!O11="",'奢侈品 Prices'!O$3=""),"",'奢侈品 Prices'!O11/'奢侈品 Prices'!O$3)</f>
        <v/>
      </c>
      <c r="P63" s="50">
        <f>IF(OR('奢侈品 Prices'!P11="",'奢侈品 Prices'!P$3=""),"",'奢侈品 Prices'!P11/'奢侈品 Prices'!P$3)</f>
        <v/>
      </c>
    </row>
    <row r="64">
      <c r="A64" s="49" t="n">
        <v>46052</v>
      </c>
      <c r="B64" s="50">
        <f>IF(OR('奢侈品 Prices'!B12="",'奢侈品 Prices'!B$3=""),"",'奢侈品 Prices'!B12/'奢侈品 Prices'!B$3)</f>
        <v/>
      </c>
      <c r="C64" s="50">
        <f>IF(OR('奢侈品 Prices'!C12="",'奢侈品 Prices'!C$3=""),"",'奢侈品 Prices'!C12/'奢侈品 Prices'!C$3)</f>
        <v/>
      </c>
      <c r="D64" s="50">
        <f>IF(OR('奢侈品 Prices'!D12="",'奢侈品 Prices'!D$3=""),"",'奢侈品 Prices'!D12/'奢侈品 Prices'!D$3)</f>
        <v/>
      </c>
      <c r="E64" s="50">
        <f>IF(OR('奢侈品 Prices'!E12="",'奢侈品 Prices'!E$3=""),"",'奢侈品 Prices'!E12/'奢侈品 Prices'!E$3)</f>
        <v/>
      </c>
      <c r="F64" s="50">
        <f>IF(OR('奢侈品 Prices'!F12="",'奢侈品 Prices'!F$3=""),"",'奢侈品 Prices'!F12/'奢侈品 Prices'!F$3)</f>
        <v/>
      </c>
      <c r="G64" s="50">
        <f>IF(OR('奢侈品 Prices'!G12="",'奢侈品 Prices'!G$3=""),"",'奢侈品 Prices'!G12/'奢侈品 Prices'!G$3)</f>
        <v/>
      </c>
      <c r="H64" s="50">
        <f>IF(OR('奢侈品 Prices'!H12="",'奢侈品 Prices'!H$3=""),"",'奢侈品 Prices'!H12/'奢侈品 Prices'!H$3)</f>
        <v/>
      </c>
      <c r="I64" s="50">
        <f>IF(OR('奢侈品 Prices'!I12="",'奢侈品 Prices'!I$3=""),"",'奢侈品 Prices'!I12/'奢侈品 Prices'!I$3)</f>
        <v/>
      </c>
      <c r="J64" s="50">
        <f>IF(OR('奢侈品 Prices'!J12="",'奢侈品 Prices'!J$3=""),"",'奢侈品 Prices'!J12/'奢侈品 Prices'!J$3)</f>
        <v/>
      </c>
      <c r="K64" s="50">
        <f>IF(OR('奢侈品 Prices'!K12="",'奢侈品 Prices'!K$3=""),"",'奢侈品 Prices'!K12/'奢侈品 Prices'!K$3)</f>
        <v/>
      </c>
      <c r="L64" s="50">
        <f>IF(OR('奢侈品 Prices'!L12="",'奢侈品 Prices'!L$3=""),"",'奢侈品 Prices'!L12/'奢侈品 Prices'!L$3)</f>
        <v/>
      </c>
      <c r="M64" s="50">
        <f>IF(OR('奢侈品 Prices'!M12="",'奢侈品 Prices'!M$3=""),"",'奢侈品 Prices'!M12/'奢侈品 Prices'!M$3)</f>
        <v/>
      </c>
      <c r="N64" s="50">
        <f>IF(OR('奢侈品 Prices'!N12="",'奢侈品 Prices'!N$3=""),"",'奢侈品 Prices'!N12/'奢侈品 Prices'!N$3)</f>
        <v/>
      </c>
      <c r="O64" s="50">
        <f>IF(OR('奢侈品 Prices'!O12="",'奢侈品 Prices'!O$3=""),"",'奢侈品 Prices'!O12/'奢侈品 Prices'!O$3)</f>
        <v/>
      </c>
      <c r="P64" s="50">
        <f>IF(OR('奢侈品 Prices'!P12="",'奢侈品 Prices'!P$3=""),"",'奢侈品 Prices'!P12/'奢侈品 Prices'!P$3)</f>
        <v/>
      </c>
    </row>
    <row r="65">
      <c r="A65" s="49" t="n">
        <v>46059</v>
      </c>
      <c r="B65" s="50">
        <f>IF(OR('奢侈品 Prices'!B13="",'奢侈品 Prices'!B$3=""),"",'奢侈品 Prices'!B13/'奢侈品 Prices'!B$3)</f>
        <v/>
      </c>
      <c r="C65" s="50">
        <f>IF(OR('奢侈品 Prices'!C13="",'奢侈品 Prices'!C$3=""),"",'奢侈品 Prices'!C13/'奢侈品 Prices'!C$3)</f>
        <v/>
      </c>
      <c r="D65" s="50">
        <f>IF(OR('奢侈品 Prices'!D13="",'奢侈品 Prices'!D$3=""),"",'奢侈品 Prices'!D13/'奢侈品 Prices'!D$3)</f>
        <v/>
      </c>
      <c r="E65" s="50">
        <f>IF(OR('奢侈品 Prices'!E13="",'奢侈品 Prices'!E$3=""),"",'奢侈品 Prices'!E13/'奢侈品 Prices'!E$3)</f>
        <v/>
      </c>
      <c r="F65" s="50">
        <f>IF(OR('奢侈品 Prices'!F13="",'奢侈品 Prices'!F$3=""),"",'奢侈品 Prices'!F13/'奢侈品 Prices'!F$3)</f>
        <v/>
      </c>
      <c r="G65" s="50">
        <f>IF(OR('奢侈品 Prices'!G13="",'奢侈品 Prices'!G$3=""),"",'奢侈品 Prices'!G13/'奢侈品 Prices'!G$3)</f>
        <v/>
      </c>
      <c r="H65" s="50">
        <f>IF(OR('奢侈品 Prices'!H13="",'奢侈品 Prices'!H$3=""),"",'奢侈品 Prices'!H13/'奢侈品 Prices'!H$3)</f>
        <v/>
      </c>
      <c r="I65" s="50">
        <f>IF(OR('奢侈品 Prices'!I13="",'奢侈品 Prices'!I$3=""),"",'奢侈品 Prices'!I13/'奢侈品 Prices'!I$3)</f>
        <v/>
      </c>
      <c r="J65" s="50">
        <f>IF(OR('奢侈品 Prices'!J13="",'奢侈品 Prices'!J$3=""),"",'奢侈品 Prices'!J13/'奢侈品 Prices'!J$3)</f>
        <v/>
      </c>
      <c r="K65" s="50">
        <f>IF(OR('奢侈品 Prices'!K13="",'奢侈品 Prices'!K$3=""),"",'奢侈品 Prices'!K13/'奢侈品 Prices'!K$3)</f>
        <v/>
      </c>
      <c r="L65" s="50">
        <f>IF(OR('奢侈品 Prices'!L13="",'奢侈品 Prices'!L$3=""),"",'奢侈品 Prices'!L13/'奢侈品 Prices'!L$3)</f>
        <v/>
      </c>
      <c r="M65" s="50">
        <f>IF(OR('奢侈品 Prices'!M13="",'奢侈品 Prices'!M$3=""),"",'奢侈品 Prices'!M13/'奢侈品 Prices'!M$3)</f>
        <v/>
      </c>
      <c r="N65" s="50">
        <f>IF(OR('奢侈品 Prices'!N13="",'奢侈品 Prices'!N$3=""),"",'奢侈品 Prices'!N13/'奢侈品 Prices'!N$3)</f>
        <v/>
      </c>
      <c r="O65" s="50">
        <f>IF(OR('奢侈品 Prices'!O13="",'奢侈品 Prices'!O$3=""),"",'奢侈品 Prices'!O13/'奢侈品 Prices'!O$3)</f>
        <v/>
      </c>
      <c r="P65" s="50">
        <f>IF(OR('奢侈品 Prices'!P13="",'奢侈品 Prices'!P$3=""),"",'奢侈品 Prices'!P13/'奢侈品 Prices'!P$3)</f>
        <v/>
      </c>
    </row>
    <row r="66">
      <c r="A66" s="49" t="n">
        <v>46066</v>
      </c>
      <c r="B66" s="50">
        <f>IF(OR('奢侈品 Prices'!B14="",'奢侈品 Prices'!B$3=""),"",'奢侈品 Prices'!B14/'奢侈品 Prices'!B$3)</f>
        <v/>
      </c>
      <c r="C66" s="50">
        <f>IF(OR('奢侈品 Prices'!C14="",'奢侈品 Prices'!C$3=""),"",'奢侈品 Prices'!C14/'奢侈品 Prices'!C$3)</f>
        <v/>
      </c>
      <c r="D66" s="50">
        <f>IF(OR('奢侈品 Prices'!D14="",'奢侈品 Prices'!D$3=""),"",'奢侈品 Prices'!D14/'奢侈品 Prices'!D$3)</f>
        <v/>
      </c>
      <c r="E66" s="50">
        <f>IF(OR('奢侈品 Prices'!E14="",'奢侈品 Prices'!E$3=""),"",'奢侈品 Prices'!E14/'奢侈品 Prices'!E$3)</f>
        <v/>
      </c>
      <c r="F66" s="50">
        <f>IF(OR('奢侈品 Prices'!F14="",'奢侈品 Prices'!F$3=""),"",'奢侈品 Prices'!F14/'奢侈品 Prices'!F$3)</f>
        <v/>
      </c>
      <c r="G66" s="50">
        <f>IF(OR('奢侈品 Prices'!G14="",'奢侈品 Prices'!G$3=""),"",'奢侈品 Prices'!G14/'奢侈品 Prices'!G$3)</f>
        <v/>
      </c>
      <c r="H66" s="50">
        <f>IF(OR('奢侈品 Prices'!H14="",'奢侈品 Prices'!H$3=""),"",'奢侈品 Prices'!H14/'奢侈品 Prices'!H$3)</f>
        <v/>
      </c>
      <c r="I66" s="50">
        <f>IF(OR('奢侈品 Prices'!I14="",'奢侈品 Prices'!I$3=""),"",'奢侈品 Prices'!I14/'奢侈品 Prices'!I$3)</f>
        <v/>
      </c>
      <c r="J66" s="50">
        <f>IF(OR('奢侈品 Prices'!J14="",'奢侈品 Prices'!J$3=""),"",'奢侈品 Prices'!J14/'奢侈品 Prices'!J$3)</f>
        <v/>
      </c>
      <c r="K66" s="50">
        <f>IF(OR('奢侈品 Prices'!K14="",'奢侈品 Prices'!K$3=""),"",'奢侈品 Prices'!K14/'奢侈品 Prices'!K$3)</f>
        <v/>
      </c>
      <c r="L66" s="50">
        <f>IF(OR('奢侈品 Prices'!L14="",'奢侈品 Prices'!L$3=""),"",'奢侈品 Prices'!L14/'奢侈品 Prices'!L$3)</f>
        <v/>
      </c>
      <c r="M66" s="50">
        <f>IF(OR('奢侈品 Prices'!M14="",'奢侈品 Prices'!M$3=""),"",'奢侈品 Prices'!M14/'奢侈品 Prices'!M$3)</f>
        <v/>
      </c>
      <c r="N66" s="50">
        <f>IF(OR('奢侈品 Prices'!N14="",'奢侈品 Prices'!N$3=""),"",'奢侈品 Prices'!N14/'奢侈品 Prices'!N$3)</f>
        <v/>
      </c>
      <c r="O66" s="50">
        <f>IF(OR('奢侈品 Prices'!O14="",'奢侈品 Prices'!O$3=""),"",'奢侈品 Prices'!O14/'奢侈品 Prices'!O$3)</f>
        <v/>
      </c>
      <c r="P66" s="50">
        <f>IF(OR('奢侈品 Prices'!P14="",'奢侈品 Prices'!P$3=""),"",'奢侈品 Prices'!P14/'奢侈品 Prices'!P$3)</f>
        <v/>
      </c>
    </row>
    <row r="67">
      <c r="A67" s="49" t="n">
        <v>46073</v>
      </c>
      <c r="B67" s="50">
        <f>IF(OR('奢侈品 Prices'!B15="",'奢侈品 Prices'!B$3=""),"",'奢侈品 Prices'!B15/'奢侈品 Prices'!B$3)</f>
        <v/>
      </c>
      <c r="C67" s="50">
        <f>IF(OR('奢侈品 Prices'!C15="",'奢侈品 Prices'!C$3=""),"",'奢侈品 Prices'!C15/'奢侈品 Prices'!C$3)</f>
        <v/>
      </c>
      <c r="D67" s="50">
        <f>IF(OR('奢侈品 Prices'!D15="",'奢侈品 Prices'!D$3=""),"",'奢侈品 Prices'!D15/'奢侈品 Prices'!D$3)</f>
        <v/>
      </c>
      <c r="E67" s="50">
        <f>IF(OR('奢侈品 Prices'!E15="",'奢侈品 Prices'!E$3=""),"",'奢侈品 Prices'!E15/'奢侈品 Prices'!E$3)</f>
        <v/>
      </c>
      <c r="F67" s="50">
        <f>IF(OR('奢侈品 Prices'!F15="",'奢侈品 Prices'!F$3=""),"",'奢侈品 Prices'!F15/'奢侈品 Prices'!F$3)</f>
        <v/>
      </c>
      <c r="G67" s="50">
        <f>IF(OR('奢侈品 Prices'!G15="",'奢侈品 Prices'!G$3=""),"",'奢侈品 Prices'!G15/'奢侈品 Prices'!G$3)</f>
        <v/>
      </c>
      <c r="H67" s="50">
        <f>IF(OR('奢侈品 Prices'!H15="",'奢侈品 Prices'!H$3=""),"",'奢侈品 Prices'!H15/'奢侈品 Prices'!H$3)</f>
        <v/>
      </c>
      <c r="I67" s="50">
        <f>IF(OR('奢侈品 Prices'!I15="",'奢侈品 Prices'!I$3=""),"",'奢侈品 Prices'!I15/'奢侈品 Prices'!I$3)</f>
        <v/>
      </c>
      <c r="J67" s="50">
        <f>IF(OR('奢侈品 Prices'!J15="",'奢侈品 Prices'!J$3=""),"",'奢侈品 Prices'!J15/'奢侈品 Prices'!J$3)</f>
        <v/>
      </c>
      <c r="K67" s="50">
        <f>IF(OR('奢侈品 Prices'!K15="",'奢侈品 Prices'!K$3=""),"",'奢侈品 Prices'!K15/'奢侈品 Prices'!K$3)</f>
        <v/>
      </c>
      <c r="L67" s="50">
        <f>IF(OR('奢侈品 Prices'!L15="",'奢侈品 Prices'!L$3=""),"",'奢侈品 Prices'!L15/'奢侈品 Prices'!L$3)</f>
        <v/>
      </c>
      <c r="M67" s="50">
        <f>IF(OR('奢侈品 Prices'!M15="",'奢侈品 Prices'!M$3=""),"",'奢侈品 Prices'!M15/'奢侈品 Prices'!M$3)</f>
        <v/>
      </c>
      <c r="N67" s="50">
        <f>IF(OR('奢侈品 Prices'!N15="",'奢侈品 Prices'!N$3=""),"",'奢侈品 Prices'!N15/'奢侈品 Prices'!N$3)</f>
        <v/>
      </c>
      <c r="O67" s="50">
        <f>IF(OR('奢侈品 Prices'!O15="",'奢侈品 Prices'!O$3=""),"",'奢侈品 Prices'!O15/'奢侈品 Prices'!O$3)</f>
        <v/>
      </c>
      <c r="P67" s="50">
        <f>IF(OR('奢侈品 Prices'!P15="",'奢侈品 Prices'!P$3=""),"",'奢侈品 Prices'!P15/'奢侈品 Prices'!P$3)</f>
        <v/>
      </c>
    </row>
    <row r="68">
      <c r="A68" s="49" t="n">
        <v>46080</v>
      </c>
      <c r="B68" s="50">
        <f>IF(OR('奢侈品 Prices'!B16="",'奢侈品 Prices'!B$3=""),"",'奢侈品 Prices'!B16/'奢侈品 Prices'!B$3)</f>
        <v/>
      </c>
      <c r="C68" s="50">
        <f>IF(OR('奢侈品 Prices'!C16="",'奢侈品 Prices'!C$3=""),"",'奢侈品 Prices'!C16/'奢侈品 Prices'!C$3)</f>
        <v/>
      </c>
      <c r="D68" s="50">
        <f>IF(OR('奢侈品 Prices'!D16="",'奢侈品 Prices'!D$3=""),"",'奢侈品 Prices'!D16/'奢侈品 Prices'!D$3)</f>
        <v/>
      </c>
      <c r="E68" s="50">
        <f>IF(OR('奢侈品 Prices'!E16="",'奢侈品 Prices'!E$3=""),"",'奢侈品 Prices'!E16/'奢侈品 Prices'!E$3)</f>
        <v/>
      </c>
      <c r="F68" s="50">
        <f>IF(OR('奢侈品 Prices'!F16="",'奢侈品 Prices'!F$3=""),"",'奢侈品 Prices'!F16/'奢侈品 Prices'!F$3)</f>
        <v/>
      </c>
      <c r="G68" s="50">
        <f>IF(OR('奢侈品 Prices'!G16="",'奢侈品 Prices'!G$3=""),"",'奢侈品 Prices'!G16/'奢侈品 Prices'!G$3)</f>
        <v/>
      </c>
      <c r="H68" s="50">
        <f>IF(OR('奢侈品 Prices'!H16="",'奢侈品 Prices'!H$3=""),"",'奢侈品 Prices'!H16/'奢侈品 Prices'!H$3)</f>
        <v/>
      </c>
      <c r="I68" s="50">
        <f>IF(OR('奢侈品 Prices'!I16="",'奢侈品 Prices'!I$3=""),"",'奢侈品 Prices'!I16/'奢侈品 Prices'!I$3)</f>
        <v/>
      </c>
      <c r="J68" s="50">
        <f>IF(OR('奢侈品 Prices'!J16="",'奢侈品 Prices'!J$3=""),"",'奢侈品 Prices'!J16/'奢侈品 Prices'!J$3)</f>
        <v/>
      </c>
      <c r="K68" s="50">
        <f>IF(OR('奢侈品 Prices'!K16="",'奢侈品 Prices'!K$3=""),"",'奢侈品 Prices'!K16/'奢侈品 Prices'!K$3)</f>
        <v/>
      </c>
      <c r="L68" s="50">
        <f>IF(OR('奢侈品 Prices'!L16="",'奢侈品 Prices'!L$3=""),"",'奢侈品 Prices'!L16/'奢侈品 Prices'!L$3)</f>
        <v/>
      </c>
      <c r="M68" s="50">
        <f>IF(OR('奢侈品 Prices'!M16="",'奢侈品 Prices'!M$3=""),"",'奢侈品 Prices'!M16/'奢侈品 Prices'!M$3)</f>
        <v/>
      </c>
      <c r="N68" s="50">
        <f>IF(OR('奢侈品 Prices'!N16="",'奢侈品 Prices'!N$3=""),"",'奢侈品 Prices'!N16/'奢侈品 Prices'!N$3)</f>
        <v/>
      </c>
      <c r="O68" s="50">
        <f>IF(OR('奢侈品 Prices'!O16="",'奢侈品 Prices'!O$3=""),"",'奢侈品 Prices'!O16/'奢侈品 Prices'!O$3)</f>
        <v/>
      </c>
      <c r="P68" s="50">
        <f>IF(OR('奢侈品 Prices'!P16="",'奢侈品 Prices'!P$3=""),"",'奢侈品 Prices'!P16/'奢侈品 Prices'!P$3)</f>
        <v/>
      </c>
    </row>
    <row r="69">
      <c r="A69" s="49" t="n">
        <v>46087</v>
      </c>
      <c r="B69" s="50">
        <f>IF(OR('奢侈品 Prices'!B17="",'奢侈品 Prices'!B$3=""),"",'奢侈品 Prices'!B17/'奢侈品 Prices'!B$3)</f>
        <v/>
      </c>
      <c r="C69" s="50">
        <f>IF(OR('奢侈品 Prices'!C17="",'奢侈品 Prices'!C$3=""),"",'奢侈品 Prices'!C17/'奢侈品 Prices'!C$3)</f>
        <v/>
      </c>
      <c r="D69" s="50">
        <f>IF(OR('奢侈品 Prices'!D17="",'奢侈品 Prices'!D$3=""),"",'奢侈品 Prices'!D17/'奢侈品 Prices'!D$3)</f>
        <v/>
      </c>
      <c r="E69" s="50">
        <f>IF(OR('奢侈品 Prices'!E17="",'奢侈品 Prices'!E$3=""),"",'奢侈品 Prices'!E17/'奢侈品 Prices'!E$3)</f>
        <v/>
      </c>
      <c r="F69" s="50">
        <f>IF(OR('奢侈品 Prices'!F17="",'奢侈品 Prices'!F$3=""),"",'奢侈品 Prices'!F17/'奢侈品 Prices'!F$3)</f>
        <v/>
      </c>
      <c r="G69" s="50">
        <f>IF(OR('奢侈品 Prices'!G17="",'奢侈品 Prices'!G$3=""),"",'奢侈品 Prices'!G17/'奢侈品 Prices'!G$3)</f>
        <v/>
      </c>
      <c r="H69" s="50">
        <f>IF(OR('奢侈品 Prices'!H17="",'奢侈品 Prices'!H$3=""),"",'奢侈品 Prices'!H17/'奢侈品 Prices'!H$3)</f>
        <v/>
      </c>
      <c r="I69" s="50">
        <f>IF(OR('奢侈品 Prices'!I17="",'奢侈品 Prices'!I$3=""),"",'奢侈品 Prices'!I17/'奢侈品 Prices'!I$3)</f>
        <v/>
      </c>
      <c r="J69" s="50">
        <f>IF(OR('奢侈品 Prices'!J17="",'奢侈品 Prices'!J$3=""),"",'奢侈品 Prices'!J17/'奢侈品 Prices'!J$3)</f>
        <v/>
      </c>
      <c r="K69" s="50">
        <f>IF(OR('奢侈品 Prices'!K17="",'奢侈品 Prices'!K$3=""),"",'奢侈品 Prices'!K17/'奢侈品 Prices'!K$3)</f>
        <v/>
      </c>
      <c r="L69" s="50">
        <f>IF(OR('奢侈品 Prices'!L17="",'奢侈品 Prices'!L$3=""),"",'奢侈品 Prices'!L17/'奢侈品 Prices'!L$3)</f>
        <v/>
      </c>
      <c r="M69" s="50">
        <f>IF(OR('奢侈品 Prices'!M17="",'奢侈品 Prices'!M$3=""),"",'奢侈品 Prices'!M17/'奢侈品 Prices'!M$3)</f>
        <v/>
      </c>
      <c r="N69" s="50">
        <f>IF(OR('奢侈品 Prices'!N17="",'奢侈品 Prices'!N$3=""),"",'奢侈品 Prices'!N17/'奢侈品 Prices'!N$3)</f>
        <v/>
      </c>
      <c r="O69" s="50">
        <f>IF(OR('奢侈品 Prices'!O17="",'奢侈品 Prices'!O$3=""),"",'奢侈品 Prices'!O17/'奢侈品 Prices'!O$3)</f>
        <v/>
      </c>
      <c r="P69" s="50">
        <f>IF(OR('奢侈品 Prices'!P17="",'奢侈品 Prices'!P$3=""),"",'奢侈品 Prices'!P17/'奢侈品 Prices'!P$3)</f>
        <v/>
      </c>
    </row>
    <row r="70">
      <c r="A70" s="49" t="n">
        <v>46094</v>
      </c>
      <c r="B70" s="50">
        <f>IF(OR('奢侈品 Prices'!B18="",'奢侈品 Prices'!B$3=""),"",'奢侈品 Prices'!B18/'奢侈品 Prices'!B$3)</f>
        <v/>
      </c>
      <c r="C70" s="50">
        <f>IF(OR('奢侈品 Prices'!C18="",'奢侈品 Prices'!C$3=""),"",'奢侈品 Prices'!C18/'奢侈品 Prices'!C$3)</f>
        <v/>
      </c>
      <c r="D70" s="50">
        <f>IF(OR('奢侈品 Prices'!D18="",'奢侈品 Prices'!D$3=""),"",'奢侈品 Prices'!D18/'奢侈品 Prices'!D$3)</f>
        <v/>
      </c>
      <c r="E70" s="50">
        <f>IF(OR('奢侈品 Prices'!E18="",'奢侈品 Prices'!E$3=""),"",'奢侈品 Prices'!E18/'奢侈品 Prices'!E$3)</f>
        <v/>
      </c>
      <c r="F70" s="50">
        <f>IF(OR('奢侈品 Prices'!F18="",'奢侈品 Prices'!F$3=""),"",'奢侈品 Prices'!F18/'奢侈品 Prices'!F$3)</f>
        <v/>
      </c>
      <c r="G70" s="50">
        <f>IF(OR('奢侈品 Prices'!G18="",'奢侈品 Prices'!G$3=""),"",'奢侈品 Prices'!G18/'奢侈品 Prices'!G$3)</f>
        <v/>
      </c>
      <c r="H70" s="50">
        <f>IF(OR('奢侈品 Prices'!H18="",'奢侈品 Prices'!H$3=""),"",'奢侈品 Prices'!H18/'奢侈品 Prices'!H$3)</f>
        <v/>
      </c>
      <c r="I70" s="50">
        <f>IF(OR('奢侈品 Prices'!I18="",'奢侈品 Prices'!I$3=""),"",'奢侈品 Prices'!I18/'奢侈品 Prices'!I$3)</f>
        <v/>
      </c>
      <c r="J70" s="50">
        <f>IF(OR('奢侈品 Prices'!J18="",'奢侈品 Prices'!J$3=""),"",'奢侈品 Prices'!J18/'奢侈品 Prices'!J$3)</f>
        <v/>
      </c>
      <c r="K70" s="50">
        <f>IF(OR('奢侈品 Prices'!K18="",'奢侈品 Prices'!K$3=""),"",'奢侈品 Prices'!K18/'奢侈品 Prices'!K$3)</f>
        <v/>
      </c>
      <c r="L70" s="50">
        <f>IF(OR('奢侈品 Prices'!L18="",'奢侈品 Prices'!L$3=""),"",'奢侈品 Prices'!L18/'奢侈品 Prices'!L$3)</f>
        <v/>
      </c>
      <c r="M70" s="50">
        <f>IF(OR('奢侈品 Prices'!M18="",'奢侈品 Prices'!M$3=""),"",'奢侈品 Prices'!M18/'奢侈品 Prices'!M$3)</f>
        <v/>
      </c>
      <c r="N70" s="50">
        <f>IF(OR('奢侈品 Prices'!N18="",'奢侈品 Prices'!N$3=""),"",'奢侈品 Prices'!N18/'奢侈品 Prices'!N$3)</f>
        <v/>
      </c>
      <c r="O70" s="50">
        <f>IF(OR('奢侈品 Prices'!O18="",'奢侈品 Prices'!O$3=""),"",'奢侈品 Prices'!O18/'奢侈品 Prices'!O$3)</f>
        <v/>
      </c>
      <c r="P70" s="50">
        <f>IF(OR('奢侈品 Prices'!P18="",'奢侈品 Prices'!P$3=""),"",'奢侈品 Prices'!P18/'奢侈品 Prices'!P$3)</f>
        <v/>
      </c>
    </row>
    <row r="71">
      <c r="A71" s="49" t="n">
        <v>46101</v>
      </c>
      <c r="B71" s="50">
        <f>IF(OR('奢侈品 Prices'!B19="",'奢侈品 Prices'!B$3=""),"",'奢侈品 Prices'!B19/'奢侈品 Prices'!B$3)</f>
        <v/>
      </c>
      <c r="C71" s="50">
        <f>IF(OR('奢侈品 Prices'!C19="",'奢侈品 Prices'!C$3=""),"",'奢侈品 Prices'!C19/'奢侈品 Prices'!C$3)</f>
        <v/>
      </c>
      <c r="D71" s="50">
        <f>IF(OR('奢侈品 Prices'!D19="",'奢侈品 Prices'!D$3=""),"",'奢侈品 Prices'!D19/'奢侈品 Prices'!D$3)</f>
        <v/>
      </c>
      <c r="E71" s="50">
        <f>IF(OR('奢侈品 Prices'!E19="",'奢侈品 Prices'!E$3=""),"",'奢侈品 Prices'!E19/'奢侈品 Prices'!E$3)</f>
        <v/>
      </c>
      <c r="F71" s="50">
        <f>IF(OR('奢侈品 Prices'!F19="",'奢侈品 Prices'!F$3=""),"",'奢侈品 Prices'!F19/'奢侈品 Prices'!F$3)</f>
        <v/>
      </c>
      <c r="G71" s="50">
        <f>IF(OR('奢侈品 Prices'!G19="",'奢侈品 Prices'!G$3=""),"",'奢侈品 Prices'!G19/'奢侈品 Prices'!G$3)</f>
        <v/>
      </c>
      <c r="H71" s="50">
        <f>IF(OR('奢侈品 Prices'!H19="",'奢侈品 Prices'!H$3=""),"",'奢侈品 Prices'!H19/'奢侈品 Prices'!H$3)</f>
        <v/>
      </c>
      <c r="I71" s="50">
        <f>IF(OR('奢侈品 Prices'!I19="",'奢侈品 Prices'!I$3=""),"",'奢侈品 Prices'!I19/'奢侈品 Prices'!I$3)</f>
        <v/>
      </c>
      <c r="J71" s="50">
        <f>IF(OR('奢侈品 Prices'!J19="",'奢侈品 Prices'!J$3=""),"",'奢侈品 Prices'!J19/'奢侈品 Prices'!J$3)</f>
        <v/>
      </c>
      <c r="K71" s="50">
        <f>IF(OR('奢侈品 Prices'!K19="",'奢侈品 Prices'!K$3=""),"",'奢侈品 Prices'!K19/'奢侈品 Prices'!K$3)</f>
        <v/>
      </c>
      <c r="L71" s="50">
        <f>IF(OR('奢侈品 Prices'!L19="",'奢侈品 Prices'!L$3=""),"",'奢侈品 Prices'!L19/'奢侈品 Prices'!L$3)</f>
        <v/>
      </c>
      <c r="M71" s="50">
        <f>IF(OR('奢侈品 Prices'!M19="",'奢侈品 Prices'!M$3=""),"",'奢侈品 Prices'!M19/'奢侈品 Prices'!M$3)</f>
        <v/>
      </c>
      <c r="N71" s="50">
        <f>IF(OR('奢侈品 Prices'!N19="",'奢侈品 Prices'!N$3=""),"",'奢侈品 Prices'!N19/'奢侈品 Prices'!N$3)</f>
        <v/>
      </c>
      <c r="O71" s="50">
        <f>IF(OR('奢侈品 Prices'!O19="",'奢侈品 Prices'!O$3=""),"",'奢侈品 Prices'!O19/'奢侈品 Prices'!O$3)</f>
        <v/>
      </c>
      <c r="P71" s="50">
        <f>IF(OR('奢侈品 Prices'!P19="",'奢侈品 Prices'!P$3=""),"",'奢侈品 Prices'!P19/'奢侈品 Prices'!P$3)</f>
        <v/>
      </c>
    </row>
    <row r="72">
      <c r="A72" s="49" t="n">
        <v>46108</v>
      </c>
      <c r="B72" s="50">
        <f>IF(OR('奢侈品 Prices'!B20="",'奢侈品 Prices'!B$3=""),"",'奢侈品 Prices'!B20/'奢侈品 Prices'!B$3)</f>
        <v/>
      </c>
      <c r="C72" s="50">
        <f>IF(OR('奢侈品 Prices'!C20="",'奢侈品 Prices'!C$3=""),"",'奢侈品 Prices'!C20/'奢侈品 Prices'!C$3)</f>
        <v/>
      </c>
      <c r="D72" s="50">
        <f>IF(OR('奢侈品 Prices'!D20="",'奢侈品 Prices'!D$3=""),"",'奢侈品 Prices'!D20/'奢侈品 Prices'!D$3)</f>
        <v/>
      </c>
      <c r="E72" s="50">
        <f>IF(OR('奢侈品 Prices'!E20="",'奢侈品 Prices'!E$3=""),"",'奢侈品 Prices'!E20/'奢侈品 Prices'!E$3)</f>
        <v/>
      </c>
      <c r="F72" s="50">
        <f>IF(OR('奢侈品 Prices'!F20="",'奢侈品 Prices'!F$3=""),"",'奢侈品 Prices'!F20/'奢侈品 Prices'!F$3)</f>
        <v/>
      </c>
      <c r="G72" s="50">
        <f>IF(OR('奢侈品 Prices'!G20="",'奢侈品 Prices'!G$3=""),"",'奢侈品 Prices'!G20/'奢侈品 Prices'!G$3)</f>
        <v/>
      </c>
      <c r="H72" s="50">
        <f>IF(OR('奢侈品 Prices'!H20="",'奢侈品 Prices'!H$3=""),"",'奢侈品 Prices'!H20/'奢侈品 Prices'!H$3)</f>
        <v/>
      </c>
      <c r="I72" s="50">
        <f>IF(OR('奢侈品 Prices'!I20="",'奢侈品 Prices'!I$3=""),"",'奢侈品 Prices'!I20/'奢侈品 Prices'!I$3)</f>
        <v/>
      </c>
      <c r="J72" s="50">
        <f>IF(OR('奢侈品 Prices'!J20="",'奢侈品 Prices'!J$3=""),"",'奢侈品 Prices'!J20/'奢侈品 Prices'!J$3)</f>
        <v/>
      </c>
      <c r="K72" s="50">
        <f>IF(OR('奢侈品 Prices'!K20="",'奢侈品 Prices'!K$3=""),"",'奢侈品 Prices'!K20/'奢侈品 Prices'!K$3)</f>
        <v/>
      </c>
      <c r="L72" s="50">
        <f>IF(OR('奢侈品 Prices'!L20="",'奢侈品 Prices'!L$3=""),"",'奢侈品 Prices'!L20/'奢侈品 Prices'!L$3)</f>
        <v/>
      </c>
      <c r="M72" s="50">
        <f>IF(OR('奢侈品 Prices'!M20="",'奢侈品 Prices'!M$3=""),"",'奢侈品 Prices'!M20/'奢侈品 Prices'!M$3)</f>
        <v/>
      </c>
      <c r="N72" s="50">
        <f>IF(OR('奢侈品 Prices'!N20="",'奢侈品 Prices'!N$3=""),"",'奢侈品 Prices'!N20/'奢侈品 Prices'!N$3)</f>
        <v/>
      </c>
      <c r="O72" s="50">
        <f>IF(OR('奢侈品 Prices'!O20="",'奢侈品 Prices'!O$3=""),"",'奢侈品 Prices'!O20/'奢侈品 Prices'!O$3)</f>
        <v/>
      </c>
      <c r="P72" s="50">
        <f>IF(OR('奢侈品 Prices'!P20="",'奢侈品 Prices'!P$3=""),"",'奢侈品 Prices'!P20/'奢侈品 Prices'!P$3)</f>
        <v/>
      </c>
    </row>
    <row r="73">
      <c r="A73" s="49" t="n">
        <v>46115</v>
      </c>
      <c r="B73" s="50">
        <f>IF(OR('奢侈品 Prices'!B21="",'奢侈品 Prices'!B$3=""),"",'奢侈品 Prices'!B21/'奢侈品 Prices'!B$3)</f>
        <v/>
      </c>
      <c r="C73" s="50">
        <f>IF(OR('奢侈品 Prices'!C21="",'奢侈品 Prices'!C$3=""),"",'奢侈品 Prices'!C21/'奢侈品 Prices'!C$3)</f>
        <v/>
      </c>
      <c r="D73" s="50">
        <f>IF(OR('奢侈品 Prices'!D21="",'奢侈品 Prices'!D$3=""),"",'奢侈品 Prices'!D21/'奢侈品 Prices'!D$3)</f>
        <v/>
      </c>
      <c r="E73" s="50">
        <f>IF(OR('奢侈品 Prices'!E21="",'奢侈品 Prices'!E$3=""),"",'奢侈品 Prices'!E21/'奢侈品 Prices'!E$3)</f>
        <v/>
      </c>
      <c r="F73" s="50">
        <f>IF(OR('奢侈品 Prices'!F21="",'奢侈品 Prices'!F$3=""),"",'奢侈品 Prices'!F21/'奢侈品 Prices'!F$3)</f>
        <v/>
      </c>
      <c r="G73" s="50">
        <f>IF(OR('奢侈品 Prices'!G21="",'奢侈品 Prices'!G$3=""),"",'奢侈品 Prices'!G21/'奢侈品 Prices'!G$3)</f>
        <v/>
      </c>
      <c r="H73" s="50">
        <f>IF(OR('奢侈品 Prices'!H21="",'奢侈品 Prices'!H$3=""),"",'奢侈品 Prices'!H21/'奢侈品 Prices'!H$3)</f>
        <v/>
      </c>
      <c r="I73" s="50">
        <f>IF(OR('奢侈品 Prices'!I21="",'奢侈品 Prices'!I$3=""),"",'奢侈品 Prices'!I21/'奢侈品 Prices'!I$3)</f>
        <v/>
      </c>
      <c r="J73" s="50">
        <f>IF(OR('奢侈品 Prices'!J21="",'奢侈品 Prices'!J$3=""),"",'奢侈品 Prices'!J21/'奢侈品 Prices'!J$3)</f>
        <v/>
      </c>
      <c r="K73" s="50">
        <f>IF(OR('奢侈品 Prices'!K21="",'奢侈品 Prices'!K$3=""),"",'奢侈品 Prices'!K21/'奢侈品 Prices'!K$3)</f>
        <v/>
      </c>
      <c r="L73" s="50">
        <f>IF(OR('奢侈品 Prices'!L21="",'奢侈品 Prices'!L$3=""),"",'奢侈品 Prices'!L21/'奢侈品 Prices'!L$3)</f>
        <v/>
      </c>
      <c r="M73" s="50">
        <f>IF(OR('奢侈品 Prices'!M21="",'奢侈品 Prices'!M$3=""),"",'奢侈品 Prices'!M21/'奢侈品 Prices'!M$3)</f>
        <v/>
      </c>
      <c r="N73" s="50">
        <f>IF(OR('奢侈品 Prices'!N21="",'奢侈品 Prices'!N$3=""),"",'奢侈品 Prices'!N21/'奢侈品 Prices'!N$3)</f>
        <v/>
      </c>
      <c r="O73" s="50">
        <f>IF(OR('奢侈品 Prices'!O21="",'奢侈品 Prices'!O$3=""),"",'奢侈品 Prices'!O21/'奢侈品 Prices'!O$3)</f>
        <v/>
      </c>
      <c r="P73" s="50">
        <f>IF(OR('奢侈品 Prices'!P21="",'奢侈品 Prices'!P$3=""),"",'奢侈品 Prices'!P21/'奢侈品 Prices'!P$3)</f>
        <v/>
      </c>
    </row>
    <row r="74">
      <c r="A74" s="49" t="n">
        <v>46122</v>
      </c>
      <c r="B74" s="50">
        <f>IF(OR('奢侈品 Prices'!B22="",'奢侈品 Prices'!B$3=""),"",'奢侈品 Prices'!B22/'奢侈品 Prices'!B$3)</f>
        <v/>
      </c>
      <c r="C74" s="50">
        <f>IF(OR('奢侈品 Prices'!C22="",'奢侈品 Prices'!C$3=""),"",'奢侈品 Prices'!C22/'奢侈品 Prices'!C$3)</f>
        <v/>
      </c>
      <c r="D74" s="50">
        <f>IF(OR('奢侈品 Prices'!D22="",'奢侈品 Prices'!D$3=""),"",'奢侈品 Prices'!D22/'奢侈品 Prices'!D$3)</f>
        <v/>
      </c>
      <c r="E74" s="50">
        <f>IF(OR('奢侈品 Prices'!E22="",'奢侈品 Prices'!E$3=""),"",'奢侈品 Prices'!E22/'奢侈品 Prices'!E$3)</f>
        <v/>
      </c>
      <c r="F74" s="50">
        <f>IF(OR('奢侈品 Prices'!F22="",'奢侈品 Prices'!F$3=""),"",'奢侈品 Prices'!F22/'奢侈品 Prices'!F$3)</f>
        <v/>
      </c>
      <c r="G74" s="50">
        <f>IF(OR('奢侈品 Prices'!G22="",'奢侈品 Prices'!G$3=""),"",'奢侈品 Prices'!G22/'奢侈品 Prices'!G$3)</f>
        <v/>
      </c>
      <c r="H74" s="50">
        <f>IF(OR('奢侈品 Prices'!H22="",'奢侈品 Prices'!H$3=""),"",'奢侈品 Prices'!H22/'奢侈品 Prices'!H$3)</f>
        <v/>
      </c>
      <c r="I74" s="50">
        <f>IF(OR('奢侈品 Prices'!I22="",'奢侈品 Prices'!I$3=""),"",'奢侈品 Prices'!I22/'奢侈品 Prices'!I$3)</f>
        <v/>
      </c>
      <c r="J74" s="50">
        <f>IF(OR('奢侈品 Prices'!J22="",'奢侈品 Prices'!J$3=""),"",'奢侈品 Prices'!J22/'奢侈品 Prices'!J$3)</f>
        <v/>
      </c>
      <c r="K74" s="50">
        <f>IF(OR('奢侈品 Prices'!K22="",'奢侈品 Prices'!K$3=""),"",'奢侈品 Prices'!K22/'奢侈品 Prices'!K$3)</f>
        <v/>
      </c>
      <c r="L74" s="50">
        <f>IF(OR('奢侈品 Prices'!L22="",'奢侈品 Prices'!L$3=""),"",'奢侈品 Prices'!L22/'奢侈品 Prices'!L$3)</f>
        <v/>
      </c>
      <c r="M74" s="50">
        <f>IF(OR('奢侈品 Prices'!M22="",'奢侈品 Prices'!M$3=""),"",'奢侈品 Prices'!M22/'奢侈品 Prices'!M$3)</f>
        <v/>
      </c>
      <c r="N74" s="50">
        <f>IF(OR('奢侈品 Prices'!N22="",'奢侈品 Prices'!N$3=""),"",'奢侈品 Prices'!N22/'奢侈品 Prices'!N$3)</f>
        <v/>
      </c>
      <c r="O74" s="50">
        <f>IF(OR('奢侈品 Prices'!O22="",'奢侈品 Prices'!O$3=""),"",'奢侈品 Prices'!O22/'奢侈品 Prices'!O$3)</f>
        <v/>
      </c>
      <c r="P74" s="50">
        <f>IF(OR('奢侈品 Prices'!P22="",'奢侈品 Prices'!P$3=""),"",'奢侈品 Prices'!P22/'奢侈品 Prices'!P$3)</f>
        <v/>
      </c>
    </row>
    <row r="75">
      <c r="A75" s="49" t="n">
        <v>46129</v>
      </c>
      <c r="B75" s="50">
        <f>IF(OR('奢侈品 Prices'!B23="",'奢侈品 Prices'!B$3=""),"",'奢侈品 Prices'!B23/'奢侈品 Prices'!B$3)</f>
        <v/>
      </c>
      <c r="C75" s="50">
        <f>IF(OR('奢侈品 Prices'!C23="",'奢侈品 Prices'!C$3=""),"",'奢侈品 Prices'!C23/'奢侈品 Prices'!C$3)</f>
        <v/>
      </c>
      <c r="D75" s="50">
        <f>IF(OR('奢侈品 Prices'!D23="",'奢侈品 Prices'!D$3=""),"",'奢侈品 Prices'!D23/'奢侈品 Prices'!D$3)</f>
        <v/>
      </c>
      <c r="E75" s="50">
        <f>IF(OR('奢侈品 Prices'!E23="",'奢侈品 Prices'!E$3=""),"",'奢侈品 Prices'!E23/'奢侈品 Prices'!E$3)</f>
        <v/>
      </c>
      <c r="F75" s="50">
        <f>IF(OR('奢侈品 Prices'!F23="",'奢侈品 Prices'!F$3=""),"",'奢侈品 Prices'!F23/'奢侈品 Prices'!F$3)</f>
        <v/>
      </c>
      <c r="G75" s="50">
        <f>IF(OR('奢侈品 Prices'!G23="",'奢侈品 Prices'!G$3=""),"",'奢侈品 Prices'!G23/'奢侈品 Prices'!G$3)</f>
        <v/>
      </c>
      <c r="H75" s="50">
        <f>IF(OR('奢侈品 Prices'!H23="",'奢侈品 Prices'!H$3=""),"",'奢侈品 Prices'!H23/'奢侈品 Prices'!H$3)</f>
        <v/>
      </c>
      <c r="I75" s="50">
        <f>IF(OR('奢侈品 Prices'!I23="",'奢侈品 Prices'!I$3=""),"",'奢侈品 Prices'!I23/'奢侈品 Prices'!I$3)</f>
        <v/>
      </c>
      <c r="J75" s="50">
        <f>IF(OR('奢侈品 Prices'!J23="",'奢侈品 Prices'!J$3=""),"",'奢侈品 Prices'!J23/'奢侈品 Prices'!J$3)</f>
        <v/>
      </c>
      <c r="K75" s="50">
        <f>IF(OR('奢侈品 Prices'!K23="",'奢侈品 Prices'!K$3=""),"",'奢侈品 Prices'!K23/'奢侈品 Prices'!K$3)</f>
        <v/>
      </c>
      <c r="L75" s="50">
        <f>IF(OR('奢侈品 Prices'!L23="",'奢侈品 Prices'!L$3=""),"",'奢侈品 Prices'!L23/'奢侈品 Prices'!L$3)</f>
        <v/>
      </c>
      <c r="M75" s="50">
        <f>IF(OR('奢侈品 Prices'!M23="",'奢侈品 Prices'!M$3=""),"",'奢侈品 Prices'!M23/'奢侈品 Prices'!M$3)</f>
        <v/>
      </c>
      <c r="N75" s="50">
        <f>IF(OR('奢侈品 Prices'!N23="",'奢侈品 Prices'!N$3=""),"",'奢侈品 Prices'!N23/'奢侈品 Prices'!N$3)</f>
        <v/>
      </c>
      <c r="O75" s="50">
        <f>IF(OR('奢侈品 Prices'!O23="",'奢侈品 Prices'!O$3=""),"",'奢侈品 Prices'!O23/'奢侈品 Prices'!O$3)</f>
        <v/>
      </c>
      <c r="P75" s="50">
        <f>IF(OR('奢侈品 Prices'!P23="",'奢侈品 Prices'!P$3=""),"",'奢侈品 Prices'!P23/'奢侈品 Prices'!P$3)</f>
        <v/>
      </c>
    </row>
    <row r="76">
      <c r="A76" s="49" t="n">
        <v>46136</v>
      </c>
      <c r="B76" s="50">
        <f>IF(OR('奢侈品 Prices'!B24="",'奢侈品 Prices'!B$3=""),"",'奢侈品 Prices'!B24/'奢侈品 Prices'!B$3)</f>
        <v/>
      </c>
      <c r="C76" s="50">
        <f>IF(OR('奢侈品 Prices'!C24="",'奢侈品 Prices'!C$3=""),"",'奢侈品 Prices'!C24/'奢侈品 Prices'!C$3)</f>
        <v/>
      </c>
      <c r="D76" s="50">
        <f>IF(OR('奢侈品 Prices'!D24="",'奢侈品 Prices'!D$3=""),"",'奢侈品 Prices'!D24/'奢侈品 Prices'!D$3)</f>
        <v/>
      </c>
      <c r="E76" s="50">
        <f>IF(OR('奢侈品 Prices'!E24="",'奢侈品 Prices'!E$3=""),"",'奢侈品 Prices'!E24/'奢侈品 Prices'!E$3)</f>
        <v/>
      </c>
      <c r="F76" s="50">
        <f>IF(OR('奢侈品 Prices'!F24="",'奢侈品 Prices'!F$3=""),"",'奢侈品 Prices'!F24/'奢侈品 Prices'!F$3)</f>
        <v/>
      </c>
      <c r="G76" s="50">
        <f>IF(OR('奢侈品 Prices'!G24="",'奢侈品 Prices'!G$3=""),"",'奢侈品 Prices'!G24/'奢侈品 Prices'!G$3)</f>
        <v/>
      </c>
      <c r="H76" s="50">
        <f>IF(OR('奢侈品 Prices'!H24="",'奢侈品 Prices'!H$3=""),"",'奢侈品 Prices'!H24/'奢侈品 Prices'!H$3)</f>
        <v/>
      </c>
      <c r="I76" s="50">
        <f>IF(OR('奢侈品 Prices'!I24="",'奢侈品 Prices'!I$3=""),"",'奢侈品 Prices'!I24/'奢侈品 Prices'!I$3)</f>
        <v/>
      </c>
      <c r="J76" s="50">
        <f>IF(OR('奢侈品 Prices'!J24="",'奢侈品 Prices'!J$3=""),"",'奢侈品 Prices'!J24/'奢侈品 Prices'!J$3)</f>
        <v/>
      </c>
      <c r="K76" s="50">
        <f>IF(OR('奢侈品 Prices'!K24="",'奢侈品 Prices'!K$3=""),"",'奢侈品 Prices'!K24/'奢侈品 Prices'!K$3)</f>
        <v/>
      </c>
      <c r="L76" s="50">
        <f>IF(OR('奢侈品 Prices'!L24="",'奢侈品 Prices'!L$3=""),"",'奢侈品 Prices'!L24/'奢侈品 Prices'!L$3)</f>
        <v/>
      </c>
      <c r="M76" s="50">
        <f>IF(OR('奢侈品 Prices'!M24="",'奢侈品 Prices'!M$3=""),"",'奢侈品 Prices'!M24/'奢侈品 Prices'!M$3)</f>
        <v/>
      </c>
      <c r="N76" s="50">
        <f>IF(OR('奢侈品 Prices'!N24="",'奢侈品 Prices'!N$3=""),"",'奢侈品 Prices'!N24/'奢侈品 Prices'!N$3)</f>
        <v/>
      </c>
      <c r="O76" s="50">
        <f>IF(OR('奢侈品 Prices'!O24="",'奢侈品 Prices'!O$3=""),"",'奢侈品 Prices'!O24/'奢侈品 Prices'!O$3)</f>
        <v/>
      </c>
      <c r="P76" s="50">
        <f>IF(OR('奢侈品 Prices'!P24="",'奢侈品 Prices'!P$3=""),"",'奢侈品 Prices'!P24/'奢侈品 Prices'!P$3)</f>
        <v/>
      </c>
    </row>
    <row r="77">
      <c r="A77" s="49" t="n">
        <v>46143</v>
      </c>
      <c r="B77" s="50">
        <f>IF(OR('奢侈品 Prices'!B25="",'奢侈品 Prices'!B$3=""),"",'奢侈品 Prices'!B25/'奢侈品 Prices'!B$3)</f>
        <v/>
      </c>
      <c r="C77" s="50">
        <f>IF(OR('奢侈品 Prices'!C25="",'奢侈品 Prices'!C$3=""),"",'奢侈品 Prices'!C25/'奢侈品 Prices'!C$3)</f>
        <v/>
      </c>
      <c r="D77" s="50">
        <f>IF(OR('奢侈品 Prices'!D25="",'奢侈品 Prices'!D$3=""),"",'奢侈品 Prices'!D25/'奢侈品 Prices'!D$3)</f>
        <v/>
      </c>
      <c r="E77" s="50">
        <f>IF(OR('奢侈品 Prices'!E25="",'奢侈品 Prices'!E$3=""),"",'奢侈品 Prices'!E25/'奢侈品 Prices'!E$3)</f>
        <v/>
      </c>
      <c r="F77" s="50">
        <f>IF(OR('奢侈品 Prices'!F25="",'奢侈品 Prices'!F$3=""),"",'奢侈品 Prices'!F25/'奢侈品 Prices'!F$3)</f>
        <v/>
      </c>
      <c r="G77" s="50">
        <f>IF(OR('奢侈品 Prices'!G25="",'奢侈品 Prices'!G$3=""),"",'奢侈品 Prices'!G25/'奢侈品 Prices'!G$3)</f>
        <v/>
      </c>
      <c r="H77" s="50">
        <f>IF(OR('奢侈品 Prices'!H25="",'奢侈品 Prices'!H$3=""),"",'奢侈品 Prices'!H25/'奢侈品 Prices'!H$3)</f>
        <v/>
      </c>
      <c r="I77" s="50">
        <f>IF(OR('奢侈品 Prices'!I25="",'奢侈品 Prices'!I$3=""),"",'奢侈品 Prices'!I25/'奢侈品 Prices'!I$3)</f>
        <v/>
      </c>
      <c r="J77" s="50">
        <f>IF(OR('奢侈品 Prices'!J25="",'奢侈品 Prices'!J$3=""),"",'奢侈品 Prices'!J25/'奢侈品 Prices'!J$3)</f>
        <v/>
      </c>
      <c r="K77" s="50">
        <f>IF(OR('奢侈品 Prices'!K25="",'奢侈品 Prices'!K$3=""),"",'奢侈品 Prices'!K25/'奢侈品 Prices'!K$3)</f>
        <v/>
      </c>
      <c r="L77" s="50">
        <f>IF(OR('奢侈品 Prices'!L25="",'奢侈品 Prices'!L$3=""),"",'奢侈品 Prices'!L25/'奢侈品 Prices'!L$3)</f>
        <v/>
      </c>
      <c r="M77" s="50">
        <f>IF(OR('奢侈品 Prices'!M25="",'奢侈品 Prices'!M$3=""),"",'奢侈品 Prices'!M25/'奢侈品 Prices'!M$3)</f>
        <v/>
      </c>
      <c r="N77" s="50">
        <f>IF(OR('奢侈品 Prices'!N25="",'奢侈品 Prices'!N$3=""),"",'奢侈品 Prices'!N25/'奢侈品 Prices'!N$3)</f>
        <v/>
      </c>
      <c r="O77" s="50">
        <f>IF(OR('奢侈品 Prices'!O25="",'奢侈品 Prices'!O$3=""),"",'奢侈品 Prices'!O25/'奢侈品 Prices'!O$3)</f>
        <v/>
      </c>
      <c r="P77" s="50">
        <f>IF(OR('奢侈品 Prices'!P25="",'奢侈品 Prices'!P$3=""),"",'奢侈品 Prices'!P25/'奢侈品 Prices'!P$3)</f>
        <v/>
      </c>
    </row>
    <row r="78">
      <c r="A78" s="49" t="n">
        <v>46150</v>
      </c>
      <c r="B78" s="50">
        <f>IF(OR('奢侈品 Prices'!B26="",'奢侈品 Prices'!B$3=""),"",'奢侈品 Prices'!B26/'奢侈品 Prices'!B$3)</f>
        <v/>
      </c>
      <c r="C78" s="50">
        <f>IF(OR('奢侈品 Prices'!C26="",'奢侈品 Prices'!C$3=""),"",'奢侈品 Prices'!C26/'奢侈品 Prices'!C$3)</f>
        <v/>
      </c>
      <c r="D78" s="50">
        <f>IF(OR('奢侈品 Prices'!D26="",'奢侈品 Prices'!D$3=""),"",'奢侈品 Prices'!D26/'奢侈品 Prices'!D$3)</f>
        <v/>
      </c>
      <c r="E78" s="50">
        <f>IF(OR('奢侈品 Prices'!E26="",'奢侈品 Prices'!E$3=""),"",'奢侈品 Prices'!E26/'奢侈品 Prices'!E$3)</f>
        <v/>
      </c>
      <c r="F78" s="50">
        <f>IF(OR('奢侈品 Prices'!F26="",'奢侈品 Prices'!F$3=""),"",'奢侈品 Prices'!F26/'奢侈品 Prices'!F$3)</f>
        <v/>
      </c>
      <c r="G78" s="50">
        <f>IF(OR('奢侈品 Prices'!G26="",'奢侈品 Prices'!G$3=""),"",'奢侈品 Prices'!G26/'奢侈品 Prices'!G$3)</f>
        <v/>
      </c>
      <c r="H78" s="50">
        <f>IF(OR('奢侈品 Prices'!H26="",'奢侈品 Prices'!H$3=""),"",'奢侈品 Prices'!H26/'奢侈品 Prices'!H$3)</f>
        <v/>
      </c>
      <c r="I78" s="50">
        <f>IF(OR('奢侈品 Prices'!I26="",'奢侈品 Prices'!I$3=""),"",'奢侈品 Prices'!I26/'奢侈品 Prices'!I$3)</f>
        <v/>
      </c>
      <c r="J78" s="50">
        <f>IF(OR('奢侈品 Prices'!J26="",'奢侈品 Prices'!J$3=""),"",'奢侈品 Prices'!J26/'奢侈品 Prices'!J$3)</f>
        <v/>
      </c>
      <c r="K78" s="50">
        <f>IF(OR('奢侈品 Prices'!K26="",'奢侈品 Prices'!K$3=""),"",'奢侈品 Prices'!K26/'奢侈品 Prices'!K$3)</f>
        <v/>
      </c>
      <c r="L78" s="50">
        <f>IF(OR('奢侈品 Prices'!L26="",'奢侈品 Prices'!L$3=""),"",'奢侈品 Prices'!L26/'奢侈品 Prices'!L$3)</f>
        <v/>
      </c>
      <c r="M78" s="50">
        <f>IF(OR('奢侈品 Prices'!M26="",'奢侈品 Prices'!M$3=""),"",'奢侈品 Prices'!M26/'奢侈品 Prices'!M$3)</f>
        <v/>
      </c>
      <c r="N78" s="50">
        <f>IF(OR('奢侈品 Prices'!N26="",'奢侈品 Prices'!N$3=""),"",'奢侈品 Prices'!N26/'奢侈品 Prices'!N$3)</f>
        <v/>
      </c>
      <c r="O78" s="50">
        <f>IF(OR('奢侈品 Prices'!O26="",'奢侈品 Prices'!O$3=""),"",'奢侈品 Prices'!O26/'奢侈品 Prices'!O$3)</f>
        <v/>
      </c>
      <c r="P78" s="50">
        <f>IF(OR('奢侈品 Prices'!P26="",'奢侈品 Prices'!P$3=""),"",'奢侈品 Prices'!P26/'奢侈品 Prices'!P$3)</f>
        <v/>
      </c>
    </row>
    <row r="79">
      <c r="A79" s="49" t="n">
        <v>46157</v>
      </c>
      <c r="B79" s="50">
        <f>IF(OR('奢侈品 Prices'!B27="",'奢侈品 Prices'!B$3=""),"",'奢侈品 Prices'!B27/'奢侈品 Prices'!B$3)</f>
        <v/>
      </c>
      <c r="C79" s="50">
        <f>IF(OR('奢侈品 Prices'!C27="",'奢侈品 Prices'!C$3=""),"",'奢侈品 Prices'!C27/'奢侈品 Prices'!C$3)</f>
        <v/>
      </c>
      <c r="D79" s="50">
        <f>IF(OR('奢侈品 Prices'!D27="",'奢侈品 Prices'!D$3=""),"",'奢侈品 Prices'!D27/'奢侈品 Prices'!D$3)</f>
        <v/>
      </c>
      <c r="E79" s="50">
        <f>IF(OR('奢侈品 Prices'!E27="",'奢侈品 Prices'!E$3=""),"",'奢侈品 Prices'!E27/'奢侈品 Prices'!E$3)</f>
        <v/>
      </c>
      <c r="F79" s="50">
        <f>IF(OR('奢侈品 Prices'!F27="",'奢侈品 Prices'!F$3=""),"",'奢侈品 Prices'!F27/'奢侈品 Prices'!F$3)</f>
        <v/>
      </c>
      <c r="G79" s="50">
        <f>IF(OR('奢侈品 Prices'!G27="",'奢侈品 Prices'!G$3=""),"",'奢侈品 Prices'!G27/'奢侈品 Prices'!G$3)</f>
        <v/>
      </c>
      <c r="H79" s="50">
        <f>IF(OR('奢侈品 Prices'!H27="",'奢侈品 Prices'!H$3=""),"",'奢侈品 Prices'!H27/'奢侈品 Prices'!H$3)</f>
        <v/>
      </c>
      <c r="I79" s="50">
        <f>IF(OR('奢侈品 Prices'!I27="",'奢侈品 Prices'!I$3=""),"",'奢侈品 Prices'!I27/'奢侈品 Prices'!I$3)</f>
        <v/>
      </c>
      <c r="J79" s="50">
        <f>IF(OR('奢侈品 Prices'!J27="",'奢侈品 Prices'!J$3=""),"",'奢侈品 Prices'!J27/'奢侈品 Prices'!J$3)</f>
        <v/>
      </c>
      <c r="K79" s="50">
        <f>IF(OR('奢侈品 Prices'!K27="",'奢侈品 Prices'!K$3=""),"",'奢侈品 Prices'!K27/'奢侈品 Prices'!K$3)</f>
        <v/>
      </c>
      <c r="L79" s="50">
        <f>IF(OR('奢侈品 Prices'!L27="",'奢侈品 Prices'!L$3=""),"",'奢侈品 Prices'!L27/'奢侈品 Prices'!L$3)</f>
        <v/>
      </c>
      <c r="M79" s="50">
        <f>IF(OR('奢侈品 Prices'!M27="",'奢侈品 Prices'!M$3=""),"",'奢侈品 Prices'!M27/'奢侈品 Prices'!M$3)</f>
        <v/>
      </c>
      <c r="N79" s="50">
        <f>IF(OR('奢侈品 Prices'!N27="",'奢侈品 Prices'!N$3=""),"",'奢侈品 Prices'!N27/'奢侈品 Prices'!N$3)</f>
        <v/>
      </c>
      <c r="O79" s="50">
        <f>IF(OR('奢侈品 Prices'!O27="",'奢侈品 Prices'!O$3=""),"",'奢侈品 Prices'!O27/'奢侈品 Prices'!O$3)</f>
        <v/>
      </c>
      <c r="P79" s="50">
        <f>IF(OR('奢侈品 Prices'!P27="",'奢侈品 Prices'!P$3=""),"",'奢侈品 Prices'!P27/'奢侈品 Prices'!P$3)</f>
        <v/>
      </c>
    </row>
    <row r="80">
      <c r="A80" s="49" t="n">
        <v>46164</v>
      </c>
      <c r="B80" s="50">
        <f>IF(OR('奢侈品 Prices'!B28="",'奢侈品 Prices'!B$3=""),"",'奢侈品 Prices'!B28/'奢侈品 Prices'!B$3)</f>
        <v/>
      </c>
      <c r="C80" s="50">
        <f>IF(OR('奢侈品 Prices'!C28="",'奢侈品 Prices'!C$3=""),"",'奢侈品 Prices'!C28/'奢侈品 Prices'!C$3)</f>
        <v/>
      </c>
      <c r="D80" s="50">
        <f>IF(OR('奢侈品 Prices'!D28="",'奢侈品 Prices'!D$3=""),"",'奢侈品 Prices'!D28/'奢侈品 Prices'!D$3)</f>
        <v/>
      </c>
      <c r="E80" s="50">
        <f>IF(OR('奢侈品 Prices'!E28="",'奢侈品 Prices'!E$3=""),"",'奢侈品 Prices'!E28/'奢侈品 Prices'!E$3)</f>
        <v/>
      </c>
      <c r="F80" s="50">
        <f>IF(OR('奢侈品 Prices'!F28="",'奢侈品 Prices'!F$3=""),"",'奢侈品 Prices'!F28/'奢侈品 Prices'!F$3)</f>
        <v/>
      </c>
      <c r="G80" s="50">
        <f>IF(OR('奢侈品 Prices'!G28="",'奢侈品 Prices'!G$3=""),"",'奢侈品 Prices'!G28/'奢侈品 Prices'!G$3)</f>
        <v/>
      </c>
      <c r="H80" s="50">
        <f>IF(OR('奢侈品 Prices'!H28="",'奢侈品 Prices'!H$3=""),"",'奢侈品 Prices'!H28/'奢侈品 Prices'!H$3)</f>
        <v/>
      </c>
      <c r="I80" s="50">
        <f>IF(OR('奢侈品 Prices'!I28="",'奢侈品 Prices'!I$3=""),"",'奢侈品 Prices'!I28/'奢侈品 Prices'!I$3)</f>
        <v/>
      </c>
      <c r="J80" s="50">
        <f>IF(OR('奢侈品 Prices'!J28="",'奢侈品 Prices'!J$3=""),"",'奢侈品 Prices'!J28/'奢侈品 Prices'!J$3)</f>
        <v/>
      </c>
      <c r="K80" s="50">
        <f>IF(OR('奢侈品 Prices'!K28="",'奢侈品 Prices'!K$3=""),"",'奢侈品 Prices'!K28/'奢侈品 Prices'!K$3)</f>
        <v/>
      </c>
      <c r="L80" s="50">
        <f>IF(OR('奢侈品 Prices'!L28="",'奢侈品 Prices'!L$3=""),"",'奢侈品 Prices'!L28/'奢侈品 Prices'!L$3)</f>
        <v/>
      </c>
      <c r="M80" s="50">
        <f>IF(OR('奢侈品 Prices'!M28="",'奢侈品 Prices'!M$3=""),"",'奢侈品 Prices'!M28/'奢侈品 Prices'!M$3)</f>
        <v/>
      </c>
      <c r="N80" s="50">
        <f>IF(OR('奢侈品 Prices'!N28="",'奢侈品 Prices'!N$3=""),"",'奢侈品 Prices'!N28/'奢侈品 Prices'!N$3)</f>
        <v/>
      </c>
      <c r="O80" s="50">
        <f>IF(OR('奢侈品 Prices'!O28="",'奢侈品 Prices'!O$3=""),"",'奢侈品 Prices'!O28/'奢侈品 Prices'!O$3)</f>
        <v/>
      </c>
      <c r="P80" s="50">
        <f>IF(OR('奢侈品 Prices'!P28="",'奢侈品 Prices'!P$3=""),"",'奢侈品 Prices'!P28/'奢侈品 Prices'!P$3)</f>
        <v/>
      </c>
    </row>
    <row r="81">
      <c r="A81" s="49" t="n">
        <v>46171</v>
      </c>
      <c r="B81" s="50">
        <f>IF(OR('奢侈品 Prices'!B29="",'奢侈品 Prices'!B$3=""),"",'奢侈品 Prices'!B29/'奢侈品 Prices'!B$3)</f>
        <v/>
      </c>
      <c r="C81" s="50">
        <f>IF(OR('奢侈品 Prices'!C29="",'奢侈品 Prices'!C$3=""),"",'奢侈品 Prices'!C29/'奢侈品 Prices'!C$3)</f>
        <v/>
      </c>
      <c r="D81" s="50">
        <f>IF(OR('奢侈品 Prices'!D29="",'奢侈品 Prices'!D$3=""),"",'奢侈品 Prices'!D29/'奢侈品 Prices'!D$3)</f>
        <v/>
      </c>
      <c r="E81" s="50">
        <f>IF(OR('奢侈品 Prices'!E29="",'奢侈品 Prices'!E$3=""),"",'奢侈品 Prices'!E29/'奢侈品 Prices'!E$3)</f>
        <v/>
      </c>
      <c r="F81" s="50">
        <f>IF(OR('奢侈品 Prices'!F29="",'奢侈品 Prices'!F$3=""),"",'奢侈品 Prices'!F29/'奢侈品 Prices'!F$3)</f>
        <v/>
      </c>
      <c r="G81" s="50">
        <f>IF(OR('奢侈品 Prices'!G29="",'奢侈品 Prices'!G$3=""),"",'奢侈品 Prices'!G29/'奢侈品 Prices'!G$3)</f>
        <v/>
      </c>
      <c r="H81" s="50">
        <f>IF(OR('奢侈品 Prices'!H29="",'奢侈品 Prices'!H$3=""),"",'奢侈品 Prices'!H29/'奢侈品 Prices'!H$3)</f>
        <v/>
      </c>
      <c r="I81" s="50">
        <f>IF(OR('奢侈品 Prices'!I29="",'奢侈品 Prices'!I$3=""),"",'奢侈品 Prices'!I29/'奢侈品 Prices'!I$3)</f>
        <v/>
      </c>
      <c r="J81" s="50">
        <f>IF(OR('奢侈品 Prices'!J29="",'奢侈品 Prices'!J$3=""),"",'奢侈品 Prices'!J29/'奢侈品 Prices'!J$3)</f>
        <v/>
      </c>
      <c r="K81" s="50">
        <f>IF(OR('奢侈品 Prices'!K29="",'奢侈品 Prices'!K$3=""),"",'奢侈品 Prices'!K29/'奢侈品 Prices'!K$3)</f>
        <v/>
      </c>
      <c r="L81" s="50">
        <f>IF(OR('奢侈品 Prices'!L29="",'奢侈品 Prices'!L$3=""),"",'奢侈品 Prices'!L29/'奢侈品 Prices'!L$3)</f>
        <v/>
      </c>
      <c r="M81" s="50">
        <f>IF(OR('奢侈品 Prices'!M29="",'奢侈品 Prices'!M$3=""),"",'奢侈品 Prices'!M29/'奢侈品 Prices'!M$3)</f>
        <v/>
      </c>
      <c r="N81" s="50">
        <f>IF(OR('奢侈品 Prices'!N29="",'奢侈品 Prices'!N$3=""),"",'奢侈品 Prices'!N29/'奢侈品 Prices'!N$3)</f>
        <v/>
      </c>
      <c r="O81" s="50">
        <f>IF(OR('奢侈品 Prices'!O29="",'奢侈品 Prices'!O$3=""),"",'奢侈品 Prices'!O29/'奢侈品 Prices'!O$3)</f>
        <v/>
      </c>
      <c r="P81" s="50">
        <f>IF(OR('奢侈品 Prices'!P29="",'奢侈品 Prices'!P$3=""),"",'奢侈品 Prices'!P29/'奢侈品 Prices'!P$3)</f>
        <v/>
      </c>
    </row>
    <row r="82">
      <c r="A82" s="49" t="n">
        <v>46178</v>
      </c>
      <c r="B82" s="50">
        <f>IF(OR('奢侈品 Prices'!B30="",'奢侈品 Prices'!B$3=""),"",'奢侈品 Prices'!B30/'奢侈品 Prices'!B$3)</f>
        <v/>
      </c>
      <c r="C82" s="50">
        <f>IF(OR('奢侈品 Prices'!C30="",'奢侈品 Prices'!C$3=""),"",'奢侈品 Prices'!C30/'奢侈品 Prices'!C$3)</f>
        <v/>
      </c>
      <c r="D82" s="50">
        <f>IF(OR('奢侈品 Prices'!D30="",'奢侈品 Prices'!D$3=""),"",'奢侈品 Prices'!D30/'奢侈品 Prices'!D$3)</f>
        <v/>
      </c>
      <c r="E82" s="50">
        <f>IF(OR('奢侈品 Prices'!E30="",'奢侈品 Prices'!E$3=""),"",'奢侈品 Prices'!E30/'奢侈品 Prices'!E$3)</f>
        <v/>
      </c>
      <c r="F82" s="50">
        <f>IF(OR('奢侈品 Prices'!F30="",'奢侈品 Prices'!F$3=""),"",'奢侈品 Prices'!F30/'奢侈品 Prices'!F$3)</f>
        <v/>
      </c>
      <c r="G82" s="50">
        <f>IF(OR('奢侈品 Prices'!G30="",'奢侈品 Prices'!G$3=""),"",'奢侈品 Prices'!G30/'奢侈品 Prices'!G$3)</f>
        <v/>
      </c>
      <c r="H82" s="50">
        <f>IF(OR('奢侈品 Prices'!H30="",'奢侈品 Prices'!H$3=""),"",'奢侈品 Prices'!H30/'奢侈品 Prices'!H$3)</f>
        <v/>
      </c>
      <c r="I82" s="50">
        <f>IF(OR('奢侈品 Prices'!I30="",'奢侈品 Prices'!I$3=""),"",'奢侈品 Prices'!I30/'奢侈品 Prices'!I$3)</f>
        <v/>
      </c>
      <c r="J82" s="50">
        <f>IF(OR('奢侈品 Prices'!J30="",'奢侈品 Prices'!J$3=""),"",'奢侈品 Prices'!J30/'奢侈品 Prices'!J$3)</f>
        <v/>
      </c>
      <c r="K82" s="50">
        <f>IF(OR('奢侈品 Prices'!K30="",'奢侈品 Prices'!K$3=""),"",'奢侈品 Prices'!K30/'奢侈品 Prices'!K$3)</f>
        <v/>
      </c>
      <c r="L82" s="50">
        <f>IF(OR('奢侈品 Prices'!L30="",'奢侈品 Prices'!L$3=""),"",'奢侈品 Prices'!L30/'奢侈品 Prices'!L$3)</f>
        <v/>
      </c>
      <c r="M82" s="50">
        <f>IF(OR('奢侈品 Prices'!M30="",'奢侈品 Prices'!M$3=""),"",'奢侈品 Prices'!M30/'奢侈品 Prices'!M$3)</f>
        <v/>
      </c>
      <c r="N82" s="50">
        <f>IF(OR('奢侈品 Prices'!N30="",'奢侈品 Prices'!N$3=""),"",'奢侈品 Prices'!N30/'奢侈品 Prices'!N$3)</f>
        <v/>
      </c>
      <c r="O82" s="50">
        <f>IF(OR('奢侈品 Prices'!O30="",'奢侈品 Prices'!O$3=""),"",'奢侈品 Prices'!O30/'奢侈品 Prices'!O$3)</f>
        <v/>
      </c>
      <c r="P82" s="50">
        <f>IF(OR('奢侈品 Prices'!P30="",'奢侈品 Prices'!P$3=""),"",'奢侈品 Prices'!P30/'奢侈品 Prices'!P$3)</f>
        <v/>
      </c>
    </row>
    <row r="83">
      <c r="A83" s="49" t="n">
        <v>46185</v>
      </c>
      <c r="B83" s="50">
        <f>IF(OR('奢侈品 Prices'!B31="",'奢侈品 Prices'!B$3=""),"",'奢侈品 Prices'!B31/'奢侈品 Prices'!B$3)</f>
        <v/>
      </c>
      <c r="C83" s="50">
        <f>IF(OR('奢侈品 Prices'!C31="",'奢侈品 Prices'!C$3=""),"",'奢侈品 Prices'!C31/'奢侈品 Prices'!C$3)</f>
        <v/>
      </c>
      <c r="D83" s="50">
        <f>IF(OR('奢侈品 Prices'!D31="",'奢侈品 Prices'!D$3=""),"",'奢侈品 Prices'!D31/'奢侈品 Prices'!D$3)</f>
        <v/>
      </c>
      <c r="E83" s="50">
        <f>IF(OR('奢侈品 Prices'!E31="",'奢侈品 Prices'!E$3=""),"",'奢侈品 Prices'!E31/'奢侈品 Prices'!E$3)</f>
        <v/>
      </c>
      <c r="F83" s="50">
        <f>IF(OR('奢侈品 Prices'!F31="",'奢侈品 Prices'!F$3=""),"",'奢侈品 Prices'!F31/'奢侈品 Prices'!F$3)</f>
        <v/>
      </c>
      <c r="G83" s="50">
        <f>IF(OR('奢侈品 Prices'!G31="",'奢侈品 Prices'!G$3=""),"",'奢侈品 Prices'!G31/'奢侈品 Prices'!G$3)</f>
        <v/>
      </c>
      <c r="H83" s="50">
        <f>IF(OR('奢侈品 Prices'!H31="",'奢侈品 Prices'!H$3=""),"",'奢侈品 Prices'!H31/'奢侈品 Prices'!H$3)</f>
        <v/>
      </c>
      <c r="I83" s="50">
        <f>IF(OR('奢侈品 Prices'!I31="",'奢侈品 Prices'!I$3=""),"",'奢侈品 Prices'!I31/'奢侈品 Prices'!I$3)</f>
        <v/>
      </c>
      <c r="J83" s="50">
        <f>IF(OR('奢侈品 Prices'!J31="",'奢侈品 Prices'!J$3=""),"",'奢侈品 Prices'!J31/'奢侈品 Prices'!J$3)</f>
        <v/>
      </c>
      <c r="K83" s="50">
        <f>IF(OR('奢侈品 Prices'!K31="",'奢侈品 Prices'!K$3=""),"",'奢侈品 Prices'!K31/'奢侈品 Prices'!K$3)</f>
        <v/>
      </c>
      <c r="L83" s="50">
        <f>IF(OR('奢侈品 Prices'!L31="",'奢侈品 Prices'!L$3=""),"",'奢侈品 Prices'!L31/'奢侈品 Prices'!L$3)</f>
        <v/>
      </c>
      <c r="M83" s="50">
        <f>IF(OR('奢侈品 Prices'!M31="",'奢侈品 Prices'!M$3=""),"",'奢侈品 Prices'!M31/'奢侈品 Prices'!M$3)</f>
        <v/>
      </c>
      <c r="N83" s="50">
        <f>IF(OR('奢侈品 Prices'!N31="",'奢侈品 Prices'!N$3=""),"",'奢侈品 Prices'!N31/'奢侈品 Prices'!N$3)</f>
        <v/>
      </c>
      <c r="O83" s="50">
        <f>IF(OR('奢侈品 Prices'!O31="",'奢侈品 Prices'!O$3=""),"",'奢侈品 Prices'!O31/'奢侈品 Prices'!O$3)</f>
        <v/>
      </c>
      <c r="P83" s="50">
        <f>IF(OR('奢侈品 Prices'!P31="",'奢侈品 Prices'!P$3=""),"",'奢侈品 Prices'!P31/'奢侈品 Prices'!P$3)</f>
        <v/>
      </c>
    </row>
    <row r="84">
      <c r="A84" s="49" t="n">
        <v>46192</v>
      </c>
      <c r="B84" s="50">
        <f>IF(OR('奢侈品 Prices'!B32="",'奢侈品 Prices'!B$3=""),"",'奢侈品 Prices'!B32/'奢侈品 Prices'!B$3)</f>
        <v/>
      </c>
      <c r="C84" s="50">
        <f>IF(OR('奢侈品 Prices'!C32="",'奢侈品 Prices'!C$3=""),"",'奢侈品 Prices'!C32/'奢侈品 Prices'!C$3)</f>
        <v/>
      </c>
      <c r="D84" s="50">
        <f>IF(OR('奢侈品 Prices'!D32="",'奢侈品 Prices'!D$3=""),"",'奢侈品 Prices'!D32/'奢侈品 Prices'!D$3)</f>
        <v/>
      </c>
      <c r="E84" s="50">
        <f>IF(OR('奢侈品 Prices'!E32="",'奢侈品 Prices'!E$3=""),"",'奢侈品 Prices'!E32/'奢侈品 Prices'!E$3)</f>
        <v/>
      </c>
      <c r="F84" s="50">
        <f>IF(OR('奢侈品 Prices'!F32="",'奢侈品 Prices'!F$3=""),"",'奢侈品 Prices'!F32/'奢侈品 Prices'!F$3)</f>
        <v/>
      </c>
      <c r="G84" s="50">
        <f>IF(OR('奢侈品 Prices'!G32="",'奢侈品 Prices'!G$3=""),"",'奢侈品 Prices'!G32/'奢侈品 Prices'!G$3)</f>
        <v/>
      </c>
      <c r="H84" s="50">
        <f>IF(OR('奢侈品 Prices'!H32="",'奢侈品 Prices'!H$3=""),"",'奢侈品 Prices'!H32/'奢侈品 Prices'!H$3)</f>
        <v/>
      </c>
      <c r="I84" s="50">
        <f>IF(OR('奢侈品 Prices'!I32="",'奢侈品 Prices'!I$3=""),"",'奢侈品 Prices'!I32/'奢侈品 Prices'!I$3)</f>
        <v/>
      </c>
      <c r="J84" s="50">
        <f>IF(OR('奢侈品 Prices'!J32="",'奢侈品 Prices'!J$3=""),"",'奢侈品 Prices'!J32/'奢侈品 Prices'!J$3)</f>
        <v/>
      </c>
      <c r="K84" s="50">
        <f>IF(OR('奢侈品 Prices'!K32="",'奢侈品 Prices'!K$3=""),"",'奢侈品 Prices'!K32/'奢侈品 Prices'!K$3)</f>
        <v/>
      </c>
      <c r="L84" s="50">
        <f>IF(OR('奢侈品 Prices'!L32="",'奢侈品 Prices'!L$3=""),"",'奢侈品 Prices'!L32/'奢侈品 Prices'!L$3)</f>
        <v/>
      </c>
      <c r="M84" s="50">
        <f>IF(OR('奢侈品 Prices'!M32="",'奢侈品 Prices'!M$3=""),"",'奢侈品 Prices'!M32/'奢侈品 Prices'!M$3)</f>
        <v/>
      </c>
      <c r="N84" s="50">
        <f>IF(OR('奢侈品 Prices'!N32="",'奢侈品 Prices'!N$3=""),"",'奢侈品 Prices'!N32/'奢侈品 Prices'!N$3)</f>
        <v/>
      </c>
      <c r="O84" s="50">
        <f>IF(OR('奢侈品 Prices'!O32="",'奢侈品 Prices'!O$3=""),"",'奢侈品 Prices'!O32/'奢侈品 Prices'!O$3)</f>
        <v/>
      </c>
      <c r="P84" s="50">
        <f>IF(OR('奢侈品 Prices'!P32="",'奢侈品 Prices'!P$3=""),"",'奢侈品 Prices'!P32/'奢侈品 Prices'!P$3)</f>
        <v/>
      </c>
    </row>
    <row r="85">
      <c r="A85" s="49" t="n">
        <v>46199</v>
      </c>
      <c r="B85" s="50">
        <f>IF(OR('奢侈品 Prices'!B33="",'奢侈品 Prices'!B$3=""),"",'奢侈品 Prices'!B33/'奢侈品 Prices'!B$3)</f>
        <v/>
      </c>
      <c r="C85" s="50">
        <f>IF(OR('奢侈品 Prices'!C33="",'奢侈品 Prices'!C$3=""),"",'奢侈品 Prices'!C33/'奢侈品 Prices'!C$3)</f>
        <v/>
      </c>
      <c r="D85" s="50">
        <f>IF(OR('奢侈品 Prices'!D33="",'奢侈品 Prices'!D$3=""),"",'奢侈品 Prices'!D33/'奢侈品 Prices'!D$3)</f>
        <v/>
      </c>
      <c r="E85" s="50">
        <f>IF(OR('奢侈品 Prices'!E33="",'奢侈品 Prices'!E$3=""),"",'奢侈品 Prices'!E33/'奢侈品 Prices'!E$3)</f>
        <v/>
      </c>
      <c r="F85" s="50">
        <f>IF(OR('奢侈品 Prices'!F33="",'奢侈品 Prices'!F$3=""),"",'奢侈品 Prices'!F33/'奢侈品 Prices'!F$3)</f>
        <v/>
      </c>
      <c r="G85" s="50">
        <f>IF(OR('奢侈品 Prices'!G33="",'奢侈品 Prices'!G$3=""),"",'奢侈品 Prices'!G33/'奢侈品 Prices'!G$3)</f>
        <v/>
      </c>
      <c r="H85" s="50">
        <f>IF(OR('奢侈品 Prices'!H33="",'奢侈品 Prices'!H$3=""),"",'奢侈品 Prices'!H33/'奢侈品 Prices'!H$3)</f>
        <v/>
      </c>
      <c r="I85" s="50">
        <f>IF(OR('奢侈品 Prices'!I33="",'奢侈品 Prices'!I$3=""),"",'奢侈品 Prices'!I33/'奢侈品 Prices'!I$3)</f>
        <v/>
      </c>
      <c r="J85" s="50">
        <f>IF(OR('奢侈品 Prices'!J33="",'奢侈品 Prices'!J$3=""),"",'奢侈品 Prices'!J33/'奢侈品 Prices'!J$3)</f>
        <v/>
      </c>
      <c r="K85" s="50">
        <f>IF(OR('奢侈品 Prices'!K33="",'奢侈品 Prices'!K$3=""),"",'奢侈品 Prices'!K33/'奢侈品 Prices'!K$3)</f>
        <v/>
      </c>
      <c r="L85" s="50">
        <f>IF(OR('奢侈品 Prices'!L33="",'奢侈品 Prices'!L$3=""),"",'奢侈品 Prices'!L33/'奢侈品 Prices'!L$3)</f>
        <v/>
      </c>
      <c r="M85" s="50">
        <f>IF(OR('奢侈品 Prices'!M33="",'奢侈品 Prices'!M$3=""),"",'奢侈品 Prices'!M33/'奢侈品 Prices'!M$3)</f>
        <v/>
      </c>
      <c r="N85" s="50">
        <f>IF(OR('奢侈品 Prices'!N33="",'奢侈品 Prices'!N$3=""),"",'奢侈品 Prices'!N33/'奢侈品 Prices'!N$3)</f>
        <v/>
      </c>
      <c r="O85" s="50">
        <f>IF(OR('奢侈品 Prices'!O33="",'奢侈品 Prices'!O$3=""),"",'奢侈品 Prices'!O33/'奢侈品 Prices'!O$3)</f>
        <v/>
      </c>
      <c r="P85" s="50">
        <f>IF(OR('奢侈品 Prices'!P33="",'奢侈品 Prices'!P$3=""),"",'奢侈品 Prices'!P33/'奢侈品 Prices'!P$3)</f>
        <v/>
      </c>
    </row>
    <row r="86">
      <c r="A86" s="49" t="n">
        <v>46206</v>
      </c>
      <c r="B86" s="50">
        <f>IF(OR('奢侈品 Prices'!B34="",'奢侈品 Prices'!B$3=""),"",'奢侈品 Prices'!B34/'奢侈品 Prices'!B$3)</f>
        <v/>
      </c>
      <c r="C86" s="50">
        <f>IF(OR('奢侈品 Prices'!C34="",'奢侈品 Prices'!C$3=""),"",'奢侈品 Prices'!C34/'奢侈品 Prices'!C$3)</f>
        <v/>
      </c>
      <c r="D86" s="50">
        <f>IF(OR('奢侈品 Prices'!D34="",'奢侈品 Prices'!D$3=""),"",'奢侈品 Prices'!D34/'奢侈品 Prices'!D$3)</f>
        <v/>
      </c>
      <c r="E86" s="50">
        <f>IF(OR('奢侈品 Prices'!E34="",'奢侈品 Prices'!E$3=""),"",'奢侈品 Prices'!E34/'奢侈品 Prices'!E$3)</f>
        <v/>
      </c>
      <c r="F86" s="50">
        <f>IF(OR('奢侈品 Prices'!F34="",'奢侈品 Prices'!F$3=""),"",'奢侈品 Prices'!F34/'奢侈品 Prices'!F$3)</f>
        <v/>
      </c>
      <c r="G86" s="50">
        <f>IF(OR('奢侈品 Prices'!G34="",'奢侈品 Prices'!G$3=""),"",'奢侈品 Prices'!G34/'奢侈品 Prices'!G$3)</f>
        <v/>
      </c>
      <c r="H86" s="50">
        <f>IF(OR('奢侈品 Prices'!H34="",'奢侈品 Prices'!H$3=""),"",'奢侈品 Prices'!H34/'奢侈品 Prices'!H$3)</f>
        <v/>
      </c>
      <c r="I86" s="50">
        <f>IF(OR('奢侈品 Prices'!I34="",'奢侈品 Prices'!I$3=""),"",'奢侈品 Prices'!I34/'奢侈品 Prices'!I$3)</f>
        <v/>
      </c>
      <c r="J86" s="50">
        <f>IF(OR('奢侈品 Prices'!J34="",'奢侈品 Prices'!J$3=""),"",'奢侈品 Prices'!J34/'奢侈品 Prices'!J$3)</f>
        <v/>
      </c>
      <c r="K86" s="50">
        <f>IF(OR('奢侈品 Prices'!K34="",'奢侈品 Prices'!K$3=""),"",'奢侈品 Prices'!K34/'奢侈品 Prices'!K$3)</f>
        <v/>
      </c>
      <c r="L86" s="50">
        <f>IF(OR('奢侈品 Prices'!L34="",'奢侈品 Prices'!L$3=""),"",'奢侈品 Prices'!L34/'奢侈品 Prices'!L$3)</f>
        <v/>
      </c>
      <c r="M86" s="50">
        <f>IF(OR('奢侈品 Prices'!M34="",'奢侈品 Prices'!M$3=""),"",'奢侈品 Prices'!M34/'奢侈品 Prices'!M$3)</f>
        <v/>
      </c>
      <c r="N86" s="50">
        <f>IF(OR('奢侈品 Prices'!N34="",'奢侈品 Prices'!N$3=""),"",'奢侈品 Prices'!N34/'奢侈品 Prices'!N$3)</f>
        <v/>
      </c>
      <c r="O86" s="50">
        <f>IF(OR('奢侈品 Prices'!O34="",'奢侈品 Prices'!O$3=""),"",'奢侈品 Prices'!O34/'奢侈品 Prices'!O$3)</f>
        <v/>
      </c>
      <c r="P86" s="50">
        <f>IF(OR('奢侈品 Prices'!P34="",'奢侈品 Prices'!P$3=""),"",'奢侈品 Prices'!P34/'奢侈品 Prices'!P$3)</f>
        <v/>
      </c>
    </row>
    <row r="87">
      <c r="A87" s="49" t="n">
        <v>46213</v>
      </c>
      <c r="B87" s="50">
        <f>IF(OR('奢侈品 Prices'!B35="",'奢侈品 Prices'!B$3=""),"",'奢侈品 Prices'!B35/'奢侈品 Prices'!B$3)</f>
        <v/>
      </c>
      <c r="C87" s="50">
        <f>IF(OR('奢侈品 Prices'!C35="",'奢侈品 Prices'!C$3=""),"",'奢侈品 Prices'!C35/'奢侈品 Prices'!C$3)</f>
        <v/>
      </c>
      <c r="D87" s="50">
        <f>IF(OR('奢侈品 Prices'!D35="",'奢侈品 Prices'!D$3=""),"",'奢侈品 Prices'!D35/'奢侈品 Prices'!D$3)</f>
        <v/>
      </c>
      <c r="E87" s="50">
        <f>IF(OR('奢侈品 Prices'!E35="",'奢侈品 Prices'!E$3=""),"",'奢侈品 Prices'!E35/'奢侈品 Prices'!E$3)</f>
        <v/>
      </c>
      <c r="F87" s="50">
        <f>IF(OR('奢侈品 Prices'!F35="",'奢侈品 Prices'!F$3=""),"",'奢侈品 Prices'!F35/'奢侈品 Prices'!F$3)</f>
        <v/>
      </c>
      <c r="G87" s="50">
        <f>IF(OR('奢侈品 Prices'!G35="",'奢侈品 Prices'!G$3=""),"",'奢侈品 Prices'!G35/'奢侈品 Prices'!G$3)</f>
        <v/>
      </c>
      <c r="H87" s="50">
        <f>IF(OR('奢侈品 Prices'!H35="",'奢侈品 Prices'!H$3=""),"",'奢侈品 Prices'!H35/'奢侈品 Prices'!H$3)</f>
        <v/>
      </c>
      <c r="I87" s="50">
        <f>IF(OR('奢侈品 Prices'!I35="",'奢侈品 Prices'!I$3=""),"",'奢侈品 Prices'!I35/'奢侈品 Prices'!I$3)</f>
        <v/>
      </c>
      <c r="J87" s="50">
        <f>IF(OR('奢侈品 Prices'!J35="",'奢侈品 Prices'!J$3=""),"",'奢侈品 Prices'!J35/'奢侈品 Prices'!J$3)</f>
        <v/>
      </c>
      <c r="K87" s="50">
        <f>IF(OR('奢侈品 Prices'!K35="",'奢侈品 Prices'!K$3=""),"",'奢侈品 Prices'!K35/'奢侈品 Prices'!K$3)</f>
        <v/>
      </c>
      <c r="L87" s="50">
        <f>IF(OR('奢侈品 Prices'!L35="",'奢侈品 Prices'!L$3=""),"",'奢侈品 Prices'!L35/'奢侈品 Prices'!L$3)</f>
        <v/>
      </c>
      <c r="M87" s="50">
        <f>IF(OR('奢侈品 Prices'!M35="",'奢侈品 Prices'!M$3=""),"",'奢侈品 Prices'!M35/'奢侈品 Prices'!M$3)</f>
        <v/>
      </c>
      <c r="N87" s="50">
        <f>IF(OR('奢侈品 Prices'!N35="",'奢侈品 Prices'!N$3=""),"",'奢侈品 Prices'!N35/'奢侈品 Prices'!N$3)</f>
        <v/>
      </c>
      <c r="O87" s="50">
        <f>IF(OR('奢侈品 Prices'!O35="",'奢侈品 Prices'!O$3=""),"",'奢侈品 Prices'!O35/'奢侈品 Prices'!O$3)</f>
        <v/>
      </c>
      <c r="P87" s="50">
        <f>IF(OR('奢侈品 Prices'!P35="",'奢侈品 Prices'!P$3=""),"",'奢侈品 Prices'!P35/'奢侈品 Prices'!P$3)</f>
        <v/>
      </c>
    </row>
    <row r="88">
      <c r="A88" s="49" t="n">
        <v>46220</v>
      </c>
      <c r="B88" s="50">
        <f>IF(OR('奢侈品 Prices'!B36="",'奢侈品 Prices'!B$3=""),"",'奢侈品 Prices'!B36/'奢侈品 Prices'!B$3)</f>
        <v/>
      </c>
      <c r="C88" s="50">
        <f>IF(OR('奢侈品 Prices'!C36="",'奢侈品 Prices'!C$3=""),"",'奢侈品 Prices'!C36/'奢侈品 Prices'!C$3)</f>
        <v/>
      </c>
      <c r="D88" s="50">
        <f>IF(OR('奢侈品 Prices'!D36="",'奢侈品 Prices'!D$3=""),"",'奢侈品 Prices'!D36/'奢侈品 Prices'!D$3)</f>
        <v/>
      </c>
      <c r="E88" s="50">
        <f>IF(OR('奢侈品 Prices'!E36="",'奢侈品 Prices'!E$3=""),"",'奢侈品 Prices'!E36/'奢侈品 Prices'!E$3)</f>
        <v/>
      </c>
      <c r="F88" s="50">
        <f>IF(OR('奢侈品 Prices'!F36="",'奢侈品 Prices'!F$3=""),"",'奢侈品 Prices'!F36/'奢侈品 Prices'!F$3)</f>
        <v/>
      </c>
      <c r="G88" s="50">
        <f>IF(OR('奢侈品 Prices'!G36="",'奢侈品 Prices'!G$3=""),"",'奢侈品 Prices'!G36/'奢侈品 Prices'!G$3)</f>
        <v/>
      </c>
      <c r="H88" s="50">
        <f>IF(OR('奢侈品 Prices'!H36="",'奢侈品 Prices'!H$3=""),"",'奢侈品 Prices'!H36/'奢侈品 Prices'!H$3)</f>
        <v/>
      </c>
      <c r="I88" s="50">
        <f>IF(OR('奢侈品 Prices'!I36="",'奢侈品 Prices'!I$3=""),"",'奢侈品 Prices'!I36/'奢侈品 Prices'!I$3)</f>
        <v/>
      </c>
      <c r="J88" s="50">
        <f>IF(OR('奢侈品 Prices'!J36="",'奢侈品 Prices'!J$3=""),"",'奢侈品 Prices'!J36/'奢侈品 Prices'!J$3)</f>
        <v/>
      </c>
      <c r="K88" s="50">
        <f>IF(OR('奢侈品 Prices'!K36="",'奢侈品 Prices'!K$3=""),"",'奢侈品 Prices'!K36/'奢侈品 Prices'!K$3)</f>
        <v/>
      </c>
      <c r="L88" s="50">
        <f>IF(OR('奢侈品 Prices'!L36="",'奢侈品 Prices'!L$3=""),"",'奢侈品 Prices'!L36/'奢侈品 Prices'!L$3)</f>
        <v/>
      </c>
      <c r="M88" s="50">
        <f>IF(OR('奢侈品 Prices'!M36="",'奢侈品 Prices'!M$3=""),"",'奢侈品 Prices'!M36/'奢侈品 Prices'!M$3)</f>
        <v/>
      </c>
      <c r="N88" s="50">
        <f>IF(OR('奢侈品 Prices'!N36="",'奢侈品 Prices'!N$3=""),"",'奢侈品 Prices'!N36/'奢侈品 Prices'!N$3)</f>
        <v/>
      </c>
      <c r="O88" s="50">
        <f>IF(OR('奢侈品 Prices'!O36="",'奢侈品 Prices'!O$3=""),"",'奢侈品 Prices'!O36/'奢侈品 Prices'!O$3)</f>
        <v/>
      </c>
      <c r="P88" s="50">
        <f>IF(OR('奢侈品 Prices'!P36="",'奢侈品 Prices'!P$3=""),"",'奢侈品 Prices'!P36/'奢侈品 Prices'!P$3)</f>
        <v/>
      </c>
    </row>
    <row r="89">
      <c r="A89" s="49" t="n">
        <v>46227</v>
      </c>
      <c r="B89" s="50">
        <f>IF(OR('奢侈品 Prices'!B37="",'奢侈品 Prices'!B$3=""),"",'奢侈品 Prices'!B37/'奢侈品 Prices'!B$3)</f>
        <v/>
      </c>
      <c r="C89" s="50">
        <f>IF(OR('奢侈品 Prices'!C37="",'奢侈品 Prices'!C$3=""),"",'奢侈品 Prices'!C37/'奢侈品 Prices'!C$3)</f>
        <v/>
      </c>
      <c r="D89" s="50">
        <f>IF(OR('奢侈品 Prices'!D37="",'奢侈品 Prices'!D$3=""),"",'奢侈品 Prices'!D37/'奢侈品 Prices'!D$3)</f>
        <v/>
      </c>
      <c r="E89" s="50">
        <f>IF(OR('奢侈品 Prices'!E37="",'奢侈品 Prices'!E$3=""),"",'奢侈品 Prices'!E37/'奢侈品 Prices'!E$3)</f>
        <v/>
      </c>
      <c r="F89" s="50">
        <f>IF(OR('奢侈品 Prices'!F37="",'奢侈品 Prices'!F$3=""),"",'奢侈品 Prices'!F37/'奢侈品 Prices'!F$3)</f>
        <v/>
      </c>
      <c r="G89" s="50">
        <f>IF(OR('奢侈品 Prices'!G37="",'奢侈品 Prices'!G$3=""),"",'奢侈品 Prices'!G37/'奢侈品 Prices'!G$3)</f>
        <v/>
      </c>
      <c r="H89" s="50">
        <f>IF(OR('奢侈品 Prices'!H37="",'奢侈品 Prices'!H$3=""),"",'奢侈品 Prices'!H37/'奢侈品 Prices'!H$3)</f>
        <v/>
      </c>
      <c r="I89" s="50">
        <f>IF(OR('奢侈品 Prices'!I37="",'奢侈品 Prices'!I$3=""),"",'奢侈品 Prices'!I37/'奢侈品 Prices'!I$3)</f>
        <v/>
      </c>
      <c r="J89" s="50">
        <f>IF(OR('奢侈品 Prices'!J37="",'奢侈品 Prices'!J$3=""),"",'奢侈品 Prices'!J37/'奢侈品 Prices'!J$3)</f>
        <v/>
      </c>
      <c r="K89" s="50">
        <f>IF(OR('奢侈品 Prices'!K37="",'奢侈品 Prices'!K$3=""),"",'奢侈品 Prices'!K37/'奢侈品 Prices'!K$3)</f>
        <v/>
      </c>
      <c r="L89" s="50">
        <f>IF(OR('奢侈品 Prices'!L37="",'奢侈品 Prices'!L$3=""),"",'奢侈品 Prices'!L37/'奢侈品 Prices'!L$3)</f>
        <v/>
      </c>
      <c r="M89" s="50">
        <f>IF(OR('奢侈品 Prices'!M37="",'奢侈品 Prices'!M$3=""),"",'奢侈品 Prices'!M37/'奢侈品 Prices'!M$3)</f>
        <v/>
      </c>
      <c r="N89" s="50">
        <f>IF(OR('奢侈品 Prices'!N37="",'奢侈品 Prices'!N$3=""),"",'奢侈品 Prices'!N37/'奢侈品 Prices'!N$3)</f>
        <v/>
      </c>
      <c r="O89" s="50">
        <f>IF(OR('奢侈品 Prices'!O37="",'奢侈品 Prices'!O$3=""),"",'奢侈品 Prices'!O37/'奢侈品 Prices'!O$3)</f>
        <v/>
      </c>
      <c r="P89" s="50">
        <f>IF(OR('奢侈品 Prices'!P37="",'奢侈品 Prices'!P$3=""),"",'奢侈品 Prices'!P37/'奢侈品 Prices'!P$3)</f>
        <v/>
      </c>
    </row>
    <row r="90">
      <c r="A90" s="49" t="n">
        <v>46234</v>
      </c>
      <c r="B90" s="50">
        <f>IF(OR('奢侈品 Prices'!B38="",'奢侈品 Prices'!B$3=""),"",'奢侈品 Prices'!B38/'奢侈品 Prices'!B$3)</f>
        <v/>
      </c>
      <c r="C90" s="50">
        <f>IF(OR('奢侈品 Prices'!C38="",'奢侈品 Prices'!C$3=""),"",'奢侈品 Prices'!C38/'奢侈品 Prices'!C$3)</f>
        <v/>
      </c>
      <c r="D90" s="50">
        <f>IF(OR('奢侈品 Prices'!D38="",'奢侈品 Prices'!D$3=""),"",'奢侈品 Prices'!D38/'奢侈品 Prices'!D$3)</f>
        <v/>
      </c>
      <c r="E90" s="50">
        <f>IF(OR('奢侈品 Prices'!E38="",'奢侈品 Prices'!E$3=""),"",'奢侈品 Prices'!E38/'奢侈品 Prices'!E$3)</f>
        <v/>
      </c>
      <c r="F90" s="50">
        <f>IF(OR('奢侈品 Prices'!F38="",'奢侈品 Prices'!F$3=""),"",'奢侈品 Prices'!F38/'奢侈品 Prices'!F$3)</f>
        <v/>
      </c>
      <c r="G90" s="50">
        <f>IF(OR('奢侈品 Prices'!G38="",'奢侈品 Prices'!G$3=""),"",'奢侈品 Prices'!G38/'奢侈品 Prices'!G$3)</f>
        <v/>
      </c>
      <c r="H90" s="50">
        <f>IF(OR('奢侈品 Prices'!H38="",'奢侈品 Prices'!H$3=""),"",'奢侈品 Prices'!H38/'奢侈品 Prices'!H$3)</f>
        <v/>
      </c>
      <c r="I90" s="50">
        <f>IF(OR('奢侈品 Prices'!I38="",'奢侈品 Prices'!I$3=""),"",'奢侈品 Prices'!I38/'奢侈品 Prices'!I$3)</f>
        <v/>
      </c>
      <c r="J90" s="50">
        <f>IF(OR('奢侈品 Prices'!J38="",'奢侈品 Prices'!J$3=""),"",'奢侈品 Prices'!J38/'奢侈品 Prices'!J$3)</f>
        <v/>
      </c>
      <c r="K90" s="50">
        <f>IF(OR('奢侈品 Prices'!K38="",'奢侈品 Prices'!K$3=""),"",'奢侈品 Prices'!K38/'奢侈品 Prices'!K$3)</f>
        <v/>
      </c>
      <c r="L90" s="50">
        <f>IF(OR('奢侈品 Prices'!L38="",'奢侈品 Prices'!L$3=""),"",'奢侈品 Prices'!L38/'奢侈品 Prices'!L$3)</f>
        <v/>
      </c>
      <c r="M90" s="50">
        <f>IF(OR('奢侈品 Prices'!M38="",'奢侈品 Prices'!M$3=""),"",'奢侈品 Prices'!M38/'奢侈品 Prices'!M$3)</f>
        <v/>
      </c>
      <c r="N90" s="50">
        <f>IF(OR('奢侈品 Prices'!N38="",'奢侈品 Prices'!N$3=""),"",'奢侈品 Prices'!N38/'奢侈品 Prices'!N$3)</f>
        <v/>
      </c>
      <c r="O90" s="50">
        <f>IF(OR('奢侈品 Prices'!O38="",'奢侈品 Prices'!O$3=""),"",'奢侈品 Prices'!O38/'奢侈品 Prices'!O$3)</f>
        <v/>
      </c>
      <c r="P90" s="50">
        <f>IF(OR('奢侈品 Prices'!P38="",'奢侈品 Prices'!P$3=""),"",'奢侈品 Prices'!P38/'奢侈品 Prices'!P$3)</f>
        <v/>
      </c>
    </row>
    <row r="91">
      <c r="A91" s="49" t="n">
        <v>46241</v>
      </c>
      <c r="B91" s="50">
        <f>IF(OR('奢侈品 Prices'!B39="",'奢侈品 Prices'!B$3=""),"",'奢侈品 Prices'!B39/'奢侈品 Prices'!B$3)</f>
        <v/>
      </c>
      <c r="C91" s="50">
        <f>IF(OR('奢侈品 Prices'!C39="",'奢侈品 Prices'!C$3=""),"",'奢侈品 Prices'!C39/'奢侈品 Prices'!C$3)</f>
        <v/>
      </c>
      <c r="D91" s="50">
        <f>IF(OR('奢侈品 Prices'!D39="",'奢侈品 Prices'!D$3=""),"",'奢侈品 Prices'!D39/'奢侈品 Prices'!D$3)</f>
        <v/>
      </c>
      <c r="E91" s="50">
        <f>IF(OR('奢侈品 Prices'!E39="",'奢侈品 Prices'!E$3=""),"",'奢侈品 Prices'!E39/'奢侈品 Prices'!E$3)</f>
        <v/>
      </c>
      <c r="F91" s="50">
        <f>IF(OR('奢侈品 Prices'!F39="",'奢侈品 Prices'!F$3=""),"",'奢侈品 Prices'!F39/'奢侈品 Prices'!F$3)</f>
        <v/>
      </c>
      <c r="G91" s="50">
        <f>IF(OR('奢侈品 Prices'!G39="",'奢侈品 Prices'!G$3=""),"",'奢侈品 Prices'!G39/'奢侈品 Prices'!G$3)</f>
        <v/>
      </c>
      <c r="H91" s="50">
        <f>IF(OR('奢侈品 Prices'!H39="",'奢侈品 Prices'!H$3=""),"",'奢侈品 Prices'!H39/'奢侈品 Prices'!H$3)</f>
        <v/>
      </c>
      <c r="I91" s="50">
        <f>IF(OR('奢侈品 Prices'!I39="",'奢侈品 Prices'!I$3=""),"",'奢侈品 Prices'!I39/'奢侈品 Prices'!I$3)</f>
        <v/>
      </c>
      <c r="J91" s="50">
        <f>IF(OR('奢侈品 Prices'!J39="",'奢侈品 Prices'!J$3=""),"",'奢侈品 Prices'!J39/'奢侈品 Prices'!J$3)</f>
        <v/>
      </c>
      <c r="K91" s="50">
        <f>IF(OR('奢侈品 Prices'!K39="",'奢侈品 Prices'!K$3=""),"",'奢侈品 Prices'!K39/'奢侈品 Prices'!K$3)</f>
        <v/>
      </c>
      <c r="L91" s="50">
        <f>IF(OR('奢侈品 Prices'!L39="",'奢侈品 Prices'!L$3=""),"",'奢侈品 Prices'!L39/'奢侈品 Prices'!L$3)</f>
        <v/>
      </c>
      <c r="M91" s="50">
        <f>IF(OR('奢侈品 Prices'!M39="",'奢侈品 Prices'!M$3=""),"",'奢侈品 Prices'!M39/'奢侈品 Prices'!M$3)</f>
        <v/>
      </c>
      <c r="N91" s="50">
        <f>IF(OR('奢侈品 Prices'!N39="",'奢侈品 Prices'!N$3=""),"",'奢侈品 Prices'!N39/'奢侈品 Prices'!N$3)</f>
        <v/>
      </c>
      <c r="O91" s="50">
        <f>IF(OR('奢侈品 Prices'!O39="",'奢侈品 Prices'!O$3=""),"",'奢侈品 Prices'!O39/'奢侈品 Prices'!O$3)</f>
        <v/>
      </c>
      <c r="P91" s="50">
        <f>IF(OR('奢侈品 Prices'!P39="",'奢侈品 Prices'!P$3=""),"",'奢侈品 Prices'!P39/'奢侈品 Prices'!P$3)</f>
        <v/>
      </c>
    </row>
    <row r="92">
      <c r="A92" s="49" t="n">
        <v>46248</v>
      </c>
      <c r="B92" s="50">
        <f>IF(OR('奢侈品 Prices'!B40="",'奢侈品 Prices'!B$3=""),"",'奢侈品 Prices'!B40/'奢侈品 Prices'!B$3)</f>
        <v/>
      </c>
      <c r="C92" s="50">
        <f>IF(OR('奢侈品 Prices'!C40="",'奢侈品 Prices'!C$3=""),"",'奢侈品 Prices'!C40/'奢侈品 Prices'!C$3)</f>
        <v/>
      </c>
      <c r="D92" s="50">
        <f>IF(OR('奢侈品 Prices'!D40="",'奢侈品 Prices'!D$3=""),"",'奢侈品 Prices'!D40/'奢侈品 Prices'!D$3)</f>
        <v/>
      </c>
      <c r="E92" s="50">
        <f>IF(OR('奢侈品 Prices'!E40="",'奢侈品 Prices'!E$3=""),"",'奢侈品 Prices'!E40/'奢侈品 Prices'!E$3)</f>
        <v/>
      </c>
      <c r="F92" s="50">
        <f>IF(OR('奢侈品 Prices'!F40="",'奢侈品 Prices'!F$3=""),"",'奢侈品 Prices'!F40/'奢侈品 Prices'!F$3)</f>
        <v/>
      </c>
      <c r="G92" s="50">
        <f>IF(OR('奢侈品 Prices'!G40="",'奢侈品 Prices'!G$3=""),"",'奢侈品 Prices'!G40/'奢侈品 Prices'!G$3)</f>
        <v/>
      </c>
      <c r="H92" s="50">
        <f>IF(OR('奢侈品 Prices'!H40="",'奢侈品 Prices'!H$3=""),"",'奢侈品 Prices'!H40/'奢侈品 Prices'!H$3)</f>
        <v/>
      </c>
      <c r="I92" s="50">
        <f>IF(OR('奢侈品 Prices'!I40="",'奢侈品 Prices'!I$3=""),"",'奢侈品 Prices'!I40/'奢侈品 Prices'!I$3)</f>
        <v/>
      </c>
      <c r="J92" s="50">
        <f>IF(OR('奢侈品 Prices'!J40="",'奢侈品 Prices'!J$3=""),"",'奢侈品 Prices'!J40/'奢侈品 Prices'!J$3)</f>
        <v/>
      </c>
      <c r="K92" s="50">
        <f>IF(OR('奢侈品 Prices'!K40="",'奢侈品 Prices'!K$3=""),"",'奢侈品 Prices'!K40/'奢侈品 Prices'!K$3)</f>
        <v/>
      </c>
      <c r="L92" s="50">
        <f>IF(OR('奢侈品 Prices'!L40="",'奢侈品 Prices'!L$3=""),"",'奢侈品 Prices'!L40/'奢侈品 Prices'!L$3)</f>
        <v/>
      </c>
      <c r="M92" s="50">
        <f>IF(OR('奢侈品 Prices'!M40="",'奢侈品 Prices'!M$3=""),"",'奢侈品 Prices'!M40/'奢侈品 Prices'!M$3)</f>
        <v/>
      </c>
      <c r="N92" s="50">
        <f>IF(OR('奢侈品 Prices'!N40="",'奢侈品 Prices'!N$3=""),"",'奢侈品 Prices'!N40/'奢侈品 Prices'!N$3)</f>
        <v/>
      </c>
      <c r="O92" s="50">
        <f>IF(OR('奢侈品 Prices'!O40="",'奢侈品 Prices'!O$3=""),"",'奢侈品 Prices'!O40/'奢侈品 Prices'!O$3)</f>
        <v/>
      </c>
      <c r="P92" s="50">
        <f>IF(OR('奢侈品 Prices'!P40="",'奢侈品 Prices'!P$3=""),"",'奢侈品 Prices'!P40/'奢侈品 Prices'!P$3)</f>
        <v/>
      </c>
    </row>
    <row r="93">
      <c r="A93" s="49" t="n">
        <v>46255</v>
      </c>
      <c r="B93" s="50">
        <f>IF(OR('奢侈品 Prices'!B41="",'奢侈品 Prices'!B$3=""),"",'奢侈品 Prices'!B41/'奢侈品 Prices'!B$3)</f>
        <v/>
      </c>
      <c r="C93" s="50">
        <f>IF(OR('奢侈品 Prices'!C41="",'奢侈品 Prices'!C$3=""),"",'奢侈品 Prices'!C41/'奢侈品 Prices'!C$3)</f>
        <v/>
      </c>
      <c r="D93" s="50">
        <f>IF(OR('奢侈品 Prices'!D41="",'奢侈品 Prices'!D$3=""),"",'奢侈品 Prices'!D41/'奢侈品 Prices'!D$3)</f>
        <v/>
      </c>
      <c r="E93" s="50">
        <f>IF(OR('奢侈品 Prices'!E41="",'奢侈品 Prices'!E$3=""),"",'奢侈品 Prices'!E41/'奢侈品 Prices'!E$3)</f>
        <v/>
      </c>
      <c r="F93" s="50">
        <f>IF(OR('奢侈品 Prices'!F41="",'奢侈品 Prices'!F$3=""),"",'奢侈品 Prices'!F41/'奢侈品 Prices'!F$3)</f>
        <v/>
      </c>
      <c r="G93" s="50">
        <f>IF(OR('奢侈品 Prices'!G41="",'奢侈品 Prices'!G$3=""),"",'奢侈品 Prices'!G41/'奢侈品 Prices'!G$3)</f>
        <v/>
      </c>
      <c r="H93" s="50">
        <f>IF(OR('奢侈品 Prices'!H41="",'奢侈品 Prices'!H$3=""),"",'奢侈品 Prices'!H41/'奢侈品 Prices'!H$3)</f>
        <v/>
      </c>
      <c r="I93" s="50">
        <f>IF(OR('奢侈品 Prices'!I41="",'奢侈品 Prices'!I$3=""),"",'奢侈品 Prices'!I41/'奢侈品 Prices'!I$3)</f>
        <v/>
      </c>
      <c r="J93" s="50">
        <f>IF(OR('奢侈品 Prices'!J41="",'奢侈品 Prices'!J$3=""),"",'奢侈品 Prices'!J41/'奢侈品 Prices'!J$3)</f>
        <v/>
      </c>
      <c r="K93" s="50">
        <f>IF(OR('奢侈品 Prices'!K41="",'奢侈品 Prices'!K$3=""),"",'奢侈品 Prices'!K41/'奢侈品 Prices'!K$3)</f>
        <v/>
      </c>
      <c r="L93" s="50">
        <f>IF(OR('奢侈品 Prices'!L41="",'奢侈品 Prices'!L$3=""),"",'奢侈品 Prices'!L41/'奢侈品 Prices'!L$3)</f>
        <v/>
      </c>
      <c r="M93" s="50">
        <f>IF(OR('奢侈品 Prices'!M41="",'奢侈品 Prices'!M$3=""),"",'奢侈品 Prices'!M41/'奢侈品 Prices'!M$3)</f>
        <v/>
      </c>
      <c r="N93" s="50">
        <f>IF(OR('奢侈品 Prices'!N41="",'奢侈品 Prices'!N$3=""),"",'奢侈品 Prices'!N41/'奢侈品 Prices'!N$3)</f>
        <v/>
      </c>
      <c r="O93" s="50">
        <f>IF(OR('奢侈品 Prices'!O41="",'奢侈品 Prices'!O$3=""),"",'奢侈品 Prices'!O41/'奢侈品 Prices'!O$3)</f>
        <v/>
      </c>
      <c r="P93" s="50">
        <f>IF(OR('奢侈品 Prices'!P41="",'奢侈品 Prices'!P$3=""),"",'奢侈品 Prices'!P41/'奢侈品 Prices'!P$3)</f>
        <v/>
      </c>
    </row>
    <row r="94">
      <c r="A94" s="49" t="n">
        <v>46262</v>
      </c>
      <c r="B94" s="50">
        <f>IF(OR('奢侈品 Prices'!B42="",'奢侈品 Prices'!B$3=""),"",'奢侈品 Prices'!B42/'奢侈品 Prices'!B$3)</f>
        <v/>
      </c>
      <c r="C94" s="50">
        <f>IF(OR('奢侈品 Prices'!C42="",'奢侈品 Prices'!C$3=""),"",'奢侈品 Prices'!C42/'奢侈品 Prices'!C$3)</f>
        <v/>
      </c>
      <c r="D94" s="50">
        <f>IF(OR('奢侈品 Prices'!D42="",'奢侈品 Prices'!D$3=""),"",'奢侈品 Prices'!D42/'奢侈品 Prices'!D$3)</f>
        <v/>
      </c>
      <c r="E94" s="50">
        <f>IF(OR('奢侈品 Prices'!E42="",'奢侈品 Prices'!E$3=""),"",'奢侈品 Prices'!E42/'奢侈品 Prices'!E$3)</f>
        <v/>
      </c>
      <c r="F94" s="50">
        <f>IF(OR('奢侈品 Prices'!F42="",'奢侈品 Prices'!F$3=""),"",'奢侈品 Prices'!F42/'奢侈品 Prices'!F$3)</f>
        <v/>
      </c>
      <c r="G94" s="50">
        <f>IF(OR('奢侈品 Prices'!G42="",'奢侈品 Prices'!G$3=""),"",'奢侈品 Prices'!G42/'奢侈品 Prices'!G$3)</f>
        <v/>
      </c>
      <c r="H94" s="50">
        <f>IF(OR('奢侈品 Prices'!H42="",'奢侈品 Prices'!H$3=""),"",'奢侈品 Prices'!H42/'奢侈品 Prices'!H$3)</f>
        <v/>
      </c>
      <c r="I94" s="50">
        <f>IF(OR('奢侈品 Prices'!I42="",'奢侈品 Prices'!I$3=""),"",'奢侈品 Prices'!I42/'奢侈品 Prices'!I$3)</f>
        <v/>
      </c>
      <c r="J94" s="50">
        <f>IF(OR('奢侈品 Prices'!J42="",'奢侈品 Prices'!J$3=""),"",'奢侈品 Prices'!J42/'奢侈品 Prices'!J$3)</f>
        <v/>
      </c>
      <c r="K94" s="50">
        <f>IF(OR('奢侈品 Prices'!K42="",'奢侈品 Prices'!K$3=""),"",'奢侈品 Prices'!K42/'奢侈品 Prices'!K$3)</f>
        <v/>
      </c>
      <c r="L94" s="50">
        <f>IF(OR('奢侈品 Prices'!L42="",'奢侈品 Prices'!L$3=""),"",'奢侈品 Prices'!L42/'奢侈品 Prices'!L$3)</f>
        <v/>
      </c>
      <c r="M94" s="50">
        <f>IF(OR('奢侈品 Prices'!M42="",'奢侈品 Prices'!M$3=""),"",'奢侈品 Prices'!M42/'奢侈品 Prices'!M$3)</f>
        <v/>
      </c>
      <c r="N94" s="50">
        <f>IF(OR('奢侈品 Prices'!N42="",'奢侈品 Prices'!N$3=""),"",'奢侈品 Prices'!N42/'奢侈品 Prices'!N$3)</f>
        <v/>
      </c>
      <c r="O94" s="50">
        <f>IF(OR('奢侈品 Prices'!O42="",'奢侈品 Prices'!O$3=""),"",'奢侈品 Prices'!O42/'奢侈品 Prices'!O$3)</f>
        <v/>
      </c>
      <c r="P94" s="50">
        <f>IF(OR('奢侈品 Prices'!P42="",'奢侈品 Prices'!P$3=""),"",'奢侈品 Prices'!P42/'奢侈品 Prices'!P$3)</f>
        <v/>
      </c>
    </row>
    <row r="95">
      <c r="A95" s="49" t="n">
        <v>46269</v>
      </c>
      <c r="B95" s="50">
        <f>IF(OR('奢侈品 Prices'!B43="",'奢侈品 Prices'!B$3=""),"",'奢侈品 Prices'!B43/'奢侈品 Prices'!B$3)</f>
        <v/>
      </c>
      <c r="C95" s="50">
        <f>IF(OR('奢侈品 Prices'!C43="",'奢侈品 Prices'!C$3=""),"",'奢侈品 Prices'!C43/'奢侈品 Prices'!C$3)</f>
        <v/>
      </c>
      <c r="D95" s="50">
        <f>IF(OR('奢侈品 Prices'!D43="",'奢侈品 Prices'!D$3=""),"",'奢侈品 Prices'!D43/'奢侈品 Prices'!D$3)</f>
        <v/>
      </c>
      <c r="E95" s="50">
        <f>IF(OR('奢侈品 Prices'!E43="",'奢侈品 Prices'!E$3=""),"",'奢侈品 Prices'!E43/'奢侈品 Prices'!E$3)</f>
        <v/>
      </c>
      <c r="F95" s="50">
        <f>IF(OR('奢侈品 Prices'!F43="",'奢侈品 Prices'!F$3=""),"",'奢侈品 Prices'!F43/'奢侈品 Prices'!F$3)</f>
        <v/>
      </c>
      <c r="G95" s="50">
        <f>IF(OR('奢侈品 Prices'!G43="",'奢侈品 Prices'!G$3=""),"",'奢侈品 Prices'!G43/'奢侈品 Prices'!G$3)</f>
        <v/>
      </c>
      <c r="H95" s="50">
        <f>IF(OR('奢侈品 Prices'!H43="",'奢侈品 Prices'!H$3=""),"",'奢侈品 Prices'!H43/'奢侈品 Prices'!H$3)</f>
        <v/>
      </c>
      <c r="I95" s="50">
        <f>IF(OR('奢侈品 Prices'!I43="",'奢侈品 Prices'!I$3=""),"",'奢侈品 Prices'!I43/'奢侈品 Prices'!I$3)</f>
        <v/>
      </c>
      <c r="J95" s="50">
        <f>IF(OR('奢侈品 Prices'!J43="",'奢侈品 Prices'!J$3=""),"",'奢侈品 Prices'!J43/'奢侈品 Prices'!J$3)</f>
        <v/>
      </c>
      <c r="K95" s="50">
        <f>IF(OR('奢侈品 Prices'!K43="",'奢侈品 Prices'!K$3=""),"",'奢侈品 Prices'!K43/'奢侈品 Prices'!K$3)</f>
        <v/>
      </c>
      <c r="L95" s="50">
        <f>IF(OR('奢侈品 Prices'!L43="",'奢侈品 Prices'!L$3=""),"",'奢侈品 Prices'!L43/'奢侈品 Prices'!L$3)</f>
        <v/>
      </c>
      <c r="M95" s="50">
        <f>IF(OR('奢侈品 Prices'!M43="",'奢侈品 Prices'!M$3=""),"",'奢侈品 Prices'!M43/'奢侈品 Prices'!M$3)</f>
        <v/>
      </c>
      <c r="N95" s="50">
        <f>IF(OR('奢侈品 Prices'!N43="",'奢侈品 Prices'!N$3=""),"",'奢侈品 Prices'!N43/'奢侈品 Prices'!N$3)</f>
        <v/>
      </c>
      <c r="O95" s="50">
        <f>IF(OR('奢侈品 Prices'!O43="",'奢侈品 Prices'!O$3=""),"",'奢侈品 Prices'!O43/'奢侈品 Prices'!O$3)</f>
        <v/>
      </c>
      <c r="P95" s="50">
        <f>IF(OR('奢侈品 Prices'!P43="",'奢侈品 Prices'!P$3=""),"",'奢侈品 Prices'!P43/'奢侈品 Prices'!P$3)</f>
        <v/>
      </c>
    </row>
    <row r="96">
      <c r="A96" s="49" t="n">
        <v>46276</v>
      </c>
      <c r="B96" s="50">
        <f>IF(OR('奢侈品 Prices'!B44="",'奢侈品 Prices'!B$3=""),"",'奢侈品 Prices'!B44/'奢侈品 Prices'!B$3)</f>
        <v/>
      </c>
      <c r="C96" s="50">
        <f>IF(OR('奢侈品 Prices'!C44="",'奢侈品 Prices'!C$3=""),"",'奢侈品 Prices'!C44/'奢侈品 Prices'!C$3)</f>
        <v/>
      </c>
      <c r="D96" s="50">
        <f>IF(OR('奢侈品 Prices'!D44="",'奢侈品 Prices'!D$3=""),"",'奢侈品 Prices'!D44/'奢侈品 Prices'!D$3)</f>
        <v/>
      </c>
      <c r="E96" s="50">
        <f>IF(OR('奢侈品 Prices'!E44="",'奢侈品 Prices'!E$3=""),"",'奢侈品 Prices'!E44/'奢侈品 Prices'!E$3)</f>
        <v/>
      </c>
      <c r="F96" s="50">
        <f>IF(OR('奢侈品 Prices'!F44="",'奢侈品 Prices'!F$3=""),"",'奢侈品 Prices'!F44/'奢侈品 Prices'!F$3)</f>
        <v/>
      </c>
      <c r="G96" s="50">
        <f>IF(OR('奢侈品 Prices'!G44="",'奢侈品 Prices'!G$3=""),"",'奢侈品 Prices'!G44/'奢侈品 Prices'!G$3)</f>
        <v/>
      </c>
      <c r="H96" s="50">
        <f>IF(OR('奢侈品 Prices'!H44="",'奢侈品 Prices'!H$3=""),"",'奢侈品 Prices'!H44/'奢侈品 Prices'!H$3)</f>
        <v/>
      </c>
      <c r="I96" s="50">
        <f>IF(OR('奢侈品 Prices'!I44="",'奢侈品 Prices'!I$3=""),"",'奢侈品 Prices'!I44/'奢侈品 Prices'!I$3)</f>
        <v/>
      </c>
      <c r="J96" s="50">
        <f>IF(OR('奢侈品 Prices'!J44="",'奢侈品 Prices'!J$3=""),"",'奢侈品 Prices'!J44/'奢侈品 Prices'!J$3)</f>
        <v/>
      </c>
      <c r="K96" s="50">
        <f>IF(OR('奢侈品 Prices'!K44="",'奢侈品 Prices'!K$3=""),"",'奢侈品 Prices'!K44/'奢侈品 Prices'!K$3)</f>
        <v/>
      </c>
      <c r="L96" s="50">
        <f>IF(OR('奢侈品 Prices'!L44="",'奢侈品 Prices'!L$3=""),"",'奢侈品 Prices'!L44/'奢侈品 Prices'!L$3)</f>
        <v/>
      </c>
      <c r="M96" s="50">
        <f>IF(OR('奢侈品 Prices'!M44="",'奢侈品 Prices'!M$3=""),"",'奢侈品 Prices'!M44/'奢侈品 Prices'!M$3)</f>
        <v/>
      </c>
      <c r="N96" s="50">
        <f>IF(OR('奢侈品 Prices'!N44="",'奢侈品 Prices'!N$3=""),"",'奢侈品 Prices'!N44/'奢侈品 Prices'!N$3)</f>
        <v/>
      </c>
      <c r="O96" s="50">
        <f>IF(OR('奢侈品 Prices'!O44="",'奢侈品 Prices'!O$3=""),"",'奢侈品 Prices'!O44/'奢侈品 Prices'!O$3)</f>
        <v/>
      </c>
      <c r="P96" s="50">
        <f>IF(OR('奢侈品 Prices'!P44="",'奢侈品 Prices'!P$3=""),"",'奢侈品 Prices'!P44/'奢侈品 Prices'!P$3)</f>
        <v/>
      </c>
    </row>
    <row r="97">
      <c r="A97" s="49" t="n">
        <v>46283</v>
      </c>
      <c r="B97" s="50">
        <f>IF(OR('奢侈品 Prices'!B45="",'奢侈品 Prices'!B$3=""),"",'奢侈品 Prices'!B45/'奢侈品 Prices'!B$3)</f>
        <v/>
      </c>
      <c r="C97" s="50">
        <f>IF(OR('奢侈品 Prices'!C45="",'奢侈品 Prices'!C$3=""),"",'奢侈品 Prices'!C45/'奢侈品 Prices'!C$3)</f>
        <v/>
      </c>
      <c r="D97" s="50">
        <f>IF(OR('奢侈品 Prices'!D45="",'奢侈品 Prices'!D$3=""),"",'奢侈品 Prices'!D45/'奢侈品 Prices'!D$3)</f>
        <v/>
      </c>
      <c r="E97" s="50">
        <f>IF(OR('奢侈品 Prices'!E45="",'奢侈品 Prices'!E$3=""),"",'奢侈品 Prices'!E45/'奢侈品 Prices'!E$3)</f>
        <v/>
      </c>
      <c r="F97" s="50">
        <f>IF(OR('奢侈品 Prices'!F45="",'奢侈品 Prices'!F$3=""),"",'奢侈品 Prices'!F45/'奢侈品 Prices'!F$3)</f>
        <v/>
      </c>
      <c r="G97" s="50">
        <f>IF(OR('奢侈品 Prices'!G45="",'奢侈品 Prices'!G$3=""),"",'奢侈品 Prices'!G45/'奢侈品 Prices'!G$3)</f>
        <v/>
      </c>
      <c r="H97" s="50">
        <f>IF(OR('奢侈品 Prices'!H45="",'奢侈品 Prices'!H$3=""),"",'奢侈品 Prices'!H45/'奢侈品 Prices'!H$3)</f>
        <v/>
      </c>
      <c r="I97" s="50">
        <f>IF(OR('奢侈品 Prices'!I45="",'奢侈品 Prices'!I$3=""),"",'奢侈品 Prices'!I45/'奢侈品 Prices'!I$3)</f>
        <v/>
      </c>
      <c r="J97" s="50">
        <f>IF(OR('奢侈品 Prices'!J45="",'奢侈品 Prices'!J$3=""),"",'奢侈品 Prices'!J45/'奢侈品 Prices'!J$3)</f>
        <v/>
      </c>
      <c r="K97" s="50">
        <f>IF(OR('奢侈品 Prices'!K45="",'奢侈品 Prices'!K$3=""),"",'奢侈品 Prices'!K45/'奢侈品 Prices'!K$3)</f>
        <v/>
      </c>
      <c r="L97" s="50">
        <f>IF(OR('奢侈品 Prices'!L45="",'奢侈品 Prices'!L$3=""),"",'奢侈品 Prices'!L45/'奢侈品 Prices'!L$3)</f>
        <v/>
      </c>
      <c r="M97" s="50">
        <f>IF(OR('奢侈品 Prices'!M45="",'奢侈品 Prices'!M$3=""),"",'奢侈品 Prices'!M45/'奢侈品 Prices'!M$3)</f>
        <v/>
      </c>
      <c r="N97" s="50">
        <f>IF(OR('奢侈品 Prices'!N45="",'奢侈品 Prices'!N$3=""),"",'奢侈品 Prices'!N45/'奢侈品 Prices'!N$3)</f>
        <v/>
      </c>
      <c r="O97" s="50">
        <f>IF(OR('奢侈品 Prices'!O45="",'奢侈品 Prices'!O$3=""),"",'奢侈品 Prices'!O45/'奢侈品 Prices'!O$3)</f>
        <v/>
      </c>
      <c r="P97" s="50">
        <f>IF(OR('奢侈品 Prices'!P45="",'奢侈品 Prices'!P$3=""),"",'奢侈品 Prices'!P45/'奢侈品 Prices'!P$3)</f>
        <v/>
      </c>
    </row>
    <row r="98">
      <c r="A98" s="49" t="n">
        <v>46290</v>
      </c>
      <c r="B98" s="50">
        <f>IF(OR('奢侈品 Prices'!B46="",'奢侈品 Prices'!B$3=""),"",'奢侈品 Prices'!B46/'奢侈品 Prices'!B$3)</f>
        <v/>
      </c>
      <c r="C98" s="50">
        <f>IF(OR('奢侈品 Prices'!C46="",'奢侈品 Prices'!C$3=""),"",'奢侈品 Prices'!C46/'奢侈品 Prices'!C$3)</f>
        <v/>
      </c>
      <c r="D98" s="50">
        <f>IF(OR('奢侈品 Prices'!D46="",'奢侈品 Prices'!D$3=""),"",'奢侈品 Prices'!D46/'奢侈品 Prices'!D$3)</f>
        <v/>
      </c>
      <c r="E98" s="50">
        <f>IF(OR('奢侈品 Prices'!E46="",'奢侈品 Prices'!E$3=""),"",'奢侈品 Prices'!E46/'奢侈品 Prices'!E$3)</f>
        <v/>
      </c>
      <c r="F98" s="50">
        <f>IF(OR('奢侈品 Prices'!F46="",'奢侈品 Prices'!F$3=""),"",'奢侈品 Prices'!F46/'奢侈品 Prices'!F$3)</f>
        <v/>
      </c>
      <c r="G98" s="50">
        <f>IF(OR('奢侈品 Prices'!G46="",'奢侈品 Prices'!G$3=""),"",'奢侈品 Prices'!G46/'奢侈品 Prices'!G$3)</f>
        <v/>
      </c>
      <c r="H98" s="50">
        <f>IF(OR('奢侈品 Prices'!H46="",'奢侈品 Prices'!H$3=""),"",'奢侈品 Prices'!H46/'奢侈品 Prices'!H$3)</f>
        <v/>
      </c>
      <c r="I98" s="50">
        <f>IF(OR('奢侈品 Prices'!I46="",'奢侈品 Prices'!I$3=""),"",'奢侈品 Prices'!I46/'奢侈品 Prices'!I$3)</f>
        <v/>
      </c>
      <c r="J98" s="50">
        <f>IF(OR('奢侈品 Prices'!J46="",'奢侈品 Prices'!J$3=""),"",'奢侈品 Prices'!J46/'奢侈品 Prices'!J$3)</f>
        <v/>
      </c>
      <c r="K98" s="50">
        <f>IF(OR('奢侈品 Prices'!K46="",'奢侈品 Prices'!K$3=""),"",'奢侈品 Prices'!K46/'奢侈品 Prices'!K$3)</f>
        <v/>
      </c>
      <c r="L98" s="50">
        <f>IF(OR('奢侈品 Prices'!L46="",'奢侈品 Prices'!L$3=""),"",'奢侈品 Prices'!L46/'奢侈品 Prices'!L$3)</f>
        <v/>
      </c>
      <c r="M98" s="50">
        <f>IF(OR('奢侈品 Prices'!M46="",'奢侈品 Prices'!M$3=""),"",'奢侈品 Prices'!M46/'奢侈品 Prices'!M$3)</f>
        <v/>
      </c>
      <c r="N98" s="50">
        <f>IF(OR('奢侈品 Prices'!N46="",'奢侈品 Prices'!N$3=""),"",'奢侈品 Prices'!N46/'奢侈品 Prices'!N$3)</f>
        <v/>
      </c>
      <c r="O98" s="50">
        <f>IF(OR('奢侈品 Prices'!O46="",'奢侈品 Prices'!O$3=""),"",'奢侈品 Prices'!O46/'奢侈品 Prices'!O$3)</f>
        <v/>
      </c>
      <c r="P98" s="50">
        <f>IF(OR('奢侈品 Prices'!P46="",'奢侈品 Prices'!P$3=""),"",'奢侈品 Prices'!P46/'奢侈品 Prices'!P$3)</f>
        <v/>
      </c>
    </row>
    <row r="99">
      <c r="A99" s="49" t="n">
        <v>46297</v>
      </c>
      <c r="B99" s="50">
        <f>IF(OR('奢侈品 Prices'!B99="",'奢侈品 Prices'!B$3=""),"",'奢侈品 Prices'!B99/'奢侈品 Prices'!B$3)</f>
        <v/>
      </c>
      <c r="C99" s="50">
        <f>IF(OR('奢侈品 Prices'!C99="",'奢侈品 Prices'!C$3=""),"",'奢侈品 Prices'!C99/'奢侈品 Prices'!C$3)</f>
        <v/>
      </c>
      <c r="D99" s="50">
        <f>IF(OR('奢侈品 Prices'!D99="",'奢侈品 Prices'!D$3=""),"",'奢侈品 Prices'!D99/'奢侈品 Prices'!D$3)</f>
        <v/>
      </c>
      <c r="E99" s="50">
        <f>IF(OR('奢侈品 Prices'!E99="",'奢侈品 Prices'!E$3=""),"",'奢侈品 Prices'!E99/'奢侈品 Prices'!E$3)</f>
        <v/>
      </c>
      <c r="F99" s="50">
        <f>IF(OR('奢侈品 Prices'!F99="",'奢侈品 Prices'!F$3=""),"",'奢侈品 Prices'!F99/'奢侈品 Prices'!F$3)</f>
        <v/>
      </c>
      <c r="G99" s="50">
        <f>IF(OR('奢侈品 Prices'!G99="",'奢侈品 Prices'!G$3=""),"",'奢侈品 Prices'!G99/'奢侈品 Prices'!G$3)</f>
        <v/>
      </c>
      <c r="H99" s="50">
        <f>IF(OR('奢侈品 Prices'!H99="",'奢侈品 Prices'!H$3=""),"",'奢侈品 Prices'!H99/'奢侈品 Prices'!H$3)</f>
        <v/>
      </c>
      <c r="I99" s="50">
        <f>IF(OR('奢侈品 Prices'!I99="",'奢侈品 Prices'!I$3=""),"",'奢侈品 Prices'!I99/'奢侈品 Prices'!I$3)</f>
        <v/>
      </c>
      <c r="J99" s="50">
        <f>IF(OR('奢侈品 Prices'!J99="",'奢侈品 Prices'!J$3=""),"",'奢侈品 Prices'!J99/'奢侈品 Prices'!J$3)</f>
        <v/>
      </c>
      <c r="K99" s="50">
        <f>IF(OR('奢侈品 Prices'!K99="",'奢侈品 Prices'!K$3=""),"",'奢侈品 Prices'!K99/'奢侈品 Prices'!K$3)</f>
        <v/>
      </c>
      <c r="L99" s="50">
        <f>IF(OR('奢侈品 Prices'!L99="",'奢侈品 Prices'!L$3=""),"",'奢侈品 Prices'!L99/'奢侈品 Prices'!L$3)</f>
        <v/>
      </c>
      <c r="M99" s="50">
        <f>IF(OR('奢侈品 Prices'!M99="",'奢侈品 Prices'!M$3=""),"",'奢侈品 Prices'!M99/'奢侈品 Prices'!M$3)</f>
        <v/>
      </c>
      <c r="N99" s="50">
        <f>IF(OR('奢侈品 Prices'!N99="",'奢侈品 Prices'!N$3=""),"",'奢侈品 Prices'!N99/'奢侈品 Prices'!N$3)</f>
        <v/>
      </c>
      <c r="O99" s="50">
        <f>IF(OR('奢侈品 Prices'!O99="",'奢侈品 Prices'!O$3=""),"",'奢侈品 Prices'!O99/'奢侈品 Prices'!O$3)</f>
        <v/>
      </c>
      <c r="P99" s="50">
        <f>IF(OR('奢侈品 Prices'!P99="",'奢侈品 Prices'!P$3=""),"",'奢侈品 Prices'!P99/'奢侈品 Prices'!P$3)</f>
        <v/>
      </c>
    </row>
    <row r="100">
      <c r="A100" s="49" t="n">
        <v>46304</v>
      </c>
      <c r="B100" s="50">
        <f>IF(OR('奢侈品 Prices'!B100="",'奢侈品 Prices'!B$3=""),"",'奢侈品 Prices'!B100/'奢侈品 Prices'!B$3)</f>
        <v/>
      </c>
      <c r="C100" s="50">
        <f>IF(OR('奢侈品 Prices'!C100="",'奢侈品 Prices'!C$3=""),"",'奢侈品 Prices'!C100/'奢侈品 Prices'!C$3)</f>
        <v/>
      </c>
      <c r="D100" s="50">
        <f>IF(OR('奢侈品 Prices'!D100="",'奢侈品 Prices'!D$3=""),"",'奢侈品 Prices'!D100/'奢侈品 Prices'!D$3)</f>
        <v/>
      </c>
      <c r="E100" s="50">
        <f>IF(OR('奢侈品 Prices'!E100="",'奢侈品 Prices'!E$3=""),"",'奢侈品 Prices'!E100/'奢侈品 Prices'!E$3)</f>
        <v/>
      </c>
      <c r="F100" s="50">
        <f>IF(OR('奢侈品 Prices'!F100="",'奢侈品 Prices'!F$3=""),"",'奢侈品 Prices'!F100/'奢侈品 Prices'!F$3)</f>
        <v/>
      </c>
      <c r="G100" s="50">
        <f>IF(OR('奢侈品 Prices'!G100="",'奢侈品 Prices'!G$3=""),"",'奢侈品 Prices'!G100/'奢侈品 Prices'!G$3)</f>
        <v/>
      </c>
      <c r="H100" s="50">
        <f>IF(OR('奢侈品 Prices'!H100="",'奢侈品 Prices'!H$3=""),"",'奢侈品 Prices'!H100/'奢侈品 Prices'!H$3)</f>
        <v/>
      </c>
      <c r="I100" s="50">
        <f>IF(OR('奢侈品 Prices'!I100="",'奢侈品 Prices'!I$3=""),"",'奢侈品 Prices'!I100/'奢侈品 Prices'!I$3)</f>
        <v/>
      </c>
      <c r="J100" s="50">
        <f>IF(OR('奢侈品 Prices'!J100="",'奢侈品 Prices'!J$3=""),"",'奢侈品 Prices'!J100/'奢侈品 Prices'!J$3)</f>
        <v/>
      </c>
      <c r="K100" s="50">
        <f>IF(OR('奢侈品 Prices'!K100="",'奢侈品 Prices'!K$3=""),"",'奢侈品 Prices'!K100/'奢侈品 Prices'!K$3)</f>
        <v/>
      </c>
      <c r="L100" s="50">
        <f>IF(OR('奢侈品 Prices'!L100="",'奢侈品 Prices'!L$3=""),"",'奢侈品 Prices'!L100/'奢侈品 Prices'!L$3)</f>
        <v/>
      </c>
      <c r="M100" s="50">
        <f>IF(OR('奢侈品 Prices'!M100="",'奢侈品 Prices'!M$3=""),"",'奢侈品 Prices'!M100/'奢侈品 Prices'!M$3)</f>
        <v/>
      </c>
      <c r="N100" s="50">
        <f>IF(OR('奢侈品 Prices'!N100="",'奢侈品 Prices'!N$3=""),"",'奢侈品 Prices'!N100/'奢侈品 Prices'!N$3)</f>
        <v/>
      </c>
      <c r="O100" s="50">
        <f>IF(OR('奢侈品 Prices'!O100="",'奢侈品 Prices'!O$3=""),"",'奢侈品 Prices'!O100/'奢侈品 Prices'!O$3)</f>
        <v/>
      </c>
      <c r="P100" s="50">
        <f>IF(OR('奢侈品 Prices'!P100="",'奢侈品 Prices'!P$3=""),"",'奢侈品 Prices'!P100/'奢侈品 Prices'!P$3)</f>
        <v/>
      </c>
    </row>
    <row r="101">
      <c r="A101" s="49" t="n">
        <v>46311</v>
      </c>
      <c r="B101" s="50">
        <f>IF(OR('奢侈品 Prices'!B101="",'奢侈品 Prices'!B$3=""),"",'奢侈品 Prices'!B101/'奢侈品 Prices'!B$3)</f>
        <v/>
      </c>
      <c r="C101" s="50">
        <f>IF(OR('奢侈品 Prices'!C101="",'奢侈品 Prices'!C$3=""),"",'奢侈品 Prices'!C101/'奢侈品 Prices'!C$3)</f>
        <v/>
      </c>
      <c r="D101" s="50">
        <f>IF(OR('奢侈品 Prices'!D101="",'奢侈品 Prices'!D$3=""),"",'奢侈品 Prices'!D101/'奢侈品 Prices'!D$3)</f>
        <v/>
      </c>
      <c r="E101" s="50">
        <f>IF(OR('奢侈品 Prices'!E101="",'奢侈品 Prices'!E$3=""),"",'奢侈品 Prices'!E101/'奢侈品 Prices'!E$3)</f>
        <v/>
      </c>
      <c r="F101" s="50">
        <f>IF(OR('奢侈品 Prices'!F101="",'奢侈品 Prices'!F$3=""),"",'奢侈品 Prices'!F101/'奢侈品 Prices'!F$3)</f>
        <v/>
      </c>
      <c r="G101" s="50">
        <f>IF(OR('奢侈品 Prices'!G101="",'奢侈品 Prices'!G$3=""),"",'奢侈品 Prices'!G101/'奢侈品 Prices'!G$3)</f>
        <v/>
      </c>
      <c r="H101" s="50">
        <f>IF(OR('奢侈品 Prices'!H101="",'奢侈品 Prices'!H$3=""),"",'奢侈品 Prices'!H101/'奢侈品 Prices'!H$3)</f>
        <v/>
      </c>
      <c r="I101" s="50">
        <f>IF(OR('奢侈品 Prices'!I101="",'奢侈品 Prices'!I$3=""),"",'奢侈品 Prices'!I101/'奢侈品 Prices'!I$3)</f>
        <v/>
      </c>
      <c r="J101" s="50">
        <f>IF(OR('奢侈品 Prices'!J101="",'奢侈品 Prices'!J$3=""),"",'奢侈品 Prices'!J101/'奢侈品 Prices'!J$3)</f>
        <v/>
      </c>
      <c r="K101" s="50">
        <f>IF(OR('奢侈品 Prices'!K101="",'奢侈品 Prices'!K$3=""),"",'奢侈品 Prices'!K101/'奢侈品 Prices'!K$3)</f>
        <v/>
      </c>
      <c r="L101" s="50">
        <f>IF(OR('奢侈品 Prices'!L101="",'奢侈品 Prices'!L$3=""),"",'奢侈品 Prices'!L101/'奢侈品 Prices'!L$3)</f>
        <v/>
      </c>
      <c r="M101" s="50">
        <f>IF(OR('奢侈品 Prices'!M101="",'奢侈品 Prices'!M$3=""),"",'奢侈品 Prices'!M101/'奢侈品 Prices'!M$3)</f>
        <v/>
      </c>
      <c r="N101" s="50">
        <f>IF(OR('奢侈品 Prices'!N101="",'奢侈品 Prices'!N$3=""),"",'奢侈品 Prices'!N101/'奢侈品 Prices'!N$3)</f>
        <v/>
      </c>
      <c r="O101" s="50">
        <f>IF(OR('奢侈品 Prices'!O101="",'奢侈品 Prices'!O$3=""),"",'奢侈品 Prices'!O101/'奢侈品 Prices'!O$3)</f>
        <v/>
      </c>
      <c r="P101" s="50">
        <f>IF(OR('奢侈品 Prices'!P101="",'奢侈品 Prices'!P$3=""),"",'奢侈品 Prices'!P101/'奢侈品 Prices'!P$3)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D8" sqref="D8"/>
    </sheetView>
  </sheetViews>
  <sheetFormatPr baseColWidth="8" defaultColWidth="9" defaultRowHeight="16.8"/>
  <cols>
    <col width="14" customWidth="1" min="1" max="1"/>
    <col width="12" customWidth="1" min="2" max="2"/>
    <col width="14" customWidth="1" min="3" max="4"/>
    <col width="8" customWidth="1" min="5" max="5"/>
    <col width="40" customWidth="1" min="6" max="6"/>
  </cols>
  <sheetData>
    <row r="1">
      <c r="A1" s="4" t="inlineStr">
        <is>
          <t>代码</t>
        </is>
      </c>
      <c r="B1" s="4" t="inlineStr">
        <is>
          <t>Yahoo</t>
        </is>
      </c>
      <c r="C1" s="4" t="inlineStr">
        <is>
          <t>Bloomberg</t>
        </is>
      </c>
      <c r="D1" s="4" t="inlineStr">
        <is>
          <t>区域</t>
        </is>
      </c>
      <c r="E1" s="4" t="inlineStr">
        <is>
          <t>状态</t>
        </is>
      </c>
      <c r="F1" s="4" t="inlineStr">
        <is>
          <t>备注</t>
        </is>
      </c>
    </row>
    <row r="2">
      <c r="A2" s="1" t="inlineStr">
        <is>
          <t>VFC</t>
        </is>
      </c>
      <c r="B2" s="1" t="inlineStr">
        <is>
          <t>VFC</t>
        </is>
      </c>
      <c r="C2" s="1" t="inlineStr">
        <is>
          <t>VFC US</t>
        </is>
      </c>
      <c r="D2" s="1" t="inlineStr">
        <is>
          <t>US</t>
        </is>
      </c>
      <c r="E2" s="1" t="inlineStr">
        <is>
          <t>OK</t>
        </is>
      </c>
      <c r="F2" s="1" t="inlineStr">
        <is>
          <t>V.F. Corporation</t>
        </is>
      </c>
    </row>
    <row r="3">
      <c r="A3" s="1" t="inlineStr">
        <is>
          <t>CFR</t>
        </is>
      </c>
      <c r="B3" s="1" t="inlineStr">
        <is>
          <t>CFR.SW</t>
        </is>
      </c>
      <c r="C3" s="1" t="inlineStr">
        <is>
          <t>CFR SW</t>
        </is>
      </c>
      <c r="D3" s="1" t="inlineStr">
        <is>
          <t>Europe</t>
        </is>
      </c>
      <c r="E3" s="1" t="inlineStr">
        <is>
          <t>OK</t>
        </is>
      </c>
      <c r="F3" s="1" t="inlineStr">
        <is>
          <t>Richemont 瑞士</t>
        </is>
      </c>
    </row>
    <row r="4">
      <c r="A4" s="1" t="inlineStr">
        <is>
          <t>1913.HK</t>
        </is>
      </c>
      <c r="B4" s="1" t="inlineStr">
        <is>
          <t>1913.HK</t>
        </is>
      </c>
      <c r="C4" s="1" t="inlineStr">
        <is>
          <t>1913 HK</t>
        </is>
      </c>
      <c r="D4" s="1" t="inlineStr">
        <is>
          <t>Asia</t>
        </is>
      </c>
      <c r="E4" s="1" t="inlineStr">
        <is>
          <t>OK</t>
        </is>
      </c>
      <c r="F4" s="1" t="inlineStr">
        <is>
          <t>Prada</t>
        </is>
      </c>
    </row>
    <row r="5">
      <c r="A5" s="1" t="inlineStr">
        <is>
          <t>MONC</t>
        </is>
      </c>
      <c r="B5" s="1" t="inlineStr">
        <is>
          <t>MONC.MI</t>
        </is>
      </c>
      <c r="C5" s="1" t="inlineStr">
        <is>
          <t>MONC IM</t>
        </is>
      </c>
      <c r="D5" s="1" t="inlineStr">
        <is>
          <t>Europe</t>
        </is>
      </c>
      <c r="E5" s="1" t="inlineStr">
        <is>
          <t>OK</t>
        </is>
      </c>
      <c r="F5" s="1" t="inlineStr">
        <is>
          <t>Moncler 米兰</t>
        </is>
      </c>
    </row>
    <row r="6">
      <c r="A6" s="1" t="inlineStr">
        <is>
          <t>KER</t>
        </is>
      </c>
      <c r="B6" s="1" t="inlineStr">
        <is>
          <t>KER.PA</t>
        </is>
      </c>
      <c r="C6" s="1" t="inlineStr">
        <is>
          <t>KER FP</t>
        </is>
      </c>
      <c r="D6" s="1" t="inlineStr">
        <is>
          <t>Europe</t>
        </is>
      </c>
      <c r="E6" s="1" t="inlineStr">
        <is>
          <t>OK</t>
        </is>
      </c>
      <c r="F6" s="1" t="inlineStr">
        <is>
          <t>Kering 巴黎</t>
        </is>
      </c>
    </row>
    <row r="7">
      <c r="A7" s="1" t="inlineStr">
        <is>
          <t>SFER</t>
        </is>
      </c>
      <c r="B7" s="1" t="inlineStr">
        <is>
          <t>SFER.MI</t>
        </is>
      </c>
      <c r="C7" s="1" t="inlineStr">
        <is>
          <t>SFER IM</t>
        </is>
      </c>
      <c r="D7" s="1" t="inlineStr">
        <is>
          <t>Europe</t>
        </is>
      </c>
      <c r="E7" s="1" t="inlineStr">
        <is>
          <t>OK</t>
        </is>
      </c>
      <c r="F7" s="1" t="inlineStr">
        <is>
          <t>Ferragamo 米兰</t>
        </is>
      </c>
    </row>
    <row r="8">
      <c r="A8" s="1" t="inlineStr">
        <is>
          <t>RACE</t>
        </is>
      </c>
      <c r="B8" s="1" t="inlineStr">
        <is>
          <t>RACE</t>
        </is>
      </c>
      <c r="C8" s="1" t="inlineStr">
        <is>
          <t>RACE US</t>
        </is>
      </c>
      <c r="D8" s="1" t="inlineStr">
        <is>
          <t>US</t>
        </is>
      </c>
      <c r="E8" s="1" t="inlineStr">
        <is>
          <t>OK</t>
        </is>
      </c>
      <c r="F8" s="1" t="inlineStr">
        <is>
          <t>Ferrari</t>
        </is>
      </c>
    </row>
    <row r="9">
      <c r="A9" s="1" t="inlineStr">
        <is>
          <t>RMS</t>
        </is>
      </c>
      <c r="B9" s="1" t="inlineStr">
        <is>
          <t>RMS.PA</t>
        </is>
      </c>
      <c r="C9" s="1" t="inlineStr">
        <is>
          <t>RMS FP</t>
        </is>
      </c>
      <c r="D9" s="1" t="inlineStr">
        <is>
          <t>Europe</t>
        </is>
      </c>
      <c r="E9" s="1" t="inlineStr">
        <is>
          <t>OK</t>
        </is>
      </c>
      <c r="F9" s="1" t="inlineStr">
        <is>
          <t>Hermès 巴黎</t>
        </is>
      </c>
    </row>
    <row r="10">
      <c r="A10" s="1" t="inlineStr">
        <is>
          <t>MC</t>
        </is>
      </c>
      <c r="B10" s="1" t="inlineStr">
        <is>
          <t>MC.PA</t>
        </is>
      </c>
      <c r="C10" s="1" t="inlineStr">
        <is>
          <t>MC FP</t>
        </is>
      </c>
      <c r="D10" s="1" t="inlineStr">
        <is>
          <t>Europe</t>
        </is>
      </c>
      <c r="E10" s="1" t="inlineStr">
        <is>
          <t>OK</t>
        </is>
      </c>
      <c r="F10" s="1" t="inlineStr">
        <is>
          <t>LVMH 巴黎</t>
        </is>
      </c>
    </row>
    <row r="11">
      <c r="A11" s="1" t="inlineStr">
        <is>
          <t>BRBY</t>
        </is>
      </c>
      <c r="B11" s="1" t="inlineStr">
        <is>
          <t>BRBY.L</t>
        </is>
      </c>
      <c r="C11" s="1" t="inlineStr">
        <is>
          <t>BRBY LN</t>
        </is>
      </c>
      <c r="D11" s="1" t="inlineStr">
        <is>
          <t>Europe</t>
        </is>
      </c>
      <c r="E11" s="1" t="inlineStr">
        <is>
          <t>OK</t>
        </is>
      </c>
      <c r="F11" s="1" t="inlineStr">
        <is>
          <t>Burberry 伦敦</t>
        </is>
      </c>
    </row>
    <row r="12">
      <c r="A12" s="1" t="inlineStr">
        <is>
          <t>CPRI</t>
        </is>
      </c>
      <c r="B12" s="1" t="inlineStr">
        <is>
          <t>CPRI</t>
        </is>
      </c>
      <c r="C12" s="1" t="inlineStr">
        <is>
          <t>CPRI US</t>
        </is>
      </c>
      <c r="D12" s="1" t="inlineStr">
        <is>
          <t>US</t>
        </is>
      </c>
      <c r="E12" s="1" t="inlineStr">
        <is>
          <t>OK</t>
        </is>
      </c>
      <c r="F12" s="1" t="inlineStr">
        <is>
          <t>Capri Holdings</t>
        </is>
      </c>
    </row>
    <row r="13">
      <c r="A13" s="1" t="inlineStr">
        <is>
          <t>PVH</t>
        </is>
      </c>
      <c r="B13" s="1" t="inlineStr">
        <is>
          <t>PVH</t>
        </is>
      </c>
      <c r="C13" s="1" t="inlineStr">
        <is>
          <t>PVH US</t>
        </is>
      </c>
      <c r="D13" s="1" t="inlineStr">
        <is>
          <t>US</t>
        </is>
      </c>
      <c r="E13" s="1" t="inlineStr">
        <is>
          <t>OK</t>
        </is>
      </c>
      <c r="F13" s="1" t="inlineStr">
        <is>
          <t>PVH Corp</t>
        </is>
      </c>
    </row>
    <row r="14">
      <c r="A14" s="1" t="inlineStr">
        <is>
          <t>TPR</t>
        </is>
      </c>
      <c r="B14" s="1" t="inlineStr">
        <is>
          <t>TPR</t>
        </is>
      </c>
      <c r="C14" s="1" t="inlineStr">
        <is>
          <t>TPR US</t>
        </is>
      </c>
      <c r="D14" s="1" t="inlineStr">
        <is>
          <t>US</t>
        </is>
      </c>
      <c r="E14" s="1" t="inlineStr">
        <is>
          <t>OK</t>
        </is>
      </c>
      <c r="F14" s="1" t="inlineStr">
        <is>
          <t>Tapestry</t>
        </is>
      </c>
    </row>
    <row r="15">
      <c r="A15" s="1" t="inlineStr">
        <is>
          <t>GOOS</t>
        </is>
      </c>
      <c r="B15" s="1" t="inlineStr">
        <is>
          <t>GOOS.TO</t>
        </is>
      </c>
      <c r="C15" s="1" t="inlineStr">
        <is>
          <t>GOOS CT</t>
        </is>
      </c>
      <c r="D15" s="1" t="inlineStr">
        <is>
          <t>North America</t>
        </is>
      </c>
      <c r="E15" s="1" t="inlineStr">
        <is>
          <t>OK</t>
        </is>
      </c>
      <c r="F15" s="1" t="inlineStr">
        <is>
          <t>Canada Goose 多伦多</t>
        </is>
      </c>
    </row>
    <row r="16">
      <c r="A16" s="1" t="inlineStr">
        <is>
          <t>ZGN</t>
        </is>
      </c>
      <c r="B16" s="1" t="inlineStr">
        <is>
          <t>ZGN</t>
        </is>
      </c>
      <c r="C16" s="1" t="inlineStr">
        <is>
          <t>ZGN US</t>
        </is>
      </c>
      <c r="D16" s="1" t="inlineStr">
        <is>
          <t>US</t>
        </is>
      </c>
      <c r="E16" s="1" t="inlineStr">
        <is>
          <t>OK</t>
        </is>
      </c>
      <c r="F16" s="1" t="inlineStr">
        <is>
          <t>Zegna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3"/>
  <sheetViews>
    <sheetView zoomScale="83" zoomScaleNormal="83" workbookViewId="0">
      <pane xSplit="1" ySplit="2" topLeftCell="B3" activePane="bottomRight" state="frozen"/>
      <selection activeCell="A1" sqref="A1"/>
      <selection pane="topRight" activeCell="A1" sqref="A1"/>
      <selection pane="bottomLeft" activeCell="A1" sqref="A1"/>
      <selection pane="bottomRight" activeCell="H13" sqref="H13"/>
    </sheetView>
  </sheetViews>
  <sheetFormatPr baseColWidth="8" defaultColWidth="9" defaultRowHeight="16.8"/>
  <cols>
    <col width="92.4615384615385" customWidth="1" style="13" min="1" max="1"/>
    <col width="18" customWidth="1" min="2" max="2"/>
    <col width="16" customWidth="1" min="3" max="3"/>
  </cols>
  <sheetData>
    <row r="1">
      <c r="A1" s="14" t="inlineStr">
        <is>
          <t>行业等权指数（归一化简单平均，基期 = 1）</t>
        </is>
      </c>
    </row>
    <row r="2">
      <c r="A2" s="5" t="inlineStr">
        <is>
          <t>Date</t>
        </is>
      </c>
      <c r="B2" s="4" t="inlineStr">
        <is>
          <t>运动服饰等权指数</t>
        </is>
      </c>
      <c r="C2" s="4" t="inlineStr">
        <is>
          <t>奢侈品等权指数</t>
        </is>
      </c>
    </row>
    <row r="3">
      <c r="A3" s="51" t="n">
        <v>45628</v>
      </c>
      <c r="B3" t="n">
        <v>1.2199</v>
      </c>
      <c r="C3" t="n">
        <v>0.8972</v>
      </c>
    </row>
    <row r="4">
      <c r="A4" s="51" t="n">
        <v>45635</v>
      </c>
      <c r="B4" t="n">
        <v>1.2472</v>
      </c>
      <c r="C4" t="n">
        <v>0.9394</v>
      </c>
    </row>
    <row r="5">
      <c r="A5" s="51" t="n">
        <v>45642</v>
      </c>
      <c r="B5" t="n">
        <v>1.248</v>
      </c>
      <c r="C5" t="n">
        <v>0.9412</v>
      </c>
    </row>
    <row r="6">
      <c r="A6" s="51" t="n">
        <v>45649</v>
      </c>
      <c r="B6" t="n">
        <v>1.2257</v>
      </c>
      <c r="C6" t="n">
        <v>0.9367</v>
      </c>
    </row>
    <row r="7">
      <c r="A7" s="51" t="n">
        <v>45656</v>
      </c>
      <c r="B7" t="n">
        <v>1.2108</v>
      </c>
      <c r="C7" t="n">
        <v>0.9305</v>
      </c>
    </row>
    <row r="8">
      <c r="A8" s="51" t="n">
        <v>45663</v>
      </c>
      <c r="B8" t="n">
        <v>1.2128</v>
      </c>
      <c r="C8" t="n">
        <v>0.9344</v>
      </c>
    </row>
    <row r="9">
      <c r="A9" s="51" t="n">
        <v>45670</v>
      </c>
      <c r="B9" t="n">
        <v>1.1826</v>
      </c>
      <c r="C9" t="n">
        <v>0.9358</v>
      </c>
    </row>
    <row r="10">
      <c r="A10" s="51" t="n">
        <v>45677</v>
      </c>
      <c r="B10" t="n">
        <v>1.1945</v>
      </c>
      <c r="C10" t="n">
        <v>0.9746</v>
      </c>
    </row>
    <row r="11">
      <c r="A11" s="51" t="n">
        <v>45684</v>
      </c>
      <c r="B11" t="n">
        <v>1.217</v>
      </c>
      <c r="C11" t="n">
        <v>1.0345</v>
      </c>
    </row>
    <row r="12">
      <c r="A12" s="51" t="n">
        <v>45691</v>
      </c>
      <c r="B12" t="n">
        <v>1.1736</v>
      </c>
      <c r="C12" t="n">
        <v>1.0109</v>
      </c>
    </row>
    <row r="13">
      <c r="A13" s="51" t="n">
        <v>45698</v>
      </c>
      <c r="B13" t="n">
        <v>1.1267</v>
      </c>
      <c r="C13" t="n">
        <v>1.0003</v>
      </c>
    </row>
    <row r="14">
      <c r="A14" s="51" t="n">
        <v>45705</v>
      </c>
      <c r="B14" t="n">
        <v>1.132</v>
      </c>
      <c r="C14" t="n">
        <v>1.0557</v>
      </c>
    </row>
    <row r="15">
      <c r="A15" s="51" t="n">
        <v>45712</v>
      </c>
      <c r="B15" t="n">
        <v>1.1053</v>
      </c>
      <c r="C15" t="n">
        <v>1.0357</v>
      </c>
    </row>
    <row r="16">
      <c r="A16" s="51" t="n">
        <v>45719</v>
      </c>
      <c r="B16" t="n">
        <v>1.0575</v>
      </c>
      <c r="C16" t="n">
        <v>1.0242</v>
      </c>
    </row>
    <row r="17">
      <c r="A17" s="51" t="n">
        <v>45726</v>
      </c>
      <c r="B17" t="n">
        <v>1.0387</v>
      </c>
      <c r="C17" t="n">
        <v>0.9151</v>
      </c>
    </row>
    <row r="18">
      <c r="A18" s="51" t="n">
        <v>45733</v>
      </c>
      <c r="B18" t="n">
        <v>1.0344</v>
      </c>
      <c r="C18" t="n">
        <v>0.8879</v>
      </c>
    </row>
    <row r="19">
      <c r="A19" s="51" t="n">
        <v>45740</v>
      </c>
      <c r="B19" t="n">
        <v>1.0251</v>
      </c>
      <c r="C19" t="n">
        <v>0.8767</v>
      </c>
    </row>
    <row r="20">
      <c r="A20" s="51" t="n">
        <v>45747</v>
      </c>
      <c r="B20" t="n">
        <v>0.9724</v>
      </c>
      <c r="C20" t="n">
        <v>0.8333</v>
      </c>
    </row>
    <row r="21">
      <c r="A21" s="51" t="n">
        <v>45754</v>
      </c>
      <c r="B21" t="n">
        <v>0.854</v>
      </c>
      <c r="C21" t="n">
        <v>0.7159</v>
      </c>
    </row>
    <row r="22">
      <c r="A22" s="51" t="n">
        <v>45761</v>
      </c>
      <c r="B22" t="n">
        <v>0.8853</v>
      </c>
      <c r="C22" t="n">
        <v>0.7595</v>
      </c>
    </row>
    <row r="23">
      <c r="A23" s="51" t="n">
        <v>45768</v>
      </c>
      <c r="B23" t="n">
        <v>0.875</v>
      </c>
      <c r="C23" t="n">
        <v>0.7393999999999999</v>
      </c>
    </row>
    <row r="24">
      <c r="A24" s="51" t="n">
        <v>45775</v>
      </c>
      <c r="B24" t="n">
        <v>0.9265</v>
      </c>
      <c r="C24" t="n">
        <v>0.7892</v>
      </c>
    </row>
    <row r="25">
      <c r="A25" s="51" t="n">
        <v>45782</v>
      </c>
      <c r="B25" t="n">
        <v>0.9500999999999999</v>
      </c>
      <c r="C25" t="n">
        <v>0.7995</v>
      </c>
    </row>
    <row r="26">
      <c r="A26" s="51" t="n">
        <v>45789</v>
      </c>
      <c r="B26" t="n">
        <v>1.0365</v>
      </c>
      <c r="C26" t="n">
        <v>0.8636</v>
      </c>
    </row>
    <row r="27">
      <c r="A27" s="51" t="n">
        <v>45796</v>
      </c>
      <c r="B27" t="n">
        <v>1.0418</v>
      </c>
      <c r="C27" t="n">
        <v>0.8782</v>
      </c>
    </row>
    <row r="28">
      <c r="A28" s="51" t="n">
        <v>45803</v>
      </c>
      <c r="B28" t="n">
        <v>1.0143</v>
      </c>
      <c r="C28" t="n">
        <v>0.8498</v>
      </c>
    </row>
    <row r="29">
      <c r="A29" s="51" t="n">
        <v>45810</v>
      </c>
      <c r="B29" t="n">
        <v>1.003</v>
      </c>
      <c r="C29" t="n">
        <v>0.8534</v>
      </c>
    </row>
    <row r="30">
      <c r="A30" s="51" t="n">
        <v>45817</v>
      </c>
      <c r="B30" t="n">
        <v>1.0116</v>
      </c>
      <c r="C30" t="n">
        <v>0.8408</v>
      </c>
    </row>
    <row r="31">
      <c r="A31" s="51" t="n">
        <v>45824</v>
      </c>
      <c r="B31" t="n">
        <v>0.9886</v>
      </c>
      <c r="C31" t="n">
        <v>0.8381</v>
      </c>
    </row>
    <row r="32">
      <c r="A32" s="51" t="n">
        <v>45831</v>
      </c>
      <c r="B32" t="n">
        <v>0.9671999999999999</v>
      </c>
      <c r="C32" t="n">
        <v>0.8075</v>
      </c>
    </row>
    <row r="33">
      <c r="A33" s="51" t="n">
        <v>45838</v>
      </c>
      <c r="B33" t="n">
        <v>1.0012</v>
      </c>
      <c r="C33" t="n">
        <v>0.8352000000000001</v>
      </c>
    </row>
    <row r="34">
      <c r="A34" s="51" t="n">
        <v>45845</v>
      </c>
      <c r="B34" t="n">
        <v>1.0247</v>
      </c>
      <c r="C34" t="n">
        <v>0.8742</v>
      </c>
    </row>
    <row r="35">
      <c r="A35" s="51" t="n">
        <v>45852</v>
      </c>
      <c r="B35" t="n">
        <v>1.0047</v>
      </c>
      <c r="C35" t="n">
        <v>0.8819</v>
      </c>
    </row>
    <row r="36">
      <c r="A36" s="51" t="n">
        <v>45859</v>
      </c>
      <c r="B36" t="n">
        <v>1.0216</v>
      </c>
      <c r="C36" t="n">
        <v>0.8893</v>
      </c>
    </row>
    <row r="37">
      <c r="A37" s="51" t="n">
        <v>45866</v>
      </c>
      <c r="B37" t="n">
        <v>1.0393</v>
      </c>
      <c r="C37" t="n">
        <v>0.9028</v>
      </c>
    </row>
    <row r="38">
      <c r="A38" s="51" t="n">
        <v>45873</v>
      </c>
      <c r="B38" t="n">
        <v>0.9844000000000001</v>
      </c>
      <c r="C38" t="n">
        <v>0.8342000000000001</v>
      </c>
    </row>
    <row r="39">
      <c r="A39" s="51" t="n">
        <v>45880</v>
      </c>
      <c r="B39" t="n">
        <v>0.9613</v>
      </c>
      <c r="C39" t="n">
        <v>0.8114</v>
      </c>
    </row>
    <row r="40">
      <c r="A40" s="51" t="n">
        <v>45887</v>
      </c>
      <c r="B40" t="n">
        <v>1.0139</v>
      </c>
      <c r="C40" t="n">
        <v>0.828</v>
      </c>
    </row>
    <row r="41">
      <c r="A41" s="51" t="n">
        <v>45894</v>
      </c>
      <c r="B41" t="n">
        <v>1.0517</v>
      </c>
      <c r="C41" t="n">
        <v>0.8554</v>
      </c>
    </row>
    <row r="42">
      <c r="A42" s="51" t="n">
        <v>45901</v>
      </c>
      <c r="B42" t="n">
        <v>1.0493</v>
      </c>
      <c r="C42" t="n">
        <v>0.8831</v>
      </c>
    </row>
    <row r="43">
      <c r="A43" s="51" t="n">
        <v>45908</v>
      </c>
      <c r="B43" t="n">
        <v>1.0615</v>
      </c>
      <c r="C43" t="n">
        <v>0.8997000000000001</v>
      </c>
    </row>
    <row r="44">
      <c r="A44" s="51" t="n">
        <v>45915</v>
      </c>
      <c r="B44" t="n">
        <v>1.0442</v>
      </c>
      <c r="C44" t="n">
        <v>0.9061</v>
      </c>
    </row>
    <row r="45">
      <c r="A45" s="51" t="n">
        <v>45922</v>
      </c>
      <c r="B45" t="n">
        <v>1.0315</v>
      </c>
      <c r="C45" t="n">
        <v>0.9122</v>
      </c>
    </row>
    <row r="46">
      <c r="A46" s="51" t="n">
        <v>45929</v>
      </c>
      <c r="B46" t="n">
        <v>1.0128</v>
      </c>
      <c r="C46" t="n">
        <v>0.9204</v>
      </c>
    </row>
    <row r="47">
      <c r="A47" s="51" t="n">
        <v>45936</v>
      </c>
      <c r="B47" t="n">
        <v>1.0184</v>
      </c>
      <c r="C47" t="n">
        <v>0.9461000000000001</v>
      </c>
    </row>
    <row r="48">
      <c r="A48" s="51" t="n">
        <v>45943</v>
      </c>
      <c r="B48" t="n">
        <v>0.9887</v>
      </c>
      <c r="C48" t="n">
        <v>0.8966</v>
      </c>
    </row>
    <row r="49">
      <c r="A49" s="51" t="n">
        <v>45950</v>
      </c>
      <c r="B49" t="n">
        <v>1.0024</v>
      </c>
      <c r="C49" t="n">
        <v>0.956</v>
      </c>
    </row>
    <row r="50">
      <c r="A50" s="51" t="n">
        <v>45957</v>
      </c>
      <c r="B50" t="n">
        <v>1.0261</v>
      </c>
      <c r="C50" t="n">
        <v>0.9936</v>
      </c>
    </row>
    <row r="51">
      <c r="A51" s="51" t="n">
        <v>45964</v>
      </c>
      <c r="B51" t="n">
        <v>0.9441000000000001</v>
      </c>
      <c r="C51" t="n">
        <v>0.9388</v>
      </c>
    </row>
    <row r="52">
      <c r="A52" s="51" t="n">
        <v>45971</v>
      </c>
      <c r="B52" t="n">
        <v>0.9376</v>
      </c>
      <c r="C52" t="n">
        <v>0.9483</v>
      </c>
    </row>
    <row r="53">
      <c r="A53" s="51" t="n">
        <v>45978</v>
      </c>
      <c r="B53" t="n">
        <v>0.9315</v>
      </c>
      <c r="C53" t="n">
        <v>0.9452</v>
      </c>
    </row>
    <row r="54">
      <c r="A54" s="51" t="n">
        <v>45985</v>
      </c>
      <c r="B54" t="n">
        <v>0.9444</v>
      </c>
      <c r="C54" t="n">
        <v>0.9543</v>
      </c>
    </row>
    <row r="55">
      <c r="A55" s="52" t="n">
        <v>45992</v>
      </c>
      <c r="B55" s="53" t="n">
        <v>1</v>
      </c>
      <c r="C55" s="53" t="n">
        <v>1</v>
      </c>
    </row>
    <row r="56">
      <c r="A56" s="52" t="n">
        <v>45996</v>
      </c>
      <c r="B56" s="53" t="n">
        <v>1.0058</v>
      </c>
      <c r="C56" s="53" t="n">
        <v>1.0003</v>
      </c>
    </row>
    <row r="57">
      <c r="A57" s="52" t="n">
        <v>46003</v>
      </c>
      <c r="B57" s="53" t="n">
        <v>1.0118</v>
      </c>
      <c r="C57" s="53" t="n">
        <v>0.991</v>
      </c>
    </row>
    <row r="58">
      <c r="A58" s="52" t="n">
        <v>46010</v>
      </c>
      <c r="B58" s="53" t="n">
        <v>1.0135</v>
      </c>
      <c r="C58" s="53" t="n">
        <v>0.9925</v>
      </c>
    </row>
    <row r="59">
      <c r="A59" s="52" t="n">
        <v>46017</v>
      </c>
      <c r="B59" s="53" t="n">
        <v>1.009</v>
      </c>
      <c r="C59" s="53" t="n">
        <v>0.9862</v>
      </c>
    </row>
    <row r="60">
      <c r="A60" s="52" t="n">
        <v>46024</v>
      </c>
      <c r="B60" s="53" t="n">
        <v>1.0053</v>
      </c>
      <c r="C60" s="53" t="n">
        <v>0.9895</v>
      </c>
    </row>
    <row r="61">
      <c r="A61" s="52" t="n">
        <v>46031</v>
      </c>
      <c r="B61" s="53" t="n">
        <v>1.0389</v>
      </c>
      <c r="C61" s="53" t="n">
        <v>1.0087</v>
      </c>
    </row>
    <row r="62">
      <c r="A62" s="52" t="n">
        <v>46038</v>
      </c>
      <c r="B62" s="53" t="n">
        <v>1.0146</v>
      </c>
      <c r="C62" s="53" t="n">
        <v>0.9516</v>
      </c>
    </row>
    <row r="63">
      <c r="A63" s="52" t="n">
        <v>46045</v>
      </c>
      <c r="B63" s="53" t="n">
        <v>1.0026</v>
      </c>
      <c r="C63" s="53" t="n">
        <v>0.9318</v>
      </c>
    </row>
    <row r="64">
      <c r="A64" s="52" t="n">
        <v>46052</v>
      </c>
      <c r="B64" s="53" t="n">
        <v>0.9963</v>
      </c>
      <c r="C64" s="53" t="n">
        <v>0.8901</v>
      </c>
    </row>
    <row r="65">
      <c r="A65" s="52" t="n">
        <v>46059</v>
      </c>
      <c r="B65" s="53" t="n">
        <v>1.0307</v>
      </c>
      <c r="C65" s="53" t="n">
        <v>0.9173</v>
      </c>
    </row>
    <row r="66">
      <c r="A66" s="52" t="n">
        <v>46066</v>
      </c>
      <c r="B66" s="53" t="n">
        <v>1.0536</v>
      </c>
      <c r="C66" s="53" t="n">
        <v>0.9505</v>
      </c>
    </row>
    <row r="67">
      <c r="A67" s="52" t="n">
        <v>46073</v>
      </c>
      <c r="B67" s="53" t="n">
        <v>1.0845</v>
      </c>
      <c r="C67" s="53" t="n">
        <v>0.9787</v>
      </c>
    </row>
    <row r="68">
      <c r="A68" s="52" t="n">
        <v>46080</v>
      </c>
      <c r="B68" s="53" t="n">
        <v>1.0548</v>
      </c>
      <c r="C68" s="53" t="n">
        <v>0.9613</v>
      </c>
    </row>
    <row r="69">
      <c r="A69" s="52" t="n">
        <v>46087</v>
      </c>
      <c r="B69" s="53" t="n">
        <v>0.9858</v>
      </c>
      <c r="C69" s="53" t="n">
        <v>0.8825</v>
      </c>
    </row>
    <row r="70">
      <c r="A70" s="52" t="n">
        <v>46094</v>
      </c>
      <c r="B70" s="53" t="n">
        <v>0.9417</v>
      </c>
      <c r="C70" s="53" t="n">
        <v>0.8546</v>
      </c>
    </row>
    <row r="71">
      <c r="A71" s="52" t="n">
        <v>46101</v>
      </c>
      <c r="B71" s="53" t="n">
        <v>0.9267</v>
      </c>
      <c r="C71" s="53" t="n">
        <v>0.8292</v>
      </c>
    </row>
    <row r="72">
      <c r="A72" s="52" t="n">
        <v>46108</v>
      </c>
      <c r="B72" s="53" t="n">
        <v>0.9197</v>
      </c>
      <c r="C72" s="53" t="n">
        <v>0.8336</v>
      </c>
    </row>
    <row r="73">
      <c r="A73" s="52" t="n">
        <v>46115</v>
      </c>
      <c r="B73" s="53" t="n">
        <v>0.945</v>
      </c>
      <c r="C73" s="53" t="n">
        <v>0.8768</v>
      </c>
    </row>
    <row r="74">
      <c r="A74" s="52" t="n">
        <v>46122</v>
      </c>
      <c r="B74" s="53" t="n">
        <v>1.0096</v>
      </c>
      <c r="C74" s="53" t="n">
        <v>0.9371</v>
      </c>
    </row>
    <row r="75">
      <c r="A75" s="52" t="n">
        <v>46129</v>
      </c>
      <c r="B75" s="53" t="n">
        <v>1.0459</v>
      </c>
      <c r="C75" s="53" t="n">
        <v>0.9707</v>
      </c>
    </row>
    <row r="76">
      <c r="A76" s="52" t="n">
        <v>46136</v>
      </c>
      <c r="B76" s="53" t="n">
        <v>1.0068</v>
      </c>
      <c r="C76" s="53" t="n">
        <v>0.9328</v>
      </c>
    </row>
    <row r="77">
      <c r="A77" s="52" t="n">
        <v>46143</v>
      </c>
      <c r="B77" s="53" t="n">
        <v>1.0043</v>
      </c>
      <c r="C77" s="53" t="n">
        <v>0.9095</v>
      </c>
    </row>
    <row r="78">
      <c r="A78" s="52" t="n">
        <v>46150</v>
      </c>
      <c r="B78" s="53" t="n">
        <v>1.0066</v>
      </c>
      <c r="C78" s="53" t="n">
        <v>0.9393</v>
      </c>
    </row>
    <row r="79">
      <c r="A79" s="52" t="n">
        <v>46157</v>
      </c>
      <c r="B79" s="53" t="n">
        <v>0.9469</v>
      </c>
      <c r="C79" s="53" t="n">
        <v>0.8568</v>
      </c>
    </row>
    <row r="80">
      <c r="A80" s="52" t="n">
        <v>46164</v>
      </c>
      <c r="B80" s="53" t="n">
        <v>0.9905</v>
      </c>
      <c r="C80" s="53" t="n">
        <v>0.9033</v>
      </c>
    </row>
    <row r="81">
      <c r="A81" s="52" t="n">
        <v>46171</v>
      </c>
      <c r="B81" s="53" t="n">
        <v>1.0168</v>
      </c>
      <c r="C81" s="53" t="n">
        <v>0.9533</v>
      </c>
    </row>
    <row r="82">
      <c r="A82" s="52" t="n">
        <v>46178</v>
      </c>
      <c r="B82" s="53" t="n">
        <v>0.9926</v>
      </c>
      <c r="C82" s="53" t="n">
        <v>0.9253</v>
      </c>
    </row>
    <row r="83">
      <c r="A83" s="52" t="n">
        <v>46185</v>
      </c>
      <c r="B83" s="53" t="n">
        <v>1.0493</v>
      </c>
      <c r="C83" s="53" t="n">
        <v>0.9739</v>
      </c>
    </row>
    <row r="84">
      <c r="A84" s="52" t="n">
        <v>46192</v>
      </c>
      <c r="B84" s="53" t="n">
        <v>1.0218</v>
      </c>
      <c r="C84" s="53" t="n">
        <v>0.9574</v>
      </c>
    </row>
    <row r="85">
      <c r="A85" s="52" t="n">
        <v>46199</v>
      </c>
      <c r="B85" s="53" t="n">
        <v>1.0168</v>
      </c>
      <c r="C85" s="53" t="n">
        <v>0.9515</v>
      </c>
    </row>
    <row r="86">
      <c r="A86" s="52" t="n">
        <v>46206</v>
      </c>
      <c r="B86" s="53" t="n">
        <v>1.0272</v>
      </c>
      <c r="C86" s="53" t="n">
        <v>0.9396</v>
      </c>
    </row>
    <row r="87">
      <c r="A87" s="52" t="n">
        <v>46213</v>
      </c>
      <c r="B87" s="53" t="n">
        <v>1.0312</v>
      </c>
      <c r="C87" s="53" t="n">
        <v>0.9361</v>
      </c>
    </row>
    <row r="88">
      <c r="A88" s="52" t="n">
        <v>46220</v>
      </c>
      <c r="B88" s="53" t="n">
        <v>1.0469</v>
      </c>
      <c r="C88" s="53" t="n">
        <v>0.9471000000000001</v>
      </c>
    </row>
    <row r="89">
      <c r="A89" s="52" t="n">
        <v>46227</v>
      </c>
      <c r="B89" s="53" t="n">
        <v>1.0282</v>
      </c>
      <c r="C89" s="53" t="n">
        <v>0.9264</v>
      </c>
    </row>
    <row r="90">
      <c r="A90" s="52" t="n">
        <v>46234</v>
      </c>
      <c r="B90" s="53" t="n">
        <v>1.0549</v>
      </c>
      <c r="C90" s="53" t="n">
        <v>0.9593</v>
      </c>
    </row>
    <row r="91">
      <c r="A91" s="52" t="n">
        <v>46241</v>
      </c>
      <c r="B91" s="53" t="n">
        <v>1.0582</v>
      </c>
      <c r="C91" s="53" t="n">
        <v>0.9772</v>
      </c>
    </row>
    <row r="92">
      <c r="A92" s="52" t="n">
        <v>46248</v>
      </c>
      <c r="B92" s="53" t="n">
        <v>1.0398</v>
      </c>
      <c r="C92" s="53" t="n">
        <v>0.9222</v>
      </c>
    </row>
    <row r="93">
      <c r="A93" s="52" t="n">
        <v>46255</v>
      </c>
      <c r="B93" s="53" t="n">
        <v>1.0148</v>
      </c>
      <c r="C93" s="53" t="n">
        <v>0.9051</v>
      </c>
    </row>
    <row r="94">
      <c r="A94" s="52" t="n">
        <v>46262</v>
      </c>
      <c r="B94" s="53" t="n">
        <v>1.0145</v>
      </c>
      <c r="C94" s="53" t="n">
        <v>0.9004</v>
      </c>
    </row>
    <row r="95">
      <c r="A95" s="52" t="n">
        <v>46269</v>
      </c>
      <c r="B95" s="53" t="n">
        <v>0.9893</v>
      </c>
      <c r="C95" s="53" t="n">
        <v>0.8663999999999999</v>
      </c>
    </row>
    <row r="96">
      <c r="A96" s="52" t="n">
        <v>46276</v>
      </c>
      <c r="B96" s="53" t="n">
        <v>0.9463</v>
      </c>
      <c r="C96" s="53" t="n">
        <v>0.8344</v>
      </c>
    </row>
    <row r="97">
      <c r="A97" s="52" t="n">
        <v>46283</v>
      </c>
      <c r="B97" s="53" t="n">
        <v>0.9383</v>
      </c>
      <c r="C97" s="53" t="n">
        <v>0.8195</v>
      </c>
    </row>
    <row r="98">
      <c r="A98" s="52" t="n">
        <v>46290</v>
      </c>
      <c r="B98" s="53" t="n">
        <v>0.9452</v>
      </c>
      <c r="C98" s="53" t="n">
        <v>0.8184</v>
      </c>
    </row>
    <row r="100">
      <c r="A100" s="18" t="inlineStr">
        <is>
          <t>说明：等权指数 = 板块内所有有数据个股归一化值的简单平均。退市/无数据的公司不参与计算。</t>
        </is>
      </c>
    </row>
    <row r="101">
      <c r="A101" s="49" t="n">
        <v>46297</v>
      </c>
      <c r="B101" s="53" t="n">
        <v>0.95</v>
      </c>
      <c r="C101" s="53" t="n">
        <v>0.8137</v>
      </c>
    </row>
    <row r="102">
      <c r="A102" s="49" t="n">
        <v>46304</v>
      </c>
      <c r="B102" s="53" t="n">
        <v>0.9769</v>
      </c>
      <c r="C102" s="53" t="n">
        <v>0.8221000000000001</v>
      </c>
    </row>
    <row r="103">
      <c r="A103" s="49" t="n">
        <v>46311</v>
      </c>
      <c r="B103" s="53" t="n">
        <v>0.9743000000000001</v>
      </c>
      <c r="C103" s="53" t="n">
        <v>0.8254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pane xSplit="1" ySplit="2" topLeftCell="B119" activePane="bottomRight" state="frozen"/>
      <selection activeCell="A1" sqref="A1"/>
      <selection pane="topRight" activeCell="A1" sqref="A1"/>
      <selection pane="bottomLeft" activeCell="A1" sqref="A1"/>
      <selection pane="bottomRight" activeCell="G99" sqref="G99"/>
    </sheetView>
  </sheetViews>
  <sheetFormatPr baseColWidth="8" defaultColWidth="9" defaultRowHeight="16.8"/>
  <cols>
    <col width="12" customWidth="1" min="1" max="8"/>
  </cols>
  <sheetData>
    <row r="1">
      <c r="A1" s="2" t="inlineStr">
        <is>
          <t>可选消费 ETF 周度价格（2025-01-01 起）</t>
        </is>
      </c>
    </row>
    <row r="2">
      <c r="A2" s="4" t="inlineStr">
        <is>
          <t>Date</t>
        </is>
      </c>
      <c r="B2" s="4" t="inlineStr">
        <is>
          <t>XLY</t>
        </is>
      </c>
      <c r="C2" s="4" t="inlineStr">
        <is>
          <t>RSPD</t>
        </is>
      </c>
      <c r="D2" s="4" t="inlineStr">
        <is>
          <t>XRT</t>
        </is>
      </c>
      <c r="E2" s="3" t="inlineStr">
        <is>
          <t>XLY Norm</t>
        </is>
      </c>
      <c r="F2" s="3" t="inlineStr">
        <is>
          <t>RSPD Norm</t>
        </is>
      </c>
      <c r="G2" s="3" t="inlineStr">
        <is>
          <t>XRT Norm</t>
        </is>
      </c>
    </row>
    <row r="3">
      <c r="A3" s="49" t="n">
        <v>45658</v>
      </c>
      <c r="B3" s="11" t="n">
        <v>110.699996948242</v>
      </c>
      <c r="C3" s="11" t="n">
        <v>52.9599990844727</v>
      </c>
      <c r="D3" s="11" t="n">
        <v>79.36000061035161</v>
      </c>
      <c r="E3" s="54" t="n">
        <v>1</v>
      </c>
      <c r="F3" s="54" t="n">
        <v>1</v>
      </c>
      <c r="G3" s="54" t="n">
        <v>1</v>
      </c>
    </row>
    <row r="4">
      <c r="A4" s="49" t="n">
        <v>45660</v>
      </c>
      <c r="B4" s="11" t="n">
        <v>112.940002441406</v>
      </c>
      <c r="C4" s="11" t="n">
        <v>53.3400001525879</v>
      </c>
      <c r="D4" s="11" t="n">
        <v>79.6800003051758</v>
      </c>
      <c r="E4" s="54" t="n">
        <v>1.0202</v>
      </c>
      <c r="F4" s="54" t="n">
        <v>1.0072</v>
      </c>
      <c r="G4" s="54" t="n">
        <v>1.004</v>
      </c>
    </row>
    <row r="5">
      <c r="A5" s="49" t="n">
        <v>45667</v>
      </c>
      <c r="B5" s="11" t="n">
        <v>110.410003662109</v>
      </c>
      <c r="C5" s="11" t="n">
        <v>52.4099998474121</v>
      </c>
      <c r="D5" s="11" t="n">
        <v>79.0500030517578</v>
      </c>
      <c r="E5" s="54" t="n">
        <v>0.9974</v>
      </c>
      <c r="F5" s="54" t="n">
        <v>0.9896</v>
      </c>
      <c r="G5" s="54" t="n">
        <v>0.9961</v>
      </c>
    </row>
    <row r="6">
      <c r="A6" s="49" t="n">
        <v>45674</v>
      </c>
      <c r="B6" s="11" t="n">
        <v>114.610000610352</v>
      </c>
      <c r="C6" s="11" t="n">
        <v>53.9900016784668</v>
      </c>
      <c r="D6" s="11" t="n">
        <v>78.4300003051758</v>
      </c>
      <c r="E6" s="54" t="n">
        <v>1.0353</v>
      </c>
      <c r="F6" s="54" t="n">
        <v>1.0194</v>
      </c>
      <c r="G6" s="54" t="n">
        <v>0.9883</v>
      </c>
    </row>
    <row r="7">
      <c r="A7" s="49" t="n">
        <v>45681</v>
      </c>
      <c r="B7" s="11" t="n">
        <v>115.004997253418</v>
      </c>
      <c r="C7" s="11" t="n">
        <v>54.3600006103516</v>
      </c>
      <c r="D7" s="11" t="n">
        <v>80.3300018310547</v>
      </c>
      <c r="E7" s="54" t="n">
        <v>1.0389</v>
      </c>
      <c r="F7" s="54" t="n">
        <v>1.0264</v>
      </c>
      <c r="G7" s="54" t="n">
        <v>1.0122</v>
      </c>
    </row>
    <row r="8">
      <c r="A8" s="49" t="n">
        <v>45688</v>
      </c>
      <c r="B8" s="11" t="n">
        <v>116.084999084473</v>
      </c>
      <c r="C8" s="11" t="n">
        <v>54.810001373291</v>
      </c>
      <c r="D8" s="11" t="n">
        <v>80.25</v>
      </c>
      <c r="E8" s="54" t="n">
        <v>1.0486</v>
      </c>
      <c r="F8" s="54" t="n">
        <v>1.0349</v>
      </c>
      <c r="G8" s="54" t="n">
        <v>1.0112</v>
      </c>
    </row>
    <row r="9">
      <c r="A9" s="49" t="n">
        <v>45695</v>
      </c>
      <c r="B9" s="11" t="n">
        <v>112.790000915527</v>
      </c>
      <c r="C9" s="11" t="n">
        <v>54.3899993896484</v>
      </c>
      <c r="D9" s="11" t="n">
        <v>78.26999664306641</v>
      </c>
      <c r="E9" s="54" t="n">
        <v>1.0189</v>
      </c>
      <c r="F9" s="54" t="n">
        <v>1.027</v>
      </c>
      <c r="G9" s="54" t="n">
        <v>0.9863</v>
      </c>
    </row>
    <row r="10">
      <c r="A10" s="49" t="n">
        <v>45702</v>
      </c>
      <c r="B10" s="11" t="n">
        <v>113.5</v>
      </c>
      <c r="C10" s="11" t="n">
        <v>55.5499992370605</v>
      </c>
      <c r="D10" s="11" t="n">
        <v>79.36000061035161</v>
      </c>
      <c r="E10" s="54" t="n">
        <v>1.0253</v>
      </c>
      <c r="F10" s="54" t="n">
        <v>1.0489</v>
      </c>
      <c r="G10" s="54" t="n">
        <v>1</v>
      </c>
    </row>
    <row r="11">
      <c r="A11" s="49" t="n">
        <v>45709</v>
      </c>
      <c r="B11" s="11" t="n">
        <v>109.194999694824</v>
      </c>
      <c r="C11" s="11" t="n">
        <v>54.0099983215332</v>
      </c>
      <c r="D11" s="11" t="n">
        <v>75.2900009155273</v>
      </c>
      <c r="E11" s="54" t="n">
        <v>0.9864000000000001</v>
      </c>
      <c r="F11" s="54" t="n">
        <v>1.0198</v>
      </c>
      <c r="G11" s="54" t="n">
        <v>0.9487</v>
      </c>
    </row>
    <row r="12">
      <c r="A12" s="49" t="n">
        <v>45716</v>
      </c>
      <c r="B12" s="11" t="n">
        <v>107.980003356934</v>
      </c>
      <c r="C12" s="11" t="n">
        <v>54.3800010681152</v>
      </c>
      <c r="D12" s="11" t="n">
        <v>74.13999938964839</v>
      </c>
      <c r="E12" s="54" t="n">
        <v>0.9754</v>
      </c>
      <c r="F12" s="54" t="n">
        <v>1.0268</v>
      </c>
      <c r="G12" s="54" t="n">
        <v>0.9342</v>
      </c>
    </row>
    <row r="13">
      <c r="A13" s="49" t="n">
        <v>45723</v>
      </c>
      <c r="B13" s="11" t="n">
        <v>102.834999084473</v>
      </c>
      <c r="C13" s="11" t="n">
        <v>52.5900001525879</v>
      </c>
      <c r="D13" s="11" t="n">
        <v>71.7399978637695</v>
      </c>
      <c r="E13" s="54" t="n">
        <v>0.929</v>
      </c>
      <c r="F13" s="54" t="n">
        <v>0.993</v>
      </c>
      <c r="G13" s="54" t="n">
        <v>0.904</v>
      </c>
    </row>
    <row r="14">
      <c r="A14" s="49" t="n">
        <v>45730</v>
      </c>
      <c r="B14" s="11" t="n">
        <v>98.34999847412109</v>
      </c>
      <c r="C14" s="11" t="n">
        <v>49.9700012207031</v>
      </c>
      <c r="D14" s="11" t="n">
        <v>67.5299987792969</v>
      </c>
      <c r="E14" s="54" t="n">
        <v>0.8884</v>
      </c>
      <c r="F14" s="54" t="n">
        <v>0.9435</v>
      </c>
      <c r="G14" s="54" t="n">
        <v>0.8509</v>
      </c>
    </row>
    <row r="15">
      <c r="A15" s="49" t="n">
        <v>45737</v>
      </c>
      <c r="B15" s="11" t="n">
        <v>98.72499847412109</v>
      </c>
      <c r="C15" s="11" t="n">
        <v>50.3499984741211</v>
      </c>
      <c r="D15" s="11" t="n">
        <v>69.0400009155273</v>
      </c>
      <c r="E15" s="54" t="n">
        <v>0.8918</v>
      </c>
      <c r="F15" s="54" t="n">
        <v>0.9507</v>
      </c>
      <c r="G15" s="54" t="n">
        <v>0.87</v>
      </c>
    </row>
    <row r="16">
      <c r="A16" s="49" t="n">
        <v>45744</v>
      </c>
      <c r="B16" s="11" t="n">
        <v>98.51999664306641</v>
      </c>
      <c r="C16" s="11" t="n">
        <v>49.5299987792969</v>
      </c>
      <c r="D16" s="11" t="n">
        <v>68.5400009155273</v>
      </c>
      <c r="E16" s="54" t="n">
        <v>0.89</v>
      </c>
      <c r="F16" s="54" t="n">
        <v>0.9352</v>
      </c>
      <c r="G16" s="54" t="n">
        <v>0.8637</v>
      </c>
    </row>
    <row r="17">
      <c r="A17" s="49" t="n">
        <v>45751</v>
      </c>
      <c r="B17" s="11" t="n">
        <v>91.39499664306641</v>
      </c>
      <c r="C17" s="11" t="n">
        <v>46.1699981689453</v>
      </c>
      <c r="D17" s="11" t="n">
        <v>64.88999938964839</v>
      </c>
      <c r="E17" s="54" t="n">
        <v>0.8256</v>
      </c>
      <c r="F17" s="54" t="n">
        <v>0.8718</v>
      </c>
      <c r="G17" s="54" t="n">
        <v>0.8177</v>
      </c>
    </row>
    <row r="18">
      <c r="A18" s="49" t="n">
        <v>45758</v>
      </c>
      <c r="B18" s="11" t="n">
        <v>94.86000061035161</v>
      </c>
      <c r="C18" s="11" t="n">
        <v>46.8499984741211</v>
      </c>
      <c r="D18" s="11" t="n">
        <v>66.30999755859369</v>
      </c>
      <c r="E18" s="54" t="n">
        <v>0.8569</v>
      </c>
      <c r="F18" s="54" t="n">
        <v>0.8846000000000001</v>
      </c>
      <c r="G18" s="54" t="n">
        <v>0.8356</v>
      </c>
    </row>
    <row r="19">
      <c r="A19" s="49" t="n">
        <v>45765</v>
      </c>
      <c r="B19" s="11" t="n">
        <v>92.6999969482422</v>
      </c>
      <c r="C19" s="11" t="n">
        <v>46.7000007629395</v>
      </c>
      <c r="D19" s="11" t="n">
        <v>66.5</v>
      </c>
      <c r="E19" s="54" t="n">
        <v>0.8374</v>
      </c>
      <c r="F19" s="54" t="n">
        <v>0.8818</v>
      </c>
      <c r="G19" s="54" t="n">
        <v>0.838</v>
      </c>
    </row>
    <row r="20">
      <c r="A20" s="49" t="n">
        <v>45772</v>
      </c>
      <c r="B20" s="11" t="n">
        <v>98.8000030517578</v>
      </c>
      <c r="C20" s="11" t="n">
        <v>48.7599983215332</v>
      </c>
      <c r="D20" s="11" t="n">
        <v>68.48000335693359</v>
      </c>
      <c r="E20" s="54" t="n">
        <v>0.8925</v>
      </c>
      <c r="F20" s="54" t="n">
        <v>0.9207</v>
      </c>
      <c r="G20" s="54" t="n">
        <v>0.8629</v>
      </c>
    </row>
    <row r="21">
      <c r="A21" s="49" t="n">
        <v>45779</v>
      </c>
      <c r="B21" s="11" t="n">
        <v>100.714996337891</v>
      </c>
      <c r="C21" s="11" t="n">
        <v>50.0200004577637</v>
      </c>
      <c r="D21" s="11" t="n">
        <v>70.5800018310547</v>
      </c>
      <c r="E21" s="54" t="n">
        <v>0.9098000000000001</v>
      </c>
      <c r="F21" s="54" t="n">
        <v>0.9445</v>
      </c>
      <c r="G21" s="54" t="n">
        <v>0.8894</v>
      </c>
    </row>
    <row r="22">
      <c r="A22" s="49" t="n">
        <v>45786</v>
      </c>
      <c r="B22" s="11" t="n">
        <v>101.205001831055</v>
      </c>
      <c r="C22" s="11" t="n">
        <v>50.2200012207031</v>
      </c>
      <c r="D22" s="11" t="n">
        <v>70.379997253418</v>
      </c>
      <c r="E22" s="54" t="n">
        <v>0.9142</v>
      </c>
      <c r="F22" s="54" t="n">
        <v>0.9483</v>
      </c>
      <c r="G22" s="54" t="n">
        <v>0.8868</v>
      </c>
    </row>
    <row r="23">
      <c r="A23" s="49" t="n">
        <v>45793</v>
      </c>
      <c r="B23" s="11" t="n">
        <v>108.834999084473</v>
      </c>
      <c r="C23" s="11" t="n">
        <v>53.4300003051758</v>
      </c>
      <c r="D23" s="11" t="n">
        <v>76.4700012207031</v>
      </c>
      <c r="E23" s="54" t="n">
        <v>0.9832</v>
      </c>
      <c r="F23" s="54" t="n">
        <v>1.0089</v>
      </c>
      <c r="G23" s="54" t="n">
        <v>0.9636</v>
      </c>
    </row>
    <row r="24">
      <c r="A24" s="49" t="n">
        <v>45800</v>
      </c>
      <c r="B24" s="11" t="n">
        <v>105.324996948242</v>
      </c>
      <c r="C24" s="11" t="n">
        <v>50.9700012207031</v>
      </c>
      <c r="D24" s="11" t="n">
        <v>74.6800003051758</v>
      </c>
      <c r="E24" s="54" t="n">
        <v>0.9514</v>
      </c>
      <c r="F24" s="54" t="n">
        <v>0.9624</v>
      </c>
      <c r="G24" s="54" t="n">
        <v>0.9409999999999999</v>
      </c>
    </row>
    <row r="25">
      <c r="A25" s="49" t="n">
        <v>45807</v>
      </c>
      <c r="B25" s="11" t="n">
        <v>106.900001525879</v>
      </c>
      <c r="C25" s="11" t="n">
        <v>51.7000007629395</v>
      </c>
      <c r="D25" s="11" t="n">
        <v>75.9300003051758</v>
      </c>
      <c r="E25" s="54" t="n">
        <v>0.9657</v>
      </c>
      <c r="F25" s="54" t="n">
        <v>0.9762</v>
      </c>
      <c r="G25" s="54" t="n">
        <v>0.9568</v>
      </c>
    </row>
    <row r="26">
      <c r="A26" s="49" t="n">
        <v>45814</v>
      </c>
      <c r="B26" s="11" t="n">
        <v>106.084999084473</v>
      </c>
      <c r="C26" s="11" t="n">
        <v>52.1800003051758</v>
      </c>
      <c r="D26" s="11" t="n">
        <v>78.3300018310547</v>
      </c>
      <c r="E26" s="54" t="n">
        <v>0.9583</v>
      </c>
      <c r="F26" s="54" t="n">
        <v>0.9853</v>
      </c>
      <c r="G26" s="54" t="n">
        <v>0.987</v>
      </c>
    </row>
    <row r="27">
      <c r="A27" s="49" t="n">
        <v>45821</v>
      </c>
      <c r="B27" s="11" t="n">
        <v>105.870002746582</v>
      </c>
      <c r="C27" s="11" t="n">
        <v>51.0900001525879</v>
      </c>
      <c r="D27" s="11" t="n">
        <v>75.34999847412109</v>
      </c>
      <c r="E27" s="54" t="n">
        <v>0.9564</v>
      </c>
      <c r="F27" s="54" t="n">
        <v>0.9647</v>
      </c>
      <c r="G27" s="54" t="n">
        <v>0.9495</v>
      </c>
    </row>
    <row r="28">
      <c r="A28" s="49" t="n">
        <v>45828</v>
      </c>
      <c r="B28" s="11" t="n">
        <v>105.339996337891</v>
      </c>
      <c r="C28" s="11" t="n">
        <v>51.560001373291</v>
      </c>
      <c r="D28" s="11" t="n">
        <v>77.0100021362305</v>
      </c>
      <c r="E28" s="54" t="n">
        <v>0.9516</v>
      </c>
      <c r="F28" s="54" t="n">
        <v>0.9736</v>
      </c>
      <c r="G28" s="54" t="n">
        <v>0.9704</v>
      </c>
    </row>
    <row r="29">
      <c r="A29" s="49" t="n">
        <v>45835</v>
      </c>
      <c r="B29" s="11" t="n">
        <v>109.294998168945</v>
      </c>
      <c r="C29" s="11" t="n">
        <v>53.1399993896484</v>
      </c>
      <c r="D29" s="11" t="n">
        <v>77.34999847412109</v>
      </c>
      <c r="E29" s="54" t="n">
        <v>0.9873</v>
      </c>
      <c r="F29" s="54" t="n">
        <v>1.0034</v>
      </c>
      <c r="G29" s="54" t="n">
        <v>0.9747</v>
      </c>
    </row>
    <row r="30">
      <c r="A30" s="49" t="n">
        <v>45842</v>
      </c>
      <c r="B30" s="11" t="n">
        <v>110.605003356934</v>
      </c>
      <c r="C30" s="11" t="n">
        <v>55.2200012207031</v>
      </c>
      <c r="D30" s="11" t="n">
        <v>80.629997253418</v>
      </c>
      <c r="E30" s="54" t="n">
        <v>0.9991</v>
      </c>
      <c r="F30" s="54" t="n">
        <v>1.0427</v>
      </c>
      <c r="G30" s="54" t="n">
        <v>1.016</v>
      </c>
    </row>
    <row r="31">
      <c r="A31" s="49" t="n">
        <v>45849</v>
      </c>
      <c r="B31" s="11" t="n">
        <v>110.714996337891</v>
      </c>
      <c r="C31" s="11" t="n">
        <v>55.3699989318848</v>
      </c>
      <c r="D31" s="11" t="n">
        <v>80.2600021362305</v>
      </c>
      <c r="E31" s="54" t="n">
        <v>1.0001</v>
      </c>
      <c r="F31" s="54" t="n">
        <v>1.0455</v>
      </c>
      <c r="G31" s="54" t="n">
        <v>1.0113</v>
      </c>
    </row>
    <row r="32">
      <c r="A32" s="49" t="n">
        <v>45856</v>
      </c>
      <c r="B32" s="11" t="n">
        <v>111.084999084473</v>
      </c>
      <c r="C32" s="11" t="n">
        <v>55.0299987792969</v>
      </c>
      <c r="D32" s="11" t="n">
        <v>79.6699981689453</v>
      </c>
      <c r="E32" s="54" t="n">
        <v>1.0035</v>
      </c>
      <c r="F32" s="54" t="n">
        <v>1.0391</v>
      </c>
      <c r="G32" s="54" t="n">
        <v>1.0039</v>
      </c>
    </row>
    <row r="33">
      <c r="A33" s="49" t="n">
        <v>45863</v>
      </c>
      <c r="B33" s="11" t="n">
        <v>112.434997558594</v>
      </c>
      <c r="C33" s="11" t="n">
        <v>56.4000015258789</v>
      </c>
      <c r="D33" s="11" t="n">
        <v>81.76999664306641</v>
      </c>
      <c r="E33" s="54" t="n">
        <v>1.0157</v>
      </c>
      <c r="F33" s="54" t="n">
        <v>1.065</v>
      </c>
      <c r="G33" s="54" t="n">
        <v>1.0304</v>
      </c>
    </row>
    <row r="34">
      <c r="A34" s="49" t="n">
        <v>45870</v>
      </c>
      <c r="B34" s="11" t="n">
        <v>108.044998168945</v>
      </c>
      <c r="C34" s="11" t="n">
        <v>54.6300010681152</v>
      </c>
      <c r="D34" s="11" t="n">
        <v>77.84999847412109</v>
      </c>
      <c r="E34" s="54" t="n">
        <v>0.976</v>
      </c>
      <c r="F34" s="54" t="n">
        <v>1.0315</v>
      </c>
      <c r="G34" s="54" t="n">
        <v>0.981</v>
      </c>
    </row>
    <row r="35">
      <c r="A35" s="49" t="n">
        <v>45877</v>
      </c>
      <c r="B35" s="11" t="n">
        <v>111.889999389648</v>
      </c>
      <c r="C35" s="11" t="n">
        <v>55.4799995422363</v>
      </c>
      <c r="D35" s="11" t="n">
        <v>80.76999664306641</v>
      </c>
      <c r="E35" s="54" t="n">
        <v>1.0107</v>
      </c>
      <c r="F35" s="54" t="n">
        <v>1.0476</v>
      </c>
      <c r="G35" s="54" t="n">
        <v>1.0178</v>
      </c>
    </row>
    <row r="36">
      <c r="A36" s="49" t="n">
        <v>45884</v>
      </c>
      <c r="B36" s="11" t="n">
        <v>114.519996643066</v>
      </c>
      <c r="C36" s="11" t="n">
        <v>57.189998626709</v>
      </c>
      <c r="D36" s="11" t="n">
        <v>83.5699996948242</v>
      </c>
      <c r="E36" s="54" t="n">
        <v>1.0345</v>
      </c>
      <c r="F36" s="54" t="n">
        <v>1.0799</v>
      </c>
      <c r="G36" s="54" t="n">
        <v>1.053</v>
      </c>
    </row>
    <row r="37">
      <c r="A37" s="49" t="n">
        <v>45891</v>
      </c>
      <c r="B37" s="11" t="n">
        <v>116.550003051758</v>
      </c>
      <c r="C37" s="11" t="n">
        <v>58.5800018310547</v>
      </c>
      <c r="D37" s="11" t="n">
        <v>85.2799987792969</v>
      </c>
      <c r="E37" s="54" t="n">
        <v>1.0528</v>
      </c>
      <c r="F37" s="54" t="n">
        <v>1.1061</v>
      </c>
      <c r="G37" s="54" t="n">
        <v>1.0746</v>
      </c>
    </row>
    <row r="38">
      <c r="A38" s="49" t="n">
        <v>45898</v>
      </c>
      <c r="B38" s="11" t="n">
        <v>115.870002746582</v>
      </c>
      <c r="C38" s="11" t="n">
        <v>58.560001373291</v>
      </c>
      <c r="D38" s="11" t="n">
        <v>84.19000244140619</v>
      </c>
      <c r="E38" s="54" t="n">
        <v>1.0467</v>
      </c>
      <c r="F38" s="54" t="n">
        <v>1.1057</v>
      </c>
      <c r="G38" s="54" t="n">
        <v>1.0609</v>
      </c>
    </row>
    <row r="39">
      <c r="A39" s="49" t="n">
        <v>45905</v>
      </c>
      <c r="B39" s="11" t="n">
        <v>117.555000305176</v>
      </c>
      <c r="C39" s="11" t="n">
        <v>58.9199981689453</v>
      </c>
      <c r="D39" s="11" t="n">
        <v>87.34999847412109</v>
      </c>
      <c r="E39" s="54" t="n">
        <v>1.0619</v>
      </c>
      <c r="F39" s="54" t="n">
        <v>1.1125</v>
      </c>
      <c r="G39" s="54" t="n">
        <v>1.1007</v>
      </c>
    </row>
    <row r="40">
      <c r="A40" s="49" t="n">
        <v>45912</v>
      </c>
      <c r="B40" s="11" t="n">
        <v>119.315002441406</v>
      </c>
      <c r="C40" s="11" t="n">
        <v>58.7599983215332</v>
      </c>
      <c r="D40" s="11" t="n">
        <v>86.3399963378906</v>
      </c>
      <c r="E40" s="54" t="n">
        <v>1.0778</v>
      </c>
      <c r="F40" s="54" t="n">
        <v>1.1095</v>
      </c>
      <c r="G40" s="54" t="n">
        <v>1.088</v>
      </c>
    </row>
    <row r="41">
      <c r="A41" s="49" t="n">
        <v>45919</v>
      </c>
      <c r="B41" s="11" t="n">
        <v>120.694999694824</v>
      </c>
      <c r="C41" s="11" t="n">
        <v>58.1300010681152</v>
      </c>
      <c r="D41" s="11" t="n">
        <v>87.2900009155273</v>
      </c>
      <c r="E41" s="54" t="n">
        <v>1.0903</v>
      </c>
      <c r="F41" s="54" t="n">
        <v>1.0976</v>
      </c>
      <c r="G41" s="54" t="n">
        <v>1.0999</v>
      </c>
    </row>
    <row r="42">
      <c r="A42" s="49" t="n">
        <v>45926</v>
      </c>
      <c r="B42" s="11" t="n">
        <v>119.855003356934</v>
      </c>
      <c r="C42" s="11" t="n">
        <v>57.8499984741211</v>
      </c>
      <c r="D42" s="11" t="n">
        <v>86.55999755859369</v>
      </c>
      <c r="E42" s="54" t="n">
        <v>1.0827</v>
      </c>
      <c r="F42" s="54" t="n">
        <v>1.0923</v>
      </c>
      <c r="G42" s="54" t="n">
        <v>1.0907</v>
      </c>
    </row>
    <row r="43">
      <c r="A43" s="49" t="n">
        <v>45933</v>
      </c>
      <c r="B43" s="11" t="n">
        <v>118.930000305176</v>
      </c>
      <c r="C43" s="11" t="n">
        <v>57.939998626709</v>
      </c>
      <c r="D43" s="11" t="n">
        <v>86.9899978637695</v>
      </c>
      <c r="E43" s="54" t="n">
        <v>1.0743</v>
      </c>
      <c r="F43" s="54" t="n">
        <v>1.094</v>
      </c>
      <c r="G43" s="54" t="n">
        <v>1.0961</v>
      </c>
    </row>
    <row r="44">
      <c r="A44" s="49" t="n">
        <v>45940</v>
      </c>
      <c r="B44" s="11" t="n">
        <v>114.375</v>
      </c>
      <c r="C44" s="11" t="n">
        <v>54.7900009155273</v>
      </c>
      <c r="D44" s="11" t="n">
        <v>80.9300003051758</v>
      </c>
      <c r="E44" s="54" t="n">
        <v>1.0332</v>
      </c>
      <c r="F44" s="54" t="n">
        <v>1.0346</v>
      </c>
      <c r="G44" s="54" t="n">
        <v>1.0198</v>
      </c>
    </row>
    <row r="45">
      <c r="A45" s="49" t="n">
        <v>45947</v>
      </c>
      <c r="B45" s="11" t="n">
        <v>117.209999084473</v>
      </c>
      <c r="C45" s="11" t="n">
        <v>56.310001373291</v>
      </c>
      <c r="D45" s="11" t="n">
        <v>84.01999664306641</v>
      </c>
      <c r="E45" s="54" t="n">
        <v>1.0588</v>
      </c>
      <c r="F45" s="54" t="n">
        <v>1.0633</v>
      </c>
      <c r="G45" s="54" t="n">
        <v>1.0587</v>
      </c>
    </row>
    <row r="46">
      <c r="A46" s="49" t="n">
        <v>45954</v>
      </c>
      <c r="B46" s="11" t="n">
        <v>118.830001831055</v>
      </c>
      <c r="C46" s="11" t="n">
        <v>57.2299995422363</v>
      </c>
      <c r="D46" s="11" t="n">
        <v>84.7900009155273</v>
      </c>
      <c r="E46" s="54" t="n">
        <v>1.0734</v>
      </c>
      <c r="F46" s="54" t="n">
        <v>1.0806</v>
      </c>
      <c r="G46" s="54" t="n">
        <v>1.0684</v>
      </c>
    </row>
    <row r="47">
      <c r="A47" s="49" t="n">
        <v>45961</v>
      </c>
      <c r="B47" s="11" t="n">
        <v>119.964996337891</v>
      </c>
      <c r="C47" s="11" t="n">
        <v>55.2999992370605</v>
      </c>
      <c r="D47" s="11" t="n">
        <v>81.0299987792969</v>
      </c>
      <c r="E47" s="54" t="n">
        <v>1.0837</v>
      </c>
      <c r="F47" s="54" t="n">
        <v>1.0442</v>
      </c>
      <c r="G47" s="54" t="n">
        <v>1.021</v>
      </c>
    </row>
    <row r="48">
      <c r="A48" s="49" t="n">
        <v>45968</v>
      </c>
      <c r="B48" s="11" t="n">
        <v>117.930000305176</v>
      </c>
      <c r="C48" s="11" t="n">
        <v>55.0699996948242</v>
      </c>
      <c r="D48" s="11" t="n">
        <v>79.90000152587891</v>
      </c>
      <c r="E48" s="54" t="n">
        <v>1.0653</v>
      </c>
      <c r="F48" s="54" t="n">
        <v>1.0398</v>
      </c>
      <c r="G48" s="54" t="n">
        <v>1.0068</v>
      </c>
    </row>
    <row r="49">
      <c r="A49" s="49" t="n">
        <v>45975</v>
      </c>
      <c r="B49" s="11" t="n">
        <v>115.444999694824</v>
      </c>
      <c r="C49" s="11" t="n">
        <v>54.75</v>
      </c>
      <c r="D49" s="11" t="n">
        <v>80.0299987792969</v>
      </c>
      <c r="E49" s="54" t="n">
        <v>1.0429</v>
      </c>
      <c r="F49" s="54" t="n">
        <v>1.0338</v>
      </c>
      <c r="G49" s="54" t="n">
        <v>1.0084</v>
      </c>
    </row>
    <row r="50">
      <c r="A50" s="49" t="n">
        <v>45982</v>
      </c>
      <c r="B50" s="11" t="n">
        <v>112.75</v>
      </c>
      <c r="C50" s="11" t="n">
        <v>54.5699996948242</v>
      </c>
      <c r="D50" s="11" t="n">
        <v>79.94000244140619</v>
      </c>
      <c r="E50" s="54" t="n">
        <v>1.0185</v>
      </c>
      <c r="F50" s="54" t="n">
        <v>1.0304</v>
      </c>
      <c r="G50" s="54" t="n">
        <v>1.0073</v>
      </c>
    </row>
    <row r="51">
      <c r="A51" s="49" t="n">
        <v>45989</v>
      </c>
      <c r="B51" s="11" t="n">
        <v>118.230003356934</v>
      </c>
      <c r="C51" s="11" t="n">
        <v>56.560001373291</v>
      </c>
      <c r="D51" s="11" t="n">
        <v>84.34999847412109</v>
      </c>
      <c r="E51" s="54" t="n">
        <v>1.068</v>
      </c>
      <c r="F51" s="54" t="n">
        <v>1.068</v>
      </c>
      <c r="G51" s="54" t="n">
        <v>1.0629</v>
      </c>
    </row>
    <row r="52">
      <c r="A52" s="49" t="n">
        <v>45996</v>
      </c>
      <c r="B52" s="11" t="n">
        <v>119.730003356934</v>
      </c>
      <c r="C52" s="11" t="n">
        <v>56.8499984741211</v>
      </c>
      <c r="D52" s="11" t="n">
        <v>86.23000335693359</v>
      </c>
      <c r="E52" s="54" t="n">
        <v>1.0816</v>
      </c>
      <c r="F52" s="54" t="n">
        <v>1.0735</v>
      </c>
      <c r="G52" s="54" t="n">
        <v>1.0866</v>
      </c>
    </row>
    <row r="53">
      <c r="A53" s="49" t="n">
        <v>46003</v>
      </c>
      <c r="B53" s="11" t="n">
        <v>120.699996948242</v>
      </c>
      <c r="C53" s="11" t="n">
        <v>57.9500007629395</v>
      </c>
      <c r="D53" s="11" t="n">
        <v>87.88999938964839</v>
      </c>
      <c r="E53" s="54" t="n">
        <v>1.0903</v>
      </c>
      <c r="F53" s="54" t="n">
        <v>1.0942</v>
      </c>
      <c r="G53" s="54" t="n">
        <v>1.1075</v>
      </c>
    </row>
    <row r="54">
      <c r="A54" s="49" t="n">
        <v>46010</v>
      </c>
      <c r="B54" s="11" t="n">
        <v>121.849998474121</v>
      </c>
      <c r="C54" s="11" t="n">
        <v>58.060001373291</v>
      </c>
      <c r="D54" s="11" t="n">
        <v>87.5100021362305</v>
      </c>
      <c r="E54" s="54" t="n">
        <v>1.1007</v>
      </c>
      <c r="F54" s="54" t="n">
        <v>1.0963</v>
      </c>
      <c r="G54" s="54" t="n">
        <v>1.1027</v>
      </c>
    </row>
    <row r="55">
      <c r="A55" s="49" t="n">
        <v>46017</v>
      </c>
      <c r="B55" s="11" t="n">
        <v>122.050003051758</v>
      </c>
      <c r="C55" s="11" t="n">
        <v>57.9799995422363</v>
      </c>
      <c r="D55" s="11" t="n">
        <v>87.23000335693359</v>
      </c>
      <c r="E55" s="54" t="n">
        <v>1.1025</v>
      </c>
      <c r="F55" s="54" t="n">
        <v>1.0948</v>
      </c>
      <c r="G55" s="54" t="n">
        <v>1.0992</v>
      </c>
    </row>
    <row r="56">
      <c r="A56" s="49" t="n">
        <v>46024</v>
      </c>
      <c r="B56" s="11" t="n">
        <v>118.349998474121</v>
      </c>
      <c r="C56" s="11" t="n">
        <v>57.3499984741211</v>
      </c>
      <c r="D56" s="11" t="n">
        <v>85.90000152587891</v>
      </c>
      <c r="E56" s="54" t="n">
        <v>1.0691</v>
      </c>
      <c r="F56" s="54" t="n">
        <v>1.0829</v>
      </c>
      <c r="G56" s="54" t="n">
        <v>1.0824</v>
      </c>
    </row>
    <row r="57">
      <c r="A57" s="49" t="n">
        <v>46031</v>
      </c>
      <c r="B57" s="11" t="n">
        <v>124.410003662109</v>
      </c>
      <c r="C57" s="11" t="n">
        <v>59.7999992370605</v>
      </c>
      <c r="D57" s="11" t="n">
        <v>90.0899963378906</v>
      </c>
      <c r="E57" s="54" t="n">
        <v>1.1238</v>
      </c>
      <c r="F57" s="54" t="n">
        <v>1.1292</v>
      </c>
      <c r="G57" s="54" t="n">
        <v>1.1352</v>
      </c>
    </row>
    <row r="58">
      <c r="A58" s="49" t="n">
        <v>46038</v>
      </c>
      <c r="B58" s="11" t="n">
        <v>122.300003051758</v>
      </c>
      <c r="C58" s="11" t="n">
        <v>58.9900016784668</v>
      </c>
      <c r="D58" s="11" t="n">
        <v>90.4199981689453</v>
      </c>
      <c r="E58" s="54" t="n">
        <v>1.1048</v>
      </c>
      <c r="F58" s="54" t="n">
        <v>1.1139</v>
      </c>
      <c r="G58" s="54" t="n">
        <v>1.1394</v>
      </c>
    </row>
    <row r="59">
      <c r="A59" s="49" t="n">
        <v>46045</v>
      </c>
      <c r="B59" s="11" t="n">
        <v>123.129997253418</v>
      </c>
      <c r="C59" s="11" t="n">
        <v>58.8499984741211</v>
      </c>
      <c r="D59" s="11" t="n">
        <v>88.86000061035161</v>
      </c>
      <c r="E59" s="54" t="n">
        <v>1.1123</v>
      </c>
      <c r="F59" s="54" t="n">
        <v>1.1112</v>
      </c>
      <c r="G59" s="54" t="n">
        <v>1.1197</v>
      </c>
    </row>
    <row r="60">
      <c r="A60" s="49" t="n">
        <v>46052</v>
      </c>
      <c r="B60" s="11" t="n">
        <v>121.169998168945</v>
      </c>
      <c r="C60" s="11" t="n">
        <v>58.1399993896484</v>
      </c>
      <c r="D60" s="11" t="n">
        <v>86.3300018310547</v>
      </c>
      <c r="E60" s="54" t="n">
        <v>1.0946</v>
      </c>
      <c r="F60" s="54" t="n">
        <v>1.0978</v>
      </c>
      <c r="G60" s="54" t="n">
        <v>1.0878</v>
      </c>
    </row>
    <row r="61">
      <c r="A61" s="49" t="n">
        <v>46059</v>
      </c>
      <c r="B61" s="11" t="n">
        <v>117.98999786377</v>
      </c>
      <c r="C61" s="11" t="n">
        <v>59.7900009155273</v>
      </c>
      <c r="D61" s="11" t="n">
        <v>89.73000335693359</v>
      </c>
      <c r="E61" s="54" t="n">
        <v>1.0659</v>
      </c>
      <c r="F61" s="54" t="n">
        <v>1.129</v>
      </c>
      <c r="G61" s="54" t="n">
        <v>1.1307</v>
      </c>
    </row>
    <row r="62">
      <c r="A62" s="49" t="n">
        <v>46066</v>
      </c>
      <c r="B62" s="11" t="n">
        <v>116.180000305176</v>
      </c>
      <c r="C62" s="11" t="n">
        <v>59.0800018310547</v>
      </c>
      <c r="D62" s="11" t="n">
        <v>87.8399963378906</v>
      </c>
      <c r="E62" s="54" t="n">
        <v>1.0495</v>
      </c>
      <c r="F62" s="54" t="n">
        <v>1.1156</v>
      </c>
      <c r="G62" s="54" t="n">
        <v>1.1069</v>
      </c>
    </row>
    <row r="63">
      <c r="A63" s="49" t="n">
        <v>46073</v>
      </c>
      <c r="B63" s="11" t="n">
        <v>117.449996948242</v>
      </c>
      <c r="C63" s="11" t="n">
        <v>59.310001373291</v>
      </c>
      <c r="D63" s="11" t="n">
        <v>88.6600036621094</v>
      </c>
      <c r="E63" s="54" t="n">
        <v>1.061</v>
      </c>
      <c r="F63" s="54" t="n">
        <v>1.1199</v>
      </c>
      <c r="G63" s="54" t="n">
        <v>1.1172</v>
      </c>
    </row>
    <row r="64">
      <c r="A64" s="49" t="n">
        <v>46080</v>
      </c>
      <c r="B64" s="11" t="n">
        <v>116.860000610352</v>
      </c>
      <c r="C64" s="11" t="n">
        <v>58.9900016784668</v>
      </c>
      <c r="D64" s="11" t="n">
        <v>86.98000335693359</v>
      </c>
      <c r="E64" s="54" t="n">
        <v>1.0556</v>
      </c>
      <c r="F64" s="54" t="n">
        <v>1.1139</v>
      </c>
      <c r="G64" s="54" t="n">
        <v>1.096</v>
      </c>
    </row>
    <row r="65">
      <c r="A65" s="49" t="n">
        <v>46087</v>
      </c>
      <c r="B65" s="11" t="n">
        <v>114.440002441406</v>
      </c>
      <c r="C65" s="11" t="n">
        <v>56.2999992370605</v>
      </c>
      <c r="D65" s="11" t="n">
        <v>83.0699996948242</v>
      </c>
      <c r="E65" s="54" t="n">
        <v>1.0338</v>
      </c>
      <c r="F65" s="54" t="n">
        <v>1.0631</v>
      </c>
      <c r="G65" s="54" t="n">
        <v>1.0467</v>
      </c>
    </row>
    <row r="66">
      <c r="A66" s="49" t="n">
        <v>46094</v>
      </c>
      <c r="B66" s="11" t="n">
        <v>110.860000610352</v>
      </c>
      <c r="C66" s="11" t="n">
        <v>54.0800018310547</v>
      </c>
      <c r="D66" s="11" t="n">
        <v>80.01999664306641</v>
      </c>
      <c r="E66" s="54" t="n">
        <v>1.0014</v>
      </c>
      <c r="F66" s="54" t="n">
        <v>1.0211</v>
      </c>
      <c r="G66" s="54" t="n">
        <v>1.0083</v>
      </c>
    </row>
    <row r="67">
      <c r="A67" s="49" t="n">
        <v>46101</v>
      </c>
      <c r="B67" s="11" t="n">
        <v>107.73999786377</v>
      </c>
      <c r="C67" s="11" t="n">
        <v>53.0099983215332</v>
      </c>
      <c r="D67" s="11" t="n">
        <v>78.65000152587891</v>
      </c>
      <c r="E67" s="54" t="n">
        <v>0.9733000000000001</v>
      </c>
      <c r="F67" s="54" t="n">
        <v>1.0009</v>
      </c>
      <c r="G67" s="54" t="n">
        <v>0.9911</v>
      </c>
    </row>
    <row r="68">
      <c r="A68" s="49" t="n">
        <v>46108</v>
      </c>
      <c r="B68" s="11" t="n">
        <v>105.680000305176</v>
      </c>
      <c r="C68" s="11" t="n">
        <v>52.060001373291</v>
      </c>
      <c r="D68" s="11" t="n">
        <v>78.5800018310547</v>
      </c>
      <c r="E68" s="54" t="n">
        <v>0.9547</v>
      </c>
      <c r="F68" s="54" t="n">
        <v>0.983</v>
      </c>
      <c r="G68" s="54" t="n">
        <v>0.9902</v>
      </c>
    </row>
    <row r="69">
      <c r="A69" s="49" t="n">
        <v>46115</v>
      </c>
      <c r="B69" s="11" t="n">
        <v>108.150001525879</v>
      </c>
      <c r="C69" s="11" t="n">
        <v>53.4500007629395</v>
      </c>
      <c r="D69" s="11" t="n">
        <v>80.4499969482422</v>
      </c>
      <c r="E69" s="54" t="n">
        <v>0.977</v>
      </c>
      <c r="F69" s="54" t="n">
        <v>1.0093</v>
      </c>
      <c r="G69" s="54" t="n">
        <v>1.0137</v>
      </c>
    </row>
    <row r="70">
      <c r="A70" s="49" t="n">
        <v>46122</v>
      </c>
      <c r="B70" s="11" t="n">
        <v>112.889999389648</v>
      </c>
      <c r="C70" s="11" t="n">
        <v>55.0200004577637</v>
      </c>
      <c r="D70" s="11" t="n">
        <v>82.73000335693359</v>
      </c>
      <c r="E70" s="54" t="n">
        <v>1.0198</v>
      </c>
      <c r="F70" s="54" t="n">
        <v>1.0389</v>
      </c>
      <c r="G70" s="54" t="n">
        <v>1.0425</v>
      </c>
    </row>
    <row r="71">
      <c r="A71" s="49" t="n">
        <v>46129</v>
      </c>
      <c r="B71" s="11" t="n">
        <v>120.410003662109</v>
      </c>
      <c r="C71" s="11" t="n">
        <v>58.0699996948242</v>
      </c>
      <c r="D71" s="11" t="n">
        <v>86.9499969482422</v>
      </c>
      <c r="E71" s="54" t="n">
        <v>1.0877</v>
      </c>
      <c r="F71" s="54" t="n">
        <v>1.0965</v>
      </c>
      <c r="G71" s="54" t="n">
        <v>1.0956</v>
      </c>
    </row>
    <row r="72">
      <c r="A72" s="49" t="n">
        <v>46136</v>
      </c>
      <c r="B72" s="11" t="n">
        <v>118.690002441406</v>
      </c>
      <c r="C72" s="11" t="n">
        <v>56.2700004577637</v>
      </c>
      <c r="D72" s="11" t="n">
        <v>85.7900009155273</v>
      </c>
      <c r="E72" s="54" t="n">
        <v>1.0722</v>
      </c>
      <c r="F72" s="54" t="n">
        <v>1.0625</v>
      </c>
      <c r="G72" s="54" t="n">
        <v>1.081</v>
      </c>
    </row>
    <row r="73">
      <c r="A73" s="49" t="n">
        <v>46143</v>
      </c>
      <c r="B73" s="11" t="n">
        <v>118.629997253418</v>
      </c>
      <c r="C73" s="11" t="n">
        <v>54.8800010681152</v>
      </c>
      <c r="D73" s="11" t="n">
        <v>85.5800018310547</v>
      </c>
      <c r="E73" s="54" t="n">
        <v>1.0716</v>
      </c>
      <c r="F73" s="54" t="n">
        <v>1.0363</v>
      </c>
      <c r="G73" s="54" t="n">
        <v>1.0784</v>
      </c>
    </row>
    <row r="74">
      <c r="A74" s="49" t="n">
        <v>46150</v>
      </c>
      <c r="B74" s="11" t="n">
        <v>120.199996948242</v>
      </c>
      <c r="C74" s="11" t="n">
        <v>54.1300010681152</v>
      </c>
      <c r="D74" s="11" t="n">
        <v>84.7200012207031</v>
      </c>
      <c r="E74" s="54" t="n">
        <v>1.0858</v>
      </c>
      <c r="F74" s="54" t="n">
        <v>1.0221</v>
      </c>
      <c r="G74" s="54" t="n">
        <v>1.0675</v>
      </c>
    </row>
    <row r="75">
      <c r="A75" s="49" t="n">
        <v>46157</v>
      </c>
      <c r="B75" s="11" t="n">
        <v>116.529998779297</v>
      </c>
      <c r="C75" s="11" t="n">
        <v>51.7599983215332</v>
      </c>
      <c r="D75" s="11" t="n">
        <v>79.0899963378906</v>
      </c>
      <c r="E75" s="54" t="n">
        <v>1.0527</v>
      </c>
      <c r="F75" s="54" t="n">
        <v>0.9772999999999999</v>
      </c>
      <c r="G75" s="54" t="n">
        <v>0.9966</v>
      </c>
    </row>
    <row r="76">
      <c r="A76" s="49" t="n">
        <v>46164</v>
      </c>
      <c r="B76" s="11" t="n">
        <v>119.180000305176</v>
      </c>
      <c r="C76" s="11" t="n">
        <v>53.939998626709</v>
      </c>
      <c r="D76" s="11" t="n">
        <v>82.5400009155273</v>
      </c>
      <c r="E76" s="54" t="n">
        <v>1.0766</v>
      </c>
      <c r="F76" s="54" t="n">
        <v>1.0185</v>
      </c>
      <c r="G76" s="54" t="n">
        <v>1.0401</v>
      </c>
    </row>
    <row r="77">
      <c r="A77" s="49" t="n">
        <v>46171</v>
      </c>
      <c r="B77" s="11" t="n">
        <v>120.870002746582</v>
      </c>
      <c r="C77" s="11" t="n">
        <v>55.3199996948242</v>
      </c>
      <c r="D77" s="11" t="n">
        <v>83.9899978637695</v>
      </c>
      <c r="E77" s="54" t="n">
        <v>1.0919</v>
      </c>
      <c r="F77" s="54" t="n">
        <v>1.0446</v>
      </c>
      <c r="G77" s="54" t="n">
        <v>1.0583</v>
      </c>
    </row>
    <row r="78">
      <c r="A78" s="49" t="n">
        <v>46178</v>
      </c>
      <c r="B78" s="11" t="n">
        <v>114.860000610352</v>
      </c>
      <c r="C78" s="11" t="n">
        <v>54.4199981689453</v>
      </c>
      <c r="D78" s="11" t="n">
        <v>82.629997253418</v>
      </c>
      <c r="E78" s="54" t="n">
        <v>1.0376</v>
      </c>
      <c r="F78" s="54" t="n">
        <v>1.0276</v>
      </c>
      <c r="G78" s="54" t="n">
        <v>1.0412</v>
      </c>
    </row>
    <row r="79">
      <c r="A79" s="49" t="n">
        <v>46185</v>
      </c>
      <c r="B79" s="11" t="n">
        <v>116.599998474121</v>
      </c>
      <c r="C79" s="11" t="n">
        <v>56.0400009155273</v>
      </c>
      <c r="D79" s="11" t="n">
        <v>87.73000335693359</v>
      </c>
      <c r="E79" s="54" t="n">
        <v>1.0533</v>
      </c>
      <c r="F79" s="54" t="n">
        <v>1.0582</v>
      </c>
      <c r="G79" s="54" t="n">
        <v>1.1055</v>
      </c>
    </row>
    <row r="80">
      <c r="A80" s="49" t="n">
        <v>46192</v>
      </c>
      <c r="B80" s="11" t="n">
        <v>117.160003662109</v>
      </c>
      <c r="C80" s="11" t="n">
        <v>56.0800018310547</v>
      </c>
      <c r="D80" s="11" t="n">
        <v>86.38999938964839</v>
      </c>
      <c r="E80" s="54" t="n">
        <v>1.0584</v>
      </c>
      <c r="F80" s="54" t="n">
        <v>1.0589</v>
      </c>
      <c r="G80" s="54" t="n">
        <v>1.0886</v>
      </c>
    </row>
    <row r="81">
      <c r="A81" s="49" t="n">
        <v>46199</v>
      </c>
      <c r="B81" s="11" t="n">
        <v>114.370002746582</v>
      </c>
      <c r="C81" s="11" t="n">
        <v>56.3400001525879</v>
      </c>
      <c r="D81" s="11" t="n">
        <v>88.7200012207031</v>
      </c>
      <c r="E81" s="54" t="n">
        <v>1.0332</v>
      </c>
      <c r="F81" s="54" t="n">
        <v>1.0638</v>
      </c>
      <c r="G81" s="54" t="n">
        <v>1.1179</v>
      </c>
    </row>
    <row r="82">
      <c r="A82" s="49" t="n">
        <v>46206</v>
      </c>
      <c r="B82" s="11" t="n">
        <v>117.120002746582</v>
      </c>
      <c r="C82" s="11" t="n">
        <v>56.4199981689453</v>
      </c>
      <c r="D82" s="11" t="n">
        <v>88.05999755859369</v>
      </c>
      <c r="E82" s="54" t="n">
        <v>1.058</v>
      </c>
      <c r="F82" s="54" t="n">
        <v>1.0653</v>
      </c>
      <c r="G82" s="54" t="n">
        <v>1.1096</v>
      </c>
    </row>
    <row r="83">
      <c r="A83" s="49" t="n">
        <v>46213</v>
      </c>
      <c r="B83" s="11" t="n">
        <v>117.23999786377</v>
      </c>
      <c r="C83" s="11" t="n">
        <v>55.9300003051758</v>
      </c>
      <c r="D83" s="11" t="n">
        <v>88.0800018310547</v>
      </c>
      <c r="E83" s="54" t="n">
        <v>1.0591</v>
      </c>
      <c r="F83" s="54" t="n">
        <v>1.0561</v>
      </c>
      <c r="G83" s="54" t="n">
        <v>1.1099</v>
      </c>
    </row>
    <row r="84">
      <c r="A84" s="49" t="n">
        <v>46220</v>
      </c>
      <c r="B84" s="11" t="n">
        <v>115.440002441406</v>
      </c>
      <c r="C84" s="11" t="n">
        <v>55.4799995422363</v>
      </c>
      <c r="D84" s="11" t="n">
        <v>89.4199981689453</v>
      </c>
      <c r="E84" s="54" t="n">
        <v>1.0428</v>
      </c>
      <c r="F84" s="54" t="n">
        <v>1.0476</v>
      </c>
      <c r="G84" s="54" t="n">
        <v>1.1268</v>
      </c>
    </row>
    <row r="85">
      <c r="A85" s="49" t="n">
        <v>46227</v>
      </c>
      <c r="B85" s="11" t="n">
        <v>109.410003662109</v>
      </c>
      <c r="C85" s="11" t="n">
        <v>54.7200012207031</v>
      </c>
      <c r="D85" s="11" t="n">
        <v>87.0100021362305</v>
      </c>
      <c r="E85" s="54" t="n">
        <v>0.9883</v>
      </c>
      <c r="F85" s="54" t="n">
        <v>1.0332</v>
      </c>
      <c r="G85" s="54" t="n">
        <v>1.0964</v>
      </c>
    </row>
    <row r="86">
      <c r="A86" s="49" t="n">
        <v>46234</v>
      </c>
      <c r="B86" s="11" t="n">
        <v>116.089996337891</v>
      </c>
      <c r="C86" s="11" t="n">
        <v>56.8300018310547</v>
      </c>
      <c r="D86" s="11" t="n">
        <v>89.7799987792969</v>
      </c>
      <c r="E86" s="54" t="n">
        <v>1.0487</v>
      </c>
      <c r="F86" s="54" t="n">
        <v>1.0731</v>
      </c>
      <c r="G86" s="54" t="n">
        <v>1.1313</v>
      </c>
    </row>
    <row r="87">
      <c r="A87" s="49" t="n">
        <v>46241</v>
      </c>
      <c r="B87" s="11" t="n">
        <v>119.860000610352</v>
      </c>
      <c r="C87" s="11" t="n">
        <v>58.6500015258789</v>
      </c>
      <c r="D87" s="11" t="n">
        <v>90.8199996948242</v>
      </c>
      <c r="E87" s="54" t="n">
        <v>1.0827</v>
      </c>
      <c r="F87" s="54" t="n">
        <v>1.1074</v>
      </c>
      <c r="G87" s="54" t="n">
        <v>1.1444</v>
      </c>
    </row>
    <row r="88">
      <c r="A88" s="49" t="n">
        <v>46248</v>
      </c>
      <c r="B88" s="11" t="n">
        <v>118.199996948242</v>
      </c>
      <c r="C88" s="11" t="n">
        <v>57.9700012207031</v>
      </c>
      <c r="D88" s="11" t="n">
        <v>88.9499969482422</v>
      </c>
      <c r="E88" s="54" t="n">
        <v>1.0678</v>
      </c>
      <c r="F88" s="54" t="n">
        <v>1.0946</v>
      </c>
      <c r="G88" s="54" t="n">
        <v>1.1208</v>
      </c>
    </row>
    <row r="89">
      <c r="A89" s="49" t="n">
        <v>46255</v>
      </c>
      <c r="B89" s="11" t="n">
        <v>118.019996643066</v>
      </c>
      <c r="C89" s="11" t="n">
        <v>57.3600006103516</v>
      </c>
      <c r="D89" s="11" t="n">
        <v>87.7099990844727</v>
      </c>
      <c r="E89" s="54" t="n">
        <v>1.0661</v>
      </c>
      <c r="F89" s="54" t="n">
        <v>1.0831</v>
      </c>
      <c r="G89" s="54" t="n">
        <v>1.1052</v>
      </c>
    </row>
    <row r="90">
      <c r="A90" s="49" t="n">
        <v>46262</v>
      </c>
      <c r="B90" s="11" t="n">
        <v>117.209999084473</v>
      </c>
      <c r="C90" s="11" t="n">
        <v>56.7900009155273</v>
      </c>
      <c r="D90" s="11" t="n">
        <v>86.88999938964839</v>
      </c>
      <c r="E90" s="54" t="n">
        <v>1.0588</v>
      </c>
      <c r="F90" s="54" t="n">
        <v>1.0723</v>
      </c>
      <c r="G90" s="54" t="n">
        <v>1.0949</v>
      </c>
    </row>
    <row r="91">
      <c r="A91" s="49" t="n">
        <v>46269</v>
      </c>
      <c r="B91" s="11" t="n">
        <v>114.910003662109</v>
      </c>
      <c r="C91" s="11" t="n">
        <v>55.560001373291</v>
      </c>
      <c r="D91" s="11" t="n">
        <v>87.5899963378906</v>
      </c>
      <c r="E91" s="54" t="n">
        <v>1.038</v>
      </c>
      <c r="F91" s="54" t="n">
        <v>1.0491</v>
      </c>
      <c r="G91" s="54" t="n">
        <v>1.1037</v>
      </c>
    </row>
    <row r="92">
      <c r="A92" s="49" t="n">
        <v>46276</v>
      </c>
      <c r="B92" s="11" t="n">
        <v>112.959999084473</v>
      </c>
      <c r="C92" s="11" t="n">
        <v>53.7700004577637</v>
      </c>
      <c r="D92" s="11" t="n">
        <v>84.7900009155273</v>
      </c>
      <c r="E92" s="54" t="n">
        <v>1.0204</v>
      </c>
      <c r="F92" s="54" t="n">
        <v>1.0153</v>
      </c>
      <c r="G92" s="54" t="n">
        <v>1.0684</v>
      </c>
    </row>
    <row r="93">
      <c r="A93" s="49" t="n">
        <v>46283</v>
      </c>
      <c r="B93" s="11" t="n">
        <v>111.029998779297</v>
      </c>
      <c r="C93" s="11" t="n">
        <v>52.4300003051758</v>
      </c>
      <c r="D93" s="11" t="n">
        <v>82.0299987792969</v>
      </c>
      <c r="E93" s="54" t="n">
        <v>1.003</v>
      </c>
      <c r="F93" s="54" t="n">
        <v>0.99</v>
      </c>
      <c r="G93" s="54" t="n">
        <v>1.0336</v>
      </c>
    </row>
    <row r="94">
      <c r="A94" s="49" t="n">
        <v>46290</v>
      </c>
      <c r="B94" s="11" t="n">
        <v>112.230003356934</v>
      </c>
      <c r="C94" s="11" t="n">
        <v>52.7299995422363</v>
      </c>
      <c r="D94" s="11" t="n">
        <v>82.55999755859369</v>
      </c>
      <c r="E94" s="54" t="n">
        <v>1.0138</v>
      </c>
      <c r="F94" s="54" t="n">
        <v>0.9957</v>
      </c>
      <c r="G94" s="54" t="n">
        <v>1.0403</v>
      </c>
    </row>
    <row r="95">
      <c r="A95" s="49" t="n">
        <v>46297</v>
      </c>
      <c r="B95" s="11" t="n">
        <v>110.040000915527</v>
      </c>
      <c r="C95" s="11" t="n">
        <v>51.8300018310547</v>
      </c>
      <c r="D95" s="11" t="n">
        <v>82.629997253418</v>
      </c>
      <c r="E95" s="54" t="n">
        <v>0.994</v>
      </c>
      <c r="F95" s="54" t="n">
        <v>0.9787</v>
      </c>
      <c r="G95" s="54" t="n">
        <v>1.0412</v>
      </c>
    </row>
    <row r="96">
      <c r="A96" s="49" t="n">
        <v>46304</v>
      </c>
      <c r="B96" s="11" t="n">
        <v>112.849998474121</v>
      </c>
      <c r="C96" s="11" t="n">
        <v>52.6500015258789</v>
      </c>
      <c r="D96" s="11" t="n">
        <v>84.0899963378906</v>
      </c>
      <c r="E96" s="54" t="n">
        <v>1.0194</v>
      </c>
      <c r="F96" s="54" t="n">
        <v>0.9941</v>
      </c>
      <c r="G96" s="54" t="n">
        <v>1.0596</v>
      </c>
    </row>
    <row r="97">
      <c r="A97" s="10" t="inlineStr">
        <is>
          <t>ETF 说明</t>
        </is>
      </c>
    </row>
    <row r="98">
      <c r="A98" s="2" t="inlineStr">
        <is>
          <t>XLY</t>
        </is>
      </c>
      <c r="B98" s="1" t="inlineStr">
        <is>
          <t>可选消费 ETF 市值加权</t>
        </is>
      </c>
      <c r="D98" s="1" t="inlineStr">
        <is>
          <t>被亚马逊、特斯拉主导</t>
        </is>
      </c>
    </row>
    <row r="99">
      <c r="A99" s="2" t="inlineStr">
        <is>
          <t>RSPD</t>
        </is>
      </c>
      <c r="B99" s="1" t="inlineStr">
        <is>
          <t>标普500可选消费等权 ETF</t>
        </is>
      </c>
      <c r="D99" s="1" t="inlineStr">
        <is>
          <t>去掉巨头集中度</t>
        </is>
      </c>
    </row>
    <row r="100">
      <c r="A100" s="2" t="inlineStr">
        <is>
          <t>XRT</t>
        </is>
      </c>
      <c r="B100" s="1" t="inlineStr">
        <is>
          <t>标普零售精选 ETF 等权</t>
        </is>
      </c>
      <c r="D100" s="1" t="inlineStr">
        <is>
          <t>零售属性强，含服装零售</t>
        </is>
      </c>
    </row>
    <row r="102">
      <c r="A102" s="10" t="inlineStr">
        <is>
          <t>关键统计</t>
        </is>
      </c>
    </row>
    <row r="103">
      <c r="A103" s="2" t="inlineStr">
        <is>
          <t>ETF</t>
        </is>
      </c>
      <c r="B103" s="2" t="inlineStr">
        <is>
          <t>基期价</t>
        </is>
      </c>
      <c r="C103" s="2" t="inlineStr">
        <is>
          <t>当前价</t>
        </is>
      </c>
      <c r="D103" s="2" t="inlineStr">
        <is>
          <t>累计涨跌</t>
        </is>
      </c>
      <c r="E103" s="2" t="inlineStr">
        <is>
          <t>峰值</t>
        </is>
      </c>
      <c r="F103" s="2" t="inlineStr">
        <is>
          <t>峰值日期</t>
        </is>
      </c>
      <c r="G103" s="2" t="inlineStr">
        <is>
          <t>谷值</t>
        </is>
      </c>
      <c r="H103" s="2" t="inlineStr">
        <is>
          <t>谷值日期</t>
        </is>
      </c>
      <c r="I103" s="2" t="inlineStr">
        <is>
          <t>最大回撤</t>
        </is>
      </c>
      <c r="J103" s="2" t="inlineStr">
        <is>
          <t>回撤谷底日期</t>
        </is>
      </c>
    </row>
    <row r="104">
      <c r="A104" s="1" t="inlineStr">
        <is>
          <t>XLY</t>
        </is>
      </c>
      <c r="B104" s="1" t="n">
        <v>110.7</v>
      </c>
      <c r="C104" s="1" t="n">
        <v>112.23</v>
      </c>
      <c r="D104" s="1" t="inlineStr">
        <is>
          <t>+1.4%</t>
        </is>
      </c>
      <c r="E104" s="1" t="n">
        <v>1.124</v>
      </c>
      <c r="F104" s="1" t="inlineStr">
        <is>
          <t>2026-01-09</t>
        </is>
      </c>
      <c r="G104" s="1" t="n">
        <v>0.826</v>
      </c>
      <c r="H104" s="1" t="inlineStr">
        <is>
          <t>2025-04-04</t>
        </is>
      </c>
      <c r="I104" s="1" t="inlineStr">
        <is>
          <t>-21.3%</t>
        </is>
      </c>
      <c r="J104" s="1" t="inlineStr">
        <is>
          <t>2025-04-04</t>
        </is>
      </c>
    </row>
    <row r="105">
      <c r="A105" s="1" t="inlineStr">
        <is>
          <t>RSPD</t>
        </is>
      </c>
      <c r="B105" s="1" t="n">
        <v>52.96</v>
      </c>
      <c r="C105" s="1" t="n">
        <v>52.73</v>
      </c>
      <c r="D105" s="1" t="inlineStr">
        <is>
          <t>-0.4%</t>
        </is>
      </c>
      <c r="E105" s="1" t="n">
        <v>1.129</v>
      </c>
      <c r="F105" s="1" t="inlineStr">
        <is>
          <t>2026-01-09</t>
        </is>
      </c>
      <c r="G105" s="1" t="n">
        <v>0.872</v>
      </c>
      <c r="H105" s="1" t="inlineStr">
        <is>
          <t>2025-04-04</t>
        </is>
      </c>
      <c r="I105" s="1" t="inlineStr">
        <is>
          <t>-16.9%</t>
        </is>
      </c>
      <c r="J105" s="1" t="inlineStr">
        <is>
          <t>2025-04-04</t>
        </is>
      </c>
    </row>
    <row r="106">
      <c r="A106" s="1" t="inlineStr">
        <is>
          <t>XRT</t>
        </is>
      </c>
      <c r="B106" s="1" t="n">
        <v>79.36</v>
      </c>
      <c r="C106" s="1" t="n">
        <v>82.56</v>
      </c>
      <c r="D106" s="1" t="inlineStr">
        <is>
          <t>+4.0%</t>
        </is>
      </c>
      <c r="E106" s="1" t="n">
        <v>1.144</v>
      </c>
      <c r="F106" s="1" t="inlineStr">
        <is>
          <t>2026-08-07</t>
        </is>
      </c>
      <c r="G106" s="1" t="n">
        <v>0.8179999999999999</v>
      </c>
      <c r="H106" s="1" t="inlineStr">
        <is>
          <t>2025-04-04</t>
        </is>
      </c>
      <c r="I106" s="1" t="inlineStr">
        <is>
          <t>-19.2%</t>
        </is>
      </c>
      <c r="J106" s="1" t="inlineStr">
        <is>
          <t>2025-04-04</t>
        </is>
      </c>
    </row>
    <row r="108">
      <c r="A108" s="10" t="inlineStr">
        <is>
          <t>趋势阶段注释（zigzag ≥5%）</t>
        </is>
      </c>
    </row>
    <row r="109">
      <c r="A109" s="2" t="inlineStr">
        <is>
          <t>XLY</t>
        </is>
      </c>
    </row>
    <row r="110">
      <c r="A110" s="2" t="inlineStr">
        <is>
          <t>起始</t>
        </is>
      </c>
      <c r="B110" s="2" t="inlineStr">
        <is>
          <t>结束</t>
        </is>
      </c>
      <c r="C110" s="2" t="inlineStr">
        <is>
          <t>阶段</t>
        </is>
      </c>
      <c r="D110" s="2" t="inlineStr">
        <is>
          <t>幅度</t>
        </is>
      </c>
      <c r="E110" s="2" t="inlineStr">
        <is>
          <t>起始值</t>
        </is>
      </c>
      <c r="F110" s="2" t="inlineStr">
        <is>
          <t>结束值</t>
        </is>
      </c>
    </row>
    <row r="111">
      <c r="A111" s="1" t="inlineStr">
        <is>
          <t>2025-01-01</t>
        </is>
      </c>
      <c r="B111" s="1" t="inlineStr">
        <is>
          <t>2025-04-04</t>
        </is>
      </c>
      <c r="C111" s="1" t="inlineStr">
        <is>
          <t>下跌</t>
        </is>
      </c>
      <c r="D111" s="1" t="inlineStr">
        <is>
          <t>-17.4%</t>
        </is>
      </c>
      <c r="E111" s="1" t="inlineStr">
        <is>
          <t>110.70</t>
        </is>
      </c>
      <c r="F111" s="1" t="inlineStr">
        <is>
          <t>91.39</t>
        </is>
      </c>
    </row>
    <row r="112">
      <c r="A112" s="1" t="inlineStr">
        <is>
          <t>2025-04-04</t>
        </is>
      </c>
      <c r="B112" s="1" t="inlineStr">
        <is>
          <t>2025-09-19</t>
        </is>
      </c>
      <c r="C112" s="1" t="inlineStr">
        <is>
          <t>上涨</t>
        </is>
      </c>
      <c r="D112" s="1" t="inlineStr">
        <is>
          <t>+32.1%</t>
        </is>
      </c>
      <c r="E112" s="1" t="inlineStr">
        <is>
          <t>91.39</t>
        </is>
      </c>
      <c r="F112" s="1" t="inlineStr">
        <is>
          <t>120.69</t>
        </is>
      </c>
    </row>
    <row r="113">
      <c r="A113" s="1" t="inlineStr">
        <is>
          <t>2025-09-19</t>
        </is>
      </c>
      <c r="B113" s="1" t="inlineStr">
        <is>
          <t>2025-11-21</t>
        </is>
      </c>
      <c r="C113" s="1" t="inlineStr">
        <is>
          <t>下跌</t>
        </is>
      </c>
      <c r="D113" s="1" t="inlineStr">
        <is>
          <t>-6.6%</t>
        </is>
      </c>
      <c r="E113" s="1" t="inlineStr">
        <is>
          <t>120.69</t>
        </is>
      </c>
      <c r="F113" s="1" t="inlineStr">
        <is>
          <t>112.75</t>
        </is>
      </c>
    </row>
    <row r="114">
      <c r="A114" s="1" t="inlineStr">
        <is>
          <t>2025-11-21</t>
        </is>
      </c>
      <c r="B114" s="1" t="inlineStr">
        <is>
          <t>2026-01-09</t>
        </is>
      </c>
      <c r="C114" s="1" t="inlineStr">
        <is>
          <t>上涨</t>
        </is>
      </c>
      <c r="D114" s="1" t="inlineStr">
        <is>
          <t>+10.3%</t>
        </is>
      </c>
      <c r="E114" s="1" t="inlineStr">
        <is>
          <t>112.75</t>
        </is>
      </c>
      <c r="F114" s="1" t="inlineStr">
        <is>
          <t>124.41</t>
        </is>
      </c>
    </row>
    <row r="115">
      <c r="A115" s="1" t="inlineStr">
        <is>
          <t>2026-01-09</t>
        </is>
      </c>
      <c r="B115" s="1" t="inlineStr">
        <is>
          <t>2026-03-27</t>
        </is>
      </c>
      <c r="C115" s="1" t="inlineStr">
        <is>
          <t>下跌</t>
        </is>
      </c>
      <c r="D115" s="1" t="inlineStr">
        <is>
          <t>-15.1%</t>
        </is>
      </c>
      <c r="E115" s="1" t="inlineStr">
        <is>
          <t>124.41</t>
        </is>
      </c>
      <c r="F115" s="1" t="inlineStr">
        <is>
          <t>105.68</t>
        </is>
      </c>
    </row>
    <row r="116">
      <c r="A116" s="1" t="inlineStr">
        <is>
          <t>2026-03-27</t>
        </is>
      </c>
      <c r="B116" s="1" t="inlineStr">
        <is>
          <t>2026-05-29</t>
        </is>
      </c>
      <c r="C116" s="1" t="inlineStr">
        <is>
          <t>上涨</t>
        </is>
      </c>
      <c r="D116" s="1" t="inlineStr">
        <is>
          <t>+14.4%</t>
        </is>
      </c>
      <c r="E116" s="1" t="inlineStr">
        <is>
          <t>105.68</t>
        </is>
      </c>
      <c r="F116" s="1" t="inlineStr">
        <is>
          <t>120.87</t>
        </is>
      </c>
    </row>
    <row r="117">
      <c r="A117" s="1" t="inlineStr">
        <is>
          <t>2026-05-29</t>
        </is>
      </c>
      <c r="B117" s="1" t="inlineStr">
        <is>
          <t>2026-07-24</t>
        </is>
      </c>
      <c r="C117" s="1" t="inlineStr">
        <is>
          <t>下跌</t>
        </is>
      </c>
      <c r="D117" s="1" t="inlineStr">
        <is>
          <t>-9.5%</t>
        </is>
      </c>
      <c r="E117" s="1" t="inlineStr">
        <is>
          <t>120.87</t>
        </is>
      </c>
      <c r="F117" s="1" t="inlineStr">
        <is>
          <t>109.41</t>
        </is>
      </c>
    </row>
    <row r="118">
      <c r="A118" s="1" t="inlineStr">
        <is>
          <t>2026-07-24</t>
        </is>
      </c>
      <c r="B118" s="1" t="inlineStr">
        <is>
          <t>2026-08-07</t>
        </is>
      </c>
      <c r="C118" s="1" t="inlineStr">
        <is>
          <t>上涨</t>
        </is>
      </c>
      <c r="D118" s="1" t="inlineStr">
        <is>
          <t>+9.6%</t>
        </is>
      </c>
      <c r="E118" s="1" t="inlineStr">
        <is>
          <t>109.41</t>
        </is>
      </c>
      <c r="F118" s="1" t="inlineStr">
        <is>
          <t>119.86</t>
        </is>
      </c>
    </row>
    <row r="119">
      <c r="A119" s="1" t="inlineStr">
        <is>
          <t>2026-08-07</t>
        </is>
      </c>
      <c r="B119" s="1" t="inlineStr">
        <is>
          <t>2026-09-25</t>
        </is>
      </c>
      <c r="C119" s="1" t="inlineStr">
        <is>
          <t>下跌</t>
        </is>
      </c>
      <c r="D119" s="1" t="inlineStr">
        <is>
          <t>-6.4%</t>
        </is>
      </c>
      <c r="E119" s="1" t="inlineStr">
        <is>
          <t>119.86</t>
        </is>
      </c>
      <c r="F119" s="1" t="inlineStr">
        <is>
          <t>112.23</t>
        </is>
      </c>
    </row>
    <row r="121">
      <c r="A121" s="2" t="inlineStr">
        <is>
          <t>RSPD</t>
        </is>
      </c>
    </row>
    <row r="122">
      <c r="A122" s="2" t="inlineStr">
        <is>
          <t>起始</t>
        </is>
      </c>
      <c r="B122" s="2" t="inlineStr">
        <is>
          <t>结束</t>
        </is>
      </c>
      <c r="C122" s="2" t="inlineStr">
        <is>
          <t>阶段</t>
        </is>
      </c>
      <c r="D122" s="2" t="inlineStr">
        <is>
          <t>幅度</t>
        </is>
      </c>
      <c r="E122" s="2" t="inlineStr">
        <is>
          <t>起始值</t>
        </is>
      </c>
      <c r="F122" s="2" t="inlineStr">
        <is>
          <t>结束值</t>
        </is>
      </c>
    </row>
    <row r="123">
      <c r="A123" s="1" t="inlineStr">
        <is>
          <t>2025-01-01</t>
        </is>
      </c>
      <c r="B123" s="1" t="inlineStr">
        <is>
          <t>2025-04-04</t>
        </is>
      </c>
      <c r="C123" s="1" t="inlineStr">
        <is>
          <t>下跌</t>
        </is>
      </c>
      <c r="D123" s="1" t="inlineStr">
        <is>
          <t>-12.8%</t>
        </is>
      </c>
      <c r="E123" s="1" t="inlineStr">
        <is>
          <t>52.96</t>
        </is>
      </c>
      <c r="F123" s="1" t="inlineStr">
        <is>
          <t>46.17</t>
        </is>
      </c>
    </row>
    <row r="124">
      <c r="A124" s="1" t="inlineStr">
        <is>
          <t>2025-04-04</t>
        </is>
      </c>
      <c r="B124" s="1" t="inlineStr">
        <is>
          <t>2025-09-05</t>
        </is>
      </c>
      <c r="C124" s="1" t="inlineStr">
        <is>
          <t>上涨</t>
        </is>
      </c>
      <c r="D124" s="1" t="inlineStr">
        <is>
          <t>+27.6%</t>
        </is>
      </c>
      <c r="E124" s="1" t="inlineStr">
        <is>
          <t>46.17</t>
        </is>
      </c>
      <c r="F124" s="1" t="inlineStr">
        <is>
          <t>58.92</t>
        </is>
      </c>
    </row>
    <row r="125">
      <c r="A125" s="1" t="inlineStr">
        <is>
          <t>2025-09-05</t>
        </is>
      </c>
      <c r="B125" s="1" t="inlineStr">
        <is>
          <t>2025-11-21</t>
        </is>
      </c>
      <c r="C125" s="1" t="inlineStr">
        <is>
          <t>下跌</t>
        </is>
      </c>
      <c r="D125" s="1" t="inlineStr">
        <is>
          <t>-7.4%</t>
        </is>
      </c>
      <c r="E125" s="1" t="inlineStr">
        <is>
          <t>58.92</t>
        </is>
      </c>
      <c r="F125" s="1" t="inlineStr">
        <is>
          <t>54.57</t>
        </is>
      </c>
    </row>
    <row r="126">
      <c r="A126" s="1" t="inlineStr">
        <is>
          <t>2025-11-21</t>
        </is>
      </c>
      <c r="B126" s="1" t="inlineStr">
        <is>
          <t>2026-01-09</t>
        </is>
      </c>
      <c r="C126" s="1" t="inlineStr">
        <is>
          <t>上涨</t>
        </is>
      </c>
      <c r="D126" s="1" t="inlineStr">
        <is>
          <t>+9.6%</t>
        </is>
      </c>
      <c r="E126" s="1" t="inlineStr">
        <is>
          <t>54.57</t>
        </is>
      </c>
      <c r="F126" s="1" t="inlineStr">
        <is>
          <t>59.80</t>
        </is>
      </c>
    </row>
    <row r="127">
      <c r="A127" s="1" t="inlineStr">
        <is>
          <t>2026-01-09</t>
        </is>
      </c>
      <c r="B127" s="1" t="inlineStr">
        <is>
          <t>2026-03-27</t>
        </is>
      </c>
      <c r="C127" s="1" t="inlineStr">
        <is>
          <t>下跌</t>
        </is>
      </c>
      <c r="D127" s="1" t="inlineStr">
        <is>
          <t>-12.9%</t>
        </is>
      </c>
      <c r="E127" s="1" t="inlineStr">
        <is>
          <t>59.80</t>
        </is>
      </c>
      <c r="F127" s="1" t="inlineStr">
        <is>
          <t>52.06</t>
        </is>
      </c>
    </row>
    <row r="128">
      <c r="A128" s="1" t="inlineStr">
        <is>
          <t>2026-03-27</t>
        </is>
      </c>
      <c r="B128" s="1" t="inlineStr">
        <is>
          <t>2026-04-17</t>
        </is>
      </c>
      <c r="C128" s="1" t="inlineStr">
        <is>
          <t>上涨</t>
        </is>
      </c>
      <c r="D128" s="1" t="inlineStr">
        <is>
          <t>+11.5%</t>
        </is>
      </c>
      <c r="E128" s="1" t="inlineStr">
        <is>
          <t>52.06</t>
        </is>
      </c>
      <c r="F128" s="1" t="inlineStr">
        <is>
          <t>58.07</t>
        </is>
      </c>
    </row>
    <row r="129">
      <c r="A129" s="1" t="inlineStr">
        <is>
          <t>2026-04-17</t>
        </is>
      </c>
      <c r="B129" s="1" t="inlineStr">
        <is>
          <t>2026-05-15</t>
        </is>
      </c>
      <c r="C129" s="1" t="inlineStr">
        <is>
          <t>下跌</t>
        </is>
      </c>
      <c r="D129" s="1" t="inlineStr">
        <is>
          <t>-10.9%</t>
        </is>
      </c>
      <c r="E129" s="1" t="inlineStr">
        <is>
          <t>58.07</t>
        </is>
      </c>
      <c r="F129" s="1" t="inlineStr">
        <is>
          <t>51.76</t>
        </is>
      </c>
    </row>
    <row r="130">
      <c r="A130" s="1" t="inlineStr">
        <is>
          <t>2026-05-15</t>
        </is>
      </c>
      <c r="B130" s="1" t="inlineStr">
        <is>
          <t>2026-08-07</t>
        </is>
      </c>
      <c r="C130" s="1" t="inlineStr">
        <is>
          <t>上涨</t>
        </is>
      </c>
      <c r="D130" s="1" t="inlineStr">
        <is>
          <t>+13.3%</t>
        </is>
      </c>
      <c r="E130" s="1" t="inlineStr">
        <is>
          <t>51.76</t>
        </is>
      </c>
      <c r="F130" s="1" t="inlineStr">
        <is>
          <t>58.65</t>
        </is>
      </c>
    </row>
    <row r="131">
      <c r="A131" s="1" t="inlineStr">
        <is>
          <t>2026-08-07</t>
        </is>
      </c>
      <c r="B131" s="1" t="inlineStr">
        <is>
          <t>2026-09-25</t>
        </is>
      </c>
      <c r="C131" s="1" t="inlineStr">
        <is>
          <t>下跌</t>
        </is>
      </c>
      <c r="D131" s="1" t="inlineStr">
        <is>
          <t>-10.1%</t>
        </is>
      </c>
      <c r="E131" s="1" t="inlineStr">
        <is>
          <t>58.65</t>
        </is>
      </c>
      <c r="F131" s="1" t="inlineStr">
        <is>
          <t>52.73</t>
        </is>
      </c>
    </row>
    <row r="133">
      <c r="A133" s="2" t="inlineStr">
        <is>
          <t>XRT</t>
        </is>
      </c>
    </row>
    <row r="134">
      <c r="A134" s="2" t="inlineStr">
        <is>
          <t>起始</t>
        </is>
      </c>
      <c r="B134" s="2" t="inlineStr">
        <is>
          <t>结束</t>
        </is>
      </c>
      <c r="C134" s="2" t="inlineStr">
        <is>
          <t>阶段</t>
        </is>
      </c>
      <c r="D134" s="2" t="inlineStr">
        <is>
          <t>幅度</t>
        </is>
      </c>
      <c r="E134" s="2" t="inlineStr">
        <is>
          <t>起始值</t>
        </is>
      </c>
      <c r="F134" s="2" t="inlineStr">
        <is>
          <t>结束值</t>
        </is>
      </c>
    </row>
    <row r="135">
      <c r="A135" s="1" t="inlineStr">
        <is>
          <t>2025-01-01</t>
        </is>
      </c>
      <c r="B135" s="1" t="inlineStr">
        <is>
          <t>2025-04-04</t>
        </is>
      </c>
      <c r="C135" s="1" t="inlineStr">
        <is>
          <t>下跌</t>
        </is>
      </c>
      <c r="D135" s="1" t="inlineStr">
        <is>
          <t>-18.2%</t>
        </is>
      </c>
      <c r="E135" s="1" t="inlineStr">
        <is>
          <t>79.36</t>
        </is>
      </c>
      <c r="F135" s="1" t="inlineStr">
        <is>
          <t>64.89</t>
        </is>
      </c>
    </row>
    <row r="136">
      <c r="A136" s="1" t="inlineStr">
        <is>
          <t>2025-04-04</t>
        </is>
      </c>
      <c r="B136" s="1" t="inlineStr">
        <is>
          <t>2025-09-05</t>
        </is>
      </c>
      <c r="C136" s="1" t="inlineStr">
        <is>
          <t>上涨</t>
        </is>
      </c>
      <c r="D136" s="1" t="inlineStr">
        <is>
          <t>+34.6%</t>
        </is>
      </c>
      <c r="E136" s="1" t="inlineStr">
        <is>
          <t>64.89</t>
        </is>
      </c>
      <c r="F136" s="1" t="inlineStr">
        <is>
          <t>87.35</t>
        </is>
      </c>
    </row>
    <row r="137">
      <c r="A137" s="1" t="inlineStr">
        <is>
          <t>2025-09-05</t>
        </is>
      </c>
      <c r="B137" s="1" t="inlineStr">
        <is>
          <t>2025-11-07</t>
        </is>
      </c>
      <c r="C137" s="1" t="inlineStr">
        <is>
          <t>下跌</t>
        </is>
      </c>
      <c r="D137" s="1" t="inlineStr">
        <is>
          <t>-8.5%</t>
        </is>
      </c>
      <c r="E137" s="1" t="inlineStr">
        <is>
          <t>87.35</t>
        </is>
      </c>
      <c r="F137" s="1" t="inlineStr">
        <is>
          <t>79.90</t>
        </is>
      </c>
    </row>
    <row r="138">
      <c r="A138" s="1" t="inlineStr">
        <is>
          <t>2025-11-07</t>
        </is>
      </c>
      <c r="B138" s="1" t="inlineStr">
        <is>
          <t>2026-01-16</t>
        </is>
      </c>
      <c r="C138" s="1" t="inlineStr">
        <is>
          <t>上涨</t>
        </is>
      </c>
      <c r="D138" s="1" t="inlineStr">
        <is>
          <t>+13.2%</t>
        </is>
      </c>
      <c r="E138" s="1" t="inlineStr">
        <is>
          <t>79.90</t>
        </is>
      </c>
      <c r="F138" s="1" t="inlineStr">
        <is>
          <t>90.42</t>
        </is>
      </c>
    </row>
    <row r="139">
      <c r="A139" s="1" t="inlineStr">
        <is>
          <t>2026-01-16</t>
        </is>
      </c>
      <c r="B139" s="1" t="inlineStr">
        <is>
          <t>2026-03-27</t>
        </is>
      </c>
      <c r="C139" s="1" t="inlineStr">
        <is>
          <t>下跌</t>
        </is>
      </c>
      <c r="D139" s="1" t="inlineStr">
        <is>
          <t>-13.1%</t>
        </is>
      </c>
      <c r="E139" s="1" t="inlineStr">
        <is>
          <t>90.42</t>
        </is>
      </c>
      <c r="F139" s="1" t="inlineStr">
        <is>
          <t>78.58</t>
        </is>
      </c>
    </row>
    <row r="140">
      <c r="A140" s="1" t="inlineStr">
        <is>
          <t>2026-03-27</t>
        </is>
      </c>
      <c r="B140" s="1" t="inlineStr">
        <is>
          <t>2026-04-17</t>
        </is>
      </c>
      <c r="C140" s="1" t="inlineStr">
        <is>
          <t>上涨</t>
        </is>
      </c>
      <c r="D140" s="1" t="inlineStr">
        <is>
          <t>+10.7%</t>
        </is>
      </c>
      <c r="E140" s="1" t="inlineStr">
        <is>
          <t>78.58</t>
        </is>
      </c>
      <c r="F140" s="1" t="inlineStr">
        <is>
          <t>86.95</t>
        </is>
      </c>
    </row>
    <row r="141">
      <c r="A141" s="1" t="inlineStr">
        <is>
          <t>2026-04-17</t>
        </is>
      </c>
      <c r="B141" s="1" t="inlineStr">
        <is>
          <t>2026-05-15</t>
        </is>
      </c>
      <c r="C141" s="1" t="inlineStr">
        <is>
          <t>下跌</t>
        </is>
      </c>
      <c r="D141" s="1" t="inlineStr">
        <is>
          <t>-9.0%</t>
        </is>
      </c>
      <c r="E141" s="1" t="inlineStr">
        <is>
          <t>86.95</t>
        </is>
      </c>
      <c r="F141" s="1" t="inlineStr">
        <is>
          <t>79.09</t>
        </is>
      </c>
    </row>
    <row r="142">
      <c r="A142" s="1" t="inlineStr">
        <is>
          <t>2026-05-15</t>
        </is>
      </c>
      <c r="B142" s="1" t="inlineStr">
        <is>
          <t>2026-08-07</t>
        </is>
      </c>
      <c r="C142" s="1" t="inlineStr">
        <is>
          <t>上涨</t>
        </is>
      </c>
      <c r="D142" s="1" t="inlineStr">
        <is>
          <t>+14.8%</t>
        </is>
      </c>
      <c r="E142" s="1" t="inlineStr">
        <is>
          <t>79.09</t>
        </is>
      </c>
      <c r="F142" s="1" t="inlineStr">
        <is>
          <t>90.82</t>
        </is>
      </c>
    </row>
    <row r="143">
      <c r="A143" s="1" t="inlineStr">
        <is>
          <t>2026-08-07</t>
        </is>
      </c>
      <c r="B143" s="1" t="inlineStr">
        <is>
          <t>2026-09-25</t>
        </is>
      </c>
      <c r="C143" s="1" t="inlineStr">
        <is>
          <t>下跌</t>
        </is>
      </c>
      <c r="D143" s="1" t="inlineStr">
        <is>
          <t>-9.1%</t>
        </is>
      </c>
      <c r="E143" s="1" t="inlineStr">
        <is>
          <t>90.82</t>
        </is>
      </c>
      <c r="F143" s="1" t="inlineStr">
        <is>
          <t>82.56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C23" sqref="C23"/>
    </sheetView>
  </sheetViews>
  <sheetFormatPr baseColWidth="8" defaultColWidth="9" defaultRowHeight="16.8" outlineLevelRow="4"/>
  <cols>
    <col width="18" customWidth="1" min="1" max="1"/>
  </cols>
  <sheetData>
    <row r="1">
      <c r="A1" s="10" t="inlineStr">
        <is>
          <t>重要地缘政治事件</t>
        </is>
      </c>
    </row>
    <row r="2">
      <c r="A2" s="2" t="inlineStr">
        <is>
          <t>时间点/时间段</t>
        </is>
      </c>
    </row>
    <row r="3">
      <c r="A3" s="2" t="inlineStr">
        <is>
          <t>详情</t>
        </is>
      </c>
    </row>
    <row r="5">
      <c r="A5" s="1" t="inlineStr">
        <is>
          <t>（由 /track-prices skill 搜索填充，每列一个事件，向右追加）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ColWidth="9" defaultRowHeight="16.8"/>
  <cols>
    <col width="12" customWidth="1" min="1" max="1"/>
    <col width="18" customWidth="1" min="2" max="4"/>
  </cols>
  <sheetData>
    <row r="1">
      <c r="A1" s="2" t="inlineStr">
        <is>
          <t>油价 &amp; 汽油价格（周度，2025-01-01 起）</t>
        </is>
      </c>
    </row>
    <row r="2">
      <c r="A2" s="4" t="inlineStr">
        <is>
          <t>Date</t>
        </is>
      </c>
      <c r="B2" s="5" t="inlineStr">
        <is>
          <t>Brent($/bbl)</t>
        </is>
      </c>
      <c r="C2" s="5" t="inlineStr">
        <is>
          <t>WTI($/bbl)</t>
        </is>
      </c>
      <c r="D2" s="5" t="inlineStr">
        <is>
          <t>全美汽油均价($/gal)</t>
        </is>
      </c>
    </row>
    <row r="3">
      <c r="A3" s="49" t="n">
        <v>45658</v>
      </c>
      <c r="B3" s="11" t="n">
        <v>75.93000000000001</v>
      </c>
      <c r="C3" s="11" t="n">
        <v>73.13</v>
      </c>
      <c r="D3" s="11" t="n"/>
    </row>
    <row r="4">
      <c r="A4" s="49" t="n">
        <v>45660</v>
      </c>
      <c r="B4" s="11" t="n">
        <v>76.51000000000001</v>
      </c>
      <c r="C4" s="11" t="n">
        <v>73.95999999999999</v>
      </c>
      <c r="D4" s="11" t="n"/>
    </row>
    <row r="5">
      <c r="A5" s="49" t="n">
        <v>45667</v>
      </c>
      <c r="B5" s="11" t="n">
        <v>79.76000000000001</v>
      </c>
      <c r="C5" s="11" t="n">
        <v>76.56999999999999</v>
      </c>
      <c r="D5" s="11" t="n">
        <v>3.05</v>
      </c>
    </row>
    <row r="6">
      <c r="A6" s="49" t="n">
        <v>45674</v>
      </c>
      <c r="B6" s="11" t="n">
        <v>80.79000000000001</v>
      </c>
      <c r="C6" s="11" t="n">
        <v>77.88</v>
      </c>
      <c r="D6" s="11" t="n">
        <v>3.04</v>
      </c>
    </row>
    <row r="7">
      <c r="A7" s="49" t="n">
        <v>45681</v>
      </c>
      <c r="B7" s="11" t="n">
        <v>78.5</v>
      </c>
      <c r="C7" s="11" t="n">
        <v>74.66</v>
      </c>
      <c r="D7" s="11" t="n">
        <v>3.11</v>
      </c>
    </row>
    <row r="8">
      <c r="A8" s="49" t="n">
        <v>45688</v>
      </c>
      <c r="B8" s="11" t="n">
        <v>76.76000000000001</v>
      </c>
      <c r="C8" s="11" t="n">
        <v>72.53</v>
      </c>
      <c r="D8" s="11" t="n">
        <v>3.1</v>
      </c>
    </row>
    <row r="9">
      <c r="A9" s="49" t="n">
        <v>45695</v>
      </c>
      <c r="B9" s="11" t="n">
        <v>74.66</v>
      </c>
      <c r="C9" s="11" t="n">
        <v>71</v>
      </c>
      <c r="D9" s="11" t="n">
        <v>3.08</v>
      </c>
    </row>
    <row r="10">
      <c r="A10" s="49" t="n">
        <v>45702</v>
      </c>
      <c r="B10" s="11" t="n">
        <v>74.73999999999999</v>
      </c>
      <c r="C10" s="11" t="n">
        <v>70.73999999999999</v>
      </c>
      <c r="D10" s="11" t="n">
        <v>3.13</v>
      </c>
    </row>
    <row r="11">
      <c r="A11" s="49" t="n">
        <v>45709</v>
      </c>
      <c r="B11" s="11" t="n">
        <v>74.43000000000001</v>
      </c>
      <c r="C11" s="11" t="n">
        <v>70.40000000000001</v>
      </c>
      <c r="D11" s="11" t="n">
        <v>3.15</v>
      </c>
    </row>
    <row r="12">
      <c r="A12" s="49" t="n">
        <v>45716</v>
      </c>
      <c r="B12" s="11" t="n">
        <v>73.18000000000001</v>
      </c>
      <c r="C12" s="11" t="n">
        <v>69.76000000000001</v>
      </c>
      <c r="D12" s="11" t="n">
        <v>3.12</v>
      </c>
    </row>
    <row r="13">
      <c r="A13" s="49" t="n">
        <v>45723</v>
      </c>
      <c r="B13" s="11" t="n">
        <v>70.36</v>
      </c>
      <c r="C13" s="11" t="n">
        <v>67.04000000000001</v>
      </c>
      <c r="D13" s="11" t="n">
        <v>3.08</v>
      </c>
    </row>
    <row r="14">
      <c r="A14" s="49" t="n">
        <v>45730</v>
      </c>
      <c r="B14" s="11" t="n">
        <v>70.58</v>
      </c>
      <c r="C14" s="11" t="n">
        <v>67.18000000000001</v>
      </c>
      <c r="D14" s="11" t="n">
        <v>3.07</v>
      </c>
    </row>
    <row r="15">
      <c r="A15" s="49" t="n">
        <v>45737</v>
      </c>
      <c r="B15" s="11" t="n">
        <v>72.16</v>
      </c>
      <c r="C15" s="11" t="n">
        <v>68.28</v>
      </c>
      <c r="D15" s="11" t="n">
        <v>3.06</v>
      </c>
    </row>
    <row r="16">
      <c r="A16" s="49" t="n">
        <v>45744</v>
      </c>
      <c r="B16" s="11" t="n">
        <v>73.63</v>
      </c>
      <c r="C16" s="11" t="n">
        <v>69.36</v>
      </c>
      <c r="D16" s="11" t="n">
        <v>3.12</v>
      </c>
    </row>
    <row r="17">
      <c r="A17" s="49" t="n">
        <v>45751</v>
      </c>
      <c r="B17" s="11" t="n">
        <v>65.58</v>
      </c>
      <c r="C17" s="11" t="n">
        <v>61.99</v>
      </c>
      <c r="D17" s="11" t="n">
        <v>3.16</v>
      </c>
    </row>
    <row r="18">
      <c r="A18" s="49" t="n">
        <v>45758</v>
      </c>
      <c r="B18" s="11" t="n">
        <v>64.76000000000001</v>
      </c>
      <c r="C18" s="11" t="n">
        <v>61.5</v>
      </c>
      <c r="D18" s="11" t="n">
        <v>3.24</v>
      </c>
    </row>
    <row r="19">
      <c r="A19" s="49" t="n">
        <v>45765</v>
      </c>
      <c r="B19" s="11" t="n">
        <v>67.95999999999999</v>
      </c>
      <c r="C19" s="11" t="n">
        <v>64.68000000000001</v>
      </c>
      <c r="D19" s="11" t="n">
        <v>3.17</v>
      </c>
    </row>
    <row r="20">
      <c r="A20" s="49" t="n">
        <v>45772</v>
      </c>
      <c r="B20" s="11" t="n">
        <v>66.87</v>
      </c>
      <c r="C20" s="11" t="n">
        <v>63.02</v>
      </c>
      <c r="D20" s="11" t="n">
        <v>3.14</v>
      </c>
    </row>
    <row r="21">
      <c r="A21" s="49" t="n">
        <v>45779</v>
      </c>
      <c r="B21" s="11" t="n">
        <v>61.29</v>
      </c>
      <c r="C21" s="11" t="n">
        <v>58.29</v>
      </c>
      <c r="D21" s="11" t="n">
        <v>3.13</v>
      </c>
    </row>
    <row r="22">
      <c r="A22" s="49" t="n">
        <v>45786</v>
      </c>
      <c r="B22" s="11" t="n">
        <v>63.91</v>
      </c>
      <c r="C22" s="11" t="n">
        <v>61.02</v>
      </c>
      <c r="D22" s="11" t="n">
        <v>3.15</v>
      </c>
    </row>
    <row r="23">
      <c r="A23" s="49" t="n">
        <v>45793</v>
      </c>
      <c r="B23" s="11" t="n">
        <v>65.41</v>
      </c>
      <c r="C23" s="11" t="n">
        <v>62.49</v>
      </c>
      <c r="D23" s="11" t="n">
        <v>3.12</v>
      </c>
    </row>
    <row r="24">
      <c r="A24" s="49" t="n">
        <v>45800</v>
      </c>
      <c r="B24" s="11" t="n">
        <v>64.78</v>
      </c>
      <c r="C24" s="11" t="n">
        <v>61.53</v>
      </c>
      <c r="D24" s="11" t="n">
        <v>3.17</v>
      </c>
    </row>
    <row r="25">
      <c r="A25" s="49" t="n">
        <v>45807</v>
      </c>
      <c r="B25" s="11" t="n">
        <v>63.9</v>
      </c>
      <c r="C25" s="11" t="n">
        <v>60.79</v>
      </c>
      <c r="D25" s="11" t="n">
        <v>3.16</v>
      </c>
    </row>
    <row r="26">
      <c r="A26" s="49" t="n">
        <v>45814</v>
      </c>
      <c r="B26" s="11" t="n">
        <v>66.47</v>
      </c>
      <c r="C26" s="11" t="n">
        <v>64.58</v>
      </c>
      <c r="D26" s="11" t="n">
        <v>3.13</v>
      </c>
    </row>
    <row r="27">
      <c r="A27" s="49" t="n">
        <v>45821</v>
      </c>
      <c r="B27" s="11" t="n">
        <v>74.23</v>
      </c>
      <c r="C27" s="11" t="n">
        <v>72.98</v>
      </c>
      <c r="D27" s="11" t="n">
        <v>3.11</v>
      </c>
    </row>
    <row r="28">
      <c r="A28" s="49" t="n">
        <v>45828</v>
      </c>
      <c r="B28" s="11" t="n">
        <v>77.01000000000001</v>
      </c>
      <c r="C28" s="11" t="n">
        <v>74.93000000000001</v>
      </c>
      <c r="D28" s="11" t="n">
        <v>3.14</v>
      </c>
    </row>
    <row r="29">
      <c r="A29" s="49" t="n">
        <v>45835</v>
      </c>
      <c r="B29" s="11" t="n">
        <v>67.77</v>
      </c>
      <c r="C29" s="11" t="n">
        <v>65.52</v>
      </c>
      <c r="D29" s="11" t="n">
        <v>3.21</v>
      </c>
    </row>
    <row r="30">
      <c r="A30" s="49" t="n">
        <v>45842</v>
      </c>
      <c r="B30" s="11" t="n">
        <v>68.29000000000001</v>
      </c>
      <c r="C30" s="11" t="n">
        <v>66.5</v>
      </c>
      <c r="D30" s="11" t="n">
        <v>3.16</v>
      </c>
    </row>
    <row r="31">
      <c r="A31" s="49" t="n">
        <v>45849</v>
      </c>
      <c r="B31" s="11" t="n">
        <v>70.36</v>
      </c>
      <c r="C31" s="11" t="n">
        <v>68.45</v>
      </c>
      <c r="D31" s="11" t="n">
        <v>3.12</v>
      </c>
    </row>
    <row r="32">
      <c r="A32" s="49" t="n">
        <v>45856</v>
      </c>
      <c r="B32" s="11" t="n">
        <v>69.28</v>
      </c>
      <c r="C32" s="11" t="n">
        <v>67.34</v>
      </c>
      <c r="D32" s="11" t="n">
        <v>3.13</v>
      </c>
    </row>
    <row r="33">
      <c r="A33" s="49" t="n">
        <v>45863</v>
      </c>
      <c r="B33" s="11" t="n">
        <v>68.44</v>
      </c>
      <c r="C33" s="11" t="n">
        <v>65.16</v>
      </c>
      <c r="D33" s="11" t="n">
        <v>3.12</v>
      </c>
    </row>
    <row r="34">
      <c r="A34" s="49" t="n">
        <v>45870</v>
      </c>
      <c r="B34" s="11" t="n">
        <v>69.67</v>
      </c>
      <c r="C34" s="11" t="n">
        <v>67.33</v>
      </c>
      <c r="D34" s="11" t="n">
        <v>3.12</v>
      </c>
    </row>
    <row r="35">
      <c r="A35" s="49" t="n">
        <v>45877</v>
      </c>
      <c r="B35" s="11" t="n">
        <v>66.59</v>
      </c>
      <c r="C35" s="11" t="n">
        <v>63.88</v>
      </c>
      <c r="D35" s="11" t="n">
        <v>3.14</v>
      </c>
    </row>
    <row r="36">
      <c r="A36" s="49" t="n">
        <v>45884</v>
      </c>
      <c r="B36" s="11" t="n">
        <v>65.84999999999999</v>
      </c>
      <c r="C36" s="11" t="n">
        <v>62.8</v>
      </c>
      <c r="D36" s="11" t="n">
        <v>3.12</v>
      </c>
    </row>
    <row r="37">
      <c r="A37" s="49" t="n">
        <v>45891</v>
      </c>
      <c r="B37" s="11" t="n">
        <v>67.73</v>
      </c>
      <c r="C37" s="11" t="n">
        <v>63.66</v>
      </c>
      <c r="D37" s="11" t="n">
        <v>3.12</v>
      </c>
    </row>
    <row r="38">
      <c r="A38" s="49" t="n">
        <v>45898</v>
      </c>
      <c r="B38" s="11" t="n">
        <v>68.12</v>
      </c>
      <c r="C38" s="11" t="n">
        <v>64.01000000000001</v>
      </c>
      <c r="D38" s="11" t="n">
        <v>3.15</v>
      </c>
    </row>
    <row r="39">
      <c r="A39" s="49" t="n">
        <v>45905</v>
      </c>
      <c r="B39" s="11" t="n">
        <v>65.5</v>
      </c>
      <c r="C39" s="11" t="n">
        <v>61.87</v>
      </c>
      <c r="D39" s="11" t="n">
        <v>3.18</v>
      </c>
    </row>
    <row r="40">
      <c r="A40" s="49" t="n">
        <v>45912</v>
      </c>
      <c r="B40" s="11" t="n">
        <v>66.98999999999999</v>
      </c>
      <c r="C40" s="11" t="n">
        <v>62.69</v>
      </c>
      <c r="D40" s="11" t="n">
        <v>3.19</v>
      </c>
    </row>
    <row r="41">
      <c r="A41" s="49" t="n">
        <v>45919</v>
      </c>
      <c r="B41" s="11" t="n">
        <v>66.68000000000001</v>
      </c>
      <c r="C41" s="11" t="n">
        <v>62.68</v>
      </c>
      <c r="D41" s="11" t="n">
        <v>3.17</v>
      </c>
    </row>
    <row r="42">
      <c r="A42" s="49" t="n">
        <v>45926</v>
      </c>
      <c r="B42" s="11" t="n">
        <v>70.13</v>
      </c>
      <c r="C42" s="11" t="n">
        <v>65.72</v>
      </c>
      <c r="D42" s="11" t="n">
        <v>3.17</v>
      </c>
    </row>
    <row r="43">
      <c r="A43" s="49" t="n">
        <v>45933</v>
      </c>
      <c r="B43" s="11" t="n">
        <v>64.53</v>
      </c>
      <c r="C43" s="11" t="n">
        <v>60.88</v>
      </c>
      <c r="D43" s="11" t="n">
        <v>3.12</v>
      </c>
    </row>
    <row r="44">
      <c r="A44" s="49" t="n">
        <v>45940</v>
      </c>
      <c r="B44" s="11" t="n">
        <v>62.73</v>
      </c>
      <c r="C44" s="11" t="n">
        <v>58.9</v>
      </c>
      <c r="D44" s="11" t="n">
        <v>3.12</v>
      </c>
    </row>
    <row r="45">
      <c r="A45" s="49" t="n">
        <v>45947</v>
      </c>
      <c r="B45" s="11" t="n">
        <v>61.29</v>
      </c>
      <c r="C45" s="11" t="n">
        <v>57.54</v>
      </c>
      <c r="D45" s="11" t="n">
        <v>3.06</v>
      </c>
    </row>
    <row r="46">
      <c r="A46" s="49" t="n">
        <v>45954</v>
      </c>
      <c r="B46" s="11" t="n">
        <v>65.94</v>
      </c>
      <c r="C46" s="11" t="n">
        <v>61.5</v>
      </c>
      <c r="D46" s="11" t="n">
        <v>3.02</v>
      </c>
    </row>
    <row r="47">
      <c r="A47" s="49" t="n">
        <v>45961</v>
      </c>
      <c r="B47" s="11" t="n">
        <v>65.06999999999999</v>
      </c>
      <c r="C47" s="11" t="n">
        <v>60.98</v>
      </c>
      <c r="D47" s="11" t="n">
        <v>3.04</v>
      </c>
    </row>
    <row r="48">
      <c r="A48" s="49" t="n">
        <v>45968</v>
      </c>
      <c r="B48" s="11" t="n">
        <v>63.63</v>
      </c>
      <c r="C48" s="11" t="n">
        <v>59.75</v>
      </c>
      <c r="D48" s="11" t="n">
        <v>3.02</v>
      </c>
    </row>
    <row r="49">
      <c r="A49" s="49" t="n">
        <v>45975</v>
      </c>
      <c r="B49" s="11" t="n">
        <v>64.39</v>
      </c>
      <c r="C49" s="11" t="n">
        <v>60.09</v>
      </c>
      <c r="D49" s="11" t="n">
        <v>3.06</v>
      </c>
    </row>
    <row r="50">
      <c r="A50" s="49" t="n">
        <v>45982</v>
      </c>
      <c r="B50" s="11" t="n">
        <v>62.56</v>
      </c>
      <c r="C50" s="11" t="n">
        <v>58.06</v>
      </c>
      <c r="D50" s="11" t="n">
        <v>3.06</v>
      </c>
    </row>
    <row r="51">
      <c r="A51" s="49" t="n">
        <v>45989</v>
      </c>
      <c r="B51" s="11" t="n">
        <v>63.2</v>
      </c>
      <c r="C51" s="11" t="n">
        <v>58.55</v>
      </c>
      <c r="D51" s="11" t="n">
        <v>3.06</v>
      </c>
    </row>
    <row r="52">
      <c r="A52" s="49" t="n">
        <v>45996</v>
      </c>
      <c r="B52" s="11" t="n">
        <v>63.75</v>
      </c>
      <c r="C52" s="11" t="n">
        <v>60.08</v>
      </c>
      <c r="D52" s="11" t="n">
        <v>2.98</v>
      </c>
    </row>
    <row r="53">
      <c r="A53" s="49" t="n">
        <v>46003</v>
      </c>
      <c r="B53" s="11" t="n">
        <v>61.12</v>
      </c>
      <c r="C53" s="11" t="n">
        <v>57.44</v>
      </c>
      <c r="D53" s="11" t="n">
        <v>2.94</v>
      </c>
    </row>
    <row r="54">
      <c r="A54" s="49" t="n">
        <v>46010</v>
      </c>
      <c r="B54" s="11" t="n">
        <v>60.47</v>
      </c>
      <c r="C54" s="11" t="n">
        <v>56.66</v>
      </c>
      <c r="D54" s="11" t="n">
        <v>2.9</v>
      </c>
    </row>
    <row r="55">
      <c r="A55" s="49" t="n">
        <v>46017</v>
      </c>
      <c r="B55" s="11" t="n">
        <v>60.64</v>
      </c>
      <c r="C55" s="11" t="n">
        <v>56.74</v>
      </c>
      <c r="D55" s="11" t="n">
        <v>2.84</v>
      </c>
    </row>
    <row r="56">
      <c r="A56" s="49" t="n">
        <v>46024</v>
      </c>
      <c r="B56" s="11" t="n">
        <v>60.75</v>
      </c>
      <c r="C56" s="11" t="n">
        <v>57.32</v>
      </c>
      <c r="D56" s="11" t="n">
        <v>2.81</v>
      </c>
    </row>
    <row r="57">
      <c r="A57" s="49" t="n">
        <v>46031</v>
      </c>
      <c r="B57" s="11" t="n">
        <v>63.34</v>
      </c>
      <c r="C57" s="11" t="n">
        <v>59.12</v>
      </c>
      <c r="D57" s="11" t="n">
        <v>2.8</v>
      </c>
    </row>
    <row r="58">
      <c r="A58" s="49" t="n">
        <v>46038</v>
      </c>
      <c r="B58" s="11" t="n">
        <v>64.13</v>
      </c>
      <c r="C58" s="11" t="n">
        <v>59.44</v>
      </c>
      <c r="D58" s="11" t="n">
        <v>2.78</v>
      </c>
    </row>
    <row r="59">
      <c r="A59" s="49" t="n">
        <v>46045</v>
      </c>
      <c r="B59" s="11" t="n">
        <v>65.88</v>
      </c>
      <c r="C59" s="11" t="n">
        <v>61.07</v>
      </c>
      <c r="D59" s="11" t="n">
        <v>2.81</v>
      </c>
    </row>
    <row r="60">
      <c r="A60" s="49" t="n">
        <v>46052</v>
      </c>
      <c r="B60" s="11" t="n">
        <v>70.69</v>
      </c>
      <c r="C60" s="11" t="n">
        <v>65.20999999999999</v>
      </c>
      <c r="D60" s="11" t="n">
        <v>2.85</v>
      </c>
    </row>
    <row r="61">
      <c r="A61" s="49" t="n">
        <v>46059</v>
      </c>
      <c r="B61" s="11" t="n">
        <v>68.05</v>
      </c>
      <c r="C61" s="11" t="n">
        <v>63.55</v>
      </c>
      <c r="D61" s="11" t="n">
        <v>2.87</v>
      </c>
    </row>
    <row r="62">
      <c r="A62" s="49" t="n">
        <v>46066</v>
      </c>
      <c r="B62" s="11" t="n">
        <v>67.75</v>
      </c>
      <c r="C62" s="11" t="n">
        <v>62.89</v>
      </c>
      <c r="D62" s="11" t="n">
        <v>2.9</v>
      </c>
    </row>
    <row r="63">
      <c r="A63" s="49" t="n">
        <v>46073</v>
      </c>
      <c r="B63" s="11" t="n">
        <v>71.76000000000001</v>
      </c>
      <c r="C63" s="11" t="n">
        <v>66.39</v>
      </c>
      <c r="D63" s="11" t="n">
        <v>2.92</v>
      </c>
    </row>
    <row r="64">
      <c r="A64" s="49" t="n">
        <v>46080</v>
      </c>
      <c r="B64" s="11" t="n">
        <v>72.48</v>
      </c>
      <c r="C64" s="11" t="n">
        <v>67.02</v>
      </c>
      <c r="D64" s="11" t="n">
        <v>2.94</v>
      </c>
    </row>
    <row r="65">
      <c r="A65" s="49" t="n">
        <v>46087</v>
      </c>
      <c r="B65" s="11" t="n">
        <v>92.69</v>
      </c>
      <c r="C65" s="11" t="n">
        <v>90.90000000000001</v>
      </c>
      <c r="D65" s="11" t="n">
        <v>3.02</v>
      </c>
    </row>
    <row r="66">
      <c r="A66" s="49" t="n">
        <v>46094</v>
      </c>
      <c r="B66" s="11" t="n">
        <v>103.14</v>
      </c>
      <c r="C66" s="11" t="n">
        <v>98.70999999999999</v>
      </c>
      <c r="D66" s="11" t="n">
        <v>3.5</v>
      </c>
    </row>
    <row r="67">
      <c r="A67" s="49" t="n">
        <v>46101</v>
      </c>
      <c r="B67" s="11" t="n">
        <v>112.19</v>
      </c>
      <c r="C67" s="11" t="n">
        <v>98.31999999999999</v>
      </c>
      <c r="D67" s="11" t="n">
        <v>3.72</v>
      </c>
    </row>
    <row r="68">
      <c r="A68" s="49" t="n">
        <v>46108</v>
      </c>
      <c r="B68" s="11" t="n">
        <v>112.57</v>
      </c>
      <c r="C68" s="11" t="n">
        <v>99.64</v>
      </c>
      <c r="D68" s="11" t="n">
        <v>3.96</v>
      </c>
    </row>
    <row r="69">
      <c r="A69" s="49" t="n">
        <v>46115</v>
      </c>
      <c r="B69" s="11" t="n">
        <v>109.03</v>
      </c>
      <c r="C69" s="11" t="n">
        <v>111.54</v>
      </c>
      <c r="D69" s="11" t="n">
        <v>3.99</v>
      </c>
    </row>
    <row r="70">
      <c r="A70" s="49" t="n">
        <v>46122</v>
      </c>
      <c r="B70" s="11" t="n">
        <v>95.2</v>
      </c>
      <c r="C70" s="11" t="n">
        <v>96.56999999999999</v>
      </c>
      <c r="D70" s="11" t="n">
        <v>4.12</v>
      </c>
    </row>
    <row r="71">
      <c r="A71" s="49" t="n">
        <v>46129</v>
      </c>
      <c r="B71" s="11" t="n">
        <v>90.38</v>
      </c>
      <c r="C71" s="11" t="n">
        <v>83.84999999999999</v>
      </c>
      <c r="D71" s="11" t="n">
        <v>4.12</v>
      </c>
    </row>
    <row r="72">
      <c r="A72" s="49" t="n">
        <v>46136</v>
      </c>
      <c r="B72" s="11" t="n">
        <v>105.33</v>
      </c>
      <c r="C72" s="11" t="n">
        <v>94.40000000000001</v>
      </c>
      <c r="D72" s="11" t="n">
        <v>4.04</v>
      </c>
    </row>
    <row r="73">
      <c r="A73" s="49" t="n">
        <v>46143</v>
      </c>
      <c r="B73" s="11" t="n">
        <v>108.17</v>
      </c>
      <c r="C73" s="11" t="n">
        <v>101.94</v>
      </c>
      <c r="D73" s="11" t="n">
        <v>4.12</v>
      </c>
    </row>
    <row r="74">
      <c r="A74" s="49" t="n">
        <v>46150</v>
      </c>
      <c r="B74" s="11" t="n">
        <v>101.29</v>
      </c>
      <c r="C74" s="11" t="n">
        <v>95.42</v>
      </c>
      <c r="D74" s="11" t="n">
        <v>4.45</v>
      </c>
    </row>
    <row r="75">
      <c r="A75" s="49" t="n">
        <v>46157</v>
      </c>
      <c r="B75" s="11" t="n">
        <v>109.26</v>
      </c>
      <c r="C75" s="11" t="n">
        <v>105.42</v>
      </c>
      <c r="D75" s="11" t="n">
        <v>4.5</v>
      </c>
    </row>
    <row r="76">
      <c r="A76" s="49" t="n">
        <v>46164</v>
      </c>
      <c r="B76" s="11" t="n">
        <v>103.54</v>
      </c>
      <c r="C76" s="11" t="n">
        <v>96.59999999999999</v>
      </c>
      <c r="D76" s="11" t="n">
        <v>4.49</v>
      </c>
    </row>
    <row r="77">
      <c r="A77" s="49" t="n">
        <v>46171</v>
      </c>
      <c r="B77" s="11" t="n">
        <v>92.05</v>
      </c>
      <c r="C77" s="11" t="n">
        <v>87.36</v>
      </c>
      <c r="D77" s="11" t="n">
        <v>4.47</v>
      </c>
    </row>
    <row r="78">
      <c r="A78" s="49" t="n">
        <v>46178</v>
      </c>
      <c r="B78" s="11" t="n">
        <v>93.09</v>
      </c>
      <c r="C78" s="11" t="n">
        <v>90.54000000000001</v>
      </c>
      <c r="D78" s="11" t="n">
        <v>4.3</v>
      </c>
    </row>
    <row r="79">
      <c r="A79" s="49" t="n">
        <v>46185</v>
      </c>
      <c r="B79" s="11" t="n">
        <v>87.33</v>
      </c>
      <c r="C79" s="11" t="n">
        <v>84.88</v>
      </c>
      <c r="D79" s="11" t="n">
        <v>4.15</v>
      </c>
    </row>
    <row r="80">
      <c r="A80" s="49" t="n">
        <v>46192</v>
      </c>
      <c r="B80" s="11" t="n">
        <v>79.84999999999999</v>
      </c>
      <c r="C80" s="11" t="n">
        <v>76.59999999999999</v>
      </c>
      <c r="D80" s="11" t="n">
        <v>4.05</v>
      </c>
    </row>
    <row r="81">
      <c r="A81" s="49" t="n">
        <v>46199</v>
      </c>
      <c r="B81" s="11" t="n">
        <v>71.98999999999999</v>
      </c>
      <c r="C81" s="11" t="n">
        <v>69.23</v>
      </c>
      <c r="D81" s="11" t="n">
        <v>3.91</v>
      </c>
    </row>
    <row r="82">
      <c r="A82" s="49" t="n">
        <v>46206</v>
      </c>
      <c r="B82" s="11" t="n">
        <v>71.8</v>
      </c>
      <c r="C82" s="11" t="n">
        <v>68.69</v>
      </c>
      <c r="D82" s="11" t="n">
        <v>3.83</v>
      </c>
    </row>
    <row r="83">
      <c r="A83" s="49" t="n">
        <v>46213</v>
      </c>
      <c r="B83" s="11" t="n">
        <v>76.01000000000001</v>
      </c>
      <c r="C83" s="11" t="n">
        <v>71.41</v>
      </c>
      <c r="D83" s="11" t="n">
        <v>3.78</v>
      </c>
    </row>
    <row r="84">
      <c r="A84" s="49" t="n">
        <v>46220</v>
      </c>
      <c r="B84" s="11" t="n">
        <v>88.09999999999999</v>
      </c>
      <c r="C84" s="11" t="n">
        <v>82.48999999999999</v>
      </c>
      <c r="D84" s="11" t="n">
        <v>3.85</v>
      </c>
    </row>
    <row r="85">
      <c r="A85" s="49" t="n">
        <v>46227</v>
      </c>
      <c r="B85" s="11" t="n">
        <v>96.78</v>
      </c>
      <c r="C85" s="11" t="n">
        <v>89.31</v>
      </c>
      <c r="D85" s="11" t="n">
        <v>4</v>
      </c>
    </row>
    <row r="86">
      <c r="A86" s="49" t="n">
        <v>46234</v>
      </c>
      <c r="B86" s="11" t="n">
        <v>90.12</v>
      </c>
      <c r="C86" s="11" t="n">
        <v>84.67</v>
      </c>
      <c r="D86" s="11" t="n">
        <v>4.1</v>
      </c>
    </row>
    <row r="87">
      <c r="A87" s="49" t="n">
        <v>46241</v>
      </c>
      <c r="B87" s="11" t="n">
        <v>83.55</v>
      </c>
      <c r="C87" s="11" t="n">
        <v>78.18000000000001</v>
      </c>
      <c r="D87" s="11" t="n">
        <v>4.08</v>
      </c>
    </row>
    <row r="88">
      <c r="A88" s="49" t="n">
        <v>46248</v>
      </c>
      <c r="B88" s="11" t="n">
        <v>88.52</v>
      </c>
      <c r="C88" s="11" t="n">
        <v>82.40000000000001</v>
      </c>
      <c r="D88" s="11" t="n">
        <v>4.01</v>
      </c>
    </row>
    <row r="89">
      <c r="A89" s="49" t="n">
        <v>46255</v>
      </c>
      <c r="B89" s="11" t="n">
        <v>94.39</v>
      </c>
      <c r="C89" s="11" t="n">
        <v>87.06</v>
      </c>
      <c r="D89" s="11" t="n">
        <v>4.05</v>
      </c>
    </row>
    <row r="90">
      <c r="A90" s="49" t="n">
        <v>46262</v>
      </c>
      <c r="B90" s="11" t="n">
        <v>89.31</v>
      </c>
      <c r="C90" s="11" t="n">
        <v>83.40000000000001</v>
      </c>
      <c r="D90" s="11" t="n">
        <v>4.08</v>
      </c>
    </row>
    <row r="91">
      <c r="A91" s="49" t="n">
        <v>46269</v>
      </c>
      <c r="B91" s="11" t="n">
        <v>96.28</v>
      </c>
      <c r="C91" s="11" t="n">
        <v>91.48</v>
      </c>
      <c r="D91" s="11" t="n">
        <v>4.07</v>
      </c>
    </row>
    <row r="92">
      <c r="A92" s="49" t="n">
        <v>46276</v>
      </c>
      <c r="B92" s="11" t="n">
        <v>104.61</v>
      </c>
      <c r="C92" s="11" t="n">
        <v>100.05</v>
      </c>
      <c r="D92" s="11" t="n">
        <v>4.16</v>
      </c>
    </row>
    <row r="93">
      <c r="A93" s="49" t="n">
        <v>46283</v>
      </c>
      <c r="B93" s="11" t="n">
        <v>103.87</v>
      </c>
      <c r="C93" s="11" t="n">
        <v>100.3</v>
      </c>
      <c r="D93" s="11" t="n">
        <v>4.32</v>
      </c>
    </row>
    <row r="94">
      <c r="A94" s="49" t="n">
        <v>46290</v>
      </c>
      <c r="B94" s="11" t="n">
        <v>104.32</v>
      </c>
      <c r="C94" s="11" t="n">
        <v>92.41</v>
      </c>
      <c r="D94" s="11" t="n">
        <v>4.48</v>
      </c>
    </row>
    <row r="95">
      <c r="A95" s="49" t="n">
        <v>46297</v>
      </c>
      <c r="B95" s="11" t="n">
        <v>102.25</v>
      </c>
      <c r="C95" s="11" t="n">
        <v>91.11</v>
      </c>
      <c r="D95" s="11" t="n">
        <v>4.46</v>
      </c>
    </row>
    <row r="96">
      <c r="A96" s="49" t="n">
        <v>46304</v>
      </c>
      <c r="B96" s="11" t="n">
        <v>104.72</v>
      </c>
      <c r="C96" s="11" t="n">
        <v>91.84999999999999</v>
      </c>
      <c r="D96" s="11" t="n">
        <v>4.35</v>
      </c>
    </row>
    <row r="97">
      <c r="A97" s="49" t="n">
        <v>46311</v>
      </c>
      <c r="B97" s="11" t="n">
        <v>103.85</v>
      </c>
      <c r="C97" s="11" t="n">
        <v>90.95</v>
      </c>
      <c r="D97" s="11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ColWidth="9" defaultRowHeight="16.8"/>
  <cols>
    <col width="12" customWidth="1" min="1" max="1"/>
    <col width="18" customWidth="1" min="2" max="4"/>
  </cols>
  <sheetData>
    <row r="1">
      <c r="A1" s="2" t="inlineStr">
        <is>
          <t>美债收益率 2Y/10Y/30Y（周度，2025-01-01 起）</t>
        </is>
      </c>
    </row>
    <row r="2">
      <c r="A2" s="4" t="inlineStr">
        <is>
          <t>Date</t>
        </is>
      </c>
      <c r="B2" s="5" t="inlineStr">
        <is>
          <t>2Y(%)</t>
        </is>
      </c>
      <c r="C2" s="5" t="inlineStr">
        <is>
          <t>10Y(%)</t>
        </is>
      </c>
      <c r="D2" s="5" t="inlineStr">
        <is>
          <t>30Y(%)</t>
        </is>
      </c>
    </row>
    <row r="3">
      <c r="A3" s="49" t="n">
        <v>45658</v>
      </c>
      <c r="B3" s="55" t="n">
        <v>4.25</v>
      </c>
      <c r="C3" s="55" t="n">
        <v>4.57</v>
      </c>
      <c r="D3" s="55" t="n">
        <v>4.8</v>
      </c>
    </row>
    <row r="4">
      <c r="A4" s="49" t="n">
        <v>45660</v>
      </c>
      <c r="B4" s="55" t="n">
        <v>4.28</v>
      </c>
      <c r="C4" s="55" t="n">
        <v>4.6</v>
      </c>
      <c r="D4" s="55" t="n">
        <v>4.81</v>
      </c>
    </row>
    <row r="5">
      <c r="A5" s="49" t="n">
        <v>45667</v>
      </c>
      <c r="B5" s="55" t="n">
        <v>4.4</v>
      </c>
      <c r="C5" s="55" t="n">
        <v>4.78</v>
      </c>
      <c r="D5" s="55" t="n">
        <v>4.97</v>
      </c>
    </row>
    <row r="6">
      <c r="A6" s="49" t="n">
        <v>45674</v>
      </c>
      <c r="B6" s="55" t="n">
        <v>4.27</v>
      </c>
      <c r="C6" s="55" t="n">
        <v>4.61</v>
      </c>
      <c r="D6" s="55" t="n">
        <v>4.84</v>
      </c>
    </row>
    <row r="7">
      <c r="A7" s="49" t="n">
        <v>45681</v>
      </c>
      <c r="B7" s="55" t="n">
        <v>4.27</v>
      </c>
      <c r="C7" s="55" t="n">
        <v>4.63</v>
      </c>
      <c r="D7" s="55" t="n">
        <v>4.85</v>
      </c>
    </row>
    <row r="8">
      <c r="A8" s="49" t="n">
        <v>45688</v>
      </c>
      <c r="B8" s="55" t="n">
        <v>4.22</v>
      </c>
      <c r="C8" s="55" t="n">
        <v>4.57</v>
      </c>
      <c r="D8" s="55" t="n">
        <v>4.81</v>
      </c>
    </row>
    <row r="9">
      <c r="A9" s="49" t="n">
        <v>45695</v>
      </c>
      <c r="B9" s="55" t="n">
        <v>4.29</v>
      </c>
      <c r="C9" s="55" t="n">
        <v>4.49</v>
      </c>
      <c r="D9" s="55" t="n">
        <v>4.69</v>
      </c>
    </row>
    <row r="10">
      <c r="A10" s="49" t="n">
        <v>45702</v>
      </c>
      <c r="B10" s="55" t="n">
        <v>4.26</v>
      </c>
      <c r="C10" s="55" t="n">
        <v>4.47</v>
      </c>
      <c r="D10" s="55" t="n">
        <v>4.69</v>
      </c>
    </row>
    <row r="11">
      <c r="A11" s="49" t="n">
        <v>45709</v>
      </c>
      <c r="B11" s="55" t="n">
        <v>4.19</v>
      </c>
      <c r="C11" s="55" t="n">
        <v>4.42</v>
      </c>
      <c r="D11" s="55" t="n">
        <v>4.67</v>
      </c>
    </row>
    <row r="12">
      <c r="A12" s="49" t="n">
        <v>45716</v>
      </c>
      <c r="B12" s="55" t="n">
        <v>3.99</v>
      </c>
      <c r="C12" s="55" t="n">
        <v>4.23</v>
      </c>
      <c r="D12" s="55" t="n">
        <v>4.52</v>
      </c>
    </row>
    <row r="13">
      <c r="A13" s="49" t="n">
        <v>45723</v>
      </c>
      <c r="B13" s="55" t="n">
        <v>3.99</v>
      </c>
      <c r="C13" s="55" t="n">
        <v>4.32</v>
      </c>
      <c r="D13" s="55" t="n">
        <v>4.62</v>
      </c>
    </row>
    <row r="14">
      <c r="A14" s="49" t="n">
        <v>45730</v>
      </c>
      <c r="B14" s="55" t="n">
        <v>4.02</v>
      </c>
      <c r="C14" s="55" t="n">
        <v>4.31</v>
      </c>
      <c r="D14" s="55" t="n">
        <v>4.61</v>
      </c>
    </row>
    <row r="15">
      <c r="A15" s="49" t="n">
        <v>45737</v>
      </c>
      <c r="B15" s="55" t="n">
        <v>3.94</v>
      </c>
      <c r="C15" s="55" t="n">
        <v>4.25</v>
      </c>
      <c r="D15" s="55" t="n">
        <v>4.6</v>
      </c>
    </row>
    <row r="16">
      <c r="A16" s="49" t="n">
        <v>45744</v>
      </c>
      <c r="B16" s="55" t="n">
        <v>3.89</v>
      </c>
      <c r="C16" s="55" t="n">
        <v>4.26</v>
      </c>
      <c r="D16" s="55" t="n">
        <v>4.63</v>
      </c>
    </row>
    <row r="17">
      <c r="A17" s="49" t="n">
        <v>45751</v>
      </c>
      <c r="B17" s="55" t="n">
        <v>3.68</v>
      </c>
      <c r="C17" s="55" t="n">
        <v>3.98</v>
      </c>
      <c r="D17" s="55" t="n">
        <v>4.39</v>
      </c>
    </row>
    <row r="18">
      <c r="A18" s="49" t="n">
        <v>45758</v>
      </c>
      <c r="B18" s="55" t="n">
        <v>3.96</v>
      </c>
      <c r="C18" s="55" t="n">
        <v>4.49</v>
      </c>
      <c r="D18" s="55" t="n">
        <v>4.88</v>
      </c>
    </row>
    <row r="19">
      <c r="A19" s="49" t="n">
        <v>45765</v>
      </c>
      <c r="B19" s="55" t="n">
        <v>3.81</v>
      </c>
      <c r="C19" s="55" t="n">
        <v>4.33</v>
      </c>
      <c r="D19" s="55" t="n">
        <v>4.81</v>
      </c>
    </row>
    <row r="20">
      <c r="A20" s="49" t="n">
        <v>45772</v>
      </c>
      <c r="B20" s="55" t="n">
        <v>3.74</v>
      </c>
      <c r="C20" s="55" t="n">
        <v>4.27</v>
      </c>
      <c r="D20" s="55" t="n">
        <v>4.74</v>
      </c>
    </row>
    <row r="21">
      <c r="A21" s="49" t="n">
        <v>45779</v>
      </c>
      <c r="B21" s="55" t="n">
        <v>3.83</v>
      </c>
      <c r="C21" s="55" t="n">
        <v>4.32</v>
      </c>
      <c r="D21" s="55" t="n">
        <v>4.8</v>
      </c>
    </row>
    <row r="22">
      <c r="A22" s="49" t="n">
        <v>45786</v>
      </c>
      <c r="B22" s="55" t="n">
        <v>3.88</v>
      </c>
      <c r="C22" s="55" t="n">
        <v>4.38</v>
      </c>
      <c r="D22" s="55" t="n">
        <v>4.83</v>
      </c>
    </row>
    <row r="23">
      <c r="A23" s="49" t="n">
        <v>45793</v>
      </c>
      <c r="B23" s="55" t="n">
        <v>3.98</v>
      </c>
      <c r="C23" s="55" t="n">
        <v>4.44</v>
      </c>
      <c r="D23" s="55" t="n">
        <v>4.9</v>
      </c>
    </row>
    <row r="24">
      <c r="A24" s="49" t="n">
        <v>45800</v>
      </c>
      <c r="B24" s="55" t="n">
        <v>4</v>
      </c>
      <c r="C24" s="55" t="n">
        <v>4.51</v>
      </c>
      <c r="D24" s="55" t="n">
        <v>5.03</v>
      </c>
    </row>
    <row r="25">
      <c r="A25" s="49" t="n">
        <v>45807</v>
      </c>
      <c r="B25" s="55" t="n">
        <v>3.89</v>
      </c>
      <c r="C25" s="55" t="n">
        <v>4.42</v>
      </c>
      <c r="D25" s="55" t="n">
        <v>4.93</v>
      </c>
    </row>
    <row r="26">
      <c r="A26" s="49" t="n">
        <v>45814</v>
      </c>
      <c r="B26" s="55" t="n">
        <v>4.04</v>
      </c>
      <c r="C26" s="55" t="n">
        <v>4.51</v>
      </c>
      <c r="D26" s="55" t="n">
        <v>4.96</v>
      </c>
    </row>
    <row r="27">
      <c r="A27" s="49" t="n">
        <v>45821</v>
      </c>
      <c r="B27" s="55" t="n">
        <v>3.96</v>
      </c>
      <c r="C27" s="55" t="n">
        <v>4.42</v>
      </c>
      <c r="D27" s="55" t="n">
        <v>4.91</v>
      </c>
    </row>
    <row r="28">
      <c r="A28" s="49" t="n">
        <v>45828</v>
      </c>
      <c r="B28" s="55" t="n">
        <v>3.9</v>
      </c>
      <c r="C28" s="55" t="n">
        <v>4.38</v>
      </c>
      <c r="D28" s="55" t="n">
        <v>4.89</v>
      </c>
    </row>
    <row r="29">
      <c r="A29" s="49" t="n">
        <v>45835</v>
      </c>
      <c r="B29" s="55" t="n">
        <v>3.73</v>
      </c>
      <c r="C29" s="55" t="n">
        <v>4.28</v>
      </c>
      <c r="D29" s="55" t="n">
        <v>4.84</v>
      </c>
    </row>
    <row r="30">
      <c r="A30" s="49" t="n">
        <v>45842</v>
      </c>
      <c r="B30" s="55" t="n">
        <v>3.88</v>
      </c>
      <c r="C30" s="55" t="n">
        <v>4.35</v>
      </c>
      <c r="D30" s="55" t="n">
        <v>4.86</v>
      </c>
    </row>
    <row r="31">
      <c r="A31" s="49" t="n">
        <v>45849</v>
      </c>
      <c r="B31" s="55" t="n">
        <v>3.9</v>
      </c>
      <c r="C31" s="55" t="n">
        <v>4.42</v>
      </c>
      <c r="D31" s="55" t="n">
        <v>4.96</v>
      </c>
    </row>
    <row r="32">
      <c r="A32" s="49" t="n">
        <v>45856</v>
      </c>
      <c r="B32" s="55" t="n">
        <v>3.88</v>
      </c>
      <c r="C32" s="55" t="n">
        <v>4.43</v>
      </c>
      <c r="D32" s="55" t="n">
        <v>5</v>
      </c>
    </row>
    <row r="33">
      <c r="A33" s="49" t="n">
        <v>45863</v>
      </c>
      <c r="B33" s="55" t="n">
        <v>3.91</v>
      </c>
      <c r="C33" s="55" t="n">
        <v>4.39</v>
      </c>
      <c r="D33" s="55" t="n">
        <v>4.93</v>
      </c>
    </row>
    <row r="34">
      <c r="A34" s="49" t="n">
        <v>45870</v>
      </c>
      <c r="B34" s="55" t="n">
        <v>3.69</v>
      </c>
      <c r="C34" s="55" t="n">
        <v>4.22</v>
      </c>
      <c r="D34" s="55" t="n">
        <v>4.81</v>
      </c>
    </row>
    <row r="35">
      <c r="A35" s="49" t="n">
        <v>45877</v>
      </c>
      <c r="B35" s="55" t="n">
        <v>3.76</v>
      </c>
      <c r="C35" s="55" t="n">
        <v>4.28</v>
      </c>
      <c r="D35" s="55" t="n">
        <v>4.86</v>
      </c>
    </row>
    <row r="36">
      <c r="A36" s="49" t="n">
        <v>45884</v>
      </c>
      <c r="B36" s="55" t="n">
        <v>3.75</v>
      </c>
      <c r="C36" s="55" t="n">
        <v>4.33</v>
      </c>
      <c r="D36" s="55" t="n">
        <v>4.93</v>
      </c>
    </row>
    <row r="37">
      <c r="A37" s="49" t="n">
        <v>45891</v>
      </c>
      <c r="B37" s="55" t="n">
        <v>3.68</v>
      </c>
      <c r="C37" s="55" t="n">
        <v>4.26</v>
      </c>
      <c r="D37" s="55" t="n">
        <v>4.88</v>
      </c>
    </row>
    <row r="38">
      <c r="A38" s="49" t="n">
        <v>45898</v>
      </c>
      <c r="B38" s="55" t="n">
        <v>3.59</v>
      </c>
      <c r="C38" s="55" t="n">
        <v>4.23</v>
      </c>
      <c r="D38" s="55" t="n">
        <v>4.92</v>
      </c>
    </row>
    <row r="39">
      <c r="A39" s="49" t="n">
        <v>45905</v>
      </c>
      <c r="B39" s="55" t="n">
        <v>3.51</v>
      </c>
      <c r="C39" s="55" t="n">
        <v>4.09</v>
      </c>
      <c r="D39" s="55" t="n">
        <v>4.78</v>
      </c>
    </row>
    <row r="40">
      <c r="A40" s="49" t="n">
        <v>45912</v>
      </c>
      <c r="B40" s="55" t="n">
        <v>3.56</v>
      </c>
      <c r="C40" s="55" t="n">
        <v>4.06</v>
      </c>
      <c r="D40" s="55" t="n">
        <v>4.68</v>
      </c>
    </row>
    <row r="41">
      <c r="A41" s="49" t="n">
        <v>45919</v>
      </c>
      <c r="B41" s="55" t="n">
        <v>3.57</v>
      </c>
      <c r="C41" s="55" t="n">
        <v>4.14</v>
      </c>
      <c r="D41" s="55" t="n">
        <v>4.76</v>
      </c>
    </row>
    <row r="42">
      <c r="A42" s="49" t="n">
        <v>45926</v>
      </c>
      <c r="B42" s="55" t="n">
        <v>3.63</v>
      </c>
      <c r="C42" s="55" t="n">
        <v>4.19</v>
      </c>
      <c r="D42" s="55" t="n">
        <v>4.77</v>
      </c>
    </row>
    <row r="43">
      <c r="A43" s="49" t="n">
        <v>45933</v>
      </c>
      <c r="B43" s="55" t="n">
        <v>3.58</v>
      </c>
      <c r="C43" s="55" t="n">
        <v>4.12</v>
      </c>
      <c r="D43" s="55" t="n">
        <v>4.71</v>
      </c>
    </row>
    <row r="44">
      <c r="A44" s="49" t="n">
        <v>45940</v>
      </c>
      <c r="B44" s="55" t="n">
        <v>3.52</v>
      </c>
      <c r="C44" s="55" t="n">
        <v>4.05</v>
      </c>
      <c r="D44" s="55" t="n">
        <v>4.63</v>
      </c>
    </row>
    <row r="45">
      <c r="A45" s="49" t="n">
        <v>45947</v>
      </c>
      <c r="B45" s="55" t="n">
        <v>3.46</v>
      </c>
      <c r="C45" s="55" t="n">
        <v>4.01</v>
      </c>
      <c r="D45" s="55" t="n">
        <v>4.6</v>
      </c>
    </row>
    <row r="46">
      <c r="A46" s="49" t="n">
        <v>45954</v>
      </c>
      <c r="B46" s="55" t="n">
        <v>3.48</v>
      </c>
      <c r="C46" s="55" t="n">
        <v>4</v>
      </c>
      <c r="D46" s="55" t="n">
        <v>4.59</v>
      </c>
    </row>
    <row r="47">
      <c r="A47" s="49" t="n">
        <v>45961</v>
      </c>
      <c r="B47" s="55" t="n">
        <v>3.6</v>
      </c>
      <c r="C47" s="55" t="n">
        <v>4.1</v>
      </c>
      <c r="D47" s="55" t="n">
        <v>4.67</v>
      </c>
    </row>
    <row r="48">
      <c r="A48" s="49" t="n">
        <v>45968</v>
      </c>
      <c r="B48" s="55" t="n">
        <v>3.55</v>
      </c>
      <c r="C48" s="55" t="n">
        <v>4.09</v>
      </c>
      <c r="D48" s="55" t="n">
        <v>4.7</v>
      </c>
    </row>
    <row r="49">
      <c r="A49" s="49" t="n">
        <v>45975</v>
      </c>
      <c r="B49" s="55" t="n">
        <v>3.62</v>
      </c>
      <c r="C49" s="55" t="n">
        <v>4.15</v>
      </c>
      <c r="D49" s="55" t="n">
        <v>4.75</v>
      </c>
    </row>
    <row r="50">
      <c r="A50" s="49" t="n">
        <v>45982</v>
      </c>
      <c r="B50" s="55" t="n">
        <v>3.51</v>
      </c>
      <c r="C50" s="55" t="n">
        <v>4.06</v>
      </c>
      <c r="D50" s="55" t="n">
        <v>4.72</v>
      </c>
    </row>
    <row r="51">
      <c r="A51" s="49" t="n">
        <v>45989</v>
      </c>
      <c r="B51" s="55" t="n">
        <v>3.47</v>
      </c>
      <c r="C51" s="55" t="n">
        <v>4.02</v>
      </c>
      <c r="D51" s="55" t="n">
        <v>4.66</v>
      </c>
    </row>
    <row r="52">
      <c r="A52" s="49" t="n">
        <v>45996</v>
      </c>
      <c r="B52" s="55" t="n">
        <v>3.56</v>
      </c>
      <c r="C52" s="55" t="n">
        <v>4.14</v>
      </c>
      <c r="D52" s="55" t="n">
        <v>4.79</v>
      </c>
    </row>
    <row r="53">
      <c r="A53" s="49" t="n">
        <v>46003</v>
      </c>
      <c r="B53" s="55" t="n">
        <v>3.52</v>
      </c>
      <c r="C53" s="55" t="n">
        <v>4.19</v>
      </c>
      <c r="D53" s="55" t="n">
        <v>4.86</v>
      </c>
    </row>
    <row r="54">
      <c r="A54" s="49" t="n">
        <v>46010</v>
      </c>
      <c r="B54" s="55" t="n">
        <v>3.48</v>
      </c>
      <c r="C54" s="55" t="n">
        <v>4.15</v>
      </c>
      <c r="D54" s="55" t="n">
        <v>4.83</v>
      </c>
    </row>
    <row r="55">
      <c r="A55" s="49" t="n">
        <v>46017</v>
      </c>
      <c r="B55" s="55" t="n">
        <v>3.46</v>
      </c>
      <c r="C55" s="55" t="n">
        <v>4.14</v>
      </c>
      <c r="D55" s="55" t="n">
        <v>4.82</v>
      </c>
    </row>
    <row r="56">
      <c r="A56" s="49" t="n">
        <v>46024</v>
      </c>
      <c r="B56" s="55" t="n">
        <v>3.47</v>
      </c>
      <c r="C56" s="55" t="n">
        <v>4.19</v>
      </c>
      <c r="D56" s="55" t="n">
        <v>4.86</v>
      </c>
    </row>
    <row r="57">
      <c r="A57" s="49" t="n">
        <v>46031</v>
      </c>
      <c r="B57" s="55" t="n">
        <v>3.54</v>
      </c>
      <c r="C57" s="55" t="n">
        <v>4.17</v>
      </c>
      <c r="D57" s="55" t="n">
        <v>4.82</v>
      </c>
    </row>
    <row r="58">
      <c r="A58" s="49" t="n">
        <v>46038</v>
      </c>
      <c r="B58" s="55" t="n">
        <v>3.59</v>
      </c>
      <c r="C58" s="55" t="n">
        <v>4.23</v>
      </c>
      <c r="D58" s="55" t="n">
        <v>4.84</v>
      </c>
    </row>
    <row r="59">
      <c r="A59" s="49" t="n">
        <v>46045</v>
      </c>
      <c r="B59" s="55" t="n">
        <v>3.6</v>
      </c>
      <c r="C59" s="55" t="n">
        <v>4.24</v>
      </c>
      <c r="D59" s="55" t="n">
        <v>4.83</v>
      </c>
    </row>
    <row r="60">
      <c r="A60" s="49" t="n">
        <v>46052</v>
      </c>
      <c r="B60" s="55" t="n">
        <v>3.52</v>
      </c>
      <c r="C60" s="55" t="n">
        <v>4.24</v>
      </c>
      <c r="D60" s="55" t="n">
        <v>4.87</v>
      </c>
    </row>
    <row r="61">
      <c r="A61" s="49" t="n">
        <v>46059</v>
      </c>
      <c r="B61" s="55" t="n">
        <v>3.5</v>
      </c>
      <c r="C61" s="55" t="n">
        <v>4.21</v>
      </c>
      <c r="D61" s="55" t="n">
        <v>4.86</v>
      </c>
    </row>
    <row r="62">
      <c r="A62" s="49" t="n">
        <v>46066</v>
      </c>
      <c r="B62" s="55" t="n">
        <v>3.4</v>
      </c>
      <c r="C62" s="55" t="n">
        <v>4.06</v>
      </c>
      <c r="D62" s="55" t="n">
        <v>4.7</v>
      </c>
    </row>
    <row r="63">
      <c r="A63" s="49" t="n">
        <v>46073</v>
      </c>
      <c r="B63" s="55" t="n">
        <v>3.48</v>
      </c>
      <c r="C63" s="55" t="n">
        <v>4.09</v>
      </c>
      <c r="D63" s="55" t="n">
        <v>4.72</v>
      </c>
    </row>
    <row r="64">
      <c r="A64" s="49" t="n">
        <v>46080</v>
      </c>
      <c r="B64" s="55" t="n">
        <v>3.38</v>
      </c>
      <c r="C64" s="55" t="n">
        <v>3.96</v>
      </c>
      <c r="D64" s="55" t="n">
        <v>4.63</v>
      </c>
    </row>
    <row r="65">
      <c r="A65" s="49" t="n">
        <v>46087</v>
      </c>
      <c r="B65" s="55" t="n">
        <v>3.56</v>
      </c>
      <c r="C65" s="55" t="n">
        <v>4.13</v>
      </c>
      <c r="D65" s="55" t="n">
        <v>4.76</v>
      </c>
    </row>
    <row r="66">
      <c r="A66" s="49" t="n">
        <v>46094</v>
      </c>
      <c r="B66" s="55" t="n">
        <v>3.73</v>
      </c>
      <c r="C66" s="55" t="n">
        <v>4.28</v>
      </c>
      <c r="D66" s="55" t="n">
        <v>4.91</v>
      </c>
    </row>
    <row r="67">
      <c r="A67" s="49" t="n">
        <v>46101</v>
      </c>
      <c r="B67" s="55" t="n">
        <v>3.88</v>
      </c>
      <c r="C67" s="55" t="n">
        <v>4.39</v>
      </c>
      <c r="D67" s="55" t="n">
        <v>4.96</v>
      </c>
    </row>
    <row r="68">
      <c r="A68" s="49" t="n">
        <v>46108</v>
      </c>
      <c r="B68" s="55" t="n">
        <v>3.88</v>
      </c>
      <c r="C68" s="55" t="n">
        <v>4.44</v>
      </c>
      <c r="D68" s="55" t="n">
        <v>4.98</v>
      </c>
    </row>
    <row r="69">
      <c r="A69" s="49" t="n">
        <v>46115</v>
      </c>
      <c r="B69" s="55" t="n">
        <v>3.84</v>
      </c>
      <c r="C69" s="55" t="n">
        <v>4.31</v>
      </c>
      <c r="D69" s="55" t="n">
        <v>4.89</v>
      </c>
    </row>
    <row r="70">
      <c r="A70" s="49" t="n">
        <v>46122</v>
      </c>
      <c r="B70" s="55" t="n">
        <v>3.81</v>
      </c>
      <c r="C70" s="55" t="n">
        <v>4.32</v>
      </c>
      <c r="D70" s="55" t="n">
        <v>4.91</v>
      </c>
    </row>
    <row r="71">
      <c r="A71" s="49" t="n">
        <v>46129</v>
      </c>
      <c r="B71" s="55" t="n">
        <v>3.71</v>
      </c>
      <c r="C71" s="55" t="n">
        <v>4.25</v>
      </c>
      <c r="D71" s="55" t="n">
        <v>4.89</v>
      </c>
    </row>
    <row r="72">
      <c r="A72" s="49" t="n">
        <v>46136</v>
      </c>
      <c r="B72" s="55" t="n">
        <v>3.78</v>
      </c>
      <c r="C72" s="55" t="n">
        <v>4.31</v>
      </c>
      <c r="D72" s="55" t="n">
        <v>4.92</v>
      </c>
    </row>
    <row r="73">
      <c r="A73" s="49" t="n">
        <v>46143</v>
      </c>
      <c r="B73" s="55" t="n">
        <v>3.88</v>
      </c>
      <c r="C73" s="55" t="n">
        <v>4.38</v>
      </c>
      <c r="D73" s="55" t="n">
        <v>4.97</v>
      </c>
    </row>
    <row r="74">
      <c r="A74" s="49" t="n">
        <v>46150</v>
      </c>
      <c r="B74" s="55" t="n">
        <v>3.9</v>
      </c>
      <c r="C74" s="55" t="n">
        <v>4.36</v>
      </c>
      <c r="D74" s="55" t="n">
        <v>4.95</v>
      </c>
    </row>
    <row r="75">
      <c r="A75" s="49" t="n">
        <v>46157</v>
      </c>
      <c r="B75" s="55" t="n">
        <v>4.09</v>
      </c>
      <c r="C75" s="55" t="n">
        <v>4.59</v>
      </c>
      <c r="D75" s="55" t="n">
        <v>5.13</v>
      </c>
    </row>
    <row r="76">
      <c r="A76" s="49" t="n">
        <v>46164</v>
      </c>
      <c r="B76" s="55" t="n">
        <v>4.13</v>
      </c>
      <c r="C76" s="55" t="n">
        <v>4.56</v>
      </c>
      <c r="D76" s="55" t="n">
        <v>5.06</v>
      </c>
    </row>
    <row r="77">
      <c r="A77" s="49" t="n">
        <v>46171</v>
      </c>
      <c r="B77" s="55" t="n">
        <v>3.98</v>
      </c>
      <c r="C77" s="55" t="n">
        <v>4.45</v>
      </c>
      <c r="D77" s="55" t="n">
        <v>4.99</v>
      </c>
    </row>
    <row r="78">
      <c r="A78" s="49" t="n">
        <v>46178</v>
      </c>
      <c r="B78" s="55" t="n">
        <v>4.17</v>
      </c>
      <c r="C78" s="55" t="n">
        <v>4.54</v>
      </c>
      <c r="D78" s="55" t="n">
        <v>5</v>
      </c>
    </row>
    <row r="79">
      <c r="A79" s="49" t="n">
        <v>46185</v>
      </c>
      <c r="B79" s="55" t="n">
        <v>4.09</v>
      </c>
      <c r="C79" s="55" t="n">
        <v>4.49</v>
      </c>
      <c r="D79" s="55" t="n">
        <v>4.97</v>
      </c>
    </row>
    <row r="80">
      <c r="A80" s="49" t="n">
        <v>46192</v>
      </c>
      <c r="B80" s="55" t="n">
        <v>4.19</v>
      </c>
      <c r="C80" s="55" t="n">
        <v>4.45</v>
      </c>
      <c r="D80" s="55" t="n">
        <v>4.9</v>
      </c>
    </row>
    <row r="81">
      <c r="A81" s="49" t="n">
        <v>46199</v>
      </c>
      <c r="B81" s="55" t="n">
        <v>4.07</v>
      </c>
      <c r="C81" s="55" t="n">
        <v>4.37</v>
      </c>
      <c r="D81" s="55" t="n">
        <v>4.86</v>
      </c>
    </row>
    <row r="82">
      <c r="A82" s="49" t="n">
        <v>46206</v>
      </c>
      <c r="B82" s="55" t="n">
        <v>4.14</v>
      </c>
      <c r="C82" s="55" t="n">
        <v>4.49</v>
      </c>
      <c r="D82" s="55" t="n">
        <v>4.99</v>
      </c>
    </row>
    <row r="83">
      <c r="A83" s="49" t="n">
        <v>46213</v>
      </c>
      <c r="B83" s="55" t="n">
        <v>4.21</v>
      </c>
      <c r="C83" s="55" t="n">
        <v>4.57</v>
      </c>
      <c r="D83" s="55" t="n">
        <v>5.07</v>
      </c>
    </row>
    <row r="84">
      <c r="A84" s="49" t="n">
        <v>46220</v>
      </c>
      <c r="B84" s="55" t="n">
        <v>4.18</v>
      </c>
      <c r="C84" s="55" t="n">
        <v>4.54</v>
      </c>
      <c r="D84" s="55" t="n">
        <v>5.06</v>
      </c>
    </row>
    <row r="85">
      <c r="A85" s="49" t="n">
        <v>46227</v>
      </c>
      <c r="B85" s="55" t="n">
        <v>4.33</v>
      </c>
      <c r="C85" s="55" t="n">
        <v>4.68</v>
      </c>
      <c r="D85" s="55" t="n">
        <v>5.16</v>
      </c>
    </row>
    <row r="86">
      <c r="A86" s="49" t="n">
        <v>46234</v>
      </c>
      <c r="B86" s="55" t="n">
        <v>4.28</v>
      </c>
      <c r="C86" s="55" t="n">
        <v>4.74</v>
      </c>
      <c r="D86" s="55" t="n">
        <v>5.28</v>
      </c>
    </row>
    <row r="87">
      <c r="A87" s="49" t="n">
        <v>46241</v>
      </c>
      <c r="B87" s="55" t="n">
        <v>4.19</v>
      </c>
      <c r="C87" s="55" t="n">
        <v>4.66</v>
      </c>
      <c r="D87" s="55" t="n">
        <v>5.21</v>
      </c>
    </row>
    <row r="88">
      <c r="A88" s="49" t="n">
        <v>46248</v>
      </c>
      <c r="B88" s="55" t="n">
        <v>4.17</v>
      </c>
      <c r="C88" s="55" t="n">
        <v>4.7</v>
      </c>
      <c r="D88" s="55" t="n">
        <v>5.26</v>
      </c>
    </row>
    <row r="89">
      <c r="A89" s="49" t="n">
        <v>46255</v>
      </c>
      <c r="B89" s="55" t="n">
        <v>4.24</v>
      </c>
      <c r="C89" s="55" t="n">
        <v>4.74</v>
      </c>
      <c r="D89" s="55" t="n">
        <v>5.28</v>
      </c>
    </row>
    <row r="90">
      <c r="A90" s="49" t="n">
        <v>46262</v>
      </c>
      <c r="B90" s="55" t="n">
        <v>4.34</v>
      </c>
      <c r="C90" s="55" t="n">
        <v>4.72</v>
      </c>
      <c r="D90" s="55" t="n">
        <v>5.21</v>
      </c>
    </row>
    <row r="91">
      <c r="A91" s="49" t="n">
        <v>46269</v>
      </c>
      <c r="B91" s="55" t="n">
        <v>4.37</v>
      </c>
      <c r="C91" s="55" t="n">
        <v>4.78</v>
      </c>
      <c r="D91" s="55" t="n">
        <v>5.25</v>
      </c>
    </row>
    <row r="92">
      <c r="A92" s="49" t="n">
        <v>46276</v>
      </c>
      <c r="B92" s="55" t="n">
        <v>4.63</v>
      </c>
      <c r="C92" s="55" t="n">
        <v>4.97</v>
      </c>
      <c r="D92" s="55" t="n">
        <v>5.35</v>
      </c>
    </row>
    <row r="93">
      <c r="A93" s="49" t="n">
        <v>46283</v>
      </c>
      <c r="B93" s="55" t="n">
        <v>4.76</v>
      </c>
      <c r="C93" s="55" t="n">
        <v>5</v>
      </c>
      <c r="D93" s="55" t="n">
        <v>5.33</v>
      </c>
    </row>
    <row r="94">
      <c r="A94" s="49" t="n">
        <v>46290</v>
      </c>
      <c r="B94" s="55" t="n">
        <v>4.81</v>
      </c>
      <c r="C94" s="55" t="n">
        <v>5.18</v>
      </c>
      <c r="D94" s="55" t="n">
        <v>5.5</v>
      </c>
    </row>
    <row r="95">
      <c r="A95" s="49" t="n">
        <v>46297</v>
      </c>
      <c r="B95" s="55" t="n">
        <v>4.83</v>
      </c>
      <c r="C95" s="55" t="n">
        <v>5.28</v>
      </c>
      <c r="D95" s="55" t="n">
        <v>5.63</v>
      </c>
    </row>
    <row r="96">
      <c r="A96" s="49" t="n">
        <v>46304</v>
      </c>
      <c r="B96" s="55" t="n">
        <v>4.75</v>
      </c>
      <c r="C96" s="55" t="n">
        <v>5.24</v>
      </c>
      <c r="D96" s="55" t="n">
        <v>5.6</v>
      </c>
    </row>
    <row r="99">
      <c r="A99" s="10" t="inlineStr">
        <is>
          <t>加息/降息重要变化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ColWidth="9" defaultRowHeight="16.8"/>
  <cols>
    <col width="12" customWidth="1" min="1" max="1"/>
    <col width="16" customWidth="1" min="2" max="11"/>
  </cols>
  <sheetData>
    <row r="1">
      <c r="A1" s="2" t="inlineStr">
        <is>
          <t>美国宏观高频数据</t>
        </is>
      </c>
    </row>
    <row r="3">
      <c r="A3" s="3" t="inlineStr">
        <is>
          <t>一、周度数据（初请失业金）</t>
        </is>
      </c>
    </row>
    <row r="4">
      <c r="A4" s="4" t="inlineStr">
        <is>
          <t>Date</t>
        </is>
      </c>
      <c r="B4" s="5" t="inlineStr">
        <is>
          <t>初请失业金(千人)</t>
        </is>
      </c>
    </row>
    <row r="5">
      <c r="A5" s="49" t="n">
        <v>45661</v>
      </c>
      <c r="B5" s="7" t="n">
        <v>206000</v>
      </c>
    </row>
    <row r="6">
      <c r="A6" s="49" t="n">
        <v>45668</v>
      </c>
      <c r="B6" s="7" t="n">
        <v>219000</v>
      </c>
    </row>
    <row r="7">
      <c r="A7" s="49" t="n">
        <v>45675</v>
      </c>
      <c r="B7" s="7" t="n">
        <v>223000</v>
      </c>
    </row>
    <row r="8">
      <c r="A8" s="49" t="n">
        <v>45682</v>
      </c>
      <c r="B8" s="7" t="n">
        <v>212000</v>
      </c>
    </row>
    <row r="9">
      <c r="A9" s="49" t="n">
        <v>45689</v>
      </c>
      <c r="B9" s="7" t="n">
        <v>220000</v>
      </c>
    </row>
    <row r="10">
      <c r="A10" s="49" t="n">
        <v>45696</v>
      </c>
      <c r="B10" s="7" t="n">
        <v>216000</v>
      </c>
    </row>
    <row r="11">
      <c r="A11" s="49" t="n">
        <v>45703</v>
      </c>
      <c r="B11" s="7" t="n">
        <v>223000</v>
      </c>
    </row>
    <row r="12">
      <c r="A12" s="49" t="n">
        <v>45710</v>
      </c>
      <c r="B12" s="7" t="n">
        <v>241000</v>
      </c>
    </row>
    <row r="13">
      <c r="A13" s="49" t="n">
        <v>45717</v>
      </c>
      <c r="B13" s="7" t="n">
        <v>224000</v>
      </c>
    </row>
    <row r="14">
      <c r="A14" s="49" t="n">
        <v>45724</v>
      </c>
      <c r="B14" s="7" t="n">
        <v>222000</v>
      </c>
    </row>
    <row r="15">
      <c r="A15" s="49" t="n">
        <v>45731</v>
      </c>
      <c r="B15" s="7" t="n">
        <v>225000</v>
      </c>
    </row>
    <row r="16">
      <c r="A16" s="49" t="n">
        <v>45738</v>
      </c>
      <c r="B16" s="7" t="n">
        <v>224000</v>
      </c>
    </row>
    <row r="17">
      <c r="A17" s="49" t="n">
        <v>45745</v>
      </c>
      <c r="B17" s="7" t="n">
        <v>220000</v>
      </c>
    </row>
    <row r="18">
      <c r="A18" s="49" t="n">
        <v>45752</v>
      </c>
      <c r="B18" s="7" t="n">
        <v>223000</v>
      </c>
    </row>
    <row r="19">
      <c r="A19" s="49" t="n">
        <v>45759</v>
      </c>
      <c r="B19" s="7" t="n">
        <v>217000</v>
      </c>
    </row>
    <row r="20">
      <c r="A20" s="49" t="n">
        <v>45766</v>
      </c>
      <c r="B20" s="7" t="n">
        <v>224000</v>
      </c>
    </row>
    <row r="21">
      <c r="A21" s="49" t="n">
        <v>45773</v>
      </c>
      <c r="B21" s="7" t="n">
        <v>239000</v>
      </c>
    </row>
    <row r="22">
      <c r="A22" s="49" t="n">
        <v>45780</v>
      </c>
      <c r="B22" s="7" t="n">
        <v>228000</v>
      </c>
    </row>
    <row r="23">
      <c r="A23" s="49" t="n">
        <v>45787</v>
      </c>
      <c r="B23" s="7" t="n">
        <v>226000</v>
      </c>
    </row>
    <row r="24">
      <c r="A24" s="49" t="n">
        <v>45794</v>
      </c>
      <c r="B24" s="7" t="n">
        <v>225000</v>
      </c>
    </row>
    <row r="25">
      <c r="A25" s="49" t="n">
        <v>45801</v>
      </c>
      <c r="B25" s="7" t="n">
        <v>236000</v>
      </c>
    </row>
    <row r="26">
      <c r="A26" s="49" t="n">
        <v>45808</v>
      </c>
      <c r="B26" s="7" t="n">
        <v>244000</v>
      </c>
    </row>
    <row r="27">
      <c r="A27" s="49" t="n">
        <v>45815</v>
      </c>
      <c r="B27" s="7" t="n">
        <v>246000</v>
      </c>
    </row>
    <row r="28">
      <c r="A28" s="49" t="n">
        <v>45822</v>
      </c>
      <c r="B28" s="7" t="n">
        <v>243000</v>
      </c>
    </row>
    <row r="29">
      <c r="A29" s="49" t="n">
        <v>45829</v>
      </c>
      <c r="B29" s="7" t="n">
        <v>236000</v>
      </c>
    </row>
    <row r="30">
      <c r="A30" s="49" t="n">
        <v>45836</v>
      </c>
      <c r="B30" s="7" t="n">
        <v>231000</v>
      </c>
    </row>
    <row r="31">
      <c r="A31" s="49" t="n">
        <v>45843</v>
      </c>
      <c r="B31" s="7" t="n">
        <v>228000</v>
      </c>
    </row>
    <row r="32">
      <c r="A32" s="49" t="n">
        <v>45850</v>
      </c>
      <c r="B32" s="7" t="n">
        <v>221000</v>
      </c>
    </row>
    <row r="33">
      <c r="A33" s="49" t="n">
        <v>45857</v>
      </c>
      <c r="B33" s="7" t="n">
        <v>218000</v>
      </c>
    </row>
    <row r="34">
      <c r="A34" s="49" t="n">
        <v>45864</v>
      </c>
      <c r="B34" s="7" t="n">
        <v>219000</v>
      </c>
    </row>
    <row r="35">
      <c r="A35" s="49" t="n">
        <v>45871</v>
      </c>
      <c r="B35" s="7" t="n">
        <v>226000</v>
      </c>
    </row>
    <row r="36">
      <c r="A36" s="49" t="n">
        <v>45878</v>
      </c>
      <c r="B36" s="7" t="n">
        <v>224000</v>
      </c>
    </row>
    <row r="37">
      <c r="A37" s="49" t="n">
        <v>45885</v>
      </c>
      <c r="B37" s="7" t="n">
        <v>233000</v>
      </c>
    </row>
    <row r="38">
      <c r="A38" s="49" t="n">
        <v>45892</v>
      </c>
      <c r="B38" s="7" t="n">
        <v>229000</v>
      </c>
    </row>
    <row r="39">
      <c r="A39" s="49" t="n">
        <v>45899</v>
      </c>
      <c r="B39" s="7" t="n">
        <v>236000</v>
      </c>
    </row>
    <row r="40">
      <c r="A40" s="49" t="n">
        <v>45906</v>
      </c>
      <c r="B40" s="7" t="n">
        <v>259000</v>
      </c>
    </row>
    <row r="41">
      <c r="A41" s="49" t="n">
        <v>45913</v>
      </c>
      <c r="B41" s="7" t="n">
        <v>233000</v>
      </c>
    </row>
    <row r="42">
      <c r="A42" s="49" t="n">
        <v>45920</v>
      </c>
      <c r="B42" s="7" t="n">
        <v>219000</v>
      </c>
    </row>
    <row r="43">
      <c r="A43" s="49" t="n">
        <v>45927</v>
      </c>
      <c r="B43" s="7" t="n">
        <v>225000</v>
      </c>
    </row>
    <row r="44">
      <c r="A44" s="49" t="n">
        <v>45934</v>
      </c>
      <c r="B44" s="7" t="n">
        <v>233000</v>
      </c>
    </row>
    <row r="45">
      <c r="A45" s="49" t="n">
        <v>45941</v>
      </c>
      <c r="B45" s="7" t="n">
        <v>222000</v>
      </c>
    </row>
    <row r="46">
      <c r="A46" s="49" t="n">
        <v>45948</v>
      </c>
      <c r="B46" s="7" t="n">
        <v>231000</v>
      </c>
    </row>
    <row r="47">
      <c r="A47" s="49" t="n">
        <v>45955</v>
      </c>
      <c r="B47" s="7" t="n">
        <v>221000</v>
      </c>
    </row>
    <row r="48">
      <c r="A48" s="49" t="n">
        <v>45962</v>
      </c>
      <c r="B48" s="7" t="n">
        <v>228000</v>
      </c>
    </row>
    <row r="49">
      <c r="A49" s="49" t="n">
        <v>45969</v>
      </c>
      <c r="B49" s="7" t="n">
        <v>228000</v>
      </c>
    </row>
    <row r="50">
      <c r="A50" s="49" t="n">
        <v>45976</v>
      </c>
      <c r="B50" s="7" t="n">
        <v>222000</v>
      </c>
    </row>
    <row r="51">
      <c r="A51" s="49" t="n">
        <v>45983</v>
      </c>
      <c r="B51" s="7" t="n">
        <v>218000</v>
      </c>
    </row>
    <row r="52">
      <c r="A52" s="49" t="n">
        <v>45990</v>
      </c>
      <c r="B52" s="7" t="n">
        <v>216000</v>
      </c>
    </row>
    <row r="53">
      <c r="A53" s="49" t="n">
        <v>45997</v>
      </c>
      <c r="B53" s="7" t="n">
        <v>235000</v>
      </c>
    </row>
    <row r="54">
      <c r="A54" s="49" t="n">
        <v>46004</v>
      </c>
      <c r="B54" s="7" t="n">
        <v>224000</v>
      </c>
    </row>
    <row r="55">
      <c r="A55" s="49" t="n">
        <v>46011</v>
      </c>
      <c r="B55" s="7" t="n">
        <v>215000</v>
      </c>
    </row>
    <row r="56">
      <c r="A56" s="49" t="n">
        <v>46018</v>
      </c>
      <c r="B56" s="7" t="n">
        <v>203000</v>
      </c>
    </row>
    <row r="57">
      <c r="A57" s="49" t="n">
        <v>46025</v>
      </c>
      <c r="B57" s="7" t="n">
        <v>207000</v>
      </c>
    </row>
    <row r="58">
      <c r="A58" s="49" t="n">
        <v>46032</v>
      </c>
      <c r="B58" s="7" t="n">
        <v>201000</v>
      </c>
    </row>
    <row r="59">
      <c r="A59" s="49" t="n">
        <v>46039</v>
      </c>
      <c r="B59" s="7" t="n">
        <v>210000</v>
      </c>
    </row>
    <row r="60">
      <c r="A60" s="49" t="n">
        <v>46046</v>
      </c>
      <c r="B60" s="7" t="n">
        <v>211000</v>
      </c>
    </row>
    <row r="61">
      <c r="A61" s="49" t="n">
        <v>46053</v>
      </c>
      <c r="B61" s="7" t="n">
        <v>230000</v>
      </c>
    </row>
    <row r="62">
      <c r="A62" s="49" t="n">
        <v>46060</v>
      </c>
      <c r="B62" s="7" t="n">
        <v>230000</v>
      </c>
    </row>
    <row r="63">
      <c r="A63" s="49" t="n">
        <v>46067</v>
      </c>
      <c r="B63" s="7" t="n">
        <v>208000</v>
      </c>
    </row>
    <row r="64">
      <c r="A64" s="49" t="n">
        <v>46074</v>
      </c>
      <c r="B64" s="7" t="n">
        <v>211000</v>
      </c>
    </row>
    <row r="65">
      <c r="A65" s="49" t="n">
        <v>46081</v>
      </c>
      <c r="B65" s="7" t="n">
        <v>214000</v>
      </c>
    </row>
    <row r="66">
      <c r="A66" s="49" t="n">
        <v>46088</v>
      </c>
      <c r="B66" s="7" t="n">
        <v>213000</v>
      </c>
    </row>
    <row r="67">
      <c r="A67" s="49" t="n">
        <v>46095</v>
      </c>
      <c r="B67" s="7" t="n">
        <v>205000</v>
      </c>
    </row>
    <row r="68">
      <c r="A68" s="49" t="n">
        <v>46102</v>
      </c>
      <c r="B68" s="7" t="n">
        <v>211000</v>
      </c>
    </row>
    <row r="69">
      <c r="A69" s="49" t="n">
        <v>46109</v>
      </c>
      <c r="B69" s="7" t="n">
        <v>203000</v>
      </c>
    </row>
    <row r="70">
      <c r="A70" s="49" t="n">
        <v>46116</v>
      </c>
      <c r="B70" s="7" t="n">
        <v>218000</v>
      </c>
    </row>
    <row r="71">
      <c r="A71" s="49" t="n">
        <v>46123</v>
      </c>
      <c r="B71" s="7" t="n">
        <v>208000</v>
      </c>
    </row>
    <row r="72">
      <c r="A72" s="49" t="n">
        <v>46130</v>
      </c>
      <c r="B72" s="7" t="n">
        <v>215000</v>
      </c>
    </row>
    <row r="73">
      <c r="A73" s="49" t="n">
        <v>46137</v>
      </c>
      <c r="B73" s="7" t="n">
        <v>190000</v>
      </c>
    </row>
    <row r="74">
      <c r="A74" s="49" t="n">
        <v>46144</v>
      </c>
      <c r="B74" s="7" t="n">
        <v>199000</v>
      </c>
    </row>
    <row r="75">
      <c r="A75" s="49" t="n">
        <v>46151</v>
      </c>
      <c r="B75" s="7" t="n">
        <v>212000</v>
      </c>
    </row>
    <row r="76">
      <c r="A76" s="49" t="n">
        <v>46158</v>
      </c>
      <c r="B76" s="7" t="n">
        <v>210000</v>
      </c>
    </row>
    <row r="77">
      <c r="A77" s="49" t="n">
        <v>46165</v>
      </c>
      <c r="B77" s="7" t="n">
        <v>212000</v>
      </c>
    </row>
    <row r="78">
      <c r="A78" s="49" t="n">
        <v>46172</v>
      </c>
      <c r="B78" s="7" t="n">
        <v>225000</v>
      </c>
    </row>
    <row r="79">
      <c r="A79" s="49" t="n">
        <v>46179</v>
      </c>
      <c r="B79" s="7" t="n">
        <v>230000</v>
      </c>
    </row>
    <row r="80">
      <c r="A80" s="49" t="n">
        <v>46186</v>
      </c>
      <c r="B80" s="7" t="n">
        <v>227000</v>
      </c>
    </row>
    <row r="81">
      <c r="A81" s="49" t="n">
        <v>46193</v>
      </c>
      <c r="B81" s="7" t="n">
        <v>216000</v>
      </c>
    </row>
    <row r="82">
      <c r="A82" s="49" t="n">
        <v>46200</v>
      </c>
      <c r="B82" s="7" t="n">
        <v>217000</v>
      </c>
    </row>
    <row r="83">
      <c r="A83" s="49" t="n">
        <v>46207</v>
      </c>
      <c r="B83" s="7" t="n">
        <v>217000</v>
      </c>
    </row>
    <row r="84">
      <c r="A84" s="49" t="n">
        <v>46214</v>
      </c>
      <c r="B84" s="7" t="n">
        <v>209000</v>
      </c>
    </row>
    <row r="85">
      <c r="A85" s="49" t="n">
        <v>46221</v>
      </c>
      <c r="B85" s="7" t="n">
        <v>189000</v>
      </c>
    </row>
    <row r="86">
      <c r="A86" s="49" t="n">
        <v>46228</v>
      </c>
      <c r="B86" s="7" t="n">
        <v>198000</v>
      </c>
    </row>
    <row r="87">
      <c r="A87" s="49" t="n">
        <v>46235</v>
      </c>
      <c r="B87" s="7" t="n">
        <v>200000</v>
      </c>
    </row>
    <row r="88">
      <c r="A88" s="49" t="n">
        <v>46242</v>
      </c>
      <c r="B88" s="7" t="n">
        <v>212000</v>
      </c>
    </row>
    <row r="89">
      <c r="A89" s="49" t="n">
        <v>46249</v>
      </c>
      <c r="B89" s="7" t="n">
        <v>207000</v>
      </c>
    </row>
    <row r="90">
      <c r="A90" s="49" t="n">
        <v>46256</v>
      </c>
      <c r="B90" s="7" t="n">
        <v>204000</v>
      </c>
    </row>
    <row r="91">
      <c r="A91" s="49" t="n">
        <v>46263</v>
      </c>
      <c r="B91" s="7" t="n">
        <v>207000</v>
      </c>
    </row>
    <row r="92">
      <c r="A92" s="49" t="n">
        <v>46270</v>
      </c>
      <c r="B92" s="7" t="n">
        <v>207000</v>
      </c>
    </row>
    <row r="93">
      <c r="A93" s="49" t="n">
        <v>46277</v>
      </c>
      <c r="B93" s="7" t="n">
        <v>198000</v>
      </c>
    </row>
    <row r="94">
      <c r="A94" s="49" t="n">
        <v>46284</v>
      </c>
      <c r="B94" s="7" t="n">
        <v>198000</v>
      </c>
    </row>
    <row r="95">
      <c r="A95" s="49" t="n">
        <v>46291</v>
      </c>
      <c r="B95" s="7" t="n">
        <v>199000</v>
      </c>
    </row>
    <row r="96">
      <c r="A96" s="49" t="n">
        <v>46298</v>
      </c>
      <c r="B96" s="7" t="n">
        <v>197000</v>
      </c>
    </row>
    <row r="99">
      <c r="A99" s="3" t="inlineStr">
        <is>
          <t>二、月度数据</t>
        </is>
      </c>
    </row>
    <row r="100">
      <c r="A100" s="4" t="inlineStr">
        <is>
          <t>Date</t>
        </is>
      </c>
      <c r="B100" s="4" t="inlineStr">
        <is>
          <t>CPI YoY%</t>
        </is>
      </c>
      <c r="C100" s="4" t="inlineStr">
        <is>
          <t>核心CPI YoY%</t>
        </is>
      </c>
      <c r="D100" s="4" t="inlineStr">
        <is>
          <t>PPI YoY%</t>
        </is>
      </c>
      <c r="E100" s="4" t="inlineStr">
        <is>
          <t>PCE YoY%</t>
        </is>
      </c>
      <c r="F100" s="4" t="inlineStr">
        <is>
          <t>核心PCE YoY%</t>
        </is>
      </c>
      <c r="G100" s="4" t="inlineStr">
        <is>
          <t>非农delta(千人)</t>
        </is>
      </c>
      <c r="H100" s="4" t="inlineStr">
        <is>
          <t>失业率(%)</t>
        </is>
      </c>
      <c r="I100" s="4" t="inlineStr">
        <is>
          <t>零售销售MoM%</t>
        </is>
      </c>
      <c r="J100" s="4" t="inlineStr">
        <is>
          <t>消费者信心</t>
        </is>
      </c>
      <c r="K100" s="4" t="inlineStr">
        <is>
          <t>信用卡余额YoY%</t>
        </is>
      </c>
    </row>
    <row r="101">
      <c r="A101" s="49" t="n">
        <v>45658</v>
      </c>
      <c r="B101" s="56" t="n">
        <v>3</v>
      </c>
      <c r="C101" s="56" t="n">
        <v>3.3</v>
      </c>
      <c r="D101" s="56" t="n">
        <v>2.4</v>
      </c>
      <c r="E101" s="56" t="n">
        <v>2.6</v>
      </c>
      <c r="F101" s="56" t="n">
        <v>2.8</v>
      </c>
      <c r="G101" s="7" t="n">
        <v>-48</v>
      </c>
      <c r="H101" s="56" t="n">
        <v>4</v>
      </c>
      <c r="I101" s="56" t="n">
        <v>-0.7</v>
      </c>
      <c r="J101" s="56" t="n">
        <v>71.7</v>
      </c>
      <c r="K101" s="56" t="n">
        <v>-0.5</v>
      </c>
    </row>
    <row r="102">
      <c r="A102" s="49" t="n">
        <v>45689</v>
      </c>
      <c r="B102" s="56" t="n">
        <v>2.8</v>
      </c>
      <c r="C102" s="56" t="n">
        <v>3.1</v>
      </c>
      <c r="D102" s="56" t="n">
        <v>1.8</v>
      </c>
      <c r="E102" s="56" t="n">
        <v>2.6</v>
      </c>
      <c r="F102" s="56" t="n">
        <v>2.8</v>
      </c>
      <c r="G102" s="7" t="n">
        <v>42</v>
      </c>
      <c r="H102" s="56" t="n">
        <v>4.2</v>
      </c>
      <c r="I102" s="56" t="n">
        <v>-0.5</v>
      </c>
      <c r="J102" s="56" t="n">
        <v>64.7</v>
      </c>
      <c r="K102" s="56" t="n">
        <v>-1.2</v>
      </c>
    </row>
    <row r="103">
      <c r="A103" s="49" t="n">
        <v>45717</v>
      </c>
      <c r="B103" s="56" t="n">
        <v>2.4</v>
      </c>
      <c r="C103" s="56" t="n">
        <v>2.8</v>
      </c>
      <c r="D103" s="56" t="n">
        <v>1.3</v>
      </c>
      <c r="E103" s="56" t="n">
        <v>2.3</v>
      </c>
      <c r="F103" s="56" t="n">
        <v>2.6</v>
      </c>
      <c r="G103" s="7" t="n">
        <v>67</v>
      </c>
      <c r="H103" s="56" t="n">
        <v>4.2</v>
      </c>
      <c r="I103" s="56" t="n">
        <v>1.6</v>
      </c>
      <c r="J103" s="56" t="n">
        <v>57</v>
      </c>
      <c r="K103" s="56" t="n">
        <v>-2.1</v>
      </c>
    </row>
    <row r="104">
      <c r="A104" s="49" t="n">
        <v>45748</v>
      </c>
      <c r="B104" s="56" t="n">
        <v>2.3</v>
      </c>
      <c r="C104" s="56" t="n">
        <v>2.8</v>
      </c>
      <c r="D104" s="56" t="n">
        <v>0.6</v>
      </c>
      <c r="E104" s="56" t="n">
        <v>2.3</v>
      </c>
      <c r="F104" s="56" t="n">
        <v>2.7</v>
      </c>
      <c r="G104" s="7" t="n">
        <v>108</v>
      </c>
      <c r="H104" s="56" t="n">
        <v>4.2</v>
      </c>
      <c r="I104" s="56" t="n">
        <v>0.1</v>
      </c>
      <c r="J104" s="56" t="n">
        <v>52.2</v>
      </c>
      <c r="K104" s="56" t="n">
        <v>-1.8</v>
      </c>
    </row>
    <row r="105">
      <c r="A105" s="49" t="n">
        <v>45778</v>
      </c>
      <c r="B105" s="56" t="n">
        <v>2.4</v>
      </c>
      <c r="C105" s="56" t="n">
        <v>2.8</v>
      </c>
      <c r="D105" s="56" t="n">
        <v>1.3</v>
      </c>
      <c r="E105" s="56" t="n">
        <v>2.5</v>
      </c>
      <c r="F105" s="56" t="n">
        <v>2.8</v>
      </c>
      <c r="G105" s="7" t="n">
        <v>13</v>
      </c>
      <c r="H105" s="56" t="n">
        <v>4.3</v>
      </c>
      <c r="I105" s="56" t="n">
        <v>-1.4</v>
      </c>
      <c r="J105" s="56" t="n">
        <v>52.2</v>
      </c>
      <c r="K105" s="56" t="n">
        <v>-2.3</v>
      </c>
    </row>
    <row r="106">
      <c r="A106" s="49" t="n">
        <v>45809</v>
      </c>
      <c r="B106" s="56" t="n">
        <v>2.7</v>
      </c>
      <c r="C106" s="56" t="n">
        <v>2.9</v>
      </c>
      <c r="D106" s="56" t="n">
        <v>1.8</v>
      </c>
      <c r="E106" s="56" t="n">
        <v>2.6</v>
      </c>
      <c r="F106" s="56" t="n">
        <v>2.8</v>
      </c>
      <c r="G106" s="7" t="n">
        <v>-20</v>
      </c>
      <c r="H106" s="56" t="n">
        <v>4.1</v>
      </c>
      <c r="I106" s="56" t="n">
        <v>0.9</v>
      </c>
      <c r="J106" s="56" t="n">
        <v>60.7</v>
      </c>
      <c r="K106" s="56" t="n">
        <v>-2.2</v>
      </c>
    </row>
    <row r="107">
      <c r="A107" s="49" t="n">
        <v>45839</v>
      </c>
      <c r="B107" s="56" t="n">
        <v>2.7</v>
      </c>
      <c r="C107" s="56" t="n">
        <v>3.1</v>
      </c>
      <c r="D107" s="56" t="n">
        <v>2</v>
      </c>
      <c r="E107" s="56" t="n">
        <v>2.6</v>
      </c>
      <c r="F107" s="56" t="n">
        <v>2.8</v>
      </c>
      <c r="G107" s="7" t="n">
        <v>64</v>
      </c>
      <c r="H107" s="56" t="n">
        <v>4.3</v>
      </c>
      <c r="I107" s="56" t="n">
        <v>0.9</v>
      </c>
      <c r="J107" s="56" t="n">
        <v>61.7</v>
      </c>
      <c r="K107" s="56" t="n">
        <v>-2</v>
      </c>
    </row>
    <row r="108">
      <c r="A108" s="49" t="n">
        <v>45870</v>
      </c>
      <c r="B108" s="56" t="n">
        <v>2.9</v>
      </c>
      <c r="C108" s="56" t="n">
        <v>3.1</v>
      </c>
      <c r="D108" s="56" t="n">
        <v>2.6</v>
      </c>
      <c r="E108" s="56" t="n">
        <v>2.7</v>
      </c>
      <c r="F108" s="56" t="n">
        <v>2.9</v>
      </c>
      <c r="G108" s="7" t="n">
        <v>-70</v>
      </c>
      <c r="H108" s="56" t="n">
        <v>4.3</v>
      </c>
      <c r="I108" s="56" t="n">
        <v>0.3</v>
      </c>
      <c r="J108" s="56" t="n">
        <v>58.2</v>
      </c>
      <c r="K108" s="56" t="n">
        <v>-2.4</v>
      </c>
    </row>
    <row r="109">
      <c r="A109" s="49" t="n">
        <v>45901</v>
      </c>
      <c r="B109" s="56" t="n">
        <v>3</v>
      </c>
      <c r="C109" s="56" t="n">
        <v>3</v>
      </c>
      <c r="D109" s="56" t="n">
        <v>3.7</v>
      </c>
      <c r="E109" s="56" t="n">
        <v>2.8</v>
      </c>
      <c r="F109" s="56" t="n">
        <v>2.8</v>
      </c>
      <c r="G109" s="7" t="n">
        <v>76</v>
      </c>
      <c r="H109" s="56" t="n">
        <v>4.4</v>
      </c>
      <c r="I109" s="56" t="n">
        <v>0.2</v>
      </c>
      <c r="J109" s="56" t="n">
        <v>55.1</v>
      </c>
      <c r="K109" s="56" t="n">
        <v>-2.2</v>
      </c>
    </row>
    <row r="110">
      <c r="A110" s="49" t="n">
        <v>45931</v>
      </c>
      <c r="B110" s="56" t="n"/>
      <c r="C110" s="56" t="n"/>
      <c r="D110" s="56" t="n">
        <v>3</v>
      </c>
      <c r="E110" s="56" t="n">
        <v>2.7</v>
      </c>
      <c r="F110" s="56" t="n">
        <v>2.7</v>
      </c>
      <c r="G110" s="7" t="n">
        <v>-140</v>
      </c>
      <c r="H110" s="56" t="n"/>
      <c r="I110" s="56" t="n">
        <v>-0.1</v>
      </c>
      <c r="J110" s="56" t="n">
        <v>53.6</v>
      </c>
      <c r="K110" s="56" t="n">
        <v>-2.6</v>
      </c>
    </row>
    <row r="111">
      <c r="A111" s="49" t="n">
        <v>45962</v>
      </c>
      <c r="B111" s="56" t="n">
        <v>3</v>
      </c>
      <c r="C111" s="56" t="n">
        <v>2.9</v>
      </c>
      <c r="D111" s="56" t="n">
        <v>3.4</v>
      </c>
      <c r="E111" s="56" t="n">
        <v>2.7</v>
      </c>
      <c r="F111" s="56" t="n">
        <v>2.7</v>
      </c>
      <c r="G111" s="7" t="n">
        <v>41</v>
      </c>
      <c r="H111" s="56" t="n">
        <v>4.5</v>
      </c>
      <c r="I111" s="56" t="n">
        <v>0.7</v>
      </c>
      <c r="J111" s="56" t="n">
        <v>51</v>
      </c>
      <c r="K111" s="56" t="n">
        <v>-1.9</v>
      </c>
    </row>
    <row r="112">
      <c r="A112" s="49" t="n">
        <v>45992</v>
      </c>
      <c r="B112" s="56" t="n">
        <v>3</v>
      </c>
      <c r="C112" s="56" t="n">
        <v>2.8</v>
      </c>
      <c r="D112" s="56" t="n">
        <v>3.1</v>
      </c>
      <c r="E112" s="56" t="n">
        <v>2.8</v>
      </c>
      <c r="F112" s="56" t="n">
        <v>2.9</v>
      </c>
      <c r="G112" s="7" t="n">
        <v>-17</v>
      </c>
      <c r="H112" s="56" t="n">
        <v>4.4</v>
      </c>
      <c r="I112" s="56" t="n">
        <v>0.1</v>
      </c>
      <c r="J112" s="56" t="n">
        <v>52.9</v>
      </c>
      <c r="K112" s="56" t="n">
        <v>2.1</v>
      </c>
    </row>
    <row r="113">
      <c r="A113" s="49" t="n">
        <v>46023</v>
      </c>
      <c r="B113" s="56" t="n">
        <v>2.8</v>
      </c>
      <c r="C113" s="56" t="n">
        <v>2.9</v>
      </c>
      <c r="D113" s="56" t="n">
        <v>2.4</v>
      </c>
      <c r="E113" s="56" t="n">
        <v>2.7</v>
      </c>
      <c r="F113" s="56" t="n">
        <v>2.9</v>
      </c>
      <c r="G113" s="7" t="n">
        <v>160</v>
      </c>
      <c r="H113" s="56" t="n">
        <v>4.3</v>
      </c>
      <c r="I113" s="56" t="n">
        <v>-0.6</v>
      </c>
      <c r="J113" s="56" t="n">
        <v>56.4</v>
      </c>
      <c r="K113" s="56" t="n">
        <v>1.9</v>
      </c>
    </row>
    <row r="114">
      <c r="A114" s="49" t="n">
        <v>46054</v>
      </c>
      <c r="B114" s="56" t="n">
        <v>2.7</v>
      </c>
      <c r="C114" s="56" t="n">
        <v>2.7</v>
      </c>
      <c r="D114" s="56" t="n">
        <v>3.9</v>
      </c>
      <c r="E114" s="56" t="n">
        <v>2.8</v>
      </c>
      <c r="F114" s="56" t="n">
        <v>3</v>
      </c>
      <c r="G114" s="7" t="n">
        <v>-156</v>
      </c>
      <c r="H114" s="56" t="n">
        <v>4.4</v>
      </c>
      <c r="I114" s="56" t="n">
        <v>0.9</v>
      </c>
      <c r="J114" s="56" t="n">
        <v>56.6</v>
      </c>
      <c r="K114" s="56" t="n">
        <v>1.8</v>
      </c>
    </row>
    <row r="115">
      <c r="A115" s="49" t="n">
        <v>46082</v>
      </c>
      <c r="B115" s="56" t="n">
        <v>3.3</v>
      </c>
      <c r="C115" s="56" t="n">
        <v>2.7</v>
      </c>
      <c r="D115" s="56" t="n">
        <v>6.8</v>
      </c>
      <c r="E115" s="56" t="n">
        <v>3.4</v>
      </c>
      <c r="F115" s="56" t="n">
        <v>3.1</v>
      </c>
      <c r="G115" s="7" t="n">
        <v>214</v>
      </c>
      <c r="H115" s="56" t="n">
        <v>4.3</v>
      </c>
      <c r="I115" s="56" t="n">
        <v>1.7</v>
      </c>
      <c r="J115" s="56" t="n">
        <v>53.3</v>
      </c>
      <c r="K115" s="56" t="n">
        <v>3.5</v>
      </c>
    </row>
    <row r="116">
      <c r="A116" s="49" t="n">
        <v>46113</v>
      </c>
      <c r="B116" s="56" t="n">
        <v>3.9</v>
      </c>
      <c r="C116" s="56" t="n">
        <v>3</v>
      </c>
      <c r="D116" s="56" t="n">
        <v>9.4</v>
      </c>
      <c r="E116" s="56" t="n">
        <v>3.6</v>
      </c>
      <c r="F116" s="56" t="n">
        <v>3.1</v>
      </c>
      <c r="G116" s="7" t="n">
        <v>148</v>
      </c>
      <c r="H116" s="56" t="n">
        <v>4.3</v>
      </c>
      <c r="I116" s="56" t="n">
        <v>0.6</v>
      </c>
      <c r="J116" s="56" t="n">
        <v>49.8</v>
      </c>
      <c r="K116" s="56" t="n">
        <v>3.9</v>
      </c>
    </row>
    <row r="117">
      <c r="A117" s="49" t="n">
        <v>46143</v>
      </c>
      <c r="B117" s="56" t="n">
        <v>4.3</v>
      </c>
      <c r="C117" s="56" t="n">
        <v>3</v>
      </c>
      <c r="D117" s="56" t="n">
        <v>12.2</v>
      </c>
      <c r="E117" s="56" t="n">
        <v>3.8</v>
      </c>
      <c r="F117" s="56" t="n">
        <v>3.2</v>
      </c>
      <c r="G117" s="7" t="n">
        <v>63</v>
      </c>
      <c r="H117" s="56" t="n">
        <v>4.3</v>
      </c>
      <c r="I117" s="56" t="n">
        <v>1</v>
      </c>
      <c r="J117" s="56" t="n">
        <v>44.8</v>
      </c>
      <c r="K117" s="56" t="n">
        <v>3.7</v>
      </c>
    </row>
    <row r="118">
      <c r="A118" s="49" t="n">
        <v>46174</v>
      </c>
      <c r="B118" s="56" t="n">
        <v>3.7</v>
      </c>
      <c r="C118" s="56" t="n">
        <v>2.8</v>
      </c>
      <c r="D118" s="56" t="n">
        <v>9.800000000000001</v>
      </c>
      <c r="E118" s="56" t="n">
        <v>3.5</v>
      </c>
      <c r="F118" s="56" t="n">
        <v>3</v>
      </c>
      <c r="G118" s="7" t="n">
        <v>31</v>
      </c>
      <c r="H118" s="56" t="n">
        <v>4.2</v>
      </c>
      <c r="I118" s="56" t="n">
        <v>0.2</v>
      </c>
      <c r="J118" s="56" t="n">
        <v>49.5</v>
      </c>
      <c r="K118" s="56" t="n">
        <v>4</v>
      </c>
    </row>
    <row r="119">
      <c r="A119" s="49" t="n">
        <v>46204</v>
      </c>
      <c r="B119" s="56" t="n">
        <v>3.5</v>
      </c>
      <c r="C119" s="56" t="n">
        <v>2.8</v>
      </c>
      <c r="D119" s="56" t="n">
        <v>8.699999999999999</v>
      </c>
      <c r="E119" s="56" t="n">
        <v>3.4</v>
      </c>
      <c r="F119" s="56" t="n">
        <v>3</v>
      </c>
      <c r="G119" s="7" t="n">
        <v>-10</v>
      </c>
      <c r="H119" s="56" t="n">
        <v>4.1</v>
      </c>
      <c r="I119" s="56" t="n">
        <v>-0.5</v>
      </c>
      <c r="J119" s="56" t="n">
        <v>55.2</v>
      </c>
      <c r="K119" s="56" t="n">
        <v>3.6</v>
      </c>
    </row>
    <row r="120">
      <c r="A120" s="49" t="n">
        <v>46235</v>
      </c>
      <c r="B120" s="56" t="n">
        <v>3.7</v>
      </c>
      <c r="C120" s="56" t="n">
        <v>2.8</v>
      </c>
      <c r="D120" s="56" t="n">
        <v>9.9</v>
      </c>
      <c r="E120" s="56" t="n">
        <v>3.4</v>
      </c>
      <c r="F120" s="56" t="n">
        <v>3</v>
      </c>
      <c r="G120" s="7" t="n">
        <v>133</v>
      </c>
      <c r="H120" s="56" t="n">
        <v>4.1</v>
      </c>
      <c r="I120" s="56" t="n">
        <v>1.1</v>
      </c>
      <c r="J120" s="56" t="n">
        <v>51.7</v>
      </c>
      <c r="K120" s="56" t="n">
        <v>3.4</v>
      </c>
    </row>
    <row r="121">
      <c r="A121" s="49" t="n">
        <v>46266</v>
      </c>
      <c r="B121" s="56" t="n"/>
      <c r="C121" s="56" t="n"/>
      <c r="D121" s="56" t="n"/>
      <c r="E121" s="56" t="n"/>
      <c r="F121" s="56" t="n"/>
      <c r="G121" s="7" t="n">
        <v>29</v>
      </c>
      <c r="H121" s="56" t="n">
        <v>4.2</v>
      </c>
      <c r="I121" s="56" t="n"/>
      <c r="J121" s="56" t="n"/>
      <c r="K121" s="56" t="n"/>
    </row>
    <row r="124">
      <c r="A124" s="1" t="inlineStr">
        <is>
          <t>说明：CPI/PPI/PCE/信用卡余额为同比%；零售销售为环比%；非农为环比变化千人。来源 FRED，日期为统计期非发布日。信用卡余额(REVOLSL)=循环信贷总额，反映消费者信用卡支出趋势。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6.8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T1:T1"/>
  <sheetViews>
    <sheetView workbookViewId="0">
      <selection activeCell="A1" sqref="A1"/>
    </sheetView>
  </sheetViews>
  <sheetFormatPr baseColWidth="8" defaultColWidth="9" defaultRowHeight="16.8"/>
  <sheetData>
    <row r="1">
      <c r="T1" s="1" t="inlineStr">
        <is>
          <t>共 34 只，基期 2025-12-01 = 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T1:T1"/>
  <sheetViews>
    <sheetView workbookViewId="0">
      <selection activeCell="A1" sqref="A1"/>
    </sheetView>
  </sheetViews>
  <sheetFormatPr baseColWidth="8" defaultColWidth="9" defaultRowHeight="16.8"/>
  <sheetData>
    <row r="1">
      <c r="T1" s="1" t="inlineStr">
        <is>
          <t>共 15 只，基期 2025-12-01 = 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</cols>
  <sheetData>
    <row r="1">
      <c r="A1" s="57" t="inlineStr">
        <is>
          <t>运动服饰 — 股价历史分位数</t>
        </is>
      </c>
    </row>
    <row r="2">
      <c r="A2" s="58" t="inlineStr">
        <is>
          <t>截至 2026-10-16，数据起点 2023-11-27</t>
        </is>
      </c>
    </row>
    <row r="3">
      <c r="A3" s="59" t="inlineStr">
        <is>
          <t>Ticker</t>
        </is>
      </c>
      <c r="B3" s="59" t="inlineStr">
        <is>
          <t>当前价</t>
        </is>
      </c>
      <c r="C3" s="59" t="inlineStr">
        <is>
          <t>历史最低</t>
        </is>
      </c>
      <c r="D3" s="59" t="inlineStr">
        <is>
          <t>历史最高</t>
        </is>
      </c>
      <c r="E3" s="59" t="inlineStr">
        <is>
          <t>分位数</t>
        </is>
      </c>
      <c r="F3" s="59" t="inlineStr">
        <is>
          <t>数据周数</t>
        </is>
      </c>
    </row>
    <row r="4">
      <c r="A4" s="60" t="inlineStr">
        <is>
          <t>LULU.O</t>
        </is>
      </c>
      <c r="B4" s="61" t="n">
        <v>94.5</v>
      </c>
      <c r="C4" s="61" t="n">
        <v>94.45999999999999</v>
      </c>
      <c r="D4" s="61" t="n">
        <v>511.29</v>
      </c>
      <c r="E4" s="62" t="n">
        <v>0</v>
      </c>
      <c r="F4" s="63" t="n">
        <v>152</v>
      </c>
    </row>
    <row r="5">
      <c r="A5" s="60" t="inlineStr">
        <is>
          <t>NKE.N</t>
        </is>
      </c>
      <c r="B5" s="61" t="n">
        <v>34.71</v>
      </c>
      <c r="C5" s="61" t="n">
        <v>33.87</v>
      </c>
      <c r="D5" s="61" t="n">
        <v>113.75</v>
      </c>
      <c r="E5" s="62" t="n">
        <v>0.011</v>
      </c>
      <c r="F5" s="63" t="n">
        <v>152</v>
      </c>
    </row>
    <row r="6">
      <c r="A6" s="60" t="inlineStr">
        <is>
          <t>DECK.N</t>
        </is>
      </c>
      <c r="B6" s="61" t="n">
        <v>82.89</v>
      </c>
      <c r="C6" s="61" t="n">
        <v>78.43000000000001</v>
      </c>
      <c r="D6" s="61" t="n">
        <v>211.9</v>
      </c>
      <c r="E6" s="62" t="n">
        <v>0.033</v>
      </c>
      <c r="F6" s="63" t="n">
        <v>152</v>
      </c>
    </row>
    <row r="7">
      <c r="A7" s="60" t="inlineStr">
        <is>
          <t>8111.T</t>
        </is>
      </c>
      <c r="B7" s="61" t="n">
        <v>2167</v>
      </c>
      <c r="C7" s="61" t="n">
        <v>2075</v>
      </c>
      <c r="D7" s="61" t="n">
        <v>3566.57</v>
      </c>
      <c r="E7" s="62" t="n">
        <v>0.062</v>
      </c>
      <c r="F7" s="63" t="n">
        <v>152</v>
      </c>
    </row>
    <row r="8">
      <c r="A8" s="60" t="inlineStr">
        <is>
          <t>2331.HK</t>
        </is>
      </c>
      <c r="B8" s="61" t="n">
        <v>12.65</v>
      </c>
      <c r="C8" s="61" t="n">
        <v>11.73</v>
      </c>
      <c r="D8" s="61" t="n">
        <v>23</v>
      </c>
      <c r="E8" s="62" t="n">
        <v>0.082</v>
      </c>
      <c r="F8" s="63" t="n">
        <v>152</v>
      </c>
    </row>
    <row r="9">
      <c r="A9" s="60" t="inlineStr">
        <is>
          <t>UAA.N</t>
        </is>
      </c>
      <c r="B9" s="61" t="n">
        <v>4.93</v>
      </c>
      <c r="C9" s="61" t="n">
        <v>4.26</v>
      </c>
      <c r="D9" s="61" t="n">
        <v>10.18</v>
      </c>
      <c r="E9" s="62" t="n">
        <v>0.113</v>
      </c>
      <c r="F9" s="63" t="n">
        <v>152</v>
      </c>
    </row>
    <row r="10">
      <c r="A10" s="60" t="inlineStr">
        <is>
          <t>ADDY</t>
        </is>
      </c>
      <c r="B10" s="61" t="n">
        <v>150.95</v>
      </c>
      <c r="C10" s="61" t="n">
        <v>132.05</v>
      </c>
      <c r="D10" s="61" t="n">
        <v>259.8</v>
      </c>
      <c r="E10" s="62" t="n">
        <v>0.148</v>
      </c>
      <c r="F10" s="63" t="n">
        <v>152</v>
      </c>
    </row>
    <row r="11">
      <c r="A11" s="60" t="inlineStr">
        <is>
          <t>1368.HK</t>
        </is>
      </c>
      <c r="B11" s="61" t="n">
        <v>3.55</v>
      </c>
      <c r="C11" s="61" t="n">
        <v>2.96</v>
      </c>
      <c r="D11" s="61" t="n">
        <v>6.65</v>
      </c>
      <c r="E11" s="62" t="n">
        <v>0.157</v>
      </c>
      <c r="F11" s="63" t="n">
        <v>152</v>
      </c>
    </row>
    <row r="12">
      <c r="A12" s="60" t="inlineStr">
        <is>
          <t>COLM.O</t>
        </is>
      </c>
      <c r="B12" s="61" t="n">
        <v>57.04</v>
      </c>
      <c r="C12" s="61" t="n">
        <v>49.42</v>
      </c>
      <c r="D12" s="61" t="n">
        <v>92.08</v>
      </c>
      <c r="E12" s="62" t="n">
        <v>0.179</v>
      </c>
      <c r="F12" s="63" t="n">
        <v>152</v>
      </c>
    </row>
    <row r="13">
      <c r="A13" s="60" t="inlineStr">
        <is>
          <t>PUM.DF</t>
        </is>
      </c>
      <c r="B13" s="61" t="n">
        <v>23.04</v>
      </c>
      <c r="C13" s="61" t="n">
        <v>15.57</v>
      </c>
      <c r="D13" s="61" t="n">
        <v>57.08</v>
      </c>
      <c r="E13" s="62" t="n">
        <v>0.18</v>
      </c>
      <c r="F13" s="63" t="n">
        <v>152</v>
      </c>
    </row>
    <row r="14">
      <c r="A14" s="60" t="inlineStr">
        <is>
          <t>2020.HK</t>
        </is>
      </c>
      <c r="B14" s="61" t="n">
        <v>71.45</v>
      </c>
      <c r="C14" s="61" t="n">
        <v>60.12</v>
      </c>
      <c r="D14" s="61" t="n">
        <v>104.4</v>
      </c>
      <c r="E14" s="62" t="n">
        <v>0.256</v>
      </c>
      <c r="F14" s="63" t="n">
        <v>152</v>
      </c>
    </row>
    <row r="15">
      <c r="A15" s="60" t="inlineStr">
        <is>
          <t>ONON.N</t>
        </is>
      </c>
      <c r="B15" s="61" t="n">
        <v>35.09</v>
      </c>
      <c r="C15" s="61" t="n">
        <v>26.25</v>
      </c>
      <c r="D15" s="61" t="n">
        <v>59.99</v>
      </c>
      <c r="E15" s="62" t="n">
        <v>0.262</v>
      </c>
      <c r="F15" s="63" t="n">
        <v>152</v>
      </c>
    </row>
    <row r="16">
      <c r="A16" s="60" t="inlineStr">
        <is>
          <t>GIL.N</t>
        </is>
      </c>
      <c r="B16" s="61" t="n">
        <v>41.97</v>
      </c>
      <c r="C16" s="61" t="n">
        <v>29.99</v>
      </c>
      <c r="D16" s="61" t="n">
        <v>72.58</v>
      </c>
      <c r="E16" s="62" t="n">
        <v>0.281</v>
      </c>
      <c r="F16" s="63" t="n">
        <v>152</v>
      </c>
    </row>
    <row r="17">
      <c r="A17" s="60" t="inlineStr">
        <is>
          <t>NWL.O</t>
        </is>
      </c>
      <c r="B17" s="61" t="n">
        <v>5.64</v>
      </c>
      <c r="C17" s="61" t="n">
        <v>3.23</v>
      </c>
      <c r="D17" s="61" t="n">
        <v>11.51</v>
      </c>
      <c r="E17" s="62" t="n">
        <v>0.291</v>
      </c>
      <c r="F17" s="63" t="n">
        <v>152</v>
      </c>
    </row>
    <row r="18">
      <c r="A18" s="60" t="inlineStr">
        <is>
          <t>KTB.N</t>
        </is>
      </c>
      <c r="B18" s="61" t="n">
        <v>65.62</v>
      </c>
      <c r="C18" s="61" t="n">
        <v>49.59</v>
      </c>
      <c r="D18" s="61" t="n">
        <v>94.19</v>
      </c>
      <c r="E18" s="62" t="n">
        <v>0.359</v>
      </c>
      <c r="F18" s="63" t="n">
        <v>152</v>
      </c>
    </row>
    <row r="19">
      <c r="A19" s="60" t="inlineStr">
        <is>
          <t>1361.HK</t>
        </is>
      </c>
      <c r="B19" s="61" t="n">
        <v>4.58</v>
      </c>
      <c r="C19" s="61" t="n">
        <v>2.66</v>
      </c>
      <c r="D19" s="61" t="n">
        <v>6.98</v>
      </c>
      <c r="E19" s="62" t="n">
        <v>0.445</v>
      </c>
      <c r="F19" s="63" t="n">
        <v>152</v>
      </c>
    </row>
    <row r="20">
      <c r="A20" s="60" t="inlineStr">
        <is>
          <t>LEVI.N</t>
        </is>
      </c>
      <c r="B20" s="61" t="n">
        <v>18.7</v>
      </c>
      <c r="C20" s="61" t="n">
        <v>13.5</v>
      </c>
      <c r="D20" s="61" t="n">
        <v>24.54</v>
      </c>
      <c r="E20" s="62" t="n">
        <v>0.471</v>
      </c>
      <c r="F20" s="63" t="n">
        <v>152</v>
      </c>
    </row>
    <row r="21">
      <c r="A21" s="60" t="inlineStr">
        <is>
          <t>1836.HK</t>
        </is>
      </c>
      <c r="B21" s="61" t="n">
        <v>12.33</v>
      </c>
      <c r="C21" s="61" t="n">
        <v>6.93</v>
      </c>
      <c r="D21" s="61" t="n">
        <v>18.34</v>
      </c>
      <c r="E21" s="62" t="n">
        <v>0.473</v>
      </c>
      <c r="F21" s="63" t="n">
        <v>152</v>
      </c>
    </row>
    <row r="22">
      <c r="A22" s="60" t="inlineStr">
        <is>
          <t>BZUN.O</t>
        </is>
      </c>
      <c r="B22" s="61" t="n">
        <v>3.31</v>
      </c>
      <c r="C22" s="61" t="n">
        <v>2.07</v>
      </c>
      <c r="D22" s="61" t="n">
        <v>4.6</v>
      </c>
      <c r="E22" s="62" t="n">
        <v>0.49</v>
      </c>
      <c r="F22" s="63" t="n">
        <v>152</v>
      </c>
    </row>
    <row r="23">
      <c r="A23" s="60" t="inlineStr">
        <is>
          <t>CROX.O</t>
        </is>
      </c>
      <c r="B23" s="61" t="n">
        <v>114.98</v>
      </c>
      <c r="C23" s="61" t="n">
        <v>74.09</v>
      </c>
      <c r="D23" s="61" t="n">
        <v>156.98</v>
      </c>
      <c r="E23" s="62" t="n">
        <v>0.493</v>
      </c>
      <c r="F23" s="63" t="n">
        <v>152</v>
      </c>
    </row>
    <row r="24">
      <c r="A24" s="60" t="inlineStr">
        <is>
          <t>GAP.N</t>
        </is>
      </c>
      <c r="B24" s="61" t="n">
        <v>23.23</v>
      </c>
      <c r="C24" s="61" t="n">
        <v>17.47</v>
      </c>
      <c r="D24" s="61" t="n">
        <v>29.13</v>
      </c>
      <c r="E24" s="62" t="n">
        <v>0.494</v>
      </c>
      <c r="F24" s="63" t="n">
        <v>152</v>
      </c>
    </row>
    <row r="25">
      <c r="A25" s="60" t="inlineStr">
        <is>
          <t>WWW.N</t>
        </is>
      </c>
      <c r="B25" s="61" t="n">
        <v>19.43</v>
      </c>
      <c r="C25" s="61" t="n">
        <v>7.24</v>
      </c>
      <c r="D25" s="61" t="n">
        <v>31.94</v>
      </c>
      <c r="E25" s="62" t="n">
        <v>0.494</v>
      </c>
      <c r="F25" s="63" t="n">
        <v>152</v>
      </c>
    </row>
    <row r="26">
      <c r="A26" s="60" t="inlineStr">
        <is>
          <t>AS.N</t>
        </is>
      </c>
      <c r="B26" s="61" t="n">
        <v>28.14</v>
      </c>
      <c r="C26" s="61" t="n">
        <v>10.75</v>
      </c>
      <c r="D26" s="61" t="n">
        <v>41.96</v>
      </c>
      <c r="E26" s="62" t="n">
        <v>0.5570000000000001</v>
      </c>
      <c r="F26" s="63" t="n">
        <v>143</v>
      </c>
    </row>
    <row r="27">
      <c r="A27" s="60" t="inlineStr">
        <is>
          <t>ANF.N</t>
        </is>
      </c>
      <c r="B27" s="61" t="n">
        <v>142.58</v>
      </c>
      <c r="C27" s="61" t="n">
        <v>65.61</v>
      </c>
      <c r="D27" s="61" t="n">
        <v>186.06</v>
      </c>
      <c r="E27" s="62" t="n">
        <v>0.639</v>
      </c>
      <c r="F27" s="63" t="n">
        <v>152</v>
      </c>
    </row>
    <row r="28">
      <c r="A28" s="60" t="inlineStr">
        <is>
          <t>3998.HK</t>
        </is>
      </c>
      <c r="B28" s="61" t="n">
        <v>4.3</v>
      </c>
      <c r="C28" s="61" t="n">
        <v>2.7</v>
      </c>
      <c r="D28" s="61" t="n">
        <v>5.2</v>
      </c>
      <c r="E28" s="62" t="n">
        <v>0.642</v>
      </c>
      <c r="F28" s="63" t="n">
        <v>152</v>
      </c>
    </row>
    <row r="29">
      <c r="A29" s="60" t="inlineStr">
        <is>
          <t>ZGN.N</t>
        </is>
      </c>
      <c r="B29" s="61" t="n">
        <v>12.68</v>
      </c>
      <c r="C29" s="61" t="n">
        <v>6.48</v>
      </c>
      <c r="D29" s="61" t="n">
        <v>14.91</v>
      </c>
      <c r="E29" s="62" t="n">
        <v>0.735</v>
      </c>
      <c r="F29" s="63" t="n">
        <v>152</v>
      </c>
    </row>
    <row r="30">
      <c r="A30" s="60" t="inlineStr">
        <is>
          <t>9983.T</t>
        </is>
      </c>
      <c r="B30" s="61" t="n">
        <v>71780</v>
      </c>
      <c r="C30" s="61" t="n">
        <v>33420.3</v>
      </c>
      <c r="D30" s="61" t="n">
        <v>84500</v>
      </c>
      <c r="E30" s="62" t="n">
        <v>0.751</v>
      </c>
      <c r="F30" s="63" t="n">
        <v>152</v>
      </c>
    </row>
    <row r="31">
      <c r="A31" s="60" t="inlineStr">
        <is>
          <t>002832.SZ</t>
        </is>
      </c>
      <c r="B31" s="61" t="n">
        <v>26.76</v>
      </c>
      <c r="C31" s="61" t="n">
        <v>14.96</v>
      </c>
      <c r="D31" s="61" t="n">
        <v>29.65</v>
      </c>
      <c r="E31" s="62" t="n">
        <v>0.803</v>
      </c>
      <c r="F31" s="63" t="n">
        <v>151</v>
      </c>
    </row>
    <row r="32">
      <c r="A32" s="60" t="inlineStr">
        <is>
          <t>7936.T</t>
        </is>
      </c>
      <c r="B32" s="61" t="n">
        <v>4474</v>
      </c>
      <c r="C32" s="61" t="n">
        <v>1032.46</v>
      </c>
      <c r="D32" s="61" t="n">
        <v>5281</v>
      </c>
      <c r="E32" s="62" t="n">
        <v>0.8100000000000001</v>
      </c>
      <c r="F32" s="63" t="n">
        <v>152</v>
      </c>
    </row>
    <row r="33">
      <c r="A33" s="60" t="inlineStr">
        <is>
          <t>SHOO.O</t>
        </is>
      </c>
      <c r="B33" s="61" t="n">
        <v>44.3</v>
      </c>
      <c r="C33" s="61" t="n">
        <v>19.99</v>
      </c>
      <c r="D33" s="61" t="n">
        <v>48.58</v>
      </c>
      <c r="E33" s="62" t="n">
        <v>0.85</v>
      </c>
      <c r="F33" s="63" t="n">
        <v>152</v>
      </c>
    </row>
    <row r="34">
      <c r="A34" s="60" t="inlineStr">
        <is>
          <t>RL.N</t>
        </is>
      </c>
      <c r="B34" s="61" t="n">
        <v>371.28</v>
      </c>
      <c r="C34" s="61" t="n">
        <v>126.3</v>
      </c>
      <c r="D34" s="61" t="n">
        <v>413.01</v>
      </c>
      <c r="E34" s="62" t="n">
        <v>0.854</v>
      </c>
      <c r="F34" s="63" t="n">
        <v>152</v>
      </c>
    </row>
    <row r="35">
      <c r="A35" s="60" t="inlineStr">
        <is>
          <t>VSCO.N</t>
        </is>
      </c>
      <c r="B35" s="61" t="n">
        <v>80.06</v>
      </c>
      <c r="C35" s="61" t="n">
        <v>16.28</v>
      </c>
      <c r="D35" s="61" t="n">
        <v>80.06</v>
      </c>
      <c r="E35" s="62" t="n">
        <v>1</v>
      </c>
      <c r="F35" s="63" t="n">
        <v>96</v>
      </c>
    </row>
    <row r="36">
      <c r="A36" s="60" t="inlineStr">
        <is>
          <t>SKX.N</t>
        </is>
      </c>
      <c r="B36" s="61" t="n">
        <v/>
      </c>
      <c r="C36" s="61" t="n">
        <v/>
      </c>
      <c r="D36" s="61" t="n">
        <v/>
      </c>
      <c r="E36" s="62" t="n">
        <v/>
      </c>
      <c r="F36" s="63" t="n">
        <v>0</v>
      </c>
    </row>
    <row r="37">
      <c r="A37" s="60" t="inlineStr">
        <is>
          <t>HBI.N</t>
        </is>
      </c>
      <c r="B37" s="61" t="n">
        <v/>
      </c>
      <c r="C37" s="61" t="n">
        <v/>
      </c>
      <c r="D37" s="61" t="n">
        <v/>
      </c>
      <c r="E37" s="62" t="n">
        <v/>
      </c>
      <c r="F37" s="63" t="n">
        <v>0</v>
      </c>
    </row>
    <row r="39">
      <c r="A39" s="57" t="inlineStr">
        <is>
          <t>奢侈品 — 股价历史分位数</t>
        </is>
      </c>
    </row>
    <row r="40">
      <c r="A40" s="58" t="inlineStr">
        <is>
          <t>截至 2026-10-16，数据起点 2023-11-27</t>
        </is>
      </c>
    </row>
    <row r="41">
      <c r="A41" s="59" t="inlineStr">
        <is>
          <t>Ticker</t>
        </is>
      </c>
      <c r="B41" s="59" t="inlineStr">
        <is>
          <t>当前价</t>
        </is>
      </c>
      <c r="C41" s="59" t="inlineStr">
        <is>
          <t>历史最低</t>
        </is>
      </c>
      <c r="D41" s="59" t="inlineStr">
        <is>
          <t>历史最高</t>
        </is>
      </c>
      <c r="E41" s="59" t="inlineStr">
        <is>
          <t>分位数</t>
        </is>
      </c>
      <c r="F41" s="59" t="inlineStr">
        <is>
          <t>数据周数</t>
        </is>
      </c>
    </row>
    <row r="42">
      <c r="A42" s="60" t="inlineStr">
        <is>
          <t>MC</t>
        </is>
      </c>
      <c r="B42" s="61" t="n">
        <v>384.3</v>
      </c>
      <c r="C42" s="61" t="n">
        <v>378.55</v>
      </c>
      <c r="D42" s="61" t="n">
        <v>813.1799999999999</v>
      </c>
      <c r="E42" s="62" t="n">
        <v>0.013</v>
      </c>
      <c r="F42" s="63" t="n">
        <v>152</v>
      </c>
    </row>
    <row r="43">
      <c r="A43" s="60" t="inlineStr">
        <is>
          <t>MONC</t>
        </is>
      </c>
      <c r="B43" s="61" t="n">
        <v>43.65</v>
      </c>
      <c r="C43" s="61" t="n">
        <v>43.25</v>
      </c>
      <c r="D43" s="61" t="n">
        <v>66.23999999999999</v>
      </c>
      <c r="E43" s="62" t="n">
        <v>0.017</v>
      </c>
      <c r="F43" s="63" t="n">
        <v>152</v>
      </c>
    </row>
    <row r="44">
      <c r="A44" s="60" t="inlineStr">
        <is>
          <t>RMS</t>
        </is>
      </c>
      <c r="B44" s="61" t="n">
        <v>1309</v>
      </c>
      <c r="C44" s="61" t="n">
        <v>1283</v>
      </c>
      <c r="D44" s="61" t="n">
        <v>2809</v>
      </c>
      <c r="E44" s="62" t="n">
        <v>0.017</v>
      </c>
      <c r="F44" s="63" t="n">
        <v>152</v>
      </c>
    </row>
    <row r="45">
      <c r="A45" s="60" t="inlineStr">
        <is>
          <t>CPRI</t>
        </is>
      </c>
      <c r="B45" s="61" t="n">
        <v>14.95</v>
      </c>
      <c r="C45" s="61" t="n">
        <v>13.5</v>
      </c>
      <c r="D45" s="61" t="n">
        <v>50.69</v>
      </c>
      <c r="E45" s="62" t="n">
        <v>0.039</v>
      </c>
      <c r="F45" s="63" t="n">
        <v>152</v>
      </c>
    </row>
    <row r="46">
      <c r="A46" s="60" t="inlineStr">
        <is>
          <t>1913.HK</t>
        </is>
      </c>
      <c r="B46" s="61" t="n">
        <v>36.9</v>
      </c>
      <c r="C46" s="61" t="n">
        <v>34.7</v>
      </c>
      <c r="D46" s="61" t="n">
        <v>69</v>
      </c>
      <c r="E46" s="62" t="n">
        <v>0.064</v>
      </c>
      <c r="F46" s="63" t="n">
        <v>152</v>
      </c>
    </row>
    <row r="47">
      <c r="A47" s="60" t="inlineStr">
        <is>
          <t>GOOS</t>
        </is>
      </c>
      <c r="B47" s="61" t="n">
        <v>11.27</v>
      </c>
      <c r="C47" s="61" t="n">
        <v>10.41</v>
      </c>
      <c r="D47" s="61" t="n">
        <v>20.85</v>
      </c>
      <c r="E47" s="62" t="n">
        <v>0.082</v>
      </c>
      <c r="F47" s="63" t="n">
        <v>152</v>
      </c>
    </row>
    <row r="48">
      <c r="A48" s="60" t="inlineStr">
        <is>
          <t>KER</t>
        </is>
      </c>
      <c r="B48" s="61" t="n">
        <v>214.7</v>
      </c>
      <c r="C48" s="61" t="n">
        <v>164.12</v>
      </c>
      <c r="D48" s="61" t="n">
        <v>397.13</v>
      </c>
      <c r="E48" s="62" t="n">
        <v>0.217</v>
      </c>
      <c r="F48" s="63" t="n">
        <v>152</v>
      </c>
    </row>
    <row r="49">
      <c r="A49" s="60" t="inlineStr">
        <is>
          <t>PVH</t>
        </is>
      </c>
      <c r="B49" s="61" t="n">
        <v>81.34999999999999</v>
      </c>
      <c r="C49" s="61" t="n">
        <v>60.87</v>
      </c>
      <c r="D49" s="61" t="n">
        <v>139.98</v>
      </c>
      <c r="E49" s="62" t="n">
        <v>0.259</v>
      </c>
      <c r="F49" s="63" t="n">
        <v>152</v>
      </c>
    </row>
    <row r="50">
      <c r="A50" s="60" t="inlineStr">
        <is>
          <t>VFC</t>
        </is>
      </c>
      <c r="B50" s="61" t="n">
        <v>15</v>
      </c>
      <c r="C50" s="61" t="n">
        <v>10.47</v>
      </c>
      <c r="D50" s="61" t="n">
        <v>25.99</v>
      </c>
      <c r="E50" s="62" t="n">
        <v>0.292</v>
      </c>
      <c r="F50" s="63" t="n">
        <v>152</v>
      </c>
    </row>
    <row r="51">
      <c r="A51" s="60" t="inlineStr">
        <is>
          <t>SFER</t>
        </is>
      </c>
      <c r="B51" s="61" t="n">
        <v>6.93</v>
      </c>
      <c r="C51" s="61" t="n">
        <v>4.44</v>
      </c>
      <c r="D51" s="61" t="n">
        <v>12.71</v>
      </c>
      <c r="E51" s="62" t="n">
        <v>0.301</v>
      </c>
      <c r="F51" s="63" t="n">
        <v>152</v>
      </c>
    </row>
    <row r="52">
      <c r="A52" s="60" t="inlineStr">
        <is>
          <t>RACE</t>
        </is>
      </c>
      <c r="B52" s="61" t="n">
        <v>389.91</v>
      </c>
      <c r="C52" s="61" t="n">
        <v>314.63</v>
      </c>
      <c r="D52" s="61" t="n">
        <v>507.34</v>
      </c>
      <c r="E52" s="62" t="n">
        <v>0.391</v>
      </c>
      <c r="F52" s="63" t="n">
        <v>152</v>
      </c>
    </row>
    <row r="53">
      <c r="A53" s="60" t="inlineStr">
        <is>
          <t>BRBY</t>
        </is>
      </c>
      <c r="B53" s="61" t="n">
        <v>1036.5</v>
      </c>
      <c r="C53" s="61" t="n">
        <v>592.4</v>
      </c>
      <c r="D53" s="61" t="n">
        <v>1522.82</v>
      </c>
      <c r="E53" s="62" t="n">
        <v>0.477</v>
      </c>
      <c r="F53" s="63" t="n">
        <v>152</v>
      </c>
    </row>
    <row r="54">
      <c r="A54" s="60" t="inlineStr">
        <is>
          <t>TPR</t>
        </is>
      </c>
      <c r="B54" s="61" t="n">
        <v>116.24</v>
      </c>
      <c r="C54" s="61" t="n">
        <v>30.62</v>
      </c>
      <c r="D54" s="61" t="n">
        <v>162.36</v>
      </c>
      <c r="E54" s="62" t="n">
        <v>0.65</v>
      </c>
      <c r="F54" s="63" t="n">
        <v>152</v>
      </c>
    </row>
    <row r="55">
      <c r="A55" s="60" t="inlineStr">
        <is>
          <t>CFR</t>
        </is>
      </c>
      <c r="B55" s="61" t="n">
        <v>170.4</v>
      </c>
      <c r="C55" s="61" t="n">
        <v>102.6</v>
      </c>
      <c r="D55" s="61" t="n">
        <v>195.45</v>
      </c>
      <c r="E55" s="62" t="n">
        <v>0.73</v>
      </c>
      <c r="F55" s="63" t="n">
        <v>152</v>
      </c>
    </row>
    <row r="56">
      <c r="A56" s="60" t="inlineStr">
        <is>
          <t>ZGN</t>
        </is>
      </c>
      <c r="B56" s="61" t="n">
        <v>12.68</v>
      </c>
      <c r="C56" s="61" t="n">
        <v>6.48</v>
      </c>
      <c r="D56" s="61" t="n">
        <v>14.91</v>
      </c>
      <c r="E56" s="62" t="n">
        <v>0.735</v>
      </c>
      <c r="F56" s="63" t="n">
        <v>152</v>
      </c>
    </row>
  </sheetData>
  <mergeCells count="2">
    <mergeCell ref="A39:F39"/>
    <mergeCell ref="A1:F1"/>
  </mergeCells>
  <conditionalFormatting sqref="E4:E37">
    <cfRule type="cellIs" priority="1" operator="lessThan" dxfId="0">
      <formula>0.2</formula>
    </cfRule>
    <cfRule type="cellIs" priority="2" operator="greaterThan" dxfId="1">
      <formula>0.8</formula>
    </cfRule>
  </conditionalFormatting>
  <conditionalFormatting sqref="E42:E56">
    <cfRule type="cellIs" priority="3" operator="lessThan" dxfId="0">
      <formula>0.2</formula>
    </cfRule>
    <cfRule type="cellIs" priority="4" operator="greaterThan" dxfId="1">
      <formula>0.8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2026-09-26T19:33:00Z</dcterms:created>
  <dcterms:modified xmlns:dcterms="http://purl.org/dc/terms/" xmlns:xsi="http://www.w3.org/2001/XMLSchema-instance" xsi:type="dcterms:W3CDTF">2026-10-17T14:55:14Z</dcterms:modified>
  <cp:lastModifiedBy>David（RS intern）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F60C742342A9D3B8CBF7B16A45A22BB7_42</vt:lpwstr>
  </property>
  <property name="KSOProductBuildVer" fmtid="{D5CDD505-2E9C-101B-9397-08002B2CF9AE}" pid="3">
    <vt:lpwstr xmlns:vt="http://schemas.openxmlformats.org/officeDocument/2006/docPropsVTypes">2052-12.1.23540.23540</vt:lpwstr>
  </property>
</Properties>
</file>