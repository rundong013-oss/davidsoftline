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20" firstSheet="4" activeTab="12"/>
  </bookViews>
  <sheets>
    <sheet name="Summary" sheetId="1" r:id="rId1"/>
    <sheet name="template" sheetId="2" r:id="rId2"/>
    <sheet name="Sportswear&gt;&gt;" sheetId="3" r:id="rId3"/>
    <sheet name="Luxury&gt;&gt;" sheetId="4" r:id="rId4"/>
    <sheet name="NKE.N" sheetId="5" r:id="rId5"/>
    <sheet name="ADDY" sheetId="6" r:id="rId6"/>
    <sheet name="ZGN.N" sheetId="7" r:id="rId7"/>
    <sheet name="WWW.N" sheetId="8" r:id="rId8"/>
    <sheet name="UAA.N" sheetId="9" r:id="rId9"/>
    <sheet name="SHOO.O" sheetId="10" r:id="rId10"/>
    <sheet name="RL.N" sheetId="11" r:id="rId11"/>
    <sheet name="PUM.DF" sheetId="12" r:id="rId12"/>
    <sheet name="ONON.N" sheetId="13" r:id="rId13"/>
    <sheet name="NWL.O" sheetId="14" r:id="rId14"/>
    <sheet name="LULU.O" sheetId="15" r:id="rId15"/>
    <sheet name="LEVI.N" sheetId="16" r:id="rId16"/>
    <sheet name="KTB.N" sheetId="17" r:id="rId17"/>
    <sheet name="GIL.N" sheetId="18" r:id="rId18"/>
    <sheet name="GAP.N" sheetId="19" r:id="rId19"/>
    <sheet name="DECK.N" sheetId="20" r:id="rId20"/>
    <sheet name="CROX.O" sheetId="21" r:id="rId21"/>
    <sheet name="COLM.O" sheetId="22" r:id="rId22"/>
    <sheet name="BZUN.O" sheetId="23" r:id="rId23"/>
    <sheet name="AS.N" sheetId="24" r:id="rId24"/>
    <sheet name="ANF.N" sheetId="25" r:id="rId25"/>
    <sheet name="VSCO.N" sheetId="26" r:id="rId26"/>
    <sheet name="9983.T" sheetId="27" r:id="rId27"/>
    <sheet name="8111.T" sheetId="28" r:id="rId28"/>
    <sheet name="7936.T" sheetId="29" r:id="rId29"/>
    <sheet name="3998.HK" sheetId="30" r:id="rId30"/>
    <sheet name="2331.HK" sheetId="31" r:id="rId31"/>
    <sheet name="2020.HK" sheetId="32" r:id="rId32"/>
    <sheet name="1836.HK" sheetId="33" r:id="rId33"/>
    <sheet name="1368.HK" sheetId="34" r:id="rId34"/>
    <sheet name="1361.HK" sheetId="35" r:id="rId35"/>
    <sheet name="002832.SZ" sheetId="36" r:id="rId36"/>
    <sheet name="VFC" sheetId="37" r:id="rId37"/>
    <sheet name="CFR" sheetId="38" r:id="rId38"/>
    <sheet name="1913.HK" sheetId="39" r:id="rId39"/>
    <sheet name="MONC" sheetId="40" r:id="rId40"/>
    <sheet name="KER" sheetId="41" r:id="rId41"/>
    <sheet name="SFER" sheetId="42" r:id="rId42"/>
    <sheet name="RACE" sheetId="43" r:id="rId43"/>
    <sheet name="RMS" sheetId="44" r:id="rId44"/>
    <sheet name="MC" sheetId="45" r:id="rId45"/>
    <sheet name="BRBY" sheetId="46" r:id="rId46"/>
    <sheet name="CPRI" sheetId="47" r:id="rId47"/>
    <sheet name="PVH" sheetId="48" r:id="rId48"/>
    <sheet name="TPR" sheetId="49" r:id="rId49"/>
    <sheet name="GOOS" sheetId="50" r:id="rId50"/>
  </sheets>
  <definedNames>
    <definedName name="AAA_duser" hidden="1">"OFF"</definedName>
    <definedName name="ad" hidden="1">{#N/A,#N/A,FALSE,"Sheet1";#N/A,#N/A,FALSE,"Sheet2";#N/A,#N/A,FALSE,"Sheet3";#N/A,#N/A,FALSE,"Sheet4";#N/A,#N/A,FALSE,"Sheet5";#N/A,#N/A,FALSE,"Sheet6"}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<sst xmlns="http://schemas.openxmlformats.org/spreadsheetml/2006/main" count="1431" uniqueCount="154">
  <si>
    <t>Sportswear</t>
  </si>
  <si>
    <t>Forward PE</t>
  </si>
  <si>
    <t>FY-2</t>
  </si>
  <si>
    <t>FY-1</t>
  </si>
  <si>
    <t>FY</t>
  </si>
  <si>
    <t>FY+1E</t>
  </si>
  <si>
    <t>FY+2E</t>
  </si>
  <si>
    <t>NKE.N</t>
  </si>
  <si>
    <t>ADDY</t>
  </si>
  <si>
    <t>ZGN.N</t>
  </si>
  <si>
    <t>WWW.N</t>
  </si>
  <si>
    <t>UAA.N</t>
  </si>
  <si>
    <t>SHOO.O</t>
  </si>
  <si>
    <t>RL.N</t>
  </si>
  <si>
    <t>PUM.DF</t>
  </si>
  <si>
    <t>ONON.N</t>
  </si>
  <si>
    <t>NWL.O</t>
  </si>
  <si>
    <t>LULU.O</t>
  </si>
  <si>
    <t>LEVI.N</t>
  </si>
  <si>
    <t>KTB.N</t>
  </si>
  <si>
    <t>GIL.N</t>
  </si>
  <si>
    <t>GAP.N</t>
  </si>
  <si>
    <t>DECK.N</t>
  </si>
  <si>
    <t>CROX.O</t>
  </si>
  <si>
    <t>COLM.O</t>
  </si>
  <si>
    <t>BZUN.O</t>
  </si>
  <si>
    <t>AS.N</t>
  </si>
  <si>
    <t>ANF.N</t>
  </si>
  <si>
    <t>VSCO.N</t>
  </si>
  <si>
    <t>9983.T</t>
  </si>
  <si>
    <t>8111.T</t>
  </si>
  <si>
    <t>7936.T</t>
  </si>
  <si>
    <t>3998.HK</t>
  </si>
  <si>
    <t>2331.HK</t>
  </si>
  <si>
    <t>2020.HK</t>
  </si>
  <si>
    <t>1836.HK</t>
  </si>
  <si>
    <t>1368.HK</t>
  </si>
  <si>
    <t>1361.HK</t>
  </si>
  <si>
    <t>002832.SZ</t>
  </si>
  <si>
    <t>Forward PS</t>
  </si>
  <si>
    <t>Luxury</t>
  </si>
  <si>
    <t>VFC</t>
  </si>
  <si>
    <t>CFR</t>
  </si>
  <si>
    <t>1913.HK</t>
  </si>
  <si>
    <t>MONC</t>
  </si>
  <si>
    <t>KER</t>
  </si>
  <si>
    <t>SFER</t>
  </si>
  <si>
    <t>RACE</t>
  </si>
  <si>
    <t>RMS</t>
  </si>
  <si>
    <t>MC</t>
  </si>
  <si>
    <t>BRBY</t>
  </si>
  <si>
    <t>CPRI</t>
  </si>
  <si>
    <t>PVH</t>
  </si>
  <si>
    <t>TPR</t>
  </si>
  <si>
    <t>GOOS</t>
  </si>
  <si>
    <t>公司ticker，名字</t>
  </si>
  <si>
    <t>End in</t>
  </si>
  <si>
    <t>xxx</t>
  </si>
  <si>
    <t>Fisical year</t>
  </si>
  <si>
    <t>2027E</t>
  </si>
  <si>
    <t>2028E</t>
  </si>
  <si>
    <t>2029E</t>
  </si>
  <si>
    <t>26Q1</t>
  </si>
  <si>
    <t>26Q2</t>
  </si>
  <si>
    <t>26Q3</t>
  </si>
  <si>
    <t>26Q4</t>
  </si>
  <si>
    <t>27Q1</t>
  </si>
  <si>
    <t>27Q2</t>
  </si>
  <si>
    <t>Revenue</t>
  </si>
  <si>
    <t>yoy</t>
  </si>
  <si>
    <t>GM</t>
  </si>
  <si>
    <t>OPM (EBIT margin)</t>
  </si>
  <si>
    <t>Net Profit (GAAP)</t>
  </si>
  <si>
    <t>EPS</t>
  </si>
  <si>
    <t>Date</t>
  </si>
  <si>
    <t>Share price ($)</t>
  </si>
  <si>
    <t>Market Cap</t>
  </si>
  <si>
    <t>NKE.N, NIKE, Inc.</t>
  </si>
  <si>
    <t>Fiscal year</t>
  </si>
  <si>
    <t>2024</t>
  </si>
  <si>
    <t>2025</t>
  </si>
  <si>
    <t>2026</t>
  </si>
  <si>
    <t>25Q4</t>
  </si>
  <si>
    <t>NPM</t>
  </si>
  <si>
    <t>EPS (diluted)</t>
  </si>
  <si>
    <t>Shares Out (mm)</t>
  </si>
  <si>
    <t>Share price (USD)</t>
  </si>
  <si>
    <t>Market Cap (USD mm)</t>
  </si>
  <si>
    <t># Analysts (rev)</t>
  </si>
  <si>
    <t>ADDY, adidas AG</t>
  </si>
  <si>
    <t>2023</t>
  </si>
  <si>
    <t>2026E</t>
  </si>
  <si>
    <t>25Q3</t>
  </si>
  <si>
    <t>Share price (EUR)</t>
  </si>
  <si>
    <t>Market Cap (EUR mm)</t>
  </si>
  <si>
    <t>ZGN.N, Ermenegildo Zegna N.V.</t>
  </si>
  <si>
    <t>24Q4</t>
  </si>
  <si>
    <t>25Q2</t>
  </si>
  <si>
    <t>WWW.N, Wolverine World Wide, Inc.</t>
  </si>
  <si>
    <t>UAA.N, Under Armour, Inc.</t>
  </si>
  <si>
    <t>SHOO.O, Steven Madden, Ltd.</t>
  </si>
  <si>
    <t>RL.N, Ralph Lauren Corporation</t>
  </si>
  <si>
    <t>PUM.DF, PUMA Se</t>
  </si>
  <si>
    <t>ONON.N, On Holding AG</t>
  </si>
  <si>
    <t>Market Cap (CHF mm)</t>
  </si>
  <si>
    <t>NWL.O, Newell Brands Inc.</t>
  </si>
  <si>
    <t>LULU.O, Lululemon Athletica Inc.</t>
  </si>
  <si>
    <t>LEVI.N, Levi Strauss &amp; Co.</t>
  </si>
  <si>
    <t>KTB.N, Kontoor Brands, Inc.</t>
  </si>
  <si>
    <t>GIL.N, Gildan Activewear Inc.</t>
  </si>
  <si>
    <t>GAP.N, The Gap, Inc.</t>
  </si>
  <si>
    <t>DECK.N, Deckers Outdoor Corporation</t>
  </si>
  <si>
    <t>CROX.O, Crocs, Inc.</t>
  </si>
  <si>
    <t>COLM.O, Columbia Sportswear Company</t>
  </si>
  <si>
    <t>BZUN.O, Baozun Inc.</t>
  </si>
  <si>
    <t>Market Cap (CNY mm)</t>
  </si>
  <si>
    <t>AS.N, Amer Sports, Inc.</t>
  </si>
  <si>
    <t>ANF.N, Abercrombie &amp; Fitch Co.</t>
  </si>
  <si>
    <t>VSCO.N, Victoria's Secret &amp; Co.</t>
  </si>
  <si>
    <t>9983.T, Fast Retailing Co., Ltd.</t>
  </si>
  <si>
    <t>Share price (JPY)</t>
  </si>
  <si>
    <t>Market Cap (JPY mm)</t>
  </si>
  <si>
    <t>8111.T, Goldwin Inc.</t>
  </si>
  <si>
    <t>7936.T, ASICS Corporation</t>
  </si>
  <si>
    <t>3998.HK, Bosideng International Holdings Limited</t>
  </si>
  <si>
    <t>24Q3</t>
  </si>
  <si>
    <t>25Q1</t>
  </si>
  <si>
    <t>Share price (HKD)</t>
  </si>
  <si>
    <t>2331.HK, Li Ning Company Limited</t>
  </si>
  <si>
    <t>2020.HK, ANTA Sports Products Limited</t>
  </si>
  <si>
    <t>1836.HK, Stella International Holdings Limited</t>
  </si>
  <si>
    <t>1368.HK, Xtep International Holdings Limited</t>
  </si>
  <si>
    <t>1361.HK, 361 Degrees International Limited</t>
  </si>
  <si>
    <t>002832.SZ, BIEM.L.FDLKK Garment Co.,Ltd.</t>
  </si>
  <si>
    <t>Share price (CNY)</t>
  </si>
  <si>
    <t>VFC, V.F. Corporation</t>
  </si>
  <si>
    <t>CFR, Compagnie Financière Richemont S.A.</t>
  </si>
  <si>
    <t>Share price (CHF)</t>
  </si>
  <si>
    <t>1913.HK, Prada S.p.A.</t>
  </si>
  <si>
    <t>MONC, Moncler S.p.A.</t>
  </si>
  <si>
    <t>KER, Kering S.A.</t>
  </si>
  <si>
    <t>SFER, Salvatore Ferragamo S.p.A.</t>
  </si>
  <si>
    <t>RACE, Ferrari N.V.</t>
  </si>
  <si>
    <t>RMS, Hermès International Société en commandite par actions</t>
  </si>
  <si>
    <t>MC, LVMH Moët Hennessy - Louis Vuitton, Société Européenne</t>
  </si>
  <si>
    <t>BRBY, Burberry Group plc</t>
  </si>
  <si>
    <t>Share price (GBp)</t>
  </si>
  <si>
    <t>Market Cap (GBP mm)</t>
  </si>
  <si>
    <t>CPRI, Capri Holdings Limited</t>
  </si>
  <si>
    <t>PVH, PVH Corp.</t>
  </si>
  <si>
    <t>TPR, Tapestry, Inc.</t>
  </si>
  <si>
    <t>GOOS, Canada Goose Holdings Inc.</t>
  </si>
  <si>
    <t>Share price (CAD)</t>
  </si>
  <si>
    <t>Market Cap (CAD mm)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</si>
</sst>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#,##0.0"/>
    <numFmt numFmtId="178" formatCode="yyyy\-mm\-dd"/>
    <numFmt numFmtId="179" formatCode="0.0&quot;x&quot;"/>
    <numFmt numFmtId="180" formatCode="yyyy/m/d;@"/>
    <numFmt numFmtId="181" formatCode="#,##0_);\(#,##0\);\-_)"/>
    <numFmt numFmtId="182" formatCode="\$0.00"/>
    <numFmt numFmtId="183" formatCode="0.0\x"/>
    <numFmt numFmtId="184" formatCode="0.0"/>
  </numFmts>
  <fonts count="32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color rgb="FF0000FF"/>
      <name val="Arial"/>
      <charset val="134"/>
    </font>
    <font>
      <sz val="10"/>
      <name val="Arial"/>
      <charset val="134"/>
    </font>
    <font>
      <sz val="9"/>
      <color rgb="FF808080"/>
      <name val="Arial"/>
      <charset val="134"/>
    </font>
    <font>
      <b/>
      <sz val="12"/>
      <color rgb="FF000000"/>
      <name val="宋体"/>
      <charset val="1"/>
    </font>
    <font>
      <sz val="11"/>
      <color theme="1"/>
      <name val="Calibri"/>
      <charset val="1"/>
    </font>
    <font>
      <sz val="11"/>
      <color rgb="FF000000"/>
      <name val="宋体"/>
      <charset val="1"/>
    </font>
    <font>
      <b/>
      <sz val="11"/>
      <color rgb="FF000000"/>
      <name val="宋体"/>
      <charset val="1"/>
    </font>
    <font>
      <sz val="11"/>
      <color rgb="FF000000"/>
      <name val="Calibri"/>
      <charset val="1"/>
    </font>
    <font>
      <sz val="11"/>
      <color rgb="FF008000"/>
      <name val="宋体"/>
      <charset val="1"/>
    </font>
    <font>
      <sz val="11"/>
      <color rgb="FF0000FF"/>
      <name val="宋体"/>
      <charset val="1"/>
    </font>
    <font>
      <b/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6" borderId="2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3">
      <alignment vertical="center"/>
    </xf>
    <xf numFmtId="0" fontId="19" fillId="0" borderId="3">
      <alignment vertical="center"/>
    </xf>
    <xf numFmtId="0" fontId="20" fillId="0" borderId="4">
      <alignment vertical="center"/>
    </xf>
    <xf numFmtId="0" fontId="20" fillId="0" borderId="0">
      <alignment vertical="center"/>
    </xf>
    <xf numFmtId="0" fontId="21" fillId="7" borderId="5">
      <alignment vertical="center"/>
    </xf>
    <xf numFmtId="0" fontId="22" fillId="8" borderId="6">
      <alignment vertical="center"/>
    </xf>
    <xf numFmtId="0" fontId="23" fillId="8" borderId="5">
      <alignment vertical="center"/>
    </xf>
    <xf numFmtId="0" fontId="24" fillId="9" borderId="7">
      <alignment vertical="center"/>
    </xf>
    <xf numFmtId="0" fontId="25" fillId="0" borderId="8">
      <alignment vertical="center"/>
    </xf>
    <xf numFmtId="0" fontId="26" fillId="0" borderId="9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0" fillId="36" borderId="0">
      <alignment vertical="center"/>
    </xf>
    <xf numFmtId="0" fontId="6" fillId="0" borderId="0"/>
  </cellStyleXfs>
  <cellXfs count="54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/>
    <xf numFmtId="14" fontId="1" fillId="0" borderId="0" xfId="0" applyNumberFormat="1" applyFont="1" applyAlignment="1"/>
    <xf numFmtId="0" fontId="1" fillId="2" borderId="0" xfId="0" applyFont="1" applyFill="1" applyAlignment="1">
      <alignment horizontal="center"/>
    </xf>
    <xf numFmtId="3" fontId="2" fillId="0" borderId="0" xfId="0" applyNumberFormat="1" applyFont="1" applyAlignment="1"/>
    <xf numFmtId="3" fontId="3" fillId="3" borderId="0" xfId="0" applyNumberFormat="1" applyFont="1" applyFill="1" applyAlignment="1"/>
    <xf numFmtId="0" fontId="3" fillId="3" borderId="0" xfId="0" applyFont="1" applyFill="1" applyAlignment="1"/>
    <xf numFmtId="176" fontId="2" fillId="0" borderId="0" xfId="0" applyNumberFormat="1" applyFont="1" applyAlignment="1"/>
    <xf numFmtId="176" fontId="3" fillId="3" borderId="0" xfId="0" applyNumberFormat="1" applyFont="1" applyFill="1" applyAlignment="1"/>
    <xf numFmtId="0" fontId="2" fillId="0" borderId="0" xfId="0" applyFont="1" applyAlignment="1"/>
    <xf numFmtId="0" fontId="1" fillId="0" borderId="0" xfId="0" applyFont="1" applyAlignment="1">
      <alignment indent="1"/>
    </xf>
    <xf numFmtId="2" fontId="2" fillId="0" borderId="0" xfId="0" applyNumberFormat="1" applyFont="1" applyAlignment="1"/>
    <xf numFmtId="2" fontId="3" fillId="3" borderId="0" xfId="0" applyNumberFormat="1" applyFont="1" applyFill="1" applyAlignment="1"/>
    <xf numFmtId="177" fontId="2" fillId="0" borderId="0" xfId="0" applyNumberFormat="1" applyFont="1" applyAlignment="1"/>
    <xf numFmtId="177" fontId="3" fillId="3" borderId="0" xfId="0" applyNumberFormat="1" applyFont="1" applyFill="1" applyAlignment="1"/>
    <xf numFmtId="178" fontId="0" fillId="0" borderId="0" xfId="0" applyNumberFormat="1" applyAlignment="1"/>
    <xf numFmtId="4" fontId="2" fillId="0" borderId="0" xfId="0" applyNumberFormat="1" applyFont="1" applyAlignment="1"/>
    <xf numFmtId="179" fontId="0" fillId="0" borderId="0" xfId="0" applyNumberFormat="1" applyAlignment="1"/>
    <xf numFmtId="179" fontId="0" fillId="3" borderId="0" xfId="0" applyNumberFormat="1" applyFill="1" applyAlignment="1"/>
    <xf numFmtId="0" fontId="4" fillId="0" borderId="0" xfId="0" applyFont="1" applyAlignment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5" fillId="4" borderId="0" xfId="49" applyFont="1" applyFill="1"/>
    <xf numFmtId="0" fontId="6" fillId="4" borderId="0" xfId="49" applyFill="1" applyAlignment="1">
      <alignment horizontal="center"/>
    </xf>
    <xf numFmtId="0" fontId="7" fillId="4" borderId="0" xfId="49" applyFont="1" applyFill="1"/>
    <xf numFmtId="180" fontId="8" fillId="4" borderId="0" xfId="49" applyNumberFormat="1" applyFont="1" applyFill="1" applyAlignment="1">
      <alignment horizontal="center"/>
    </xf>
    <xf numFmtId="0" fontId="8" fillId="4" borderId="0" xfId="49" applyFont="1" applyFill="1" applyAlignment="1">
      <alignment horizontal="center"/>
    </xf>
    <xf numFmtId="0" fontId="8" fillId="5" borderId="0" xfId="49" applyFont="1" applyFill="1" applyAlignment="1">
      <alignment horizontal="center"/>
    </xf>
    <xf numFmtId="0" fontId="9" fillId="4" borderId="0" xfId="49" applyFont="1" applyFill="1" applyAlignment="1">
      <alignment horizontal="center"/>
    </xf>
    <xf numFmtId="0" fontId="9" fillId="5" borderId="0" xfId="49" applyFont="1" applyFill="1" applyAlignment="1">
      <alignment horizontal="center"/>
    </xf>
    <xf numFmtId="181" fontId="10" fillId="4" borderId="1" xfId="49" applyNumberFormat="1" applyFont="1" applyFill="1" applyBorder="1" applyAlignment="1">
      <alignment horizontal="center"/>
    </xf>
    <xf numFmtId="181" fontId="10" fillId="5" borderId="1" xfId="49" applyNumberFormat="1" applyFont="1" applyFill="1" applyBorder="1" applyAlignment="1">
      <alignment horizont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7" fillId="4" borderId="0" xfId="49" applyFont="1" applyFill="1" applyAlignment="1">
      <alignment indent="1"/>
    </xf>
    <xf numFmtId="176" fontId="10" fillId="4" borderId="1" xfId="49" applyNumberFormat="1" applyFont="1" applyFill="1" applyBorder="1" applyAlignment="1">
      <alignment horizontal="center"/>
    </xf>
    <xf numFmtId="176" fontId="10" fillId="5" borderId="1" xfId="49" applyNumberFormat="1" applyFont="1" applyFill="1" applyBorder="1" applyAlignment="1">
      <alignment horizontal="center"/>
    </xf>
    <xf numFmtId="0" fontId="7" fillId="4" borderId="0" xfId="49" applyFont="1" applyFill="1" applyAlignment="1">
      <alignment horizontal="left" indent="1"/>
    </xf>
    <xf numFmtId="0" fontId="0" fillId="5" borderId="0" xfId="0" applyFill="1" applyAlignment="1">
      <alignment vertical="center"/>
    </xf>
    <xf numFmtId="181" fontId="10" fillId="4" borderId="0" xfId="49" applyNumberFormat="1" applyFont="1" applyFill="1" applyAlignment="1">
      <alignment horizontal="center"/>
    </xf>
    <xf numFmtId="181" fontId="10" fillId="5" borderId="0" xfId="49" applyNumberFormat="1" applyFont="1" applyFill="1" applyAlignment="1">
      <alignment horizontal="center"/>
    </xf>
    <xf numFmtId="0" fontId="6" fillId="4" borderId="0" xfId="49" applyFill="1"/>
    <xf numFmtId="0" fontId="6" fillId="5" borderId="0" xfId="49" applyFill="1" applyAlignment="1">
      <alignment horizontal="center"/>
    </xf>
    <xf numFmtId="178" fontId="11" fillId="4" borderId="1" xfId="49" applyNumberFormat="1" applyFont="1" applyFill="1" applyBorder="1" applyAlignment="1">
      <alignment horizontal="center"/>
    </xf>
    <xf numFmtId="182" fontId="11" fillId="4" borderId="1" xfId="49" applyNumberFormat="1" applyFont="1" applyFill="1" applyBorder="1" applyAlignment="1">
      <alignment horizontal="center"/>
    </xf>
    <xf numFmtId="181" fontId="7" fillId="4" borderId="1" xfId="49" applyNumberFormat="1" applyFont="1" applyFill="1" applyBorder="1" applyAlignment="1">
      <alignment horizontal="center"/>
    </xf>
    <xf numFmtId="183" fontId="7" fillId="4" borderId="0" xfId="49" applyNumberFormat="1" applyFont="1" applyFill="1" applyAlignment="1">
      <alignment horizontal="center"/>
    </xf>
    <xf numFmtId="183" fontId="7" fillId="4" borderId="1" xfId="49" applyNumberFormat="1" applyFont="1" applyFill="1" applyBorder="1" applyAlignment="1">
      <alignment horizontal="center"/>
    </xf>
    <xf numFmtId="183" fontId="7" fillId="5" borderId="1" xfId="49" applyNumberFormat="1" applyFont="1" applyFill="1" applyBorder="1" applyAlignment="1">
      <alignment horizontal="center"/>
    </xf>
    <xf numFmtId="0" fontId="12" fillId="0" borderId="0" xfId="0" applyFont="1" applyAlignment="1"/>
    <xf numFmtId="0" fontId="3" fillId="0" borderId="0" xfId="0" applyFont="1" applyAlignment="1"/>
    <xf numFmtId="184" fontId="0" fillId="0" borderId="0" xfId="0" applyNumberFormat="1" applyAlignment="1"/>
    <xf numFmtId="184" fontId="0" fillId="3" borderId="0" xfId="0" applyNumberForma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全进度数据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3" Type="http://schemas.openxmlformats.org/officeDocument/2006/relationships/styles" Target="styles.xml"/><Relationship Id="rId52" Type="http://schemas.openxmlformats.org/officeDocument/2006/relationships/sharedStrings" Target="sharedStrings.xml"/><Relationship Id="rId51" Type="http://schemas.openxmlformats.org/officeDocument/2006/relationships/theme" Target="theme/theme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03"/>
  <sheetViews>
    <sheetView workbookViewId="0">
      <selection activeCell="F13" sqref="F13"/>
    </sheetView>
  </sheetViews>
  <sheetFormatPr defaultColWidth="9" defaultRowHeight="16.8" outlineLevelCol="6"/>
  <cols>
    <col min="1" max="1" width="2" style="1" customWidth="1"/>
    <col min="2" max="2" width="14" style="1" customWidth="1"/>
    <col min="3" max="7" width="10" style="1" customWidth="1"/>
  </cols>
  <sheetData>
    <row r="2" spans="1:7">
      <c r="A2" s="50" t="s">
        <v>0</v>
      </c>
    </row>
    <row r="3" spans="1:7">
      <c r="A3" s="2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>
      <c r="B4" s="51" t="s">
        <v>7</v>
      </c>
      <c r="C4" s="52">
        <f>IF(ISBLANK(NKE.N!C18),"",NKE.N!C18)</f>
        <v>9.01122807017544</v>
      </c>
      <c r="D4" s="52">
        <f>IF(ISBLANK(NKE.N!D18),"",NKE.N!D18)</f>
        <v>15.9565082323703</v>
      </c>
      <c r="E4" s="52">
        <f>IF(ISBLANK(NKE.N!E18),"",NKE.N!E18)</f>
        <v>16.5263835263835</v>
      </c>
      <c r="F4" s="53">
        <f>IF(ISBLANK(NKE.N!F18),"",NKE.N!F18)</f>
        <v>27.1193241816262</v>
      </c>
      <c r="G4" s="53">
        <f>IF(ISBLANK(NKE.N!G18),"",NKE.N!G18)</f>
        <v>22.9405984814649</v>
      </c>
    </row>
    <row r="5" spans="1:7">
      <c r="B5" s="51" t="s">
        <v>8</v>
      </c>
      <c r="C5" s="52" t="str">
        <f>IF(ISBLANK(ADDY!C18),"",ADDY!C18)</f>
        <v/>
      </c>
      <c r="D5" s="52">
        <f>IF(ISBLANK(ADDY!D18),"",ADDY!D18)</f>
        <v>34.57722513089</v>
      </c>
      <c r="E5" s="52">
        <f>IF(ISBLANK(ADDY!E18),"",ADDY!E18)</f>
        <v>19.7141791044776</v>
      </c>
      <c r="F5" s="53">
        <f>IF(ISBLANK(ADDY!F18),"",ADDY!F18)</f>
        <v>16.4284825870647</v>
      </c>
      <c r="G5" s="53">
        <f>IF(ISBLANK(ADDY!G18),"",ADDY!G18)</f>
        <v>13.0777227722772</v>
      </c>
    </row>
    <row r="6" spans="1:7">
      <c r="B6" s="51" t="s">
        <v>9</v>
      </c>
      <c r="C6" s="52">
        <f>IF(ISBLANK(ZGN.N!C18),"",ZGN.N!C18)</f>
        <v>24.8852459016393</v>
      </c>
      <c r="D6" s="52">
        <f>IF(ISBLANK(ZGN.N!D18),"",ZGN.N!D18)</f>
        <v>39.4285714285714</v>
      </c>
      <c r="E6" s="52">
        <f>IF(ISBLANK(ZGN.N!E18),"",ZGN.N!E18)</f>
        <v>31.9578947368421</v>
      </c>
      <c r="F6" s="53">
        <f>IF(ISBLANK(ZGN.N!F18),"",ZGN.N!F18)</f>
        <v>28.9142857142857</v>
      </c>
      <c r="G6" s="53">
        <f>IF(ISBLANK(ZGN.N!G18),"",ZGN.N!G18)</f>
        <v>21.3802816901408</v>
      </c>
    </row>
    <row r="7" spans="1:7">
      <c r="B7" s="51" t="s">
        <v>10</v>
      </c>
      <c r="C7" s="52" t="str">
        <f>IF(ISBLANK(WWW.N!C18),"",WWW.N!C18)</f>
        <v/>
      </c>
      <c r="D7" s="52">
        <f>IF(ISBLANK(WWW.N!D18),"",WWW.N!D18)</f>
        <v>33.1875</v>
      </c>
      <c r="E7" s="52">
        <f>IF(ISBLANK(WWW.N!E18),"",WWW.N!E18)</f>
        <v>16.59375</v>
      </c>
      <c r="F7" s="53">
        <f>IF(ISBLANK(WWW.N!F18),"",WWW.N!F18)</f>
        <v>11.8</v>
      </c>
      <c r="G7" s="53">
        <f>IF(ISBLANK(WWW.N!G18),"",WWW.N!G18)</f>
        <v>10.4802631578947</v>
      </c>
    </row>
    <row r="8" spans="1:7">
      <c r="B8" s="51" t="s">
        <v>11</v>
      </c>
      <c r="C8" s="52">
        <f>IF(ISBLANK(UAA.N!C18),"",UAA.N!C18)</f>
        <v>9.06465517241379</v>
      </c>
      <c r="D8" s="52" t="str">
        <f>IF(ISBLANK(UAA.N!D18),"",UAA.N!D18)</f>
        <v/>
      </c>
      <c r="E8" s="52" t="str">
        <f>IF(ISBLANK(UAA.N!E18),"",UAA.N!E18)</f>
        <v/>
      </c>
      <c r="F8" s="53">
        <f>IF(ISBLANK(UAA.N!F18),"",UAA.N!F18)</f>
        <v>45.7173913043478</v>
      </c>
      <c r="G8" s="53">
        <f>IF(ISBLANK(UAA.N!G18),"",UAA.N!G18)</f>
        <v>25.962962962963</v>
      </c>
    </row>
    <row r="9" spans="1:7">
      <c r="B9" s="51" t="s">
        <v>12</v>
      </c>
      <c r="C9" s="52">
        <f>IF(ISBLANK(SHOO.O!C18),"",SHOO.O!C18)</f>
        <v>18.8255813953488</v>
      </c>
      <c r="D9" s="52">
        <f>IF(ISBLANK(SHOO.O!D18),"",SHOO.O!D18)</f>
        <v>19.1597633136095</v>
      </c>
      <c r="E9" s="52">
        <f>IF(ISBLANK(SHOO.O!E18),"",SHOO.O!E18)</f>
        <v>71.9555555555555</v>
      </c>
      <c r="F9" s="53">
        <f>IF(ISBLANK(SHOO.O!F18),"",SHOO.O!F18)</f>
        <v>20.111801242236</v>
      </c>
      <c r="G9" s="53">
        <f>IF(ISBLANK(SHOO.O!G18),"",SHOO.O!G18)</f>
        <v>16.029702970297</v>
      </c>
    </row>
    <row r="10" spans="1:7">
      <c r="B10" s="51" t="s">
        <v>13</v>
      </c>
      <c r="C10" s="52">
        <f>IF(ISBLANK(RL.N!C18),"",RL.N!C18)</f>
        <v>35.0588235294118</v>
      </c>
      <c r="D10" s="52">
        <f>IF(ISBLANK(RL.N!D18),"",RL.N!D18)</f>
        <v>30.4818304172275</v>
      </c>
      <c r="E10" s="52">
        <f>IF(ISBLANK(RL.N!E18),"",RL.N!E18)</f>
        <v>24.0680127523911</v>
      </c>
      <c r="F10" s="53">
        <f>IF(ISBLANK(RL.N!F18),"",RL.N!F18)</f>
        <v>19.6256499133449</v>
      </c>
      <c r="G10" s="53">
        <f>IF(ISBLANK(RL.N!G18),"",RL.N!G18)</f>
        <v>17.67993754879</v>
      </c>
    </row>
    <row r="11" spans="1:7">
      <c r="B11" s="51" t="s">
        <v>14</v>
      </c>
      <c r="C11" s="52">
        <f>IF(ISBLANK(PUM.DF!C18),"",PUM.DF!C18)</f>
        <v>11.0950819672131</v>
      </c>
      <c r="D11" s="52">
        <f>IF(ISBLANK(PUM.DF!D18),"",PUM.DF!D18)</f>
        <v>12</v>
      </c>
      <c r="E11" s="52" t="str">
        <f>IF(ISBLANK(PUM.DF!E18),"",PUM.DF!E18)</f>
        <v/>
      </c>
      <c r="F11" s="53" t="str">
        <f>IF(ISBLANK(PUM.DF!F18),"",PUM.DF!F18)</f>
        <v/>
      </c>
      <c r="G11" s="53">
        <f>IF(ISBLANK(PUM.DF!G18),"",PUM.DF!G18)</f>
        <v>91.4594594594595</v>
      </c>
    </row>
    <row r="12" spans="1:7">
      <c r="B12" s="51" t="s">
        <v>15</v>
      </c>
      <c r="C12" s="52">
        <f>IF(ISBLANK(ONON.N!C18),"",ONON.N!C18)</f>
        <v>121.5875</v>
      </c>
      <c r="D12" s="52">
        <f>IF(ISBLANK(ONON.N!D18),"",ONON.N!D18)</f>
        <v>40.1942148760331</v>
      </c>
      <c r="E12" s="52">
        <f>IF(ISBLANK(ONON.N!E18),"",ONON.N!E18)</f>
        <v>47.6813725490196</v>
      </c>
      <c r="F12" s="53">
        <f>IF(ISBLANK(ONON.N!F18),"",ONON.N!F18)</f>
        <v>20.3493723849372</v>
      </c>
      <c r="G12" s="53">
        <f>IF(ISBLANK(ONON.N!G18),"",ONON.N!G18)</f>
        <v>17.2464539007092</v>
      </c>
    </row>
    <row r="13" spans="1:7">
      <c r="B13" s="51" t="s">
        <v>16</v>
      </c>
      <c r="C13" s="52" t="str">
        <f>IF(ISBLANK(NWL.O!C18),"",NWL.O!C18)</f>
        <v/>
      </c>
      <c r="D13" s="52" t="str">
        <f>IF(ISBLANK(NWL.O!D18),"",NWL.O!D18)</f>
        <v/>
      </c>
      <c r="E13" s="52" t="str">
        <f>IF(ISBLANK(NWL.O!E18),"",NWL.O!E18)</f>
        <v/>
      </c>
      <c r="F13" s="53">
        <f>IF(ISBLANK(NWL.O!F18),"",NWL.O!F18)</f>
        <v>7.42105263157895</v>
      </c>
      <c r="G13" s="53">
        <f>IF(ISBLANK(NWL.O!G18),"",NWL.O!G18)</f>
        <v>8.23711340206185</v>
      </c>
    </row>
    <row r="14" spans="1:7">
      <c r="B14" s="51" t="s">
        <v>17</v>
      </c>
      <c r="C14" s="52">
        <f>IF(ISBLANK(LULU.O!C18),"",LULU.O!C18)</f>
        <v>6.92322580645161</v>
      </c>
      <c r="D14" s="52">
        <f>IF(ISBLANK(LULU.O!D18),"",LULU.O!D18)</f>
        <v>5.91239669421488</v>
      </c>
      <c r="E14" s="52">
        <f>IF(ISBLANK(LULU.O!E18),"",LULU.O!E18)</f>
        <v>6.79607346421786</v>
      </c>
      <c r="F14" s="53">
        <f>IF(ISBLANK(LULU.O!F18),"",LULU.O!F18)</f>
        <v>9.86305147058824</v>
      </c>
      <c r="G14" s="53">
        <f>IF(ISBLANK(LULU.O!G18),"",LULU.O!G18)</f>
        <v>11.2248953974895</v>
      </c>
    </row>
    <row r="15" spans="1:7">
      <c r="B15" s="51" t="s">
        <v>18</v>
      </c>
      <c r="C15" s="52">
        <f>IF(ISBLANK(LEVI.N!C18),"",LEVI.N!C18)</f>
        <v>29.268</v>
      </c>
      <c r="D15" s="52">
        <f>IF(ISBLANK(LEVI.N!D18),"",LEVI.N!D18)</f>
        <v>34.6777251184834</v>
      </c>
      <c r="E15" s="52">
        <f>IF(ISBLANK(LEVI.N!E18),"",LEVI.N!E18)</f>
        <v>12.659169550173</v>
      </c>
      <c r="F15" s="53">
        <f>IF(ISBLANK(LEVI.N!F18),"",LEVI.N!F18)</f>
        <v>11.9558823529412</v>
      </c>
      <c r="G15" s="53">
        <f>IF(ISBLANK(LEVI.N!G18),"",LEVI.N!G18)</f>
        <v>11.1880733944954</v>
      </c>
    </row>
    <row r="16" spans="1:7">
      <c r="B16" s="51" t="s">
        <v>19</v>
      </c>
      <c r="C16" s="52">
        <f>IF(ISBLANK(KTB.N!C18),"",KTB.N!C18)</f>
        <v>15.7012987012987</v>
      </c>
      <c r="D16" s="52">
        <f>IF(ISBLANK(KTB.N!D18),"",KTB.N!D18)</f>
        <v>14.7439024390244</v>
      </c>
      <c r="E16" s="52">
        <f>IF(ISBLANK(KTB.N!E18),"",KTB.N!E18)</f>
        <v>15.9779735682819</v>
      </c>
      <c r="F16" s="53">
        <f>IF(ISBLANK(KTB.N!F18),"",KTB.N!F18)</f>
        <v>12.4212328767123</v>
      </c>
      <c r="G16" s="53">
        <f>IF(ISBLANK(KTB.N!G18),"",KTB.N!G18)</f>
        <v>9.96428571428571</v>
      </c>
    </row>
    <row r="17" spans="2:7">
      <c r="B17" s="51" t="s">
        <v>20</v>
      </c>
      <c r="C17" s="52">
        <f>IF(ISBLANK(GIL.N!C18),"",GIL.N!C18)</f>
        <v>12.0262172284644</v>
      </c>
      <c r="D17" s="52">
        <f>IF(ISBLANK(GIL.N!D18),"",GIL.N!D18)</f>
        <v>16.0149625935162</v>
      </c>
      <c r="E17" s="52">
        <f>IF(ISBLANK(GIL.N!E18),"",GIL.N!E18)</f>
        <v>15.8177339901478</v>
      </c>
      <c r="F17" s="53">
        <f>IF(ISBLANK(GIL.N!F18),"",GIL.N!F18)</f>
        <v>9.08345120226308</v>
      </c>
      <c r="G17" s="53">
        <f>IF(ISBLANK(GIL.N!G18),"",GIL.N!G18)</f>
        <v>7.69101796407186</v>
      </c>
    </row>
    <row r="18" spans="2:7">
      <c r="B18" s="51" t="s">
        <v>21</v>
      </c>
      <c r="C18" s="52">
        <f>IF(ISBLANK(GAP.N!C18),"",GAP.N!C18)</f>
        <v>16.6573705179283</v>
      </c>
      <c r="D18" s="52">
        <f>IF(ISBLANK(GAP.N!D18),"",GAP.N!D18)</f>
        <v>9.90758293838863</v>
      </c>
      <c r="E18" s="52">
        <f>IF(ISBLANK(GAP.N!E18),"",GAP.N!E18)</f>
        <v>10.2475490196078</v>
      </c>
      <c r="F18" s="53">
        <f>IF(ISBLANK(GAP.N!F18),"",GAP.N!F18)</f>
        <v>9.64475201845444</v>
      </c>
      <c r="G18" s="53">
        <f>IF(ISBLANK(GAP.N!G18),"",GAP.N!G18)</f>
        <v>8.78361344537815</v>
      </c>
    </row>
    <row r="19" spans="2:7">
      <c r="B19" s="51" t="s">
        <v>22</v>
      </c>
      <c r="C19" s="52">
        <f>IF(ISBLANK(DECK.N!C18),"",DECK.N!C18)</f>
        <v>14.8526315789474</v>
      </c>
      <c r="D19" s="52">
        <f>IF(ISBLANK(DECK.N!D18),"",DECK.N!D18)</f>
        <v>11.6853002070393</v>
      </c>
      <c r="E19" s="52">
        <f>IF(ISBLANK(DECK.N!E18),"",DECK.N!E18)</f>
        <v>11.0234375</v>
      </c>
      <c r="F19" s="53">
        <f>IF(ISBLANK(DECK.N!F18),"",DECK.N!F18)</f>
        <v>11.0019493177388</v>
      </c>
      <c r="G19" s="53">
        <f>IF(ISBLANK(DECK.N!G18),"",DECK.N!G18)</f>
        <v>9.93661971830986</v>
      </c>
    </row>
    <row r="20" spans="2:7">
      <c r="B20" s="51" t="s">
        <v>23</v>
      </c>
      <c r="C20" s="52">
        <f>IF(ISBLANK(CROX.O!C18),"",CROX.O!C18)</f>
        <v>6.95208070617907</v>
      </c>
      <c r="D20" s="52">
        <f>IF(ISBLANK(CROX.O!D18),"",CROX.O!D18)</f>
        <v>5.80315789473684</v>
      </c>
      <c r="E20" s="52" t="str">
        <f>IF(ISBLANK(CROX.O!E18),"",CROX.O!E18)</f>
        <v/>
      </c>
      <c r="F20" s="53">
        <f>IF(ISBLANK(CROX.O!F18),"",CROX.O!F18)</f>
        <v>8.2406576980568</v>
      </c>
      <c r="G20" s="53">
        <f>IF(ISBLANK(CROX.O!G18),"",CROX.O!G18)</f>
        <v>7.68898186889819</v>
      </c>
    </row>
    <row r="21" spans="2:7">
      <c r="B21" s="51" t="s">
        <v>24</v>
      </c>
      <c r="C21" s="52">
        <f>IF(ISBLANK(COLM.O!C18),"",COLM.O!C18)</f>
        <v>11.6215139442231</v>
      </c>
      <c r="D21" s="52">
        <f>IF(ISBLANK(COLM.O!D18),"",COLM.O!D18)</f>
        <v>13.0807174887892</v>
      </c>
      <c r="E21" s="52">
        <f>IF(ISBLANK(COLM.O!E18),"",COLM.O!E18)</f>
        <v>16.4802259887006</v>
      </c>
      <c r="F21" s="53">
        <f>IF(ISBLANK(COLM.O!F18),"",COLM.O!F18)</f>
        <v>12.519313304721</v>
      </c>
      <c r="G21" s="53">
        <f>IF(ISBLANK(COLM.O!G18),"",COLM.O!G18)</f>
        <v>13.6308411214953</v>
      </c>
    </row>
    <row r="22" spans="2:7">
      <c r="B22" s="51" t="s">
        <v>25</v>
      </c>
      <c r="C22" s="52" t="str">
        <f>IF(ISBLANK(BZUN.O!C18),"",BZUN.O!C18)</f>
        <v/>
      </c>
      <c r="D22" s="52" t="str">
        <f>IF(ISBLANK(BZUN.O!D18),"",BZUN.O!D18)</f>
        <v/>
      </c>
      <c r="E22" s="52" t="str">
        <f>IF(ISBLANK(BZUN.O!E18),"",BZUN.O!E18)</f>
        <v/>
      </c>
      <c r="F22" s="53">
        <f>IF(ISBLANK(BZUN.O!F18),"",BZUN.O!F18)</f>
        <v>6.85106382978723</v>
      </c>
      <c r="G22" s="53">
        <f>IF(ISBLANK(BZUN.O!G18),"",BZUN.O!G18)</f>
        <v>3.87951807228916</v>
      </c>
    </row>
    <row r="23" spans="2:7">
      <c r="B23" s="51" t="s">
        <v>26</v>
      </c>
      <c r="C23" s="52" t="str">
        <f>IF(ISBLANK(AS.N!C18),"",AS.N!C18)</f>
        <v/>
      </c>
      <c r="D23" s="52">
        <f>IF(ISBLANK(AS.N!D18),"",AS.N!D18)</f>
        <v>222.917808219178</v>
      </c>
      <c r="E23" s="52">
        <f>IF(ISBLANK(AS.N!E18),"",AS.N!E18)</f>
        <v>38.1100702576112</v>
      </c>
      <c r="F23" s="53">
        <f>IF(ISBLANK(AS.N!F18),"",AS.N!F18)</f>
        <v>21.6973333333333</v>
      </c>
      <c r="G23" s="53">
        <f>IF(ISBLANK(AS.N!G18),"",AS.N!G18)</f>
        <v>17.2019027484144</v>
      </c>
    </row>
    <row r="24" spans="2:7">
      <c r="B24" s="51" t="s">
        <v>27</v>
      </c>
      <c r="C24" s="52">
        <f>IF(ISBLANK(ANF.N!C18),"",ANF.N!C18)</f>
        <v>19.3170731707317</v>
      </c>
      <c r="D24" s="52">
        <f>IF(ISBLANK(ANF.N!D18),"",ANF.N!D18)</f>
        <v>11.1943462897526</v>
      </c>
      <c r="E24" s="52">
        <f>IF(ISBLANK(ANF.N!E18),"",ANF.N!E18)</f>
        <v>12.4970414201183</v>
      </c>
      <c r="F24" s="53">
        <f>IF(ISBLANK(ANF.N!F18),"",ANF.N!F18)</f>
        <v>11.0769230769231</v>
      </c>
      <c r="G24" s="53">
        <f>IF(ISBLANK(ANF.N!G18),"",ANF.N!G18)</f>
        <v>11.0191304347826</v>
      </c>
    </row>
    <row r="25" spans="2:7">
      <c r="B25" s="51" t="s">
        <v>28</v>
      </c>
      <c r="C25" s="52">
        <f>IF(ISBLANK(VSCO.N!C18),"",VSCO.N!C18)</f>
        <v>66.6788990825688</v>
      </c>
      <c r="D25" s="52">
        <f>IF(ISBLANK(VSCO.N!D18),"",VSCO.N!D18)</f>
        <v>44.0484848484848</v>
      </c>
      <c r="E25" s="52">
        <f>IF(ISBLANK(VSCO.N!E18),"",VSCO.N!E18)</f>
        <v>45.1428571428571</v>
      </c>
      <c r="F25" s="53">
        <f>IF(ISBLANK(VSCO.N!F18),"",VSCO.N!F18)</f>
        <v>19.5902964959569</v>
      </c>
      <c r="G25" s="53">
        <f>IF(ISBLANK(VSCO.N!G18),"",VSCO.N!G18)</f>
        <v>16.3325842696629</v>
      </c>
    </row>
    <row r="26" spans="2:7">
      <c r="B26" s="51" t="s">
        <v>29</v>
      </c>
      <c r="C26" s="52">
        <f>IF(ISBLANK('9983.T'!C18),"",'9983.T'!C18)</f>
        <v>59.2092102398125</v>
      </c>
      <c r="D26" s="52">
        <f>IF(ISBLANK('9983.T'!D18),"",'9983.T'!D18)</f>
        <v>50.8667648940322</v>
      </c>
      <c r="E26" s="52">
        <f>IF(ISBLANK('9983.T'!E18),"",'9983.T'!E18)</f>
        <v>40.5992199322786</v>
      </c>
      <c r="F26" s="53">
        <f>IF(ISBLANK('9983.T'!F18),"",'9983.T'!F18)</f>
        <v>38.1963405624942</v>
      </c>
      <c r="G26" s="53">
        <f>IF(ISBLANK('9983.T'!G18),"",'9983.T'!G18)</f>
        <v>33.8629769478413</v>
      </c>
    </row>
    <row r="27" spans="2:7">
      <c r="B27" s="51" t="s">
        <v>30</v>
      </c>
      <c r="C27" s="52">
        <f>IF(ISBLANK('8111.T'!C18),"",'8111.T'!C18)</f>
        <v>12.2062106173551</v>
      </c>
      <c r="D27" s="52">
        <f>IF(ISBLANK('8111.T'!D18),"",'8111.T'!D18)</f>
        <v>12.1248159057437</v>
      </c>
      <c r="E27" s="52">
        <f>IF(ISBLANK('8111.T'!E18),"",'8111.T'!E18)</f>
        <v>12.3009462936831</v>
      </c>
      <c r="F27" s="53">
        <f>IF(ISBLANK('8111.T'!F18),"",'8111.T'!F18)</f>
        <v>12.4528991596639</v>
      </c>
      <c r="G27" s="53">
        <f>IF(ISBLANK('8111.T'!G18),"",'8111.T'!G18)</f>
        <v>11.6432527990572</v>
      </c>
    </row>
    <row r="28" spans="2:7">
      <c r="B28" s="51" t="s">
        <v>31</v>
      </c>
      <c r="C28" s="52">
        <f>IF(ISBLANK('7936.T'!C18),"",'7936.T'!C18)</f>
        <v>89.9203617600363</v>
      </c>
      <c r="D28" s="52">
        <f>IF(ISBLANK('7936.T'!D18),"",'7936.T'!D18)</f>
        <v>49.7080368617371</v>
      </c>
      <c r="E28" s="52">
        <f>IF(ISBLANK('7936.T'!E18),"",'7936.T'!E18)</f>
        <v>32.1279477309562</v>
      </c>
      <c r="F28" s="53">
        <f>IF(ISBLANK('7936.T'!F18),"",'7936.T'!F18)</f>
        <v>24.9258982741819</v>
      </c>
      <c r="G28" s="53">
        <f>IF(ISBLANK('7936.T'!G18),"",'7936.T'!G18)</f>
        <v>21.1560386344535</v>
      </c>
    </row>
    <row r="29" spans="2:7">
      <c r="B29" s="51" t="s">
        <v>32</v>
      </c>
      <c r="C29" s="52">
        <f>IF(ISBLANK('3998.HK'!C18),"",'3998.HK'!C18)</f>
        <v>13.9007807417046</v>
      </c>
      <c r="D29" s="52">
        <f>IF(ISBLANK('3998.HK'!D18),"",'3998.HK'!D18)</f>
        <v>12.1602162777462</v>
      </c>
      <c r="E29" s="52">
        <f>IF(ISBLANK('3998.HK'!E18),"",'3998.HK'!E18)</f>
        <v>11.087441619097</v>
      </c>
      <c r="F29" s="53">
        <f>IF(ISBLANK('3998.HK'!F18),"",'3998.HK'!F18)</f>
        <v>9.6306062654947</v>
      </c>
      <c r="G29" s="53">
        <f>IF(ISBLANK('3998.HK'!G18),"",'3998.HK'!G18)</f>
        <v>9.03212851405623</v>
      </c>
    </row>
    <row r="30" spans="2:7">
      <c r="B30" s="51" t="s">
        <v>33</v>
      </c>
      <c r="C30" s="52">
        <f>IF(ISBLANK('2331.HK'!C18),"",'2331.HK'!C18)</f>
        <v>8.71885786005648</v>
      </c>
      <c r="D30" s="52">
        <f>IF(ISBLANK('2331.HK'!D18),"",'2331.HK'!D18)</f>
        <v>9.22236973116495</v>
      </c>
      <c r="E30" s="52">
        <f>IF(ISBLANK('2331.HK'!E18),"",'2331.HK'!E18)</f>
        <v>9.46423705722071</v>
      </c>
      <c r="F30" s="53">
        <f>IF(ISBLANK('2331.HK'!F18),"",'2331.HK'!F18)</f>
        <v>10.9873467773824</v>
      </c>
      <c r="G30" s="53">
        <f>IF(ISBLANK('2331.HK'!G18),"",'2331.HK'!G18)</f>
        <v>9.59827288428325</v>
      </c>
    </row>
    <row r="31" spans="2:7">
      <c r="B31" s="51" t="s">
        <v>34</v>
      </c>
      <c r="C31" s="52">
        <f>IF(ISBLANK('2020.HK'!C18),"",'2020.HK'!C18)</f>
        <v>16.3838413442751</v>
      </c>
      <c r="D31" s="52">
        <f>IF(ISBLANK('2020.HK'!D18),"",'2020.HK'!D18)</f>
        <v>10.7530777122339</v>
      </c>
      <c r="E31" s="52">
        <f>IF(ISBLANK('2020.HK'!E18),"",'2020.HK'!E18)</f>
        <v>12.3421401236385</v>
      </c>
      <c r="F31" s="53">
        <f>IF(ISBLANK('2020.HK'!F18),"",'2020.HK'!F18)</f>
        <v>10.5249780343919</v>
      </c>
      <c r="G31" s="53">
        <f>IF(ISBLANK('2020.HK'!G18),"",'2020.HK'!G18)</f>
        <v>9.95636428401805</v>
      </c>
    </row>
    <row r="32" spans="2:7">
      <c r="B32" s="51" t="s">
        <v>35</v>
      </c>
      <c r="C32" s="52">
        <f>IF(ISBLANK('1836.HK'!C18),"",'1836.HK'!C18)</f>
        <v>9.37588652482269</v>
      </c>
      <c r="D32" s="52">
        <f>IF(ISBLANK('1836.HK'!D18),"",'1836.HK'!D18)</f>
        <v>7.73099415204678</v>
      </c>
      <c r="E32" s="52">
        <f>IF(ISBLANK('1836.HK'!E18),"",'1836.HK'!E18)</f>
        <v>9.57971014492754</v>
      </c>
      <c r="F32" s="53">
        <f>IF(ISBLANK('1836.HK'!F18),"",'1836.HK'!F18)</f>
        <v>10.6612903225806</v>
      </c>
      <c r="G32" s="53">
        <f>IF(ISBLANK('1836.HK'!G18),"",'1836.HK'!G18)</f>
        <v>9.37588652482269</v>
      </c>
    </row>
    <row r="33" spans="1:7">
      <c r="B33" s="51" t="s">
        <v>36</v>
      </c>
      <c r="C33" s="52">
        <f>IF(ISBLANK('1368.HK'!C18),"",'1368.HK'!C18)</f>
        <v>7.99126213592233</v>
      </c>
      <c r="D33" s="52">
        <f>IF(ISBLANK('1368.HK'!D18),"",'1368.HK'!D18)</f>
        <v>6.6486268174475</v>
      </c>
      <c r="E33" s="52">
        <f>IF(ISBLANK('1368.HK'!E18),"",'1368.HK'!E18)</f>
        <v>5.99927113702624</v>
      </c>
      <c r="F33" s="53">
        <f>IF(ISBLANK('1368.HK'!F18),"",'1368.HK'!F18)</f>
        <v>6.83070539419087</v>
      </c>
      <c r="G33" s="53">
        <f>IF(ISBLANK('1368.HK'!G18),"",'1368.HK'!G18)</f>
        <v>6.03888481291269</v>
      </c>
    </row>
    <row r="34" spans="1:7">
      <c r="B34" s="51" t="s">
        <v>37</v>
      </c>
      <c r="C34" s="52">
        <f>IF(ISBLANK('1361.HK'!C18),"",'1361.HK'!C18)</f>
        <v>8.81373569198751</v>
      </c>
      <c r="D34" s="52">
        <f>IF(ISBLANK('1361.HK'!D18),"",'1361.HK'!D18)</f>
        <v>7.37162750217581</v>
      </c>
      <c r="E34" s="52">
        <f>IF(ISBLANK('1361.HK'!E18),"",'1361.HK'!E18)</f>
        <v>6.47058823529412</v>
      </c>
      <c r="F34" s="53">
        <f>IF(ISBLANK('1361.HK'!F18),"",'1361.HK'!F18)</f>
        <v>5.48575129533679</v>
      </c>
      <c r="G34" s="53">
        <f>IF(ISBLANK('1361.HK'!G18),"",'1361.HK'!G18)</f>
        <v>4.96192149970709</v>
      </c>
    </row>
    <row r="35" spans="1:7">
      <c r="B35" s="51" t="s">
        <v>38</v>
      </c>
      <c r="C35" s="52">
        <f>IF(ISBLANK('002832.SZ'!C18),"",'002832.SZ'!C18)</f>
        <v>16.7639956092206</v>
      </c>
      <c r="D35" s="52">
        <f>IF(ISBLANK('002832.SZ'!D18),"",'002832.SZ'!D18)</f>
        <v>19.5544174135723</v>
      </c>
      <c r="E35" s="52">
        <f>IF(ISBLANK('002832.SZ'!E18),"",'002832.SZ'!E18)</f>
        <v>27.7168784029038</v>
      </c>
      <c r="F35" s="53">
        <f>IF(ISBLANK('002832.SZ'!F18),"",'002832.SZ'!F18)</f>
        <v>20.4171122994652</v>
      </c>
      <c r="G35" s="53">
        <f>IF(ISBLANK('002832.SZ'!G18),"",'002832.SZ'!G18)</f>
        <v>16.5281385281385</v>
      </c>
    </row>
    <row r="37" spans="1:7">
      <c r="A37" s="2" t="s">
        <v>39</v>
      </c>
      <c r="C37" s="4" t="s">
        <v>2</v>
      </c>
      <c r="D37" s="4" t="s">
        <v>3</v>
      </c>
      <c r="E37" s="4" t="s">
        <v>4</v>
      </c>
      <c r="F37" s="4" t="s">
        <v>5</v>
      </c>
      <c r="G37" s="4" t="s">
        <v>6</v>
      </c>
    </row>
    <row r="38" spans="1:7">
      <c r="B38" s="51" t="s">
        <v>7</v>
      </c>
      <c r="C38" s="52">
        <f>IF(ISBLANK(NKE.N!C19),"",NKE.N!C19)</f>
        <v>1.00003893929364</v>
      </c>
      <c r="D38" s="52">
        <f>IF(ISBLANK(NKE.N!D19),"",NKE.N!D19)</f>
        <v>1.10915804703189</v>
      </c>
      <c r="E38" s="52">
        <f>IF(ISBLANK(NKE.N!E19),"",NKE.N!E19)</f>
        <v>1.10703047545153</v>
      </c>
      <c r="F38" s="53">
        <f>IF(ISBLANK(NKE.N!F19),"",NKE.N!F19)</f>
        <v>1.19668235403756</v>
      </c>
      <c r="G38" s="53">
        <f>IF(ISBLANK(NKE.N!G19),"",NKE.N!G19)</f>
        <v>1.19151897559618</v>
      </c>
    </row>
    <row r="39" spans="1:7">
      <c r="B39" s="51" t="s">
        <v>8</v>
      </c>
      <c r="C39" s="52">
        <f>IF(ISBLANK(ADDY!C19),"",ADDY!C19)</f>
        <v>1.23288374480795</v>
      </c>
      <c r="D39" s="52">
        <f>IF(ISBLANK(ADDY!D19),"",ADDY!D19)</f>
        <v>1.11544145589663</v>
      </c>
      <c r="E39" s="52">
        <f>IF(ISBLANK(ADDY!E19),"",ADDY!E19)</f>
        <v>1.0647293539156</v>
      </c>
      <c r="F39" s="53">
        <f>IF(ISBLANK(ADDY!F19),"",ADDY!F19)</f>
        <v>0.980622888748654</v>
      </c>
      <c r="G39" s="53">
        <f>IF(ISBLANK(ADDY!G19),"",ADDY!G19)</f>
        <v>0.914526067991415</v>
      </c>
    </row>
    <row r="40" spans="1:7">
      <c r="B40" s="51" t="s">
        <v>9</v>
      </c>
      <c r="C40" s="52">
        <f>IF(ISBLANK(ZGN.N!C19),"",ZGN.N!C19)</f>
        <v>1.59370078740157</v>
      </c>
      <c r="D40" s="52">
        <f>IF(ISBLANK(ZGN.N!D19),"",ZGN.N!D19)</f>
        <v>1.55932203389831</v>
      </c>
      <c r="E40" s="52">
        <f>IF(ISBLANK(ZGN.N!E19),"",ZGN.N!E19)</f>
        <v>1.64910374796306</v>
      </c>
      <c r="F40" s="53">
        <f>IF(ISBLANK(ZGN.N!F19),"",ZGN.N!F19)</f>
        <v>1.51345962113659</v>
      </c>
      <c r="G40" s="53">
        <f>IF(ISBLANK(ZGN.N!G19),"",ZGN.N!G19)</f>
        <v>1.39522058823529</v>
      </c>
    </row>
    <row r="41" spans="1:7">
      <c r="B41" s="51" t="s">
        <v>10</v>
      </c>
      <c r="C41" s="52">
        <f>IF(ISBLANK(WWW.N!C19),"",WWW.N!C19)</f>
        <v>0.71020954079358</v>
      </c>
      <c r="D41" s="52">
        <f>IF(ISBLANK(WWW.N!D19),"",WWW.N!D19)</f>
        <v>0.907692307692308</v>
      </c>
      <c r="E41" s="52">
        <f>IF(ISBLANK(WWW.N!E19),"",WWW.N!E19)</f>
        <v>0.850053361792956</v>
      </c>
      <c r="F41" s="53">
        <f>IF(ISBLANK(WWW.N!F19),"",WWW.N!F19)</f>
        <v>0.796101949025487</v>
      </c>
      <c r="G41" s="53">
        <f>IF(ISBLANK(WWW.N!G19),"",WWW.N!G19)</f>
        <v>0.753547776726585</v>
      </c>
    </row>
    <row r="42" spans="1:7">
      <c r="B42" s="51" t="s">
        <v>11</v>
      </c>
      <c r="C42" s="52">
        <f>IF(ISBLANK(UAA.N!C19),"",UAA.N!C19)</f>
        <v>0.368817958611014</v>
      </c>
      <c r="D42" s="52">
        <f>IF(ISBLANK(UAA.N!D19),"",UAA.N!D19)</f>
        <v>0.407084785133566</v>
      </c>
      <c r="E42" s="52">
        <f>IF(ISBLANK(UAA.N!E19),"",UAA.N!E19)</f>
        <v>0.423479661699557</v>
      </c>
      <c r="F42" s="53">
        <f>IF(ISBLANK(UAA.N!F19),"",UAA.N!F19)</f>
        <v>0.444796954314721</v>
      </c>
      <c r="G42" s="53">
        <f>IF(ISBLANK(UAA.N!G19),"",UAA.N!G19)</f>
        <v>0.436669435215947</v>
      </c>
    </row>
    <row r="43" spans="1:7">
      <c r="B43" s="51" t="s">
        <v>12</v>
      </c>
      <c r="C43" s="52">
        <f>IF(ISBLANK(SHOO.O!C19),"",SHOO.O!C19)</f>
        <v>1.63370332996973</v>
      </c>
      <c r="D43" s="52">
        <f>IF(ISBLANK(SHOO.O!D19),"",SHOO.O!D19)</f>
        <v>1.41830924222514</v>
      </c>
      <c r="E43" s="52">
        <f>IF(ISBLANK(SHOO.O!E19),"",SHOO.O!E19)</f>
        <v>1.28390166534496</v>
      </c>
      <c r="F43" s="53">
        <f>IF(ISBLANK(SHOO.O!F19),"",SHOO.O!F19)</f>
        <v>1.12665274878219</v>
      </c>
      <c r="G43" s="53">
        <f>IF(ISBLANK(SHOO.O!G19),"",SHOO.O!G19)</f>
        <v>1.04755742478162</v>
      </c>
    </row>
    <row r="44" spans="1:7">
      <c r="B44" s="51" t="s">
        <v>13</v>
      </c>
      <c r="C44" s="52">
        <f>IF(ISBLANK(RL.N!C19),"",RL.N!C19)</f>
        <v>3.41547277936963</v>
      </c>
      <c r="D44" s="52">
        <f>IF(ISBLANK(RL.N!D19),"",RL.N!D19)</f>
        <v>3.19932193812685</v>
      </c>
      <c r="E44" s="52">
        <f>IF(ISBLANK(RL.N!E19),"",RL.N!E19)</f>
        <v>2.79122504313532</v>
      </c>
      <c r="F44" s="53">
        <f>IF(ISBLANK(RL.N!F19),"",RL.N!F19)</f>
        <v>2.60711407850812</v>
      </c>
      <c r="G44" s="53">
        <f>IF(ISBLANK(RL.N!G19),"",RL.N!G19)</f>
        <v>2.47600306111293</v>
      </c>
    </row>
    <row r="45" spans="1:7">
      <c r="B45" s="51" t="s">
        <v>14</v>
      </c>
      <c r="C45" s="52">
        <f>IF(ISBLANK(PUM.DF!C19),"",PUM.DF!C19)</f>
        <v>0.393396884445478</v>
      </c>
      <c r="D45" s="52">
        <f>IF(ISBLANK(PUM.DF!D19),"",PUM.DF!D19)</f>
        <v>0.383804014971079</v>
      </c>
      <c r="E45" s="52">
        <f>IF(ISBLANK(PUM.DF!E19),"",PUM.DF!E19)</f>
        <v>0.463815789473684</v>
      </c>
      <c r="F45" s="53">
        <f>IF(ISBLANK(PUM.DF!F19),"",PUM.DF!F19)</f>
        <v>0.489654174504413</v>
      </c>
      <c r="G45" s="53">
        <f>IF(ISBLANK(PUM.DF!G19),"",PUM.DF!G19)</f>
        <v>0.465282551904304</v>
      </c>
    </row>
    <row r="46" spans="1:7">
      <c r="B46" s="51" t="s">
        <v>15</v>
      </c>
      <c r="C46" s="52">
        <f>IF(ISBLANK(ONON.N!C19),"",ONON.N!C19)</f>
        <v>5.42801339285714</v>
      </c>
      <c r="D46" s="52">
        <f>IF(ISBLANK(ONON.N!D19),"",ONON.N!D19)</f>
        <v>4.1962899050906</v>
      </c>
      <c r="E46" s="52">
        <f>IF(ISBLANK(ONON.N!E19),"",ONON.N!E19)</f>
        <v>3.22727272727273</v>
      </c>
      <c r="F46" s="53">
        <f>IF(ISBLANK(ONON.N!F19),"",ONON.N!F19)</f>
        <v>2.7688585254768</v>
      </c>
      <c r="G46" s="53">
        <f>IF(ISBLANK(ONON.N!G19),"",ONON.N!G19)</f>
        <v>2.32703349282297</v>
      </c>
    </row>
    <row r="47" spans="1:7">
      <c r="B47" s="51" t="s">
        <v>16</v>
      </c>
      <c r="C47" s="52">
        <f>IF(ISBLANK(NWL.O!C19),"",NWL.O!C19)</f>
        <v>0.294725193655478</v>
      </c>
      <c r="D47" s="52">
        <f>IF(ISBLANK(NWL.O!D19),"",NWL.O!D19)</f>
        <v>0.316143497757848</v>
      </c>
      <c r="E47" s="52">
        <f>IF(ISBLANK(NWL.O!E19),"",NWL.O!E19)</f>
        <v>0.332731815657968</v>
      </c>
      <c r="F47" s="53">
        <f>IF(ISBLANK(NWL.O!F19),"",NWL.O!F19)</f>
        <v>0.327012278308322</v>
      </c>
      <c r="G47" s="53">
        <f>IF(ISBLANK(NWL.O!G19),"",NWL.O!G19)</f>
        <v>0.322264049475666</v>
      </c>
    </row>
    <row r="48" spans="1:7">
      <c r="B48" s="51" t="s">
        <v>17</v>
      </c>
      <c r="C48" s="52">
        <f>IF(ISBLANK(LULU.O!C19),"",LULU.O!C19)</f>
        <v>1.11560453269571</v>
      </c>
      <c r="D48" s="52">
        <f>IF(ISBLANK(LULU.O!D19),"",LULU.O!D19)</f>
        <v>1.01350585568568</v>
      </c>
      <c r="E48" s="52">
        <f>IF(ISBLANK(LULU.O!E19),"",LULU.O!E19)</f>
        <v>0.966495541745474</v>
      </c>
      <c r="F48" s="53">
        <f>IF(ISBLANK(LULU.O!F19),"",LULU.O!F19)</f>
        <v>1.02561406862277</v>
      </c>
      <c r="G48" s="53">
        <f>IF(ISBLANK(LULU.O!G19),"",LULU.O!G19)</f>
        <v>1.04113709129718</v>
      </c>
    </row>
    <row r="49" spans="2:7">
      <c r="B49" s="51" t="s">
        <v>18</v>
      </c>
      <c r="C49" s="52">
        <f>IF(ISBLANK(LEVI.N!C19),"",LEVI.N!C19)</f>
        <v>1.18417219614824</v>
      </c>
      <c r="D49" s="52">
        <f>IF(ISBLANK(LEVI.N!D19),"",LEVI.N!D19)</f>
        <v>1.1513768686074</v>
      </c>
      <c r="E49" s="52">
        <f>IF(ISBLANK(LEVI.N!E19),"",LEVI.N!E19)</f>
        <v>1.1647564469914</v>
      </c>
      <c r="F49" s="53">
        <f>IF(ISBLANK(LEVI.N!F19),"",LEVI.N!F19)</f>
        <v>1.08560830860534</v>
      </c>
      <c r="G49" s="53">
        <f>IF(ISBLANK(LEVI.N!G19),"",LEVI.N!G19)</f>
        <v>1.03919897741798</v>
      </c>
    </row>
    <row r="50" spans="2:7">
      <c r="B50" s="51" t="s">
        <v>19</v>
      </c>
      <c r="C50" s="52">
        <f>IF(ISBLANK(KTB.N!C19),"",KTB.N!C19)</f>
        <v>1.39125431530495</v>
      </c>
      <c r="D50" s="52">
        <f>IF(ISBLANK(KTB.N!D19),"",KTB.N!D19)</f>
        <v>1.39072085889571</v>
      </c>
      <c r="E50" s="52">
        <f>IF(ISBLANK(KTB.N!E19),"",KTB.N!E19)</f>
        <v>1.14996829422955</v>
      </c>
      <c r="F50" s="53">
        <f>IF(ISBLANK(KTB.N!F19),"",KTB.N!F19)</f>
        <v>1.3428359866716</v>
      </c>
      <c r="G50" s="53">
        <f>IF(ISBLANK(KTB.N!G19),"",KTB.N!G19)</f>
        <v>1.28799715909091</v>
      </c>
    </row>
    <row r="51" spans="2:7">
      <c r="B51" s="51" t="s">
        <v>20</v>
      </c>
      <c r="C51" s="52">
        <f>IF(ISBLANK(GIL.N!C19),"",GIL.N!C19)</f>
        <v>2.00938673341677</v>
      </c>
      <c r="D51" s="52">
        <f>IF(ISBLANK(GIL.N!D19),"",GIL.N!D19)</f>
        <v>1.96331397126261</v>
      </c>
      <c r="E51" s="52">
        <f>IF(ISBLANK(GIL.N!E19),"",GIL.N!E19)</f>
        <v>1.74558303886926</v>
      </c>
      <c r="F51" s="53">
        <f>IF(ISBLANK(GIL.N!F19),"",GIL.N!F19)</f>
        <v>1.07247828991316</v>
      </c>
      <c r="G51" s="53">
        <f>IF(ISBLANK(GIL.N!G19),"",GIL.N!G19)</f>
        <v>1.03764743900469</v>
      </c>
    </row>
    <row r="52" spans="2:7">
      <c r="B52" s="51" t="s">
        <v>21</v>
      </c>
      <c r="C52" s="52">
        <f>IF(ISBLANK(GAP.N!C19),"",GAP.N!C19)</f>
        <v>0.561622674457653</v>
      </c>
      <c r="D52" s="52">
        <f>IF(ISBLANK(GAP.N!D19),"",GAP.N!D19)</f>
        <v>0.554288744531354</v>
      </c>
      <c r="E52" s="52">
        <f>IF(ISBLANK(GAP.N!E19),"",GAP.N!E19)</f>
        <v>0.544188468046336</v>
      </c>
      <c r="F52" s="53">
        <f>IF(ISBLANK(GAP.N!F19),"",GAP.N!F19)</f>
        <v>0.538095238095238</v>
      </c>
      <c r="G52" s="53">
        <f>IF(ISBLANK(GAP.N!G19),"",GAP.N!G19)</f>
        <v>0.522592337978876</v>
      </c>
    </row>
    <row r="53" spans="2:7">
      <c r="B53" s="51" t="s">
        <v>22</v>
      </c>
      <c r="C53" s="52">
        <f>IF(ISBLANK(DECK.N!C19),"",DECK.N!C19)</f>
        <v>2.63246268656716</v>
      </c>
      <c r="D53" s="52">
        <f>IF(ISBLANK(DECK.N!D19),"",DECK.N!D19)</f>
        <v>2.26393902928199</v>
      </c>
      <c r="E53" s="52">
        <f>IF(ISBLANK(DECK.N!E19),"",DECK.N!E19)</f>
        <v>2.06286549707602</v>
      </c>
      <c r="F53" s="53">
        <f>IF(ISBLANK(DECK.N!F19),"",DECK.N!F19)</f>
        <v>1.91874893761686</v>
      </c>
      <c r="G53" s="53">
        <f>IF(ISBLANK(DECK.N!G19),"",DECK.N!G19)</f>
        <v>1.78805639157294</v>
      </c>
    </row>
    <row r="54" spans="2:7">
      <c r="B54" s="51" t="s">
        <v>23</v>
      </c>
      <c r="C54" s="52">
        <f>IF(ISBLANK(CROX.O!C19),"",CROX.O!C19)</f>
        <v>1.3914689550732</v>
      </c>
      <c r="D54" s="52">
        <f>IF(ISBLANK(CROX.O!D19),"",CROX.O!D19)</f>
        <v>1.34397854705022</v>
      </c>
      <c r="E54" s="52">
        <f>IF(ISBLANK(CROX.O!E19),"",CROX.O!E19)</f>
        <v>1.36426627072507</v>
      </c>
      <c r="F54" s="53">
        <f>IF(ISBLANK(CROX.O!F19),"",CROX.O!F19)</f>
        <v>1.34463414634146</v>
      </c>
      <c r="G54" s="53">
        <f>IF(ISBLANK(CROX.O!G19),"",CROX.O!G19)</f>
        <v>1.31261904761905</v>
      </c>
    </row>
    <row r="55" spans="2:7">
      <c r="B55" s="51" t="s">
        <v>24</v>
      </c>
      <c r="C55" s="52">
        <f>IF(ISBLANK(COLM.O!C19),"",COLM.O!C19)</f>
        <v>0.83653570404359</v>
      </c>
      <c r="D55" s="52">
        <f>IF(ISBLANK(COLM.O!D19),"",COLM.O!D19)</f>
        <v>0.865835559513209</v>
      </c>
      <c r="E55" s="52">
        <f>IF(ISBLANK(COLM.O!E19),"",COLM.O!E19)</f>
        <v>0.858698851928172</v>
      </c>
      <c r="F55" s="53">
        <f>IF(ISBLANK(COLM.O!F19),"",COLM.O!F19)</f>
        <v>0.842333237077678</v>
      </c>
      <c r="G55" s="53">
        <f>IF(ISBLANK(COLM.O!G19),"",COLM.O!G19)</f>
        <v>0.816400783655192</v>
      </c>
    </row>
    <row r="56" spans="2:7">
      <c r="B56" s="51" t="s">
        <v>25</v>
      </c>
      <c r="C56" s="52">
        <f>IF(ISBLANK(BZUN.O!C19),"",BZUN.O!C19)</f>
        <v>0.146164321379936</v>
      </c>
      <c r="D56" s="52">
        <f>IF(ISBLANK(BZUN.O!D19),"",BZUN.O!D19)</f>
        <v>0.136701337295691</v>
      </c>
      <c r="E56" s="52">
        <f>IF(ISBLANK(BZUN.O!E19),"",BZUN.O!E19)</f>
        <v>0.129512317747612</v>
      </c>
      <c r="F56" s="53">
        <f>IF(ISBLANK(BZUN.O!F19),"",BZUN.O!F19)</f>
        <v>0.119959020210487</v>
      </c>
      <c r="G56" s="53">
        <f>IF(ISBLANK(BZUN.O!G19),"",BZUN.O!G19)</f>
        <v>0.112009739977389</v>
      </c>
    </row>
    <row r="57" spans="2:7">
      <c r="B57" s="51" t="s">
        <v>26</v>
      </c>
      <c r="C57" s="52">
        <f>IF(ISBLANK(AS.N!C19),"",AS.N!C19)</f>
        <v>3.69840909090909</v>
      </c>
      <c r="D57" s="52">
        <f>IF(ISBLANK(AS.N!D19),"",AS.N!D19)</f>
        <v>3.13968743970673</v>
      </c>
      <c r="E57" s="52">
        <f>IF(ISBLANK(AS.N!E19),"",AS.N!E19)</f>
        <v>2.47837343892781</v>
      </c>
      <c r="F57" s="53">
        <f>IF(ISBLANK(AS.N!F19),"",AS.N!F19)</f>
        <v>1.9864501953125</v>
      </c>
      <c r="G57" s="53">
        <f>IF(ISBLANK(AS.N!G19),"",AS.N!G19)</f>
        <v>1.71421047087328</v>
      </c>
    </row>
    <row r="58" spans="2:7">
      <c r="B58" s="51" t="s">
        <v>27</v>
      </c>
      <c r="C58" s="52">
        <f>IF(ISBLANK(ANF.N!C19),"",ANF.N!C19)</f>
        <v>1.48002803083392</v>
      </c>
      <c r="D58" s="52">
        <f>IF(ISBLANK(ANF.N!D19),"",ANF.N!D19)</f>
        <v>1.28025863810871</v>
      </c>
      <c r="E58" s="52">
        <f>IF(ISBLANK(ANF.N!E19),"",ANF.N!E19)</f>
        <v>1.20319027725028</v>
      </c>
      <c r="F58" s="53">
        <f>IF(ISBLANK(ANF.N!F19),"",ANF.N!F19)</f>
        <v>1.1459576776994</v>
      </c>
      <c r="G58" s="53">
        <f>IF(ISBLANK(ANF.N!G19),"",ANF.N!G19)</f>
        <v>1.09828393135725</v>
      </c>
    </row>
    <row r="59" spans="2:7">
      <c r="B59" s="51" t="s">
        <v>28</v>
      </c>
      <c r="C59" s="52">
        <f>IF(ISBLANK(VSCO.N!C19),"",VSCO.N!C19)</f>
        <v>1.17567130378518</v>
      </c>
      <c r="D59" s="52">
        <f>IF(ISBLANK(VSCO.N!D19),"",VSCO.N!D19)</f>
        <v>1.16661316211878</v>
      </c>
      <c r="E59" s="52">
        <f>IF(ISBLANK(VSCO.N!E19),"",VSCO.N!E19)</f>
        <v>1.10911033114604</v>
      </c>
      <c r="F59" s="53">
        <f>IF(ISBLANK(VSCO.N!F19),"",VSCO.N!F19)</f>
        <v>1.01764211705405</v>
      </c>
      <c r="G59" s="53">
        <f>IF(ISBLANK(VSCO.N!G19),"",VSCO.N!G19)</f>
        <v>0.973219068023567</v>
      </c>
    </row>
    <row r="60" spans="2:7">
      <c r="B60" s="51" t="s">
        <v>29</v>
      </c>
      <c r="C60" s="52">
        <f>IF(ISBLANK('9983.T'!C19),"",'9983.T'!C19)</f>
        <v>7.09630502384791</v>
      </c>
      <c r="D60" s="52">
        <f>IF(ISBLANK('9983.T'!D19),"",'9983.T'!D19)</f>
        <v>6.47713994752008</v>
      </c>
      <c r="E60" s="52">
        <f>IF(ISBLANK('9983.T'!E19),"",'9983.T'!E19)</f>
        <v>5.55730638602469</v>
      </c>
      <c r="F60" s="53">
        <f>IF(ISBLANK('9983.T'!F19),"",'9983.T'!F19)</f>
        <v>4.96662543928582</v>
      </c>
      <c r="G60" s="53">
        <f>IF(ISBLANK('9983.T'!G19),"",'9983.T'!G19)</f>
        <v>4.48408586669425</v>
      </c>
    </row>
    <row r="61" spans="2:7">
      <c r="B61" s="51" t="s">
        <v>30</v>
      </c>
      <c r="C61" s="52">
        <f>IF(ISBLANK('8111.T'!C19),"",'8111.T'!C19)</f>
        <v>2.33540309045206</v>
      </c>
      <c r="D61" s="52">
        <f>IF(ISBLANK('8111.T'!D19),"",'8111.T'!D19)</f>
        <v>2.24011942103473</v>
      </c>
      <c r="E61" s="52">
        <f>IF(ISBLANK('8111.T'!E19),"",'8111.T'!E19)</f>
        <v>2.15523284563251</v>
      </c>
      <c r="F61" s="53">
        <f>IF(ISBLANK('8111.T'!F19),"",'8111.T'!F19)</f>
        <v>2.10643061221589</v>
      </c>
      <c r="G61" s="53">
        <f>IF(ISBLANK('8111.T'!G19),"",'8111.T'!G19)</f>
        <v>1.99006909332635</v>
      </c>
    </row>
    <row r="62" spans="2:7">
      <c r="B62" s="51" t="s">
        <v>31</v>
      </c>
      <c r="C62" s="52">
        <f>IF(ISBLANK('7936.T'!C19),"",'7936.T'!C19)</f>
        <v>5.55981895407765</v>
      </c>
      <c r="D62" s="52">
        <f>IF(ISBLANK('7936.T'!D19),"",'7936.T'!D19)</f>
        <v>4.67435440941099</v>
      </c>
      <c r="E62" s="52">
        <f>IF(ISBLANK('7936.T'!E19),"",'7936.T'!E19)</f>
        <v>3.91122015103907</v>
      </c>
      <c r="F62" s="53">
        <f>IF(ISBLANK('7936.T'!F19),"",'7936.T'!F19)</f>
        <v>3.04730734014149</v>
      </c>
      <c r="G62" s="53">
        <f>IF(ISBLANK('7936.T'!G19),"",'7936.T'!G19)</f>
        <v>2.71497895929848</v>
      </c>
    </row>
    <row r="63" spans="2:7">
      <c r="B63" s="51" t="s">
        <v>32</v>
      </c>
      <c r="C63" s="52">
        <f>IF(ISBLANK('3998.HK'!C19),"",'3998.HK'!C19)</f>
        <v>1.84074265529422</v>
      </c>
      <c r="D63" s="52">
        <f>IF(ISBLANK('3998.HK'!D19),"",'3998.HK'!D19)</f>
        <v>1.6497181684812</v>
      </c>
      <c r="E63" s="52">
        <f>IF(ISBLANK('3998.HK'!E19),"",'3998.HK'!E19)</f>
        <v>1.61927318200765</v>
      </c>
      <c r="F63" s="53">
        <f>IF(ISBLANK('3998.HK'!F19),"",'3998.HK'!F19)</f>
        <v>1.426601675959</v>
      </c>
      <c r="G63" s="53">
        <f>IF(ISBLANK('3998.HK'!G19),"",'3998.HK'!G19)</f>
        <v>1.3450956937799</v>
      </c>
    </row>
    <row r="64" spans="2:7">
      <c r="B64" s="51" t="s">
        <v>33</v>
      </c>
      <c r="C64" s="52">
        <f>IF(ISBLANK('2331.HK'!C19),"",'2331.HK'!C19)</f>
        <v>1.0068483223422</v>
      </c>
      <c r="D64" s="52">
        <f>IF(ISBLANK('2331.HK'!D19),"",'2331.HK'!D19)</f>
        <v>0.968998465615846</v>
      </c>
      <c r="E64" s="52">
        <f>IF(ISBLANK('2331.HK'!E19),"",'2331.HK'!E19)</f>
        <v>0.938813433340091</v>
      </c>
      <c r="F64" s="53">
        <f>IF(ISBLANK('2331.HK'!F19),"",'2331.HK'!F19)</f>
        <v>0.87043824201986</v>
      </c>
      <c r="G64" s="53">
        <f>IF(ISBLANK('2331.HK'!G19),"",'2331.HK'!G19)</f>
        <v>0.827905729523583</v>
      </c>
    </row>
    <row r="65" spans="1:7">
      <c r="B65" s="51" t="s">
        <v>34</v>
      </c>
      <c r="C65" s="52">
        <f>IF(ISBLANK('2020.HK'!C19),"",'2020.HK'!C19)</f>
        <v>2.68947655398037</v>
      </c>
      <c r="D65" s="52">
        <f>IF(ISBLANK('2020.HK'!D19),"",'2020.HK'!D19)</f>
        <v>2.36784514161466</v>
      </c>
      <c r="E65" s="52">
        <f>IF(ISBLANK('2020.HK'!E19),"",'2020.HK'!E19)</f>
        <v>2.09058951121305</v>
      </c>
      <c r="F65" s="53">
        <f>IF(ISBLANK('2020.HK'!F19),"",'2020.HK'!F19)</f>
        <v>1.80991592829623</v>
      </c>
      <c r="G65" s="53">
        <f>IF(ISBLANK('2020.HK'!G19),"",'2020.HK'!G19)</f>
        <v>1.66529303119973</v>
      </c>
    </row>
    <row r="66" spans="1:7">
      <c r="B66" s="51" t="s">
        <v>35</v>
      </c>
      <c r="C66" s="52">
        <f>IF(ISBLANK('1836.HK'!C19),"",'1836.HK'!C19)</f>
        <v>0.885465505693235</v>
      </c>
      <c r="D66" s="52">
        <f>IF(ISBLANK('1836.HK'!D19),"",'1836.HK'!D19)</f>
        <v>0.855663430420712</v>
      </c>
      <c r="E66" s="52">
        <f>IF(ISBLANK('1836.HK'!E19),"",'1836.HK'!E19)</f>
        <v>0.84203821656051</v>
      </c>
      <c r="F66" s="53">
        <f>IF(ISBLANK('1836.HK'!F19),"",'1836.HK'!F19)</f>
        <v>0.83301827347196</v>
      </c>
      <c r="G66" s="53">
        <f>IF(ISBLANK('1836.HK'!G19),"",'1836.HK'!G19)</f>
        <v>0.793993993993994</v>
      </c>
    </row>
    <row r="67" spans="1:7">
      <c r="B67" s="51" t="s">
        <v>36</v>
      </c>
      <c r="C67" s="52">
        <f>IF(ISBLANK('1368.HK'!C19),"",'1368.HK'!C19)</f>
        <v>0.573748780147776</v>
      </c>
      <c r="D67" s="52">
        <f>IF(ISBLANK('1368.HK'!D19),"",'1368.HK'!D19)</f>
        <v>0.606245856963983</v>
      </c>
      <c r="E67" s="52">
        <f>IF(ISBLANK('1368.HK'!E19),"",'1368.HK'!E19)</f>
        <v>0.581655006713306</v>
      </c>
      <c r="F67" s="53">
        <f>IF(ISBLANK('1368.HK'!F19),"",'1368.HK'!F19)</f>
        <v>0.562226775956284</v>
      </c>
      <c r="G67" s="53">
        <f>IF(ISBLANK('1368.HK'!G19),"",'1368.HK'!G19)</f>
        <v>0.535802629865903</v>
      </c>
    </row>
    <row r="68" spans="1:7">
      <c r="B68" s="51" t="s">
        <v>37</v>
      </c>
      <c r="C68" s="52">
        <f>IF(ISBLANK('1361.HK'!C19),"",'1361.HK'!C19)</f>
        <v>1.00557995963433</v>
      </c>
      <c r="D68" s="52">
        <f>IF(ISBLANK('1361.HK'!D19),"",'1361.HK'!D19)</f>
        <v>0.840778241016478</v>
      </c>
      <c r="E68" s="52">
        <f>IF(ISBLANK('1361.HK'!E19),"",'1361.HK'!E19)</f>
        <v>0.759913870446797</v>
      </c>
      <c r="F68" s="53">
        <f>IF(ISBLANK('1361.HK'!F19),"",'1361.HK'!F19)</f>
        <v>0.663377192982456</v>
      </c>
      <c r="G68" s="53">
        <f>IF(ISBLANK('1361.HK'!G19),"",'1361.HK'!G19)</f>
        <v>0.609571788413098</v>
      </c>
    </row>
    <row r="69" spans="1:7">
      <c r="B69" s="51" t="s">
        <v>38</v>
      </c>
      <c r="C69" s="52">
        <f>IF(ISBLANK('002832.SZ'!C19),"",'002832.SZ'!C19)</f>
        <v>4.31900452488688</v>
      </c>
      <c r="D69" s="52">
        <f>IF(ISBLANK('002832.SZ'!D19),"",'002832.SZ'!D19)</f>
        <v>3.81418581418581</v>
      </c>
      <c r="E69" s="52">
        <f>IF(ISBLANK('002832.SZ'!E19),"",'002832.SZ'!E19)</f>
        <v>3.5401019935095</v>
      </c>
      <c r="F69" s="53">
        <f>IF(ISBLANK('002832.SZ'!F19),"",'002832.SZ'!F19)</f>
        <v>2.92735288479969</v>
      </c>
      <c r="G69" s="53">
        <f>IF(ISBLANK('002832.SZ'!G19),"",'002832.SZ'!G19)</f>
        <v>2.54363757495003</v>
      </c>
    </row>
    <row r="72" spans="1:7">
      <c r="A72" s="50" t="s">
        <v>40</v>
      </c>
    </row>
    <row r="73" spans="1:7">
      <c r="A73" s="2" t="s">
        <v>1</v>
      </c>
      <c r="C73" s="4" t="s">
        <v>2</v>
      </c>
      <c r="D73" s="4" t="s">
        <v>3</v>
      </c>
      <c r="E73" s="4" t="s">
        <v>4</v>
      </c>
      <c r="F73" s="4" t="s">
        <v>5</v>
      </c>
      <c r="G73" s="4" t="s">
        <v>6</v>
      </c>
    </row>
    <row r="74" spans="1:7">
      <c r="B74" s="51" t="s">
        <v>41</v>
      </c>
      <c r="C74" s="52" t="str">
        <f>IF(ISBLANK(VFC!C18),"",VFC!C18)</f>
        <v/>
      </c>
      <c r="D74" s="52" t="str">
        <f>IF(ISBLANK(VFC!D18),"",VFC!D18)</f>
        <v/>
      </c>
      <c r="E74" s="52">
        <f>IF(ISBLANK(VFC!E18),"",VFC!E18)</f>
        <v>23.1254901960784</v>
      </c>
      <c r="F74" s="53">
        <f>IF(ISBLANK(VFC!F18),"",VFC!F18)</f>
        <v>14.0071258907363</v>
      </c>
      <c r="G74" s="53">
        <f>IF(ISBLANK(VFC!G18),"",VFC!G18)</f>
        <v>11.3186180422265</v>
      </c>
    </row>
    <row r="75" spans="1:7">
      <c r="B75" s="51" t="s">
        <v>42</v>
      </c>
      <c r="C75" s="52">
        <f>IF(ISBLANK(CFR!C18),"",CFR!C18)</f>
        <v>45.618966977138</v>
      </c>
      <c r="D75" s="52">
        <f>IF(ISBLANK(CFR!D18),"",CFR!D18)</f>
        <v>39.168302435478</v>
      </c>
      <c r="E75" s="52">
        <f>IF(ISBLANK(CFR!E18),"",CFR!E18)</f>
        <v>30.9276693455798</v>
      </c>
      <c r="F75" s="53">
        <f>IF(ISBLANK(CFR!F18),"",CFR!F18)</f>
        <v>24.3067899842093</v>
      </c>
      <c r="G75" s="53">
        <f>IF(ISBLANK(CFR!G18),"",CFR!G18)</f>
        <v>21.156881994895</v>
      </c>
    </row>
    <row r="76" spans="1:7">
      <c r="B76" s="51" t="s">
        <v>43</v>
      </c>
      <c r="C76" s="52">
        <f>IF(ISBLANK('1913.HK'!C18),"",'1913.HK'!C18)</f>
        <v>16.1043219076006</v>
      </c>
      <c r="D76" s="52">
        <f>IF(ISBLANK('1913.HK'!D18),"",'1913.HK'!D18)</f>
        <v>12.8796185935638</v>
      </c>
      <c r="E76" s="52">
        <f>IF(ISBLANK('1913.HK'!E18),"",'1913.HK'!E18)</f>
        <v>12.6830985915493</v>
      </c>
      <c r="F76" s="53">
        <f>IF(ISBLANK('1913.HK'!F18),"",'1913.HK'!F18)</f>
        <v>14.7622950819672</v>
      </c>
      <c r="G76" s="53">
        <f>IF(ISBLANK('1913.HK'!G18),"",'1913.HK'!G18)</f>
        <v>13.423602484472</v>
      </c>
    </row>
    <row r="77" spans="1:7">
      <c r="B77" s="51" t="s">
        <v>44</v>
      </c>
      <c r="C77" s="52">
        <f>IF(ISBLANK(MONC!C18),"",MONC!C18)</f>
        <v>19.4084967320261</v>
      </c>
      <c r="D77" s="52">
        <f>IF(ISBLANK(MONC!D18),"",MONC!D18)</f>
        <v>18.559375</v>
      </c>
      <c r="E77" s="52">
        <f>IF(ISBLANK(MONC!E18),"",MONC!E18)</f>
        <v>18.9441786283892</v>
      </c>
      <c r="F77" s="53">
        <f>IF(ISBLANK(MONC!F18),"",MONC!F18)</f>
        <v>18.559375</v>
      </c>
      <c r="G77" s="53">
        <f>IF(ISBLANK(MONC!G18),"",MONC!G18)</f>
        <v>17.1399711399711</v>
      </c>
    </row>
    <row r="78" spans="1:7">
      <c r="B78" s="51" t="s">
        <v>45</v>
      </c>
      <c r="C78" s="52">
        <f>IF(ISBLANK(KER!C18),"",KER!C18)</f>
        <v>8.82936640965471</v>
      </c>
      <c r="D78" s="52">
        <f>IF(ISBLANK(KER!D18),"",KER!D18)</f>
        <v>23.2462488967343</v>
      </c>
      <c r="E78" s="52">
        <f>IF(ISBLANK(KER!E18),"",KER!E18)</f>
        <v>365.805555555556</v>
      </c>
      <c r="F78" s="53">
        <f>IF(ISBLANK(KER!F18),"",KER!F18)</f>
        <v>33.7234314980794</v>
      </c>
      <c r="G78" s="53">
        <f>IF(ISBLANK(KER!G18),"",KER!G18)</f>
        <v>21.8935993349958</v>
      </c>
    </row>
    <row r="79" spans="1:7">
      <c r="B79" s="51" t="s">
        <v>46</v>
      </c>
      <c r="C79" s="52">
        <f>IF(ISBLANK(SFER!C18),"",SFER!C18)</f>
        <v>44.4615384615385</v>
      </c>
      <c r="D79" s="52" t="str">
        <f>IF(ISBLANK(SFER!D18),"",SFER!D18)</f>
        <v/>
      </c>
      <c r="E79" s="52" t="str">
        <f>IF(ISBLANK(SFER!E18),"",SFER!E18)</f>
        <v/>
      </c>
      <c r="F79" s="53">
        <f>IF(ISBLANK(SFER!F18),"",SFER!F18)</f>
        <v>165.142857142857</v>
      </c>
      <c r="G79" s="53">
        <f>IF(ISBLANK(SFER!G18),"",SFER!G18)</f>
        <v>48.1666666666667</v>
      </c>
    </row>
    <row r="80" spans="1:7">
      <c r="B80" s="51" t="s">
        <v>47</v>
      </c>
      <c r="C80" s="52">
        <f>IF(ISBLANK(RACE!C18),"",RACE!C18)</f>
        <v>48.8905750798722</v>
      </c>
      <c r="D80" s="52">
        <f>IF(ISBLANK(RACE!D18),"",RACE!D18)</f>
        <v>40.2174770039422</v>
      </c>
      <c r="E80" s="52">
        <f>IF(ISBLANK(RACE!E18),"",RACE!E18)</f>
        <v>38.3287413901065</v>
      </c>
      <c r="F80" s="53">
        <f>IF(ISBLANK(RACE!F18),"",RACE!F18)</f>
        <v>35.5671121441023</v>
      </c>
      <c r="G80" s="53">
        <f>IF(ISBLANK(RACE!G18),"",RACE!G18)</f>
        <v>31.7649195640893</v>
      </c>
    </row>
    <row r="81" spans="1:7">
      <c r="B81" s="51" t="s">
        <v>48</v>
      </c>
      <c r="C81" s="52">
        <f>IF(ISBLANK(RMS!C18),"",RMS!C18)</f>
        <v>31.6460218046857</v>
      </c>
      <c r="D81" s="52">
        <f>IF(ISBLANK(RMS!D18),"",RMS!D18)</f>
        <v>29.6384966326309</v>
      </c>
      <c r="E81" s="52">
        <f>IF(ISBLANK(RMS!E18),"",RMS!E18)</f>
        <v>30.1560565870911</v>
      </c>
      <c r="F81" s="53">
        <f>IF(ISBLANK(RMS!F18),"",RMS!F18)</f>
        <v>29.4465788905677</v>
      </c>
      <c r="G81" s="53">
        <f>IF(ISBLANK(RMS!G18),"",RMS!G18)</f>
        <v>26.6509083805431</v>
      </c>
    </row>
    <row r="82" spans="1:7">
      <c r="B82" s="51" t="s">
        <v>49</v>
      </c>
      <c r="C82" s="52">
        <f>IF(ISBLANK(MC!C18),"",MC!C18)</f>
        <v>12.5094899169632</v>
      </c>
      <c r="D82" s="52">
        <f>IF(ISBLANK(MC!D18),"",MC!D18)</f>
        <v>15.1250199203187</v>
      </c>
      <c r="E82" s="52">
        <f>IF(ISBLANK(MC!E18),"",MC!E18)</f>
        <v>17.4498069498069</v>
      </c>
      <c r="F82" s="53">
        <f>IF(ISBLANK(MC!F18),"",MC!F18)</f>
        <v>17.3493282149712</v>
      </c>
      <c r="G82" s="53">
        <f>IF(ISBLANK(MC!G18),"",MC!G18)</f>
        <v>15.8222055513878</v>
      </c>
    </row>
    <row r="83" spans="1:7">
      <c r="B83" s="51" t="s">
        <v>50</v>
      </c>
      <c r="C83" s="52">
        <f>IF(ISBLANK(BRBY!C18),"",BRBY!C18)</f>
        <v>0.137037037037037</v>
      </c>
      <c r="D83" s="52" t="str">
        <f>IF(ISBLANK(BRBY!D18),"",BRBY!D18)</f>
        <v/>
      </c>
      <c r="E83" s="52">
        <f>IF(ISBLANK(BRBY!E18),"",BRBY!E18)</f>
        <v>1.76190476190476</v>
      </c>
      <c r="F83" s="53">
        <f>IF(ISBLANK(BRBY!F18),"",BRBY!F18)</f>
        <v>37</v>
      </c>
      <c r="G83" s="53">
        <f>IF(ISBLANK(BRBY!G18),"",BRBY!G18)</f>
        <v>18.5</v>
      </c>
    </row>
    <row r="84" spans="1:7">
      <c r="B84" s="51" t="s">
        <v>51</v>
      </c>
      <c r="C84" s="52" t="str">
        <f>IF(ISBLANK(CPRI!C18),"",CPRI!C18)</f>
        <v/>
      </c>
      <c r="D84" s="52" t="str">
        <f>IF(ISBLANK(CPRI!D18),"",CPRI!D18)</f>
        <v/>
      </c>
      <c r="E84" s="52">
        <f>IF(ISBLANK(CPRI!E18),"",CPRI!E18)</f>
        <v>18.6521739130435</v>
      </c>
      <c r="F84" s="53">
        <f>IF(ISBLANK(CPRI!F18),"",CPRI!F18)</f>
        <v>7.0327868852459</v>
      </c>
      <c r="G84" s="53">
        <f>IF(ISBLANK(CPRI!G18),"",CPRI!G18)</f>
        <v>5.93771626297578</v>
      </c>
    </row>
    <row r="85" spans="1:7">
      <c r="B85" s="51" t="s">
        <v>52</v>
      </c>
      <c r="C85" s="52">
        <f>IF(ISBLANK(PVH!C18),"",PVH!C18)</f>
        <v>5.64909638554217</v>
      </c>
      <c r="D85" s="52">
        <f>IF(ISBLANK(PVH!D18),"",PVH!D18)</f>
        <v>6.27257525083612</v>
      </c>
      <c r="E85" s="52">
        <f>IF(ISBLANK(PVH!E18),"",PVH!E18)</f>
        <v>150.04</v>
      </c>
      <c r="F85" s="53">
        <f>IF(ISBLANK(PVH!F18),"",PVH!F18)</f>
        <v>6.72222222222222</v>
      </c>
      <c r="G85" s="53">
        <f>IF(ISBLANK(PVH!G18),"",PVH!G18)</f>
        <v>6.52347826086956</v>
      </c>
    </row>
    <row r="86" spans="1:7">
      <c r="B86" s="51" t="s">
        <v>53</v>
      </c>
      <c r="C86" s="52">
        <f>IF(ISBLANK(TPR!C18),"",TPR!C18)</f>
        <v>28.781862745098</v>
      </c>
      <c r="D86" s="52">
        <f>IF(ISBLANK(TPR!D18),"",TPR!D18)</f>
        <v>128.338797814208</v>
      </c>
      <c r="E86" s="52">
        <f>IF(ISBLANK(TPR!E18),"",TPR!E18)</f>
        <v>15.3704188481675</v>
      </c>
      <c r="F86" s="53">
        <f>IF(ISBLANK(TPR!F18),"",TPR!F18)</f>
        <v>14.5604463732176</v>
      </c>
      <c r="G86" s="53">
        <f>IF(ISBLANK(TPR!G18),"",TPR!G18)</f>
        <v>13.0260676650028</v>
      </c>
    </row>
    <row r="87" spans="1:7">
      <c r="B87" s="51" t="s">
        <v>54</v>
      </c>
      <c r="C87" s="52">
        <f>IF(ISBLANK(GOOS!C18),"",GOOS!C18)</f>
        <v>18.8793103448276</v>
      </c>
      <c r="D87" s="52">
        <f>IF(ISBLANK(GOOS!D18),"",GOOS!D18)</f>
        <v>11.5263157894737</v>
      </c>
      <c r="E87" s="52">
        <f>IF(ISBLANK(GOOS!E18),"",GOOS!E18)</f>
        <v>49.7727272727273</v>
      </c>
      <c r="F87" s="53">
        <f>IF(ISBLANK(GOOS!F18),"",GOOS!F18)</f>
        <v>10.8415841584158</v>
      </c>
      <c r="G87" s="53">
        <f>IF(ISBLANK(GOOS!G18),"",GOOS!G18)</f>
        <v>9.77678571428571</v>
      </c>
    </row>
    <row r="89" spans="1:7">
      <c r="A89" s="2" t="s">
        <v>39</v>
      </c>
      <c r="C89" s="4" t="s">
        <v>2</v>
      </c>
      <c r="D89" s="4" t="s">
        <v>3</v>
      </c>
      <c r="E89" s="4" t="s">
        <v>4</v>
      </c>
      <c r="F89" s="4" t="s">
        <v>5</v>
      </c>
      <c r="G89" s="4" t="s">
        <v>6</v>
      </c>
    </row>
    <row r="90" spans="1:7">
      <c r="B90" s="51" t="s">
        <v>41</v>
      </c>
      <c r="C90" s="52">
        <f>IF(ISBLANK(VFC!C19),"",VFC!C19)</f>
        <v>0.594695441710367</v>
      </c>
      <c r="D90" s="52">
        <f>IF(ISBLANK(VFC!D19),"",VFC!D19)</f>
        <v>0.620410310362967</v>
      </c>
      <c r="E90" s="52">
        <f>IF(ISBLANK(VFC!E19),"",VFC!E19)</f>
        <v>0.613951067152525</v>
      </c>
      <c r="F90" s="53">
        <f>IF(ISBLANK(VFC!F19),"",VFC!F19)</f>
        <v>0.621325466231166</v>
      </c>
      <c r="G90" s="53">
        <f>IF(ISBLANK(VFC!G19),"",VFC!G19)</f>
        <v>0.60259554465563</v>
      </c>
    </row>
    <row r="91" spans="1:7">
      <c r="B91" s="51" t="s">
        <v>42</v>
      </c>
      <c r="C91" s="52">
        <f>IF(ISBLANK(CFR!C19),"",CFR!C19)</f>
        <v>5.22662010089251</v>
      </c>
      <c r="D91" s="52">
        <f>IF(ISBLANK(CFR!D19),"",CFR!D19)</f>
        <v>5.03537548483574</v>
      </c>
      <c r="E91" s="52">
        <f>IF(ISBLANK(CFR!E19),"",CFR!E19)</f>
        <v>4.80606601248885</v>
      </c>
      <c r="F91" s="53">
        <f>IF(ISBLANK(CFR!F19),"",CFR!F19)</f>
        <v>4.22888540031397</v>
      </c>
      <c r="G91" s="53">
        <f>IF(ISBLANK(CFR!G19),"",CFR!G19)</f>
        <v>3.92667905688568</v>
      </c>
    </row>
    <row r="92" spans="1:7">
      <c r="B92" s="51" t="s">
        <v>43</v>
      </c>
      <c r="C92" s="52">
        <f>IF(ISBLANK('1913.HK'!C19),"",'1913.HK'!C19)</f>
        <v>2.28650021159543</v>
      </c>
      <c r="D92" s="52">
        <f>IF(ISBLANK('1913.HK'!D19),"",'1913.HK'!D19)</f>
        <v>1.98932253313697</v>
      </c>
      <c r="E92" s="52">
        <f>IF(ISBLANK('1913.HK'!E19),"",'1913.HK'!E19)</f>
        <v>1.88982161594963</v>
      </c>
      <c r="F92" s="53">
        <f>IF(ISBLANK('1913.HK'!F19),"",'1913.HK'!F19)</f>
        <v>1.75907537034022</v>
      </c>
      <c r="G92" s="53">
        <f>IF(ISBLANK('1913.HK'!G19),"",'1913.HK'!G19)</f>
        <v>1.67951507615791</v>
      </c>
    </row>
    <row r="93" spans="1:7">
      <c r="B93" s="51" t="s">
        <v>44</v>
      </c>
      <c r="C93" s="52">
        <f>IF(ISBLANK(MONC!C19),"",MONC!C19)</f>
        <v>3.98056300268097</v>
      </c>
      <c r="D93" s="52">
        <f>IF(ISBLANK(MONC!D19),"",MONC!D19)</f>
        <v>3.82052106786748</v>
      </c>
      <c r="E93" s="52">
        <f>IF(ISBLANK(MONC!E19),"",MONC!E19)</f>
        <v>3.79246487867177</v>
      </c>
      <c r="F93" s="53">
        <f>IF(ISBLANK(MONC!F19),"",MONC!F19)</f>
        <v>3.67398700897</v>
      </c>
      <c r="G93" s="53">
        <f>IF(ISBLANK(MONC!G19),"",MONC!G19)</f>
        <v>3.43791606367583</v>
      </c>
    </row>
    <row r="94" spans="1:7">
      <c r="B94" s="51" t="s">
        <v>45</v>
      </c>
      <c r="C94" s="52">
        <f>IF(ISBLANK(KER!C19),"",KER!C19)</f>
        <v>1.34611060002044</v>
      </c>
      <c r="D94" s="52">
        <f>IF(ISBLANK(KER!D19),"",KER!D19)</f>
        <v>1.53181342328719</v>
      </c>
      <c r="E94" s="52">
        <f>IF(ISBLANK(KER!E19),"",KER!E19)</f>
        <v>1.79475298126065</v>
      </c>
      <c r="F94" s="53">
        <f>IF(ISBLANK(KER!F19),"",KER!F19)</f>
        <v>1.8015047879617</v>
      </c>
      <c r="G94" s="53">
        <f>IF(ISBLANK(KER!G19),"",KER!G19)</f>
        <v>1.70660273440031</v>
      </c>
    </row>
    <row r="95" spans="1:7">
      <c r="B95" s="51" t="s">
        <v>46</v>
      </c>
      <c r="C95" s="52">
        <f>IF(ISBLANK(SFER!C19),"",SFER!C19)</f>
        <v>1</v>
      </c>
      <c r="D95" s="52">
        <f>IF(ISBLANK(SFER!D19),"",SFER!D19)</f>
        <v>1.11690821256039</v>
      </c>
      <c r="E95" s="52">
        <f>IF(ISBLANK(SFER!E19),"",SFER!E19)</f>
        <v>1.18321392016377</v>
      </c>
      <c r="F95" s="53">
        <f>IF(ISBLANK(SFER!F19),"",SFER!F19)</f>
        <v>1.19917012448133</v>
      </c>
      <c r="G95" s="53">
        <f>IF(ISBLANK(SFER!G19),"",SFER!G19)</f>
        <v>1.15024875621891</v>
      </c>
    </row>
    <row r="96" spans="1:7">
      <c r="B96" s="51" t="s">
        <v>47</v>
      </c>
      <c r="C96" s="52">
        <f>IF(ISBLANK(RACE!C19),"",RACE!C19)</f>
        <v>10.2530988274707</v>
      </c>
      <c r="D96" s="52">
        <f>IF(ISBLANK(RACE!D19),"",RACE!D19)</f>
        <v>9.16744046727572</v>
      </c>
      <c r="E96" s="52">
        <f>IF(ISBLANK(RACE!E19),"",RACE!E19)</f>
        <v>8.56577106073328</v>
      </c>
      <c r="F96" s="53">
        <f>IF(ISBLANK(RACE!F19),"",RACE!F19)</f>
        <v>8.07000659195781</v>
      </c>
      <c r="G96" s="53">
        <f>IF(ISBLANK(RACE!G19),"",RACE!G19)</f>
        <v>7.44478229141328</v>
      </c>
    </row>
    <row r="97" spans="2:7">
      <c r="B97" s="51" t="s">
        <v>48</v>
      </c>
      <c r="C97" s="52">
        <f>IF(ISBLANK(RMS!C19),"",RMS!C19)</f>
        <v>10.1605719818277</v>
      </c>
      <c r="D97" s="52">
        <f>IF(ISBLANK(RMS!D19),"",RMS!D19)</f>
        <v>8.99314436387607</v>
      </c>
      <c r="E97" s="52">
        <f>IF(ISBLANK(RMS!E19),"",RMS!E19)</f>
        <v>8.52555930508686</v>
      </c>
      <c r="F97" s="53">
        <f>IF(ISBLANK(RMS!F19),"",RMS!F19)</f>
        <v>8.1623788440828</v>
      </c>
      <c r="G97" s="53">
        <f>IF(ISBLANK(RMS!G19),"",RMS!G19)</f>
        <v>7.57922222222222</v>
      </c>
    </row>
    <row r="98" spans="2:7">
      <c r="B98" s="51" t="s">
        <v>49</v>
      </c>
      <c r="C98" s="52">
        <f>IF(ISBLANK(MC!C19),"",MC!C19)</f>
        <v>2.20327788933641</v>
      </c>
      <c r="D98" s="52">
        <f>IF(ISBLANK(MC!D19),"",MC!D19)</f>
        <v>2.24152427287649</v>
      </c>
      <c r="E98" s="52">
        <f>IF(ISBLANK(MC!E19),"",MC!E19)</f>
        <v>2.34904154343064</v>
      </c>
      <c r="F98" s="53">
        <f>IF(ISBLANK(MC!F19),"",MC!F19)</f>
        <v>2.36178472334549</v>
      </c>
      <c r="G98" s="53">
        <f>IF(ISBLANK(MC!G19),"",MC!G19)</f>
        <v>2.26298283261803</v>
      </c>
    </row>
    <row r="99" spans="2:7">
      <c r="B99" s="51" t="s">
        <v>50</v>
      </c>
      <c r="C99" s="52">
        <f>IF(ISBLANK(BRBY!C19),"",BRBY!C19)</f>
        <v>0.012466307277628</v>
      </c>
      <c r="D99" s="52">
        <f>IF(ISBLANK(BRBY!D19),"",BRBY!D19)</f>
        <v>0.0150345388053637</v>
      </c>
      <c r="E99" s="52">
        <f>IF(ISBLANK(BRBY!E19),"",BRBY!E19)</f>
        <v>0.0152892561983471</v>
      </c>
      <c r="F99" s="53">
        <f>IF(ISBLANK(BRBY!F19),"",BRBY!F19)</f>
        <v>0.0145841545132046</v>
      </c>
      <c r="G99" s="53">
        <f>IF(ISBLANK(BRBY!G19),"",BRBY!G19)</f>
        <v>0.0138059701492537</v>
      </c>
    </row>
    <row r="100" spans="2:7">
      <c r="B100" s="51" t="s">
        <v>51</v>
      </c>
      <c r="C100" s="52">
        <f>IF(ISBLANK(CPRI!C19),"",CPRI!C19)</f>
        <v>0.386312471859523</v>
      </c>
      <c r="D100" s="52">
        <f>IF(ISBLANK(CPRI!D19),"",CPRI!D19)</f>
        <v>0.386312471859523</v>
      </c>
      <c r="E100" s="52">
        <f>IF(ISBLANK(CPRI!E19),"",CPRI!E19)</f>
        <v>0.493955094991364</v>
      </c>
      <c r="F100" s="53">
        <f>IF(ISBLANK(CPRI!F19),"",CPRI!F19)</f>
        <v>0.504409171075838</v>
      </c>
      <c r="G100" s="53">
        <f>IF(ISBLANK(CPRI!G19),"",CPRI!G19)</f>
        <v>0.49197247706422</v>
      </c>
    </row>
    <row r="101" spans="2:7">
      <c r="B101" s="51" t="s">
        <v>52</v>
      </c>
      <c r="C101" s="52">
        <f>IF(ISBLANK(PVH!C19),"",PVH!C19)</f>
        <v>0.406921241050119</v>
      </c>
      <c r="D101" s="52">
        <f>IF(ISBLANK(PVH!D19),"",PVH!D19)</f>
        <v>0.433491274702415</v>
      </c>
      <c r="E101" s="52">
        <f>IF(ISBLANK(PVH!E19),"",PVH!E19)</f>
        <v>0.419106145251397</v>
      </c>
      <c r="F101" s="53">
        <f>IF(ISBLANK(PVH!F19),"",PVH!F19)</f>
        <v>0.421413324345579</v>
      </c>
      <c r="G101" s="53">
        <f>IF(ISBLANK(PVH!G19),"",PVH!G19)</f>
        <v>0.414429344823776</v>
      </c>
    </row>
    <row r="102" spans="2:7">
      <c r="B102" s="51" t="s">
        <v>53</v>
      </c>
      <c r="C102" s="52">
        <f>IF(ISBLANK(TPR!C19),"",TPR!C19)</f>
        <v>3.5206116024584</v>
      </c>
      <c r="D102" s="52">
        <f>IF(ISBLANK(TPR!D19),"",TPR!D19)</f>
        <v>3.34987876194551</v>
      </c>
      <c r="E102" s="52">
        <f>IF(ISBLANK(TPR!E19),"",TPR!E19)</f>
        <v>2.93428285857071</v>
      </c>
      <c r="F102" s="53">
        <f>IF(ISBLANK(TPR!F19),"",TPR!F19)</f>
        <v>2.74561608604162</v>
      </c>
      <c r="G102" s="53">
        <f>IF(ISBLANK(TPR!G19),"",TPR!G19)</f>
        <v>2.60636999223172</v>
      </c>
    </row>
    <row r="103" spans="2:7">
      <c r="B103" s="51" t="s">
        <v>54</v>
      </c>
      <c r="C103" s="52">
        <f>IF(ISBLANK(GOOS!C19),"",GOOS!C19)</f>
        <v>0.820839580209895</v>
      </c>
      <c r="D103" s="52">
        <f>IF(ISBLANK(GOOS!D19),"",GOOS!D19)</f>
        <v>0.812314540059347</v>
      </c>
      <c r="E103" s="52">
        <f>IF(ISBLANK(GOOS!E19),"",GOOS!E19)</f>
        <v>0.716623036649215</v>
      </c>
      <c r="F103" s="53">
        <f>IF(ISBLANK(GOOS!F19),"",GOOS!F19)</f>
        <v>0.693916349809886</v>
      </c>
      <c r="G103" s="53">
        <f>IF(ISBLANK(GOOS!G19),"",GOOS!G19)</f>
        <v>0.666869671132765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18"/>
  <sheetViews>
    <sheetView zoomScale="93" zoomScaleNormal="93" workbookViewId="0">
      <selection activeCell="H14" sqref="H14"/>
    </sheetView>
  </sheetViews>
  <sheetFormatPr defaultColWidth="9.23076923076923" defaultRowHeight="16.8"/>
  <cols>
    <col min="1" max="1" width="9.23076923076923" style="21" customWidth="1"/>
    <col min="2" max="2" width="21.7884615384615" style="21" customWidth="1"/>
    <col min="3" max="8" width="21.7884615384615" style="22" customWidth="1"/>
    <col min="9" max="23" width="9.23076923076923" style="21" customWidth="1"/>
  </cols>
  <sheetData>
    <row r="3" ht="17.6" customHeight="1" spans="2:15">
      <c r="B3" s="23" t="s">
        <v>55</v>
      </c>
      <c r="C3" s="24"/>
      <c r="D3" s="24"/>
      <c r="E3" s="24"/>
      <c r="F3" s="24"/>
      <c r="G3" s="24"/>
      <c r="H3" s="24"/>
    </row>
    <row r="4" spans="2:15">
      <c r="B4" s="25" t="s">
        <v>56</v>
      </c>
      <c r="D4" s="24"/>
      <c r="E4" s="24"/>
      <c r="F4" s="26">
        <v>46752</v>
      </c>
      <c r="G4" s="26">
        <v>47118</v>
      </c>
      <c r="H4" s="26">
        <v>47483</v>
      </c>
      <c r="N4" s="21" t="s">
        <v>57</v>
      </c>
      <c r="O4" s="21" t="s">
        <v>57</v>
      </c>
    </row>
    <row r="5" ht="17" customHeight="1" spans="2:15">
      <c r="B5" s="25" t="s">
        <v>58</v>
      </c>
      <c r="C5" s="27">
        <v>2024</v>
      </c>
      <c r="D5" s="27">
        <v>2025</v>
      </c>
      <c r="E5" s="27">
        <v>2026</v>
      </c>
      <c r="F5" s="28" t="s">
        <v>59</v>
      </c>
      <c r="G5" s="28" t="s">
        <v>60</v>
      </c>
      <c r="H5" s="28" t="s">
        <v>61</v>
      </c>
      <c r="J5" s="29" t="s">
        <v>62</v>
      </c>
      <c r="K5" s="29" t="s">
        <v>63</v>
      </c>
      <c r="L5" s="29" t="s">
        <v>64</v>
      </c>
      <c r="M5" s="29" t="s">
        <v>65</v>
      </c>
      <c r="N5" s="30" t="s">
        <v>66</v>
      </c>
      <c r="O5" s="30" t="s">
        <v>67</v>
      </c>
    </row>
    <row r="6" spans="2:15">
      <c r="B6" s="25" t="s">
        <v>68</v>
      </c>
      <c r="C6" s="31"/>
      <c r="D6" s="31"/>
      <c r="E6" s="31"/>
      <c r="F6" s="32"/>
      <c r="G6" s="32"/>
      <c r="H6" s="32"/>
      <c r="J6" s="33"/>
      <c r="K6" s="33"/>
      <c r="L6" s="33"/>
      <c r="M6" s="33"/>
      <c r="N6" s="34"/>
      <c r="O6" s="34"/>
    </row>
    <row r="7" spans="2:15">
      <c r="B7" s="35" t="s">
        <v>69</v>
      </c>
      <c r="C7" s="36"/>
      <c r="D7" s="36"/>
      <c r="E7" s="36"/>
      <c r="F7" s="37"/>
      <c r="G7" s="37"/>
      <c r="H7" s="37"/>
      <c r="J7" s="33"/>
      <c r="K7" s="33"/>
      <c r="L7" s="33"/>
      <c r="M7" s="33"/>
      <c r="N7" s="34"/>
      <c r="O7" s="34"/>
    </row>
    <row r="8" spans="2:15">
      <c r="B8" s="25" t="s">
        <v>70</v>
      </c>
      <c r="C8" s="36"/>
      <c r="D8" s="36"/>
      <c r="E8" s="36"/>
      <c r="F8" s="37"/>
      <c r="G8" s="37"/>
      <c r="H8" s="37"/>
      <c r="J8" s="33"/>
      <c r="K8" s="33"/>
      <c r="L8" s="33"/>
      <c r="M8" s="33"/>
      <c r="N8" s="34"/>
      <c r="O8" s="34"/>
    </row>
    <row r="9" spans="2:15">
      <c r="B9" s="25" t="s">
        <v>71</v>
      </c>
      <c r="C9" s="36"/>
      <c r="D9" s="36"/>
      <c r="E9" s="36"/>
      <c r="F9" s="37"/>
      <c r="G9" s="37"/>
      <c r="H9" s="37"/>
      <c r="J9" s="33"/>
      <c r="K9" s="33"/>
      <c r="L9" s="33"/>
      <c r="M9" s="33"/>
      <c r="N9" s="34"/>
      <c r="O9" s="34"/>
    </row>
    <row r="10" spans="2:15">
      <c r="B10" s="25" t="s">
        <v>72</v>
      </c>
      <c r="C10" s="31"/>
      <c r="D10" s="31"/>
      <c r="E10" s="31"/>
      <c r="F10" s="32"/>
      <c r="G10" s="32"/>
      <c r="H10" s="32"/>
      <c r="J10" s="33"/>
      <c r="K10" s="33"/>
      <c r="L10" s="33"/>
      <c r="M10" s="33"/>
      <c r="N10" s="34"/>
      <c r="O10" s="34"/>
    </row>
    <row r="11" spans="2:15">
      <c r="B11" s="38" t="s">
        <v>73</v>
      </c>
      <c r="C11" s="31"/>
      <c r="D11" s="31"/>
      <c r="E11" s="31"/>
      <c r="F11" s="32"/>
      <c r="G11" s="32"/>
      <c r="H11" s="32"/>
      <c r="N11" s="39"/>
      <c r="O11" s="39"/>
    </row>
    <row r="12" spans="2:15">
      <c r="B12" s="38"/>
      <c r="C12" s="40"/>
      <c r="D12" s="40"/>
      <c r="E12" s="40"/>
      <c r="F12" s="41"/>
      <c r="G12" s="41"/>
      <c r="H12" s="41"/>
      <c r="N12" s="39"/>
      <c r="O12" s="39"/>
    </row>
    <row r="13" spans="2:15">
      <c r="B13" s="42"/>
      <c r="C13" s="24"/>
      <c r="D13" s="24"/>
      <c r="E13" s="24"/>
      <c r="F13" s="43"/>
      <c r="G13" s="43"/>
      <c r="H13" s="43"/>
    </row>
    <row r="14" spans="2:15">
      <c r="B14" s="25" t="s">
        <v>74</v>
      </c>
      <c r="C14" s="44">
        <v>46283</v>
      </c>
      <c r="D14" s="24"/>
      <c r="E14" s="24"/>
      <c r="F14" s="43"/>
      <c r="G14" s="43"/>
      <c r="H14" s="43"/>
    </row>
    <row r="15" spans="2:15">
      <c r="B15" s="35" t="s">
        <v>75</v>
      </c>
      <c r="C15" s="45">
        <v>35.51</v>
      </c>
      <c r="D15" s="24"/>
      <c r="E15" s="24"/>
      <c r="F15" s="43"/>
      <c r="G15" s="43"/>
      <c r="H15" s="43"/>
    </row>
    <row r="16" spans="2:15">
      <c r="B16" s="25" t="s">
        <v>76</v>
      </c>
      <c r="C16" s="46" t="e">
        <f>C15*#REF!</f>
        <v>#REF!</v>
      </c>
      <c r="D16" s="24"/>
      <c r="E16" s="24"/>
      <c r="F16" s="43"/>
      <c r="G16" s="43"/>
      <c r="H16" s="43"/>
    </row>
    <row r="17" spans="2:8">
      <c r="B17" s="25" t="s">
        <v>1</v>
      </c>
      <c r="C17" s="47"/>
      <c r="D17" s="47"/>
      <c r="E17" s="48"/>
      <c r="F17" s="49"/>
      <c r="G17" s="49"/>
      <c r="H17" s="49"/>
    </row>
    <row r="18" spans="2:8">
      <c r="B18" s="25" t="s">
        <v>39</v>
      </c>
      <c r="C18" s="47" t="str">
        <f>IF(N(C6)=0,"",#REF!/C6)</f>
        <v/>
      </c>
      <c r="D18" s="47" t="str">
        <f>IF(N(D6)=0,"",#REF!/D6)</f>
        <v/>
      </c>
      <c r="E18" s="48" t="str">
        <f>IF(N(E6)=0,"",#REF!/E6)</f>
        <v/>
      </c>
      <c r="F18" s="49" t="str">
        <f>IF(N(F6)=0,"",#REF!/F6)</f>
        <v/>
      </c>
      <c r="G18" s="49" t="str">
        <f>IF(N(G6)=0,"",#REF!/G6)</f>
        <v/>
      </c>
      <c r="H18" s="49" t="str">
        <f>IF(N(H6)=0,"",#REF!/H6)</f>
        <v/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"/>
  <sheetViews>
    <sheetView workbookViewId="0">
      <selection activeCell="A2" sqref="A2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77</v>
      </c>
    </row>
    <row r="4" spans="2:15">
      <c r="B4" s="2" t="s">
        <v>56</v>
      </c>
      <c r="F4" s="3">
        <v>46535</v>
      </c>
      <c r="G4" s="3">
        <v>46901</v>
      </c>
      <c r="N4" s="3">
        <v>46356</v>
      </c>
      <c r="O4" s="3">
        <v>46446</v>
      </c>
    </row>
    <row r="5" spans="2:15">
      <c r="B5" s="2" t="s">
        <v>78</v>
      </c>
      <c r="C5" s="4" t="s">
        <v>79</v>
      </c>
      <c r="D5" s="4" t="s">
        <v>80</v>
      </c>
      <c r="E5" s="4" t="s">
        <v>81</v>
      </c>
      <c r="F5" s="4" t="s">
        <v>59</v>
      </c>
      <c r="G5" s="4" t="s">
        <v>60</v>
      </c>
      <c r="J5" s="4" t="s">
        <v>82</v>
      </c>
      <c r="K5" s="4" t="s">
        <v>62</v>
      </c>
      <c r="L5" s="4" t="s">
        <v>63</v>
      </c>
      <c r="M5" s="4" t="s">
        <v>64</v>
      </c>
      <c r="N5" s="4" t="s">
        <v>65</v>
      </c>
      <c r="O5" s="4" t="s">
        <v>66</v>
      </c>
    </row>
    <row r="6" spans="2:15">
      <c r="B6" s="2" t="s">
        <v>68</v>
      </c>
      <c r="C6" s="5">
        <v>51362</v>
      </c>
      <c r="D6" s="5">
        <v>46309</v>
      </c>
      <c r="E6" s="5">
        <v>46398</v>
      </c>
      <c r="F6" s="6">
        <v>42922</v>
      </c>
      <c r="G6" s="6">
        <v>43108</v>
      </c>
      <c r="J6" s="5">
        <v>12427</v>
      </c>
      <c r="K6" s="5">
        <v>11279</v>
      </c>
      <c r="L6" s="5">
        <v>10972</v>
      </c>
      <c r="M6" s="5">
        <v>11213</v>
      </c>
      <c r="N6" s="7"/>
      <c r="O6" s="7"/>
    </row>
    <row r="7" spans="2:15">
      <c r="B7" s="2" t="s">
        <v>69</v>
      </c>
      <c r="C7" s="8">
        <v>0.00283109123923708</v>
      </c>
      <c r="D7" s="8">
        <v>-0.0983801253845256</v>
      </c>
      <c r="E7" s="8">
        <v>0.00192187263814803</v>
      </c>
      <c r="F7" s="9">
        <v>-0.0749179732962628</v>
      </c>
      <c r="G7" s="9">
        <v>0.0043435695601326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0.445601806783225</v>
      </c>
      <c r="D8" s="8">
        <v>0.427346736055626</v>
      </c>
      <c r="E8" s="8">
        <v>0.429134876503298</v>
      </c>
      <c r="F8" s="7"/>
      <c r="G8" s="7"/>
      <c r="J8" s="8">
        <v>0.4059708698801</v>
      </c>
      <c r="K8" s="8">
        <v>0.401631350297012</v>
      </c>
      <c r="L8" s="8">
        <v>0.491523878964637</v>
      </c>
      <c r="M8" s="8">
        <v>0.427896191920093</v>
      </c>
      <c r="N8" s="7"/>
      <c r="O8" s="7"/>
    </row>
    <row r="9" spans="2:15">
      <c r="B9" s="2" t="s">
        <v>71</v>
      </c>
      <c r="C9" s="8">
        <v>0.122872941084849</v>
      </c>
      <c r="D9" s="8">
        <v>0.0799412641171263</v>
      </c>
      <c r="E9" s="8">
        <v>0.0819000819000819</v>
      </c>
      <c r="F9" s="7"/>
      <c r="G9" s="7"/>
      <c r="J9" s="8">
        <v>0.0809527641425927</v>
      </c>
      <c r="K9" s="8">
        <v>0.0490291692525933</v>
      </c>
      <c r="L9" s="8">
        <v>0.119759387531899</v>
      </c>
      <c r="M9" s="8">
        <v>0.0791937929189334</v>
      </c>
      <c r="N9" s="7"/>
      <c r="O9" s="7"/>
    </row>
    <row r="10" spans="2:15">
      <c r="B10" s="2" t="s">
        <v>72</v>
      </c>
      <c r="C10" s="5">
        <v>5700</v>
      </c>
      <c r="D10" s="5">
        <v>3219</v>
      </c>
      <c r="E10" s="5">
        <v>3108</v>
      </c>
      <c r="F10" s="6">
        <v>1894</v>
      </c>
      <c r="G10" s="6">
        <v>2239</v>
      </c>
      <c r="J10" s="5">
        <v>792</v>
      </c>
      <c r="K10" s="5">
        <v>520</v>
      </c>
      <c r="L10" s="5">
        <v>1069</v>
      </c>
      <c r="M10" s="5">
        <v>712</v>
      </c>
      <c r="N10" s="7"/>
      <c r="O10" s="7"/>
    </row>
    <row r="11" spans="2:15">
      <c r="B11" s="11" t="s">
        <v>83</v>
      </c>
      <c r="C11" s="8">
        <v>0.110976986877458</v>
      </c>
      <c r="D11" s="8">
        <v>0.0695113260921203</v>
      </c>
      <c r="E11" s="8">
        <v>0.0669856459330144</v>
      </c>
      <c r="F11" s="9">
        <v>0.0441168442357583</v>
      </c>
      <c r="G11" s="9">
        <v>0.0519364135719011</v>
      </c>
      <c r="J11" s="8">
        <v>0.0637321960247847</v>
      </c>
      <c r="K11" s="8">
        <v>0.0461033779590389</v>
      </c>
      <c r="L11" s="8">
        <v>0.0974298213634707</v>
      </c>
      <c r="M11" s="8">
        <v>0.0634977258539196</v>
      </c>
      <c r="N11" s="7"/>
      <c r="O11" s="7"/>
    </row>
    <row r="12" spans="2:15">
      <c r="B12" s="2" t="s">
        <v>84</v>
      </c>
      <c r="C12" s="12">
        <v>3.76</v>
      </c>
      <c r="D12" s="12">
        <v>2.17</v>
      </c>
      <c r="E12" s="12">
        <v>2.1</v>
      </c>
      <c r="F12" s="13">
        <v>1.27961</v>
      </c>
      <c r="G12" s="13">
        <v>1.51296</v>
      </c>
      <c r="J12" s="12">
        <v>0.54</v>
      </c>
      <c r="K12" s="12">
        <v>0.35</v>
      </c>
      <c r="L12" s="12">
        <v>0.72</v>
      </c>
      <c r="M12" s="12">
        <v>0.48</v>
      </c>
      <c r="N12" s="7"/>
      <c r="O12" s="7"/>
    </row>
    <row r="13" spans="2:15">
      <c r="B13" s="2" t="s">
        <v>85</v>
      </c>
      <c r="C13" s="14">
        <v>3</v>
      </c>
      <c r="D13" s="14">
        <v>3</v>
      </c>
      <c r="E13" s="14">
        <v>14865</v>
      </c>
      <c r="F13" s="15">
        <v>1479.8</v>
      </c>
      <c r="G13" s="15">
        <v>1479.8</v>
      </c>
      <c r="J13" s="14">
        <v>3</v>
      </c>
      <c r="K13" s="14">
        <v>3</v>
      </c>
      <c r="L13" s="14">
        <v>14865</v>
      </c>
      <c r="M13" s="14">
        <v>3</v>
      </c>
      <c r="N13" s="15">
        <v>1479.8</v>
      </c>
      <c r="O13" s="15">
        <v>1479.8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34.71</v>
      </c>
    </row>
    <row r="17" spans="2:7">
      <c r="B17" s="2" t="s">
        <v>87</v>
      </c>
      <c r="C17" s="5">
        <v>51364</v>
      </c>
    </row>
    <row r="18" spans="2:7">
      <c r="B18" s="2" t="s">
        <v>1</v>
      </c>
      <c r="C18" s="18">
        <f>IF(OR(C10="",C10&lt;=0),"",C$17/C10)</f>
        <v>9.01122807017544</v>
      </c>
      <c r="D18" s="18">
        <f>IF(OR(D10="",D10&lt;=0),"",C$17/D10)</f>
        <v>15.9565082323703</v>
      </c>
      <c r="E18" s="18">
        <f>IF(OR(E10="",E10&lt;=0),"",C$17/E10)</f>
        <v>16.5263835263835</v>
      </c>
      <c r="F18" s="19">
        <f>IF(OR(F10="",F10&lt;=0),"",C$17/F10)</f>
        <v>27.1193241816262</v>
      </c>
      <c r="G18" s="19">
        <f>IF(OR(G10="",G10&lt;=0),"",C$17/G10)</f>
        <v>22.9405984814649</v>
      </c>
    </row>
    <row r="19" spans="2:7">
      <c r="B19" s="2" t="s">
        <v>39</v>
      </c>
      <c r="C19" s="18">
        <f>IF(OR(C6="",C6=0),"",C$17/C6)</f>
        <v>1.00003893929364</v>
      </c>
      <c r="D19" s="18">
        <f>IF(OR(D6="",D6=0),"",C$17/D6)</f>
        <v>1.10915804703189</v>
      </c>
      <c r="E19" s="18">
        <f>IF(OR(E6="",E6=0),"",C$17/E6)</f>
        <v>1.10703047545153</v>
      </c>
      <c r="F19" s="19">
        <f>IF(OR(F6="",F6=0),"",C$17/F6)</f>
        <v>1.19668235403756</v>
      </c>
      <c r="G19" s="19">
        <f>IF(OR(G6="",G6=0),"",C$17/G6)</f>
        <v>1.19151897559618</v>
      </c>
    </row>
    <row r="21" spans="2:7">
      <c r="B21" s="20" t="s">
        <v>88</v>
      </c>
      <c r="F21" s="20">
        <v>28</v>
      </c>
      <c r="G21" s="20">
        <v>30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89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21427</v>
      </c>
      <c r="D6" s="5">
        <v>23683</v>
      </c>
      <c r="E6" s="5">
        <v>24811</v>
      </c>
      <c r="F6" s="6">
        <v>26939</v>
      </c>
      <c r="G6" s="6">
        <v>28886</v>
      </c>
      <c r="J6" s="5">
        <v>6630</v>
      </c>
      <c r="K6" s="5">
        <v>6076</v>
      </c>
      <c r="L6" s="5">
        <v>6592</v>
      </c>
      <c r="M6" s="5">
        <v>6743</v>
      </c>
      <c r="N6" s="7"/>
      <c r="O6" s="7"/>
    </row>
    <row r="7" spans="2:15">
      <c r="B7" s="2" t="s">
        <v>69</v>
      </c>
      <c r="C7" s="8">
        <v>-0.0481542357069877</v>
      </c>
      <c r="D7" s="8">
        <v>0.105287721099547</v>
      </c>
      <c r="E7" s="8">
        <v>0.0476291010429422</v>
      </c>
      <c r="F7" s="9">
        <v>0.0857565063076862</v>
      </c>
      <c r="G7" s="9">
        <v>0.0722895040528941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0.475241517711299</v>
      </c>
      <c r="D8" s="8">
        <v>0.50774817379555</v>
      </c>
      <c r="E8" s="8">
        <v>0.471161984603603</v>
      </c>
      <c r="F8" s="7"/>
      <c r="G8" s="7"/>
      <c r="J8" s="8">
        <v>0.518099547511312</v>
      </c>
      <c r="K8" s="8">
        <v>0.508229098090849</v>
      </c>
      <c r="L8" s="8">
        <v>0.511074029126214</v>
      </c>
      <c r="M8" s="8">
        <v>0.524988877354293</v>
      </c>
      <c r="N8" s="7"/>
      <c r="O8" s="7"/>
    </row>
    <row r="9" spans="2:15">
      <c r="B9" s="2" t="s">
        <v>71</v>
      </c>
      <c r="C9" s="8">
        <v>0.0125075838894852</v>
      </c>
      <c r="D9" s="8">
        <v>0.0564539965376008</v>
      </c>
      <c r="E9" s="8">
        <v>0.0794405707146024</v>
      </c>
      <c r="F9" s="7"/>
      <c r="G9" s="7"/>
      <c r="J9" s="8">
        <v>0.111010558069382</v>
      </c>
      <c r="K9" s="8">
        <v>0.0236998025016458</v>
      </c>
      <c r="L9" s="8">
        <v>0.107099514563107</v>
      </c>
      <c r="M9" s="8">
        <v>0.0851253151416284</v>
      </c>
      <c r="N9" s="7"/>
      <c r="O9" s="7"/>
    </row>
    <row r="10" spans="2:15">
      <c r="B10" s="2" t="s">
        <v>72</v>
      </c>
      <c r="C10" s="5">
        <v>-75</v>
      </c>
      <c r="D10" s="5">
        <v>764</v>
      </c>
      <c r="E10" s="5">
        <v>1340</v>
      </c>
      <c r="F10" s="6">
        <v>1608</v>
      </c>
      <c r="G10" s="6">
        <v>2020</v>
      </c>
      <c r="J10" s="5">
        <v>461</v>
      </c>
      <c r="K10" s="5">
        <v>81</v>
      </c>
      <c r="L10" s="5">
        <v>482</v>
      </c>
      <c r="M10" s="5">
        <v>355</v>
      </c>
      <c r="N10" s="7"/>
      <c r="O10" s="7"/>
    </row>
    <row r="11" spans="2:15">
      <c r="B11" s="11" t="s">
        <v>83</v>
      </c>
      <c r="C11" s="8">
        <v>-0.00350025668549027</v>
      </c>
      <c r="D11" s="8">
        <v>0.0322594265929148</v>
      </c>
      <c r="E11" s="8">
        <v>0.0540083027689331</v>
      </c>
      <c r="F11" s="9">
        <v>0.0597039911510274</v>
      </c>
      <c r="G11" s="9">
        <v>0.0699166323983441</v>
      </c>
      <c r="J11" s="8">
        <v>0.0695324283559578</v>
      </c>
      <c r="K11" s="8">
        <v>0.0133311389071758</v>
      </c>
      <c r="L11" s="8">
        <v>0.0731189320388349</v>
      </c>
      <c r="M11" s="8">
        <v>0.0526471896781848</v>
      </c>
      <c r="N11" s="7"/>
      <c r="O11" s="7"/>
    </row>
    <row r="12" spans="2:15">
      <c r="B12" s="2" t="s">
        <v>84</v>
      </c>
      <c r="C12" s="12">
        <v>-0.42</v>
      </c>
      <c r="D12" s="12">
        <v>4.28</v>
      </c>
      <c r="E12" s="12">
        <v>7.5</v>
      </c>
      <c r="F12" s="13">
        <v>9.18726</v>
      </c>
      <c r="G12" s="13">
        <v>11.53653</v>
      </c>
      <c r="J12" s="12">
        <v>2.58</v>
      </c>
      <c r="K12" s="12">
        <v>0.45</v>
      </c>
      <c r="L12" s="12">
        <v>2.7</v>
      </c>
      <c r="M12" s="12">
        <v>2.02</v>
      </c>
      <c r="N12" s="7"/>
      <c r="O12" s="7"/>
    </row>
    <row r="13" spans="2:15">
      <c r="B13" s="2" t="s">
        <v>85</v>
      </c>
      <c r="C13" s="14">
        <v>179</v>
      </c>
      <c r="D13" s="14">
        <v>179</v>
      </c>
      <c r="E13" s="14">
        <v>179</v>
      </c>
      <c r="F13" s="15">
        <v>175.1</v>
      </c>
      <c r="G13" s="15">
        <v>175.1</v>
      </c>
      <c r="J13" s="14">
        <v>179</v>
      </c>
      <c r="K13" s="14">
        <v>179</v>
      </c>
      <c r="L13" s="14">
        <v>175</v>
      </c>
      <c r="M13" s="14">
        <v>175</v>
      </c>
      <c r="N13" s="15">
        <v>175.1</v>
      </c>
      <c r="O13" s="15">
        <v>175.1</v>
      </c>
    </row>
    <row r="15" spans="2:15">
      <c r="B15" s="2" t="s">
        <v>74</v>
      </c>
      <c r="C15" s="16">
        <v>46307</v>
      </c>
    </row>
    <row r="16" spans="2:15">
      <c r="B16" s="2" t="s">
        <v>93</v>
      </c>
      <c r="C16" s="17">
        <v>150.9</v>
      </c>
    </row>
    <row r="17" spans="2:7">
      <c r="B17" s="2" t="s">
        <v>94</v>
      </c>
      <c r="C17" s="5">
        <v>26417</v>
      </c>
    </row>
    <row r="18" spans="2:7">
      <c r="B18" s="2" t="s">
        <v>1</v>
      </c>
      <c r="C18" s="18" t="str">
        <f>IF(OR(C10="",C10&lt;=0),"",C$17/C10)</f>
        <v/>
      </c>
      <c r="D18" s="18">
        <f>IF(OR(D10="",D10&lt;=0),"",C$17/D10)</f>
        <v>34.57722513089</v>
      </c>
      <c r="E18" s="18">
        <f>IF(OR(E10="",E10&lt;=0),"",C$17/E10)</f>
        <v>19.7141791044776</v>
      </c>
      <c r="F18" s="19">
        <f>IF(OR(F10="",F10&lt;=0),"",C$17/F10)</f>
        <v>16.4284825870647</v>
      </c>
      <c r="G18" s="19">
        <f>IF(OR(G10="",G10&lt;=0),"",C$17/G10)</f>
        <v>13.0777227722772</v>
      </c>
    </row>
    <row r="19" spans="2:7">
      <c r="B19" s="2" t="s">
        <v>39</v>
      </c>
      <c r="C19" s="18">
        <f>IF(OR(C6="",C6=0),"",C$17/C6)</f>
        <v>1.23288374480795</v>
      </c>
      <c r="D19" s="18">
        <f>IF(OR(D6="",D6=0),"",C$17/D6)</f>
        <v>1.11544145589663</v>
      </c>
      <c r="E19" s="18">
        <f>IF(OR(E6="",E6=0),"",C$17/E6)</f>
        <v>1.0647293539156</v>
      </c>
      <c r="F19" s="19">
        <f>IF(OR(F6="",F6=0),"",C$17/F6)</f>
        <v>0.980622888748654</v>
      </c>
      <c r="G19" s="19">
        <f>IF(OR(G6="",G6=0),"",C$17/G6)</f>
        <v>0.914526067991415</v>
      </c>
    </row>
    <row r="21" spans="2:7">
      <c r="B21" s="20" t="s">
        <v>88</v>
      </c>
      <c r="F21" s="20">
        <v>28</v>
      </c>
      <c r="G21" s="20">
        <v>28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95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96</v>
      </c>
      <c r="K5" s="4" t="s">
        <v>97</v>
      </c>
      <c r="L5" s="4" t="s">
        <v>82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1905</v>
      </c>
      <c r="D6" s="5">
        <v>1947</v>
      </c>
      <c r="E6" s="5">
        <v>1841</v>
      </c>
      <c r="F6" s="6">
        <v>2006</v>
      </c>
      <c r="G6" s="6">
        <v>2176</v>
      </c>
      <c r="J6" s="5">
        <v>987</v>
      </c>
      <c r="K6" s="5">
        <v>928</v>
      </c>
      <c r="L6" s="5">
        <v>982</v>
      </c>
      <c r="M6" s="5">
        <v>1001</v>
      </c>
      <c r="N6" s="7"/>
      <c r="O6" s="7"/>
    </row>
    <row r="7" spans="2:15">
      <c r="B7" s="2" t="s">
        <v>69</v>
      </c>
      <c r="C7" s="8">
        <v>0.275789099970526</v>
      </c>
      <c r="D7" s="8">
        <v>0.0221039206657323</v>
      </c>
      <c r="E7" s="8">
        <v>-0.0541221572272733</v>
      </c>
      <c r="F7" s="9">
        <v>0.0894437770787866</v>
      </c>
      <c r="G7" s="9">
        <v>0.0848291152426919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0.642836703072486</v>
      </c>
      <c r="D8" s="8">
        <v>0.66604782479823</v>
      </c>
      <c r="E8" s="8">
        <v>0.556246990204991</v>
      </c>
      <c r="F8" s="7"/>
      <c r="G8" s="7"/>
      <c r="J8" s="8">
        <v>0.668118902207243</v>
      </c>
      <c r="K8" s="8">
        <v>0.674828876025396</v>
      </c>
      <c r="L8" s="8">
        <v>0.560137556914158</v>
      </c>
      <c r="M8" s="8">
        <v>0.560184950325935</v>
      </c>
      <c r="N8" s="7"/>
      <c r="O8" s="7"/>
    </row>
    <row r="9" spans="2:15">
      <c r="B9" s="2" t="s">
        <v>71</v>
      </c>
      <c r="C9" s="8">
        <v>0.109289915880348</v>
      </c>
      <c r="D9" s="8">
        <v>0.0857125097667939</v>
      </c>
      <c r="E9" s="8">
        <v>0.085010174645115</v>
      </c>
      <c r="F9" s="7"/>
      <c r="G9" s="7"/>
      <c r="J9" s="8">
        <v>0.0950518233192266</v>
      </c>
      <c r="K9" s="8">
        <v>0.0661276935183089</v>
      </c>
      <c r="L9" s="8">
        <v>0.0953139571013872</v>
      </c>
      <c r="M9" s="8">
        <v>0.0754135046147549</v>
      </c>
      <c r="N9" s="7"/>
      <c r="O9" s="7"/>
    </row>
    <row r="10" spans="2:15">
      <c r="B10" s="2" t="s">
        <v>72</v>
      </c>
      <c r="C10" s="5">
        <v>122</v>
      </c>
      <c r="D10" s="5">
        <v>77</v>
      </c>
      <c r="E10" s="5">
        <v>95</v>
      </c>
      <c r="F10" s="6">
        <v>105</v>
      </c>
      <c r="G10" s="6">
        <v>142</v>
      </c>
      <c r="J10" s="5">
        <v>52</v>
      </c>
      <c r="K10" s="5">
        <v>43</v>
      </c>
      <c r="L10" s="5">
        <v>55</v>
      </c>
      <c r="M10" s="5">
        <v>23</v>
      </c>
      <c r="N10" s="7"/>
      <c r="O10" s="7"/>
    </row>
    <row r="11" spans="2:15">
      <c r="B11" s="11" t="s">
        <v>83</v>
      </c>
      <c r="C11" s="8">
        <v>0.0638098573468049</v>
      </c>
      <c r="D11" s="8">
        <v>0.0395978315534352</v>
      </c>
      <c r="E11" s="8">
        <v>0.0514265647301405</v>
      </c>
      <c r="F11" s="9">
        <v>0.0524523845219065</v>
      </c>
      <c r="G11" s="9">
        <v>0.0653016660239729</v>
      </c>
      <c r="J11" s="8">
        <v>0.0527082435822711</v>
      </c>
      <c r="K11" s="8">
        <v>0.0464411603013938</v>
      </c>
      <c r="L11" s="8">
        <v>0.0561016991334927</v>
      </c>
      <c r="M11" s="8">
        <v>0.0234601778797239</v>
      </c>
      <c r="N11" s="7"/>
      <c r="O11" s="7"/>
    </row>
    <row r="12" spans="2:15">
      <c r="B12" s="2" t="s">
        <v>84</v>
      </c>
      <c r="C12" s="12">
        <v>0.48</v>
      </c>
      <c r="D12" s="12">
        <v>0.31</v>
      </c>
      <c r="E12" s="12">
        <v>0.37</v>
      </c>
      <c r="F12" s="13">
        <v>0.39215</v>
      </c>
      <c r="G12" s="13">
        <v>0.52963</v>
      </c>
      <c r="J12" s="12">
        <v>0.2</v>
      </c>
      <c r="K12" s="12">
        <v>0.17</v>
      </c>
      <c r="L12" s="12">
        <v>0.2</v>
      </c>
      <c r="M12" s="12">
        <v>0.0869</v>
      </c>
      <c r="N12" s="7"/>
      <c r="O12" s="7"/>
    </row>
    <row r="13" spans="2:15">
      <c r="B13" s="2" t="s">
        <v>85</v>
      </c>
      <c r="C13" s="14">
        <v>9.2</v>
      </c>
      <c r="D13" s="14">
        <v>9.2</v>
      </c>
      <c r="E13" s="14">
        <v>9.2</v>
      </c>
      <c r="F13" s="15">
        <v>268.3</v>
      </c>
      <c r="G13" s="15">
        <v>268.3</v>
      </c>
      <c r="J13" s="14">
        <v>9.2</v>
      </c>
      <c r="K13" s="14">
        <v>9.2</v>
      </c>
      <c r="L13" s="14">
        <v>9.2</v>
      </c>
      <c r="M13" s="14">
        <v>9.2</v>
      </c>
      <c r="N13" s="15">
        <v>268.3</v>
      </c>
      <c r="O13" s="15">
        <v>268.3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12.68</v>
      </c>
    </row>
    <row r="17" spans="2:7">
      <c r="B17" s="2" t="s">
        <v>94</v>
      </c>
      <c r="C17" s="5">
        <v>3036</v>
      </c>
    </row>
    <row r="18" spans="2:7">
      <c r="B18" s="2" t="s">
        <v>1</v>
      </c>
      <c r="C18" s="18">
        <f>IF(OR(C10="",C10&lt;=0),"",C$17/C10)</f>
        <v>24.8852459016393</v>
      </c>
      <c r="D18" s="18">
        <f>IF(OR(D10="",D10&lt;=0),"",C$17/D10)</f>
        <v>39.4285714285714</v>
      </c>
      <c r="E18" s="18">
        <f>IF(OR(E10="",E10&lt;=0),"",C$17/E10)</f>
        <v>31.9578947368421</v>
      </c>
      <c r="F18" s="19">
        <f>IF(OR(F10="",F10&lt;=0),"",C$17/F10)</f>
        <v>28.9142857142857</v>
      </c>
      <c r="G18" s="19">
        <f>IF(OR(G10="",G10&lt;=0),"",C$17/G10)</f>
        <v>21.3802816901408</v>
      </c>
    </row>
    <row r="19" spans="2:7">
      <c r="B19" s="2" t="s">
        <v>39</v>
      </c>
      <c r="C19" s="18">
        <f>IF(OR(C6="",C6=0),"",C$17/C6)</f>
        <v>1.59370078740157</v>
      </c>
      <c r="D19" s="18">
        <f>IF(OR(D6="",D6=0),"",C$17/D6)</f>
        <v>1.55932203389831</v>
      </c>
      <c r="E19" s="18">
        <f>IF(OR(E6="",E6=0),"",C$17/E6)</f>
        <v>1.64910374796306</v>
      </c>
      <c r="F19" s="19">
        <f>IF(OR(F6="",F6=0),"",C$17/F6)</f>
        <v>1.51345962113659</v>
      </c>
      <c r="G19" s="19">
        <f>IF(OR(G6="",G6=0),"",C$17/G6)</f>
        <v>1.39522058823529</v>
      </c>
    </row>
    <row r="21" spans="2:7">
      <c r="B21" s="20" t="s">
        <v>88</v>
      </c>
      <c r="F21" s="20">
        <v>7</v>
      </c>
      <c r="G21" s="20">
        <v>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98</v>
      </c>
    </row>
    <row r="4" spans="2:15">
      <c r="B4" s="2" t="s">
        <v>56</v>
      </c>
      <c r="F4" s="3">
        <v>46390</v>
      </c>
      <c r="G4" s="3">
        <v>46755</v>
      </c>
      <c r="N4" s="3">
        <v>46299</v>
      </c>
      <c r="O4" s="3">
        <v>46391</v>
      </c>
    </row>
    <row r="5" spans="2:15">
      <c r="B5" s="2" t="s">
        <v>78</v>
      </c>
      <c r="C5" s="4" t="s">
        <v>90</v>
      </c>
      <c r="D5" s="4" t="s">
        <v>79</v>
      </c>
      <c r="E5" s="4" t="s">
        <v>81</v>
      </c>
      <c r="F5" s="4" t="s">
        <v>59</v>
      </c>
      <c r="G5" s="4" t="s">
        <v>60</v>
      </c>
      <c r="J5" s="4" t="s">
        <v>92</v>
      </c>
      <c r="K5" s="4" t="s">
        <v>62</v>
      </c>
      <c r="L5" s="4" t="s">
        <v>63</v>
      </c>
      <c r="M5" s="4" t="s">
        <v>64</v>
      </c>
      <c r="N5" s="4" t="s">
        <v>65</v>
      </c>
      <c r="O5" s="4" t="s">
        <v>66</v>
      </c>
    </row>
    <row r="6" spans="2:15">
      <c r="B6" s="2" t="s">
        <v>68</v>
      </c>
      <c r="C6" s="5">
        <v>2243</v>
      </c>
      <c r="D6" s="5">
        <v>1755</v>
      </c>
      <c r="E6" s="5">
        <v>1874</v>
      </c>
      <c r="F6" s="6">
        <v>2001</v>
      </c>
      <c r="G6" s="6">
        <v>2114</v>
      </c>
      <c r="J6" s="5">
        <v>470</v>
      </c>
      <c r="K6" s="5">
        <v>518</v>
      </c>
      <c r="L6" s="5">
        <v>458</v>
      </c>
      <c r="M6" s="5">
        <v>506</v>
      </c>
      <c r="N6" s="7"/>
      <c r="O6" s="7"/>
    </row>
    <row r="7" spans="2:15">
      <c r="B7" s="2" t="s">
        <v>69</v>
      </c>
      <c r="C7" s="8">
        <v>-0.16459326579261</v>
      </c>
      <c r="D7" s="8">
        <v>-0.217530875206206</v>
      </c>
      <c r="E7" s="8">
        <v>0.0679772079772081</v>
      </c>
      <c r="F7" s="9">
        <v>0.0675860267833324</v>
      </c>
      <c r="G7" s="9">
        <v>0.0563002221980129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0.389005305631103</v>
      </c>
      <c r="D8" s="8">
        <v>0.445299145299145</v>
      </c>
      <c r="E8" s="8">
        <v>0.469561969802059</v>
      </c>
      <c r="F8" s="7"/>
      <c r="G8" s="7"/>
      <c r="J8" s="8">
        <v>0.473527535615564</v>
      </c>
      <c r="K8" s="8">
        <v>0.466280193236715</v>
      </c>
      <c r="L8" s="8">
        <v>0.475961538461538</v>
      </c>
      <c r="M8" s="8">
        <v>0.464652448657188</v>
      </c>
      <c r="N8" s="7"/>
      <c r="O8" s="7"/>
    </row>
    <row r="9" spans="2:15">
      <c r="B9" s="2" t="s">
        <v>71</v>
      </c>
      <c r="C9" s="8">
        <v>-0.030407062285434</v>
      </c>
      <c r="D9" s="8">
        <v>0.0575498575498576</v>
      </c>
      <c r="E9" s="8">
        <v>0.0801365843248146</v>
      </c>
      <c r="F9" s="7"/>
      <c r="G9" s="7"/>
      <c r="J9" s="8">
        <v>0.0842015734637465</v>
      </c>
      <c r="K9" s="8">
        <v>0.0944927536231884</v>
      </c>
      <c r="L9" s="8">
        <v>0.0740821678321678</v>
      </c>
      <c r="M9" s="8">
        <v>0.0934044233807267</v>
      </c>
      <c r="N9" s="7"/>
      <c r="O9" s="7"/>
    </row>
    <row r="10" spans="2:15">
      <c r="B10" s="2" t="s">
        <v>72</v>
      </c>
      <c r="C10" s="5">
        <v>-40</v>
      </c>
      <c r="D10" s="5">
        <v>48</v>
      </c>
      <c r="E10" s="5">
        <v>96</v>
      </c>
      <c r="F10" s="6">
        <v>135</v>
      </c>
      <c r="G10" s="6">
        <v>152</v>
      </c>
      <c r="J10" s="5">
        <v>25</v>
      </c>
      <c r="K10" s="5">
        <v>32</v>
      </c>
      <c r="L10" s="5">
        <v>20</v>
      </c>
      <c r="M10" s="5">
        <v>31</v>
      </c>
      <c r="N10" s="7"/>
      <c r="O10" s="7"/>
    </row>
    <row r="11" spans="2:15">
      <c r="B11" s="11" t="s">
        <v>83</v>
      </c>
      <c r="C11" s="8">
        <v>-0.0176557135850907</v>
      </c>
      <c r="D11" s="8">
        <v>0.0272934472934473</v>
      </c>
      <c r="E11" s="8">
        <v>0.0511124153017126</v>
      </c>
      <c r="F11" s="9">
        <v>0.0674386926305166</v>
      </c>
      <c r="G11" s="9">
        <v>0.0717742532015547</v>
      </c>
      <c r="J11" s="8">
        <v>0.05337018924091</v>
      </c>
      <c r="K11" s="8">
        <v>0.0614492753623188</v>
      </c>
      <c r="L11" s="8">
        <v>0.0441433566433566</v>
      </c>
      <c r="M11" s="8">
        <v>0.0616113744075829</v>
      </c>
      <c r="N11" s="7"/>
      <c r="O11" s="7"/>
    </row>
    <row r="12" spans="2:15">
      <c r="B12" s="2" t="s">
        <v>84</v>
      </c>
      <c r="C12" s="12">
        <v>-0.51</v>
      </c>
      <c r="D12" s="12">
        <v>0.58</v>
      </c>
      <c r="E12" s="12">
        <v>1.14</v>
      </c>
      <c r="F12" s="13">
        <v>1.64586</v>
      </c>
      <c r="G12" s="13">
        <v>1.85029</v>
      </c>
      <c r="J12" s="12">
        <v>0.3</v>
      </c>
      <c r="K12" s="12">
        <v>0.39</v>
      </c>
      <c r="L12" s="12">
        <v>0.24</v>
      </c>
      <c r="M12" s="12">
        <v>0.37</v>
      </c>
      <c r="N12" s="7"/>
      <c r="O12" s="7"/>
    </row>
    <row r="13" spans="2:15">
      <c r="B13" s="2" t="s">
        <v>85</v>
      </c>
      <c r="C13" s="14">
        <v>113</v>
      </c>
      <c r="D13" s="14">
        <v>113.7</v>
      </c>
      <c r="E13" s="14">
        <v>115.5</v>
      </c>
      <c r="F13" s="15">
        <v>82</v>
      </c>
      <c r="G13" s="15">
        <v>82</v>
      </c>
      <c r="J13" s="14">
        <v>115.3</v>
      </c>
      <c r="K13" s="14">
        <v>115.5</v>
      </c>
      <c r="L13" s="14">
        <v>116.3</v>
      </c>
      <c r="M13" s="14">
        <v>116.3</v>
      </c>
      <c r="N13" s="15">
        <v>82</v>
      </c>
      <c r="O13" s="15">
        <v>82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19.43</v>
      </c>
    </row>
    <row r="17" spans="2:7">
      <c r="B17" s="2" t="s">
        <v>87</v>
      </c>
      <c r="C17" s="5">
        <v>1593</v>
      </c>
    </row>
    <row r="18" spans="2:7">
      <c r="B18" s="2" t="s">
        <v>1</v>
      </c>
      <c r="C18" s="18" t="str">
        <f>IF(OR(C10="",C10&lt;=0),"",C$17/C10)</f>
        <v/>
      </c>
      <c r="D18" s="18">
        <f>IF(OR(D10="",D10&lt;=0),"",C$17/D10)</f>
        <v>33.1875</v>
      </c>
      <c r="E18" s="18">
        <f>IF(OR(E10="",E10&lt;=0),"",C$17/E10)</f>
        <v>16.59375</v>
      </c>
      <c r="F18" s="19">
        <f>IF(OR(F10="",F10&lt;=0),"",C$17/F10)</f>
        <v>11.8</v>
      </c>
      <c r="G18" s="19">
        <f>IF(OR(G10="",G10&lt;=0),"",C$17/G10)</f>
        <v>10.4802631578947</v>
      </c>
    </row>
    <row r="19" spans="2:7">
      <c r="B19" s="2" t="s">
        <v>39</v>
      </c>
      <c r="C19" s="18">
        <f>IF(OR(C6="",C6=0),"",C$17/C6)</f>
        <v>0.71020954079358</v>
      </c>
      <c r="D19" s="18">
        <f>IF(OR(D6="",D6=0),"",C$17/D6)</f>
        <v>0.907692307692308</v>
      </c>
      <c r="E19" s="18">
        <f>IF(OR(E6="",E6=0),"",C$17/E6)</f>
        <v>0.850053361792956</v>
      </c>
      <c r="F19" s="19">
        <f>IF(OR(F6="",F6=0),"",C$17/F6)</f>
        <v>0.796101949025487</v>
      </c>
      <c r="G19" s="19">
        <f>IF(OR(G6="",G6=0),"",C$17/G6)</f>
        <v>0.753547776726585</v>
      </c>
    </row>
    <row r="21" spans="2:7">
      <c r="B21" s="20" t="s">
        <v>88</v>
      </c>
      <c r="F21" s="20">
        <v>8</v>
      </c>
      <c r="G21" s="20">
        <v>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99</v>
      </c>
    </row>
    <row r="4" spans="2:15">
      <c r="B4" s="2" t="s">
        <v>56</v>
      </c>
      <c r="F4" s="3">
        <v>46474</v>
      </c>
      <c r="G4" s="3">
        <v>46840</v>
      </c>
      <c r="N4" s="3">
        <v>46295</v>
      </c>
      <c r="O4" s="3">
        <v>46386</v>
      </c>
    </row>
    <row r="5" spans="2:15">
      <c r="B5" s="2" t="s">
        <v>78</v>
      </c>
      <c r="C5" s="4" t="s">
        <v>79</v>
      </c>
      <c r="D5" s="4" t="s">
        <v>80</v>
      </c>
      <c r="E5" s="4" t="s">
        <v>81</v>
      </c>
      <c r="F5" s="4" t="s">
        <v>59</v>
      </c>
      <c r="G5" s="4" t="s">
        <v>60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5702</v>
      </c>
      <c r="D6" s="5">
        <v>5166</v>
      </c>
      <c r="E6" s="5">
        <v>4966</v>
      </c>
      <c r="F6" s="6">
        <v>4728</v>
      </c>
      <c r="G6" s="6">
        <v>4816</v>
      </c>
      <c r="J6" s="5">
        <v>1342</v>
      </c>
      <c r="K6" s="5">
        <v>1334</v>
      </c>
      <c r="L6" s="5">
        <v>1171</v>
      </c>
      <c r="M6" s="5">
        <v>1098</v>
      </c>
      <c r="N6" s="7"/>
      <c r="O6" s="7"/>
    </row>
    <row r="7" spans="2:15">
      <c r="B7" s="2" t="s">
        <v>69</v>
      </c>
      <c r="C7" s="8">
        <v>-0.0340979796431237</v>
      </c>
      <c r="D7" s="8">
        <v>-0.0940418062186167</v>
      </c>
      <c r="E7" s="8">
        <v>-0.0385805193678876</v>
      </c>
      <c r="F7" s="9">
        <v>-0.0479642771279627</v>
      </c>
      <c r="G7" s="9">
        <v>0.0185968726226204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0.461295828971467</v>
      </c>
      <c r="D8" s="8">
        <v>0.478830214276422</v>
      </c>
      <c r="E8" s="8">
        <v>0.454830791906362</v>
      </c>
      <c r="F8" s="7"/>
      <c r="G8" s="7"/>
      <c r="J8" s="8">
        <v>0.47866918350685</v>
      </c>
      <c r="K8" s="8">
        <v>0.447124772957101</v>
      </c>
      <c r="L8" s="8">
        <v>0.420128402499742</v>
      </c>
      <c r="M8" s="8">
        <v>0.540866560345087</v>
      </c>
      <c r="N8" s="7"/>
      <c r="O8" s="7"/>
    </row>
    <row r="9" spans="2:15">
      <c r="B9" s="2" t="s">
        <v>71</v>
      </c>
      <c r="C9" s="8">
        <v>0.0402939101303272</v>
      </c>
      <c r="D9" s="8">
        <v>0.0331196531559157</v>
      </c>
      <c r="E9" s="8">
        <v>-0.00712653306137078</v>
      </c>
      <c r="F9" s="7"/>
      <c r="G9" s="7"/>
      <c r="J9" s="8">
        <v>0.0455958773085106</v>
      </c>
      <c r="K9" s="8">
        <v>-0.0507391684701413</v>
      </c>
      <c r="L9" s="8">
        <v>-0.0219406213150882</v>
      </c>
      <c r="M9" s="8">
        <v>0.0425702255250121</v>
      </c>
      <c r="N9" s="7"/>
      <c r="O9" s="7"/>
    </row>
    <row r="10" spans="2:15">
      <c r="B10" s="2" t="s">
        <v>72</v>
      </c>
      <c r="C10" s="5">
        <v>232</v>
      </c>
      <c r="D10" s="5">
        <v>-201</v>
      </c>
      <c r="E10" s="5">
        <v>-496</v>
      </c>
      <c r="F10" s="6">
        <v>46</v>
      </c>
      <c r="G10" s="6">
        <v>81</v>
      </c>
      <c r="J10" s="5">
        <v>-19</v>
      </c>
      <c r="K10" s="5">
        <v>-431</v>
      </c>
      <c r="L10" s="5">
        <v>-43</v>
      </c>
      <c r="M10" s="5">
        <v>1</v>
      </c>
      <c r="N10" s="7"/>
      <c r="O10" s="7"/>
    </row>
    <row r="11" spans="2:15">
      <c r="B11" s="11" t="s">
        <v>83</v>
      </c>
      <c r="C11" s="8">
        <v>0.0406957075027373</v>
      </c>
      <c r="D11" s="8">
        <v>-0.0389624644576186</v>
      </c>
      <c r="E11" s="8">
        <v>-0.0997998538167716</v>
      </c>
      <c r="F11" s="9">
        <v>0.00981540262651254</v>
      </c>
      <c r="G11" s="9">
        <v>0.0167754372125325</v>
      </c>
      <c r="J11" s="8">
        <v>-0.0140149460975072</v>
      </c>
      <c r="K11" s="8">
        <v>-0.322959012712903</v>
      </c>
      <c r="L11" s="8">
        <v>-0.0370487063691499</v>
      </c>
      <c r="M11" s="8">
        <v>0.000496390015000997</v>
      </c>
      <c r="N11" s="7"/>
      <c r="O11" s="7"/>
    </row>
    <row r="12" spans="2:15">
      <c r="B12" s="2" t="s">
        <v>84</v>
      </c>
      <c r="C12" s="12">
        <v>0.53</v>
      </c>
      <c r="D12" s="12">
        <v>-0.47</v>
      </c>
      <c r="E12" s="12">
        <v>-1.16</v>
      </c>
      <c r="F12" s="13">
        <v>0.10879</v>
      </c>
      <c r="G12" s="13">
        <v>0.18939</v>
      </c>
      <c r="J12" s="12">
        <v>-0.0439</v>
      </c>
      <c r="K12" s="12">
        <v>-1.01</v>
      </c>
      <c r="L12" s="12">
        <v>-0.1</v>
      </c>
      <c r="M12" s="12">
        <v>0.0013</v>
      </c>
      <c r="N12" s="7"/>
      <c r="O12" s="7"/>
    </row>
    <row r="13" spans="2:15">
      <c r="B13" s="2" t="s">
        <v>85</v>
      </c>
      <c r="C13" s="14">
        <v>0.1</v>
      </c>
      <c r="D13" s="14">
        <v>0.1</v>
      </c>
      <c r="E13" s="14">
        <v>0.1</v>
      </c>
      <c r="F13" s="15">
        <v>426.6</v>
      </c>
      <c r="G13" s="15">
        <v>426.6</v>
      </c>
      <c r="J13" s="14">
        <v>0.1</v>
      </c>
      <c r="K13" s="14">
        <v>0.1</v>
      </c>
      <c r="L13" s="14">
        <v>0.1</v>
      </c>
      <c r="M13" s="14">
        <v>0.1</v>
      </c>
      <c r="N13" s="15">
        <v>426.6</v>
      </c>
      <c r="O13" s="15">
        <v>426.6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4.93</v>
      </c>
    </row>
    <row r="17" spans="2:7">
      <c r="B17" s="2" t="s">
        <v>87</v>
      </c>
      <c r="C17" s="5">
        <v>2103</v>
      </c>
    </row>
    <row r="18" spans="2:7">
      <c r="B18" s="2" t="s">
        <v>1</v>
      </c>
      <c r="C18" s="18">
        <f>IF(OR(C10="",C10&lt;=0),"",C$17/C10)</f>
        <v>9.06465517241379</v>
      </c>
      <c r="D18" s="18" t="str">
        <f>IF(OR(D10="",D10&lt;=0),"",C$17/D10)</f>
        <v/>
      </c>
      <c r="E18" s="18" t="str">
        <f>IF(OR(E10="",E10&lt;=0),"",C$17/E10)</f>
        <v/>
      </c>
      <c r="F18" s="19">
        <f>IF(OR(F10="",F10&lt;=0),"",C$17/F10)</f>
        <v>45.7173913043478</v>
      </c>
      <c r="G18" s="19">
        <f>IF(OR(G10="",G10&lt;=0),"",C$17/G10)</f>
        <v>25.962962962963</v>
      </c>
    </row>
    <row r="19" spans="2:7">
      <c r="B19" s="2" t="s">
        <v>39</v>
      </c>
      <c r="C19" s="18">
        <f>IF(OR(C6="",C6=0),"",C$17/C6)</f>
        <v>0.368817958611014</v>
      </c>
      <c r="D19" s="18">
        <f>IF(OR(D6="",D6=0),"",C$17/D6)</f>
        <v>0.407084785133566</v>
      </c>
      <c r="E19" s="18">
        <f>IF(OR(E6="",E6=0),"",C$17/E6)</f>
        <v>0.423479661699557</v>
      </c>
      <c r="F19" s="19">
        <f>IF(OR(F6="",F6=0),"",C$17/F6)</f>
        <v>0.444796954314721</v>
      </c>
      <c r="G19" s="19">
        <f>IF(OR(G6="",G6=0),"",C$17/G6)</f>
        <v>0.436669435215947</v>
      </c>
    </row>
    <row r="21" spans="2:7">
      <c r="B21" s="20" t="s">
        <v>88</v>
      </c>
      <c r="F21" s="20">
        <v>19</v>
      </c>
      <c r="G21" s="20">
        <v>19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100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1982</v>
      </c>
      <c r="D6" s="5">
        <v>2283</v>
      </c>
      <c r="E6" s="5">
        <v>2522</v>
      </c>
      <c r="F6" s="6">
        <v>2874</v>
      </c>
      <c r="G6" s="6">
        <v>3091</v>
      </c>
      <c r="J6" s="5">
        <v>668</v>
      </c>
      <c r="K6" s="5">
        <v>754</v>
      </c>
      <c r="L6" s="5">
        <v>650</v>
      </c>
      <c r="M6" s="5">
        <v>666</v>
      </c>
      <c r="N6" s="7"/>
      <c r="O6" s="7"/>
    </row>
    <row r="7" spans="2:15">
      <c r="B7" s="2" t="s">
        <v>69</v>
      </c>
      <c r="C7" s="8">
        <v>-0.0661764394024719</v>
      </c>
      <c r="D7" s="8">
        <v>0.152072939701713</v>
      </c>
      <c r="E7" s="8">
        <v>0.104511007141271</v>
      </c>
      <c r="F7" s="9">
        <v>0.139658767456746</v>
      </c>
      <c r="G7" s="9">
        <v>0.075695337924413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0.420075475049733</v>
      </c>
      <c r="D8" s="8">
        <v>0.410408217170326</v>
      </c>
      <c r="E8" s="8">
        <v>0.411211817246595</v>
      </c>
      <c r="F8" s="7"/>
      <c r="G8" s="7"/>
      <c r="J8" s="8">
        <v>0.415309751076175</v>
      </c>
      <c r="K8" s="8">
        <v>0.424306753350139</v>
      </c>
      <c r="L8" s="8">
        <v>0.544875781177847</v>
      </c>
      <c r="M8" s="8">
        <v>0.46504771988316</v>
      </c>
      <c r="N8" s="7"/>
      <c r="O8" s="7"/>
    </row>
    <row r="9" spans="2:15">
      <c r="B9" s="2" t="s">
        <v>71</v>
      </c>
      <c r="C9" s="8">
        <v>0.107601905951911</v>
      </c>
      <c r="D9" s="8">
        <v>0.0985309648534535</v>
      </c>
      <c r="E9" s="8">
        <v>0.0273248098962609</v>
      </c>
      <c r="F9" s="7"/>
      <c r="G9" s="7"/>
      <c r="J9" s="8">
        <v>0.0469518996818267</v>
      </c>
      <c r="K9" s="8">
        <v>0.0479925699880589</v>
      </c>
      <c r="L9" s="8">
        <v>0.147293969153096</v>
      </c>
      <c r="M9" s="8">
        <v>0.0590495070322062</v>
      </c>
      <c r="N9" s="7"/>
      <c r="O9" s="7"/>
    </row>
    <row r="10" spans="2:15">
      <c r="B10" s="2" t="s">
        <v>72</v>
      </c>
      <c r="C10" s="5">
        <v>172</v>
      </c>
      <c r="D10" s="5">
        <v>169</v>
      </c>
      <c r="E10" s="5">
        <v>45</v>
      </c>
      <c r="F10" s="6">
        <v>161</v>
      </c>
      <c r="G10" s="6">
        <v>202</v>
      </c>
      <c r="J10" s="5">
        <v>21</v>
      </c>
      <c r="K10" s="5">
        <v>23</v>
      </c>
      <c r="L10" s="5">
        <v>72</v>
      </c>
      <c r="M10" s="5">
        <v>28</v>
      </c>
      <c r="N10" s="7"/>
      <c r="O10" s="7"/>
    </row>
    <row r="11" spans="2:15">
      <c r="B11" s="11" t="s">
        <v>83</v>
      </c>
      <c r="C11" s="8">
        <v>0.0865742623822784</v>
      </c>
      <c r="D11" s="8">
        <v>0.0741986055620701</v>
      </c>
      <c r="E11" s="8">
        <v>0.0177119497064863</v>
      </c>
      <c r="F11" s="9">
        <v>0.0561327015338661</v>
      </c>
      <c r="G11" s="9">
        <v>0.0652476608973549</v>
      </c>
      <c r="J11" s="8">
        <v>0.0307362904735167</v>
      </c>
      <c r="K11" s="8">
        <v>0.030764229799655</v>
      </c>
      <c r="L11" s="8">
        <v>0.110553212449589</v>
      </c>
      <c r="M11" s="8">
        <v>0.0416405727887785</v>
      </c>
      <c r="N11" s="7"/>
      <c r="O11" s="7"/>
    </row>
    <row r="12" spans="2:15">
      <c r="B12" s="2" t="s">
        <v>84</v>
      </c>
      <c r="C12" s="12">
        <v>2.34</v>
      </c>
      <c r="D12" s="12">
        <v>2.38</v>
      </c>
      <c r="E12" s="12">
        <v>0.63</v>
      </c>
      <c r="F12" s="13">
        <v>2.2071</v>
      </c>
      <c r="G12" s="13">
        <v>2.75969</v>
      </c>
      <c r="J12" s="12">
        <v>0.29</v>
      </c>
      <c r="K12" s="12">
        <v>0.33</v>
      </c>
      <c r="L12" s="12">
        <v>1.01</v>
      </c>
      <c r="M12" s="12">
        <v>0.39</v>
      </c>
      <c r="N12" s="7"/>
      <c r="O12" s="7"/>
    </row>
    <row r="13" spans="2:15">
      <c r="B13" s="2" t="s">
        <v>85</v>
      </c>
      <c r="C13" s="14">
        <v>0</v>
      </c>
      <c r="D13" s="14">
        <v>0</v>
      </c>
      <c r="E13" s="14">
        <v>0</v>
      </c>
      <c r="F13" s="15">
        <v>73.1</v>
      </c>
      <c r="G13" s="15">
        <v>73.1</v>
      </c>
      <c r="J13" s="14">
        <v>0</v>
      </c>
      <c r="K13" s="14">
        <v>0</v>
      </c>
      <c r="L13" s="14">
        <v>0</v>
      </c>
      <c r="M13" s="14">
        <v>0</v>
      </c>
      <c r="N13" s="15">
        <v>73.1</v>
      </c>
      <c r="O13" s="15">
        <v>73.1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44.3</v>
      </c>
    </row>
    <row r="17" spans="2:7">
      <c r="B17" s="2" t="s">
        <v>87</v>
      </c>
      <c r="C17" s="5">
        <v>3238</v>
      </c>
    </row>
    <row r="18" spans="2:7">
      <c r="B18" s="2" t="s">
        <v>1</v>
      </c>
      <c r="C18" s="18">
        <f>IF(OR(C10="",C10&lt;=0),"",C$17/C10)</f>
        <v>18.8255813953488</v>
      </c>
      <c r="D18" s="18">
        <f>IF(OR(D10="",D10&lt;=0),"",C$17/D10)</f>
        <v>19.1597633136095</v>
      </c>
      <c r="E18" s="18">
        <f>IF(OR(E10="",E10&lt;=0),"",C$17/E10)</f>
        <v>71.9555555555555</v>
      </c>
      <c r="F18" s="19">
        <f>IF(OR(F10="",F10&lt;=0),"",C$17/F10)</f>
        <v>20.111801242236</v>
      </c>
      <c r="G18" s="19">
        <f>IF(OR(G10="",G10&lt;=0),"",C$17/G10)</f>
        <v>16.029702970297</v>
      </c>
    </row>
    <row r="19" spans="2:7">
      <c r="B19" s="2" t="s">
        <v>39</v>
      </c>
      <c r="C19" s="18">
        <f>IF(OR(C6="",C6=0),"",C$17/C6)</f>
        <v>1.63370332996973</v>
      </c>
      <c r="D19" s="18">
        <f>IF(OR(D6="",D6=0),"",C$17/D6)</f>
        <v>1.41830924222514</v>
      </c>
      <c r="E19" s="18">
        <f>IF(OR(E6="",E6=0),"",C$17/E6)</f>
        <v>1.28390166534496</v>
      </c>
      <c r="F19" s="19">
        <f>IF(OR(F6="",F6=0),"",C$17/F6)</f>
        <v>1.12665274878219</v>
      </c>
      <c r="G19" s="19">
        <f>IF(OR(G6="",G6=0),"",C$17/G6)</f>
        <v>1.04755742478162</v>
      </c>
    </row>
    <row r="21" spans="2:7">
      <c r="B21" s="20" t="s">
        <v>88</v>
      </c>
      <c r="F21" s="20">
        <v>6</v>
      </c>
      <c r="G21" s="20">
        <v>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101</v>
      </c>
    </row>
    <row r="4" spans="2:15">
      <c r="B4" s="2" t="s">
        <v>56</v>
      </c>
      <c r="F4" s="3">
        <v>46474</v>
      </c>
      <c r="G4" s="3">
        <v>46840</v>
      </c>
      <c r="N4" s="3">
        <v>46292</v>
      </c>
      <c r="O4" s="3">
        <v>46383</v>
      </c>
    </row>
    <row r="5" spans="2:15">
      <c r="B5" s="2" t="s">
        <v>78</v>
      </c>
      <c r="C5" s="4" t="s">
        <v>79</v>
      </c>
      <c r="D5" s="4" t="s">
        <v>80</v>
      </c>
      <c r="E5" s="4" t="s">
        <v>81</v>
      </c>
      <c r="F5" s="4" t="s">
        <v>59</v>
      </c>
      <c r="G5" s="4" t="s">
        <v>60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6631</v>
      </c>
      <c r="D6" s="5">
        <v>7079</v>
      </c>
      <c r="E6" s="5">
        <v>8114</v>
      </c>
      <c r="F6" s="6">
        <v>8687</v>
      </c>
      <c r="G6" s="6">
        <v>9147</v>
      </c>
      <c r="J6" s="5">
        <v>2011</v>
      </c>
      <c r="K6" s="5">
        <v>2406</v>
      </c>
      <c r="L6" s="5">
        <v>1979</v>
      </c>
      <c r="M6" s="5">
        <v>1960</v>
      </c>
      <c r="N6" s="7"/>
      <c r="O6" s="7"/>
    </row>
    <row r="7" spans="2:15">
      <c r="B7" s="2" t="s">
        <v>69</v>
      </c>
      <c r="C7" s="8">
        <v>0.0291451983363338</v>
      </c>
      <c r="D7" s="8">
        <v>0.0674970594444613</v>
      </c>
      <c r="E7" s="8">
        <v>0.146277722842209</v>
      </c>
      <c r="F7" s="9">
        <v>0.070537025694744</v>
      </c>
      <c r="G7" s="9">
        <v>0.053003545253405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0.668305335223331</v>
      </c>
      <c r="D8" s="8">
        <v>0.685534680039554</v>
      </c>
      <c r="E8" s="8">
        <v>0.698650563805533</v>
      </c>
      <c r="F8" s="7"/>
      <c r="G8" s="7"/>
      <c r="J8" s="8">
        <v>0.679564330830059</v>
      </c>
      <c r="K8" s="8">
        <v>0.698960930590191</v>
      </c>
      <c r="L8" s="8">
        <v>0.696821145196341</v>
      </c>
      <c r="M8" s="8">
        <v>0.736911929788754</v>
      </c>
      <c r="N8" s="7"/>
      <c r="O8" s="7"/>
    </row>
    <row r="9" spans="2:15">
      <c r="B9" s="2" t="s">
        <v>71</v>
      </c>
      <c r="C9" s="8">
        <v>0.114063395361462</v>
      </c>
      <c r="D9" s="8">
        <v>0.131671139991524</v>
      </c>
      <c r="E9" s="8">
        <v>0.145320105983117</v>
      </c>
      <c r="F9" s="7"/>
      <c r="G9" s="7"/>
      <c r="J9" s="8">
        <v>0.122196250062167</v>
      </c>
      <c r="K9" s="8">
        <v>0.209102244389027</v>
      </c>
      <c r="L9" s="8">
        <v>0.0792439480466973</v>
      </c>
      <c r="M9" s="8">
        <v>0.174711705276049</v>
      </c>
      <c r="N9" s="7"/>
      <c r="O9" s="7"/>
    </row>
    <row r="10" spans="2:15">
      <c r="B10" s="2" t="s">
        <v>72</v>
      </c>
      <c r="C10" s="5">
        <v>646</v>
      </c>
      <c r="D10" s="5">
        <v>743</v>
      </c>
      <c r="E10" s="5">
        <v>941</v>
      </c>
      <c r="F10" s="6">
        <v>1154</v>
      </c>
      <c r="G10" s="6">
        <v>1281</v>
      </c>
      <c r="J10" s="5">
        <v>208</v>
      </c>
      <c r="K10" s="5">
        <v>362</v>
      </c>
      <c r="L10" s="5">
        <v>152</v>
      </c>
      <c r="M10" s="5">
        <v>262</v>
      </c>
      <c r="N10" s="7"/>
      <c r="O10" s="7"/>
    </row>
    <row r="11" spans="2:15">
      <c r="B11" s="11" t="s">
        <v>83</v>
      </c>
      <c r="C11" s="8">
        <v>0.0974605663962361</v>
      </c>
      <c r="D11" s="8">
        <v>0.104944201158356</v>
      </c>
      <c r="E11" s="8">
        <v>0.11597757101485</v>
      </c>
      <c r="F11" s="9">
        <v>0.132866868583898</v>
      </c>
      <c r="G11" s="9">
        <v>0.140056378035384</v>
      </c>
      <c r="J11" s="8">
        <v>0.103197891281643</v>
      </c>
      <c r="K11" s="8">
        <v>0.150290939318371</v>
      </c>
      <c r="L11" s="8">
        <v>0.0766159599737201</v>
      </c>
      <c r="M11" s="8">
        <v>0.133789162159404</v>
      </c>
      <c r="N11" s="7"/>
      <c r="O11" s="7"/>
    </row>
    <row r="12" spans="2:15">
      <c r="B12" s="2" t="s">
        <v>84</v>
      </c>
      <c r="C12" s="12">
        <v>9.91</v>
      </c>
      <c r="D12" s="12">
        <v>11.86</v>
      </c>
      <c r="E12" s="12">
        <v>15.42</v>
      </c>
      <c r="F12" s="13">
        <v>18.92133</v>
      </c>
      <c r="G12" s="13">
        <v>21.00234</v>
      </c>
      <c r="J12" s="12">
        <v>3.32</v>
      </c>
      <c r="K12" s="12">
        <v>5.92</v>
      </c>
      <c r="L12" s="12">
        <v>2.49</v>
      </c>
      <c r="M12" s="12">
        <v>4.36</v>
      </c>
      <c r="N12" s="7"/>
      <c r="O12" s="7"/>
    </row>
    <row r="13" spans="2:15">
      <c r="B13" s="2" t="s">
        <v>85</v>
      </c>
      <c r="C13" s="14">
        <v>1.3</v>
      </c>
      <c r="D13" s="14">
        <v>1.3</v>
      </c>
      <c r="E13" s="14">
        <v>0</v>
      </c>
      <c r="F13" s="15">
        <v>61</v>
      </c>
      <c r="G13" s="15">
        <v>61</v>
      </c>
      <c r="J13" s="14">
        <v>1.3</v>
      </c>
      <c r="K13" s="14">
        <v>1.3</v>
      </c>
      <c r="L13" s="14">
        <v>0</v>
      </c>
      <c r="M13" s="14">
        <v>1.3</v>
      </c>
      <c r="N13" s="15">
        <v>61</v>
      </c>
      <c r="O13" s="15">
        <v>61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371.28</v>
      </c>
    </row>
    <row r="17" spans="2:7">
      <c r="B17" s="2" t="s">
        <v>87</v>
      </c>
      <c r="C17" s="5">
        <v>22648</v>
      </c>
    </row>
    <row r="18" spans="2:7">
      <c r="B18" s="2" t="s">
        <v>1</v>
      </c>
      <c r="C18" s="18">
        <f>IF(OR(C10="",C10&lt;=0),"",C$17/C10)</f>
        <v>35.0588235294118</v>
      </c>
      <c r="D18" s="18">
        <f>IF(OR(D10="",D10&lt;=0),"",C$17/D10)</f>
        <v>30.4818304172275</v>
      </c>
      <c r="E18" s="18">
        <f>IF(OR(E10="",E10&lt;=0),"",C$17/E10)</f>
        <v>24.0680127523911</v>
      </c>
      <c r="F18" s="19">
        <f>IF(OR(F10="",F10&lt;=0),"",C$17/F10)</f>
        <v>19.6256499133449</v>
      </c>
      <c r="G18" s="19">
        <f>IF(OR(G10="",G10&lt;=0),"",C$17/G10)</f>
        <v>17.67993754879</v>
      </c>
    </row>
    <row r="19" spans="2:7">
      <c r="B19" s="2" t="s">
        <v>39</v>
      </c>
      <c r="C19" s="18">
        <f>IF(OR(C6="",C6=0),"",C$17/C6)</f>
        <v>3.41547277936963</v>
      </c>
      <c r="D19" s="18">
        <f>IF(OR(D6="",D6=0),"",C$17/D6)</f>
        <v>3.19932193812685</v>
      </c>
      <c r="E19" s="18">
        <f>IF(OR(E6="",E6=0),"",C$17/E6)</f>
        <v>2.79122504313532</v>
      </c>
      <c r="F19" s="19">
        <f>IF(OR(F6="",F6=0),"",C$17/F6)</f>
        <v>2.60711407850812</v>
      </c>
      <c r="G19" s="19">
        <f>IF(OR(G6="",G6=0),"",C$17/G6)</f>
        <v>2.47600306111293</v>
      </c>
    </row>
    <row r="21" spans="2:7">
      <c r="B21" s="20" t="s">
        <v>88</v>
      </c>
      <c r="F21" s="20">
        <v>13</v>
      </c>
      <c r="G21" s="20">
        <v>13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102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8602</v>
      </c>
      <c r="D6" s="5">
        <v>8817</v>
      </c>
      <c r="E6" s="5">
        <v>7296</v>
      </c>
      <c r="F6" s="6">
        <v>6911</v>
      </c>
      <c r="G6" s="6">
        <v>7273</v>
      </c>
      <c r="J6" s="5">
        <v>2042</v>
      </c>
      <c r="K6" s="5">
        <v>1322</v>
      </c>
      <c r="L6" s="5">
        <v>1864</v>
      </c>
      <c r="M6" s="5">
        <v>1691</v>
      </c>
      <c r="N6" s="7"/>
      <c r="O6" s="7"/>
    </row>
    <row r="7" spans="2:15">
      <c r="B7" s="2" t="s">
        <v>69</v>
      </c>
      <c r="C7" s="8">
        <v>0.016136844219206</v>
      </c>
      <c r="D7" s="8">
        <v>0.0250531871606776</v>
      </c>
      <c r="E7" s="8">
        <v>-0.172503742684752</v>
      </c>
      <c r="F7" s="9">
        <v>-0.0528587204298128</v>
      </c>
      <c r="G7" s="9">
        <v>0.0525212477542489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0.463466524059198</v>
      </c>
      <c r="D8" s="8">
        <v>0.473846572608084</v>
      </c>
      <c r="E8" s="8">
        <v>0.449494257284614</v>
      </c>
      <c r="F8" s="7"/>
      <c r="G8" s="7"/>
      <c r="J8" s="8">
        <v>0.451442284147118</v>
      </c>
      <c r="K8" s="8">
        <v>0.397035468501853</v>
      </c>
      <c r="L8" s="8">
        <v>0.476982508852881</v>
      </c>
      <c r="M8" s="8">
        <v>0.480480302851059</v>
      </c>
      <c r="N8" s="7"/>
      <c r="O8" s="7"/>
    </row>
    <row r="9" spans="2:15">
      <c r="B9" s="2" t="s">
        <v>71</v>
      </c>
      <c r="C9" s="8">
        <v>0.0722647848681075</v>
      </c>
      <c r="D9" s="8">
        <v>0.0705439368507009</v>
      </c>
      <c r="E9" s="8">
        <v>-0.0489569913105452</v>
      </c>
      <c r="F9" s="7"/>
      <c r="G9" s="7"/>
      <c r="J9" s="8">
        <v>0.0214016357314266</v>
      </c>
      <c r="K9" s="8">
        <v>-0.262043409211223</v>
      </c>
      <c r="L9" s="8">
        <v>0.0278463354437171</v>
      </c>
      <c r="M9" s="8">
        <v>-0.0356678102448835</v>
      </c>
      <c r="N9" s="7"/>
      <c r="O9" s="7"/>
    </row>
    <row r="10" spans="2:15">
      <c r="B10" s="2" t="s">
        <v>72</v>
      </c>
      <c r="C10" s="5">
        <v>305</v>
      </c>
      <c r="D10" s="5">
        <v>282</v>
      </c>
      <c r="E10" s="5">
        <v>-646</v>
      </c>
      <c r="F10" s="6">
        <v>-228</v>
      </c>
      <c r="G10" s="6">
        <v>37</v>
      </c>
      <c r="J10" s="5">
        <v>-62</v>
      </c>
      <c r="K10" s="5">
        <v>-337</v>
      </c>
      <c r="L10" s="5">
        <v>26</v>
      </c>
      <c r="M10" s="5">
        <v>-73</v>
      </c>
      <c r="N10" s="7"/>
      <c r="O10" s="7"/>
    </row>
    <row r="11" spans="2:15">
      <c r="B11" s="11" t="s">
        <v>83</v>
      </c>
      <c r="C11" s="8">
        <v>0.0354464815094691</v>
      </c>
      <c r="D11" s="8">
        <v>0.0319375765549154</v>
      </c>
      <c r="E11" s="8">
        <v>-0.0884707107809545</v>
      </c>
      <c r="F11" s="9">
        <v>-0.0329251937857034</v>
      </c>
      <c r="G11" s="9">
        <v>0.00509945224268945</v>
      </c>
      <c r="J11" s="8">
        <v>-0.0305597727606641</v>
      </c>
      <c r="K11" s="8">
        <v>-0.254556454662331</v>
      </c>
      <c r="L11" s="8">
        <v>0.0142182637622062</v>
      </c>
      <c r="M11" s="8">
        <v>-0.0430616349225127</v>
      </c>
      <c r="N11" s="7"/>
      <c r="O11" s="7"/>
    </row>
    <row r="12" spans="2:15">
      <c r="B12" s="2" t="s">
        <v>84</v>
      </c>
      <c r="C12" s="12">
        <v>2.03</v>
      </c>
      <c r="D12" s="12">
        <v>1.89</v>
      </c>
      <c r="E12" s="12">
        <v>-4.37</v>
      </c>
      <c r="F12" s="13">
        <v>-1.54563</v>
      </c>
      <c r="G12" s="13">
        <v>0.25196</v>
      </c>
      <c r="J12" s="12">
        <v>-0.4334</v>
      </c>
      <c r="K12" s="12">
        <v>-2.27</v>
      </c>
      <c r="L12" s="12">
        <v>0.18</v>
      </c>
      <c r="M12" s="12">
        <v>-0.49</v>
      </c>
      <c r="N12" s="7"/>
      <c r="O12" s="7"/>
    </row>
    <row r="13" spans="2:15">
      <c r="B13" s="2" t="s">
        <v>85</v>
      </c>
      <c r="C13" s="14">
        <v>150.8</v>
      </c>
      <c r="D13" s="14">
        <v>149.7</v>
      </c>
      <c r="E13" s="14">
        <v>148</v>
      </c>
      <c r="F13" s="15">
        <v>147.2</v>
      </c>
      <c r="G13" s="15">
        <v>147.2</v>
      </c>
      <c r="J13" s="14">
        <v>0</v>
      </c>
      <c r="K13" s="14">
        <v>148</v>
      </c>
      <c r="L13" s="14">
        <v>0</v>
      </c>
      <c r="M13" s="14">
        <v>148</v>
      </c>
      <c r="N13" s="15">
        <v>147.2</v>
      </c>
      <c r="O13" s="15">
        <v>147.2</v>
      </c>
    </row>
    <row r="15" spans="2:15">
      <c r="B15" s="2" t="s">
        <v>74</v>
      </c>
      <c r="C15" s="16">
        <v>46307</v>
      </c>
    </row>
    <row r="16" spans="2:15">
      <c r="B16" s="2" t="s">
        <v>93</v>
      </c>
      <c r="C16" s="17">
        <v>22.99</v>
      </c>
    </row>
    <row r="17" spans="2:7">
      <c r="B17" s="2" t="s">
        <v>94</v>
      </c>
      <c r="C17" s="5">
        <v>3384</v>
      </c>
    </row>
    <row r="18" spans="2:7">
      <c r="B18" s="2" t="s">
        <v>1</v>
      </c>
      <c r="C18" s="18">
        <f>IF(OR(C10="",C10&lt;=0),"",C$17/C10)</f>
        <v>11.0950819672131</v>
      </c>
      <c r="D18" s="18">
        <f>IF(OR(D10="",D10&lt;=0),"",C$17/D10)</f>
        <v>12</v>
      </c>
      <c r="E18" s="18" t="str">
        <f>IF(OR(E10="",E10&lt;=0),"",C$17/E10)</f>
        <v/>
      </c>
      <c r="F18" s="19" t="str">
        <f>IF(OR(F10="",F10&lt;=0),"",C$17/F10)</f>
        <v/>
      </c>
      <c r="G18" s="19">
        <f>IF(OR(G10="",G10&lt;=0),"",C$17/G10)</f>
        <v>91.4594594594595</v>
      </c>
    </row>
    <row r="19" spans="2:7">
      <c r="B19" s="2" t="s">
        <v>39</v>
      </c>
      <c r="C19" s="18">
        <f>IF(OR(C6="",C6=0),"",C$17/C6)</f>
        <v>0.393396884445478</v>
      </c>
      <c r="D19" s="18">
        <f>IF(OR(D6="",D6=0),"",C$17/D6)</f>
        <v>0.383804014971079</v>
      </c>
      <c r="E19" s="18">
        <f>IF(OR(E6="",E6=0),"",C$17/E6)</f>
        <v>0.463815789473684</v>
      </c>
      <c r="F19" s="19">
        <f>IF(OR(F6="",F6=0),"",C$17/F6)</f>
        <v>0.489654174504413</v>
      </c>
      <c r="G19" s="19">
        <f>IF(OR(G6="",G6=0),"",C$17/G6)</f>
        <v>0.465282551904304</v>
      </c>
    </row>
    <row r="21" spans="2:7">
      <c r="B21" s="20" t="s">
        <v>88</v>
      </c>
      <c r="F21" s="20">
        <v>19</v>
      </c>
      <c r="G21" s="20">
        <v>19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tabSelected="1" workbookViewId="0">
      <selection activeCell="G1" sqref="G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103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1792</v>
      </c>
      <c r="D6" s="5">
        <v>2318</v>
      </c>
      <c r="E6" s="5">
        <v>3014</v>
      </c>
      <c r="F6" s="6">
        <v>3513</v>
      </c>
      <c r="G6" s="6">
        <v>4180</v>
      </c>
      <c r="J6" s="5">
        <v>794</v>
      </c>
      <c r="K6" s="5">
        <v>744</v>
      </c>
      <c r="L6" s="5">
        <v>850</v>
      </c>
      <c r="M6" s="5">
        <v>850</v>
      </c>
      <c r="N6" s="7"/>
      <c r="O6" s="7"/>
    </row>
    <row r="7" spans="2:15">
      <c r="B7" s="2" t="s">
        <v>69</v>
      </c>
      <c r="C7" s="8">
        <v>0.466410277391375</v>
      </c>
      <c r="D7" s="8">
        <v>0.293622007700463</v>
      </c>
      <c r="E7" s="8">
        <v>0.300090583617306</v>
      </c>
      <c r="F7" s="9">
        <v>0.165648259124088</v>
      </c>
      <c r="G7" s="9">
        <v>0.189869729092619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0.595558283577925</v>
      </c>
      <c r="D8" s="8">
        <v>0.606349480222577</v>
      </c>
      <c r="E8" s="8">
        <v>0.628268082282681</v>
      </c>
      <c r="F8" s="7"/>
      <c r="G8" s="7"/>
      <c r="J8" s="8">
        <v>0.657351460221551</v>
      </c>
      <c r="K8" s="8">
        <v>0.639015864479699</v>
      </c>
      <c r="L8" s="8">
        <v>0.642264694019893</v>
      </c>
      <c r="M8" s="8">
        <v>0.653534046807009</v>
      </c>
      <c r="N8" s="7"/>
      <c r="O8" s="7"/>
    </row>
    <row r="9" spans="2:15">
      <c r="B9" s="2" t="s">
        <v>71</v>
      </c>
      <c r="C9" s="8">
        <v>0.100552424529881</v>
      </c>
      <c r="D9" s="8">
        <v>0.0912737781995428</v>
      </c>
      <c r="E9" s="8">
        <v>0.125082946250829</v>
      </c>
      <c r="F9" s="7"/>
      <c r="G9" s="7"/>
      <c r="J9" s="8">
        <v>0.156973816717019</v>
      </c>
      <c r="K9" s="8">
        <v>0.110916913148696</v>
      </c>
      <c r="L9" s="8">
        <v>0.141122730709499</v>
      </c>
      <c r="M9" s="8">
        <v>0.140421027872516</v>
      </c>
      <c r="N9" s="7"/>
      <c r="O9" s="7"/>
    </row>
    <row r="10" spans="2:15">
      <c r="B10" s="2" t="s">
        <v>72</v>
      </c>
      <c r="C10" s="5">
        <v>80</v>
      </c>
      <c r="D10" s="5">
        <v>242</v>
      </c>
      <c r="E10" s="5">
        <v>204</v>
      </c>
      <c r="F10" s="6">
        <v>478</v>
      </c>
      <c r="G10" s="6">
        <v>564</v>
      </c>
      <c r="J10" s="5">
        <v>119</v>
      </c>
      <c r="K10" s="5">
        <v>69</v>
      </c>
      <c r="L10" s="5">
        <v>106</v>
      </c>
      <c r="M10" s="5">
        <v>105</v>
      </c>
      <c r="N10" s="7"/>
      <c r="O10" s="7"/>
    </row>
    <row r="11" spans="2:15">
      <c r="B11" s="11" t="s">
        <v>83</v>
      </c>
      <c r="C11" s="8">
        <v>0.0444171642207466</v>
      </c>
      <c r="D11" s="8">
        <v>0.104516240348531</v>
      </c>
      <c r="E11" s="8">
        <v>0.0675846051758461</v>
      </c>
      <c r="F11" s="9">
        <v>0.136092303061197</v>
      </c>
      <c r="G11" s="9">
        <v>0.134928998193362</v>
      </c>
      <c r="J11" s="8">
        <v>0.149672708962739</v>
      </c>
      <c r="K11" s="8">
        <v>0.0929013175584835</v>
      </c>
      <c r="L11" s="8">
        <v>0.124173577868184</v>
      </c>
      <c r="M11" s="8">
        <v>0.123485828531107</v>
      </c>
      <c r="N11" s="7"/>
      <c r="O11" s="7"/>
    </row>
    <row r="12" spans="2:15">
      <c r="B12" s="2" t="s">
        <v>84</v>
      </c>
      <c r="C12" s="12">
        <v>0.25</v>
      </c>
      <c r="D12" s="12">
        <v>0.71</v>
      </c>
      <c r="E12" s="12">
        <v>0.62</v>
      </c>
      <c r="F12" s="13">
        <v>1.4344</v>
      </c>
      <c r="G12" s="13">
        <v>1.69216</v>
      </c>
      <c r="J12" s="12">
        <v>0.36</v>
      </c>
      <c r="K12" s="12">
        <v>0.21</v>
      </c>
      <c r="L12" s="12">
        <v>0.32</v>
      </c>
      <c r="M12" s="12">
        <v>0.31</v>
      </c>
      <c r="N12" s="7"/>
      <c r="O12" s="7"/>
    </row>
    <row r="13" spans="2:15">
      <c r="B13" s="2" t="s">
        <v>85</v>
      </c>
      <c r="C13" s="14">
        <v>33.5</v>
      </c>
      <c r="D13" s="14">
        <v>33.7</v>
      </c>
      <c r="E13" s="14">
        <v>34.1</v>
      </c>
      <c r="F13" s="15">
        <v>333.3</v>
      </c>
      <c r="G13" s="15">
        <v>333.3</v>
      </c>
      <c r="J13" s="14">
        <v>34</v>
      </c>
      <c r="K13" s="14">
        <v>34.1</v>
      </c>
      <c r="L13" s="14">
        <v>34</v>
      </c>
      <c r="M13" s="14">
        <v>34.1</v>
      </c>
      <c r="N13" s="15">
        <v>333.3</v>
      </c>
      <c r="O13" s="15">
        <v>333.3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35.09</v>
      </c>
    </row>
    <row r="17" spans="2:7">
      <c r="B17" s="2" t="s">
        <v>104</v>
      </c>
      <c r="C17" s="5">
        <v>9727</v>
      </c>
    </row>
    <row r="18" spans="2:7">
      <c r="B18" s="2" t="s">
        <v>1</v>
      </c>
      <c r="C18" s="18">
        <f>IF(OR(C10="",C10&lt;=0),"",C$17/C10)</f>
        <v>121.5875</v>
      </c>
      <c r="D18" s="18">
        <f>IF(OR(D10="",D10&lt;=0),"",C$17/D10)</f>
        <v>40.1942148760331</v>
      </c>
      <c r="E18" s="18">
        <f>IF(OR(E10="",E10&lt;=0),"",C$17/E10)</f>
        <v>47.6813725490196</v>
      </c>
      <c r="F18" s="19">
        <f>IF(OR(F10="",F10&lt;=0),"",C$17/F10)</f>
        <v>20.3493723849372</v>
      </c>
      <c r="G18" s="19">
        <f>IF(OR(G10="",G10&lt;=0),"",C$17/G10)</f>
        <v>17.2464539007092</v>
      </c>
    </row>
    <row r="19" spans="2:7">
      <c r="B19" s="2" t="s">
        <v>39</v>
      </c>
      <c r="C19" s="18">
        <f>IF(OR(C6="",C6=0),"",C$17/C6)</f>
        <v>5.42801339285714</v>
      </c>
      <c r="D19" s="18">
        <f>IF(OR(D6="",D6=0),"",C$17/D6)</f>
        <v>4.1962899050906</v>
      </c>
      <c r="E19" s="18">
        <f>IF(OR(E6="",E6=0),"",C$17/E6)</f>
        <v>3.22727272727273</v>
      </c>
      <c r="F19" s="19">
        <f>IF(OR(F6="",F6=0),"",C$17/F6)</f>
        <v>2.7688585254768</v>
      </c>
      <c r="G19" s="19">
        <f>IF(OR(G6="",G6=0),"",C$17/G6)</f>
        <v>2.32703349282297</v>
      </c>
    </row>
    <row r="21" spans="2:7">
      <c r="B21" s="20" t="s">
        <v>88</v>
      </c>
      <c r="F21" s="20">
        <v>22</v>
      </c>
      <c r="G21" s="20">
        <v>23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105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8133</v>
      </c>
      <c r="D6" s="5">
        <v>7582</v>
      </c>
      <c r="E6" s="5">
        <v>7204</v>
      </c>
      <c r="F6" s="6">
        <v>7330</v>
      </c>
      <c r="G6" s="6">
        <v>7438</v>
      </c>
      <c r="J6" s="5">
        <v>1806</v>
      </c>
      <c r="K6" s="5">
        <v>1897</v>
      </c>
      <c r="L6" s="5">
        <v>1549</v>
      </c>
      <c r="M6" s="5">
        <v>1994</v>
      </c>
      <c r="N6" s="7"/>
      <c r="O6" s="7"/>
    </row>
    <row r="7" spans="2:15">
      <c r="B7" s="2" t="s">
        <v>69</v>
      </c>
      <c r="C7" s="8">
        <v>-0.140183951791944</v>
      </c>
      <c r="D7" s="8">
        <v>-0.0677486782245174</v>
      </c>
      <c r="E7" s="8">
        <v>-0.0498549195462938</v>
      </c>
      <c r="F7" s="9">
        <v>0.0174501179900055</v>
      </c>
      <c r="G7" s="9">
        <v>0.0147951991802022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0.299889339727038</v>
      </c>
      <c r="D8" s="8">
        <v>0.336059087312055</v>
      </c>
      <c r="E8" s="8">
        <v>0.337590227651305</v>
      </c>
      <c r="F8" s="7"/>
      <c r="G8" s="7"/>
      <c r="J8" s="8">
        <v>0.34108527131783</v>
      </c>
      <c r="K8" s="8">
        <v>0.331049024775962</v>
      </c>
      <c r="L8" s="8">
        <v>0.331181407359587</v>
      </c>
      <c r="M8" s="8">
        <v>0.407221664994985</v>
      </c>
      <c r="N8" s="7"/>
      <c r="O8" s="7"/>
    </row>
    <row r="9" spans="2:15">
      <c r="B9" s="2" t="s">
        <v>71</v>
      </c>
      <c r="C9" s="8">
        <v>-0.0104512480019673</v>
      </c>
      <c r="D9" s="8">
        <v>0.00883671854391981</v>
      </c>
      <c r="E9" s="8">
        <v>0.0620488617434758</v>
      </c>
      <c r="F9" s="7"/>
      <c r="G9" s="7"/>
      <c r="J9" s="8">
        <v>0.0658914728682171</v>
      </c>
      <c r="K9" s="8">
        <v>0.0716921454928835</v>
      </c>
      <c r="L9" s="8">
        <v>0.0322788896061975</v>
      </c>
      <c r="M9" s="8">
        <v>0.141925777331996</v>
      </c>
      <c r="N9" s="7"/>
      <c r="O9" s="7"/>
    </row>
    <row r="10" spans="2:15">
      <c r="B10" s="2" t="s">
        <v>72</v>
      </c>
      <c r="C10" s="5">
        <v>-388</v>
      </c>
      <c r="D10" s="5">
        <v>-216</v>
      </c>
      <c r="E10" s="5">
        <v>-285</v>
      </c>
      <c r="F10" s="6">
        <v>323</v>
      </c>
      <c r="G10" s="6">
        <v>291</v>
      </c>
      <c r="J10" s="5">
        <v>21</v>
      </c>
      <c r="K10" s="5">
        <v>-315</v>
      </c>
      <c r="L10" s="5">
        <v>-33</v>
      </c>
      <c r="M10" s="5">
        <v>106</v>
      </c>
      <c r="N10" s="7"/>
      <c r="O10" s="7"/>
    </row>
    <row r="11" spans="2:15">
      <c r="B11" s="11" t="s">
        <v>83</v>
      </c>
      <c r="C11" s="8">
        <v>-0.0477068732325095</v>
      </c>
      <c r="D11" s="8">
        <v>-0.0284885254550251</v>
      </c>
      <c r="E11" s="8">
        <v>-0.0395613548028873</v>
      </c>
      <c r="F11" s="9">
        <v>0.0440864024399563</v>
      </c>
      <c r="G11" s="9">
        <v>0.0391624642457216</v>
      </c>
      <c r="J11" s="8">
        <v>0.0116279069767442</v>
      </c>
      <c r="K11" s="8">
        <v>-0.166051660516605</v>
      </c>
      <c r="L11" s="8">
        <v>-0.0213040671400904</v>
      </c>
      <c r="M11" s="8">
        <v>0.0531594784353059</v>
      </c>
      <c r="N11" s="7"/>
      <c r="O11" s="7"/>
    </row>
    <row r="12" spans="2:15">
      <c r="B12" s="2" t="s">
        <v>84</v>
      </c>
      <c r="C12" s="12">
        <v>-0.94</v>
      </c>
      <c r="D12" s="12">
        <v>-0.52</v>
      </c>
      <c r="E12" s="12">
        <v>-0.68</v>
      </c>
      <c r="F12" s="13">
        <v>0.76046</v>
      </c>
      <c r="G12" s="13">
        <v>0.68552</v>
      </c>
      <c r="J12" s="12">
        <v>0.0501</v>
      </c>
      <c r="K12" s="12">
        <v>-0.75</v>
      </c>
      <c r="L12" s="12">
        <v>-0.0783</v>
      </c>
      <c r="M12" s="12">
        <v>0.25</v>
      </c>
      <c r="N12" s="7"/>
      <c r="O12" s="7"/>
    </row>
    <row r="13" spans="2:15">
      <c r="B13" s="2" t="s">
        <v>85</v>
      </c>
      <c r="C13" s="14">
        <v>440</v>
      </c>
      <c r="D13" s="14">
        <v>442</v>
      </c>
      <c r="E13" s="14">
        <v>447</v>
      </c>
      <c r="F13" s="15">
        <v>424.9</v>
      </c>
      <c r="G13" s="15">
        <v>424.9</v>
      </c>
      <c r="J13" s="14">
        <v>447</v>
      </c>
      <c r="K13" s="14">
        <v>447</v>
      </c>
      <c r="L13" s="14">
        <v>457</v>
      </c>
      <c r="M13" s="14">
        <v>457</v>
      </c>
      <c r="N13" s="15">
        <v>424.9</v>
      </c>
      <c r="O13" s="15">
        <v>424.9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5.64</v>
      </c>
    </row>
    <row r="17" spans="2:7">
      <c r="B17" s="2" t="s">
        <v>87</v>
      </c>
      <c r="C17" s="5">
        <v>2397</v>
      </c>
    </row>
    <row r="18" spans="2:7">
      <c r="B18" s="2" t="s">
        <v>1</v>
      </c>
      <c r="C18" s="18" t="str">
        <f>IF(OR(C10="",C10&lt;=0),"",C$17/C10)</f>
        <v/>
      </c>
      <c r="D18" s="18" t="str">
        <f>IF(OR(D10="",D10&lt;=0),"",C$17/D10)</f>
        <v/>
      </c>
      <c r="E18" s="18" t="str">
        <f>IF(OR(E10="",E10&lt;=0),"",C$17/E10)</f>
        <v/>
      </c>
      <c r="F18" s="19">
        <f>IF(OR(F10="",F10&lt;=0),"",C$17/F10)</f>
        <v>7.42105263157895</v>
      </c>
      <c r="G18" s="19">
        <f>IF(OR(G10="",G10&lt;=0),"",C$17/G10)</f>
        <v>8.23711340206185</v>
      </c>
    </row>
    <row r="19" spans="2:7">
      <c r="B19" s="2" t="s">
        <v>39</v>
      </c>
      <c r="C19" s="18">
        <f>IF(OR(C6="",C6=0),"",C$17/C6)</f>
        <v>0.294725193655478</v>
      </c>
      <c r="D19" s="18">
        <f>IF(OR(D6="",D6=0),"",C$17/D6)</f>
        <v>0.316143497757848</v>
      </c>
      <c r="E19" s="18">
        <f>IF(OR(E6="",E6=0),"",C$17/E6)</f>
        <v>0.332731815657968</v>
      </c>
      <c r="F19" s="19">
        <f>IF(OR(F6="",F6=0),"",C$17/F6)</f>
        <v>0.327012278308322</v>
      </c>
      <c r="G19" s="19">
        <f>IF(OR(G6="",G6=0),"",C$17/G6)</f>
        <v>0.322264049475666</v>
      </c>
    </row>
    <row r="21" spans="2:7">
      <c r="B21" s="20" t="s">
        <v>88</v>
      </c>
      <c r="F21" s="20">
        <v>7</v>
      </c>
      <c r="G21" s="20">
        <v>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106</v>
      </c>
    </row>
    <row r="4" spans="2:15">
      <c r="B4" s="2" t="s">
        <v>56</v>
      </c>
      <c r="F4" s="3">
        <v>46419</v>
      </c>
      <c r="G4" s="3">
        <v>46784</v>
      </c>
      <c r="N4" s="3">
        <v>46328</v>
      </c>
      <c r="O4" s="3">
        <v>46420</v>
      </c>
    </row>
    <row r="5" spans="2:15">
      <c r="B5" s="2" t="s">
        <v>78</v>
      </c>
      <c r="C5" s="4" t="s">
        <v>79</v>
      </c>
      <c r="D5" s="4" t="s">
        <v>80</v>
      </c>
      <c r="E5" s="4" t="s">
        <v>81</v>
      </c>
      <c r="F5" s="4" t="s">
        <v>59</v>
      </c>
      <c r="G5" s="4" t="s">
        <v>60</v>
      </c>
      <c r="J5" s="4" t="s">
        <v>82</v>
      </c>
      <c r="K5" s="4" t="s">
        <v>62</v>
      </c>
      <c r="L5" s="4" t="s">
        <v>63</v>
      </c>
      <c r="M5" s="4" t="s">
        <v>64</v>
      </c>
      <c r="N5" s="4" t="s">
        <v>65</v>
      </c>
      <c r="O5" s="4" t="s">
        <v>66</v>
      </c>
    </row>
    <row r="6" spans="2:15">
      <c r="B6" s="2" t="s">
        <v>68</v>
      </c>
      <c r="C6" s="5">
        <v>9619</v>
      </c>
      <c r="D6" s="5">
        <v>10588</v>
      </c>
      <c r="E6" s="5">
        <v>11103</v>
      </c>
      <c r="F6" s="6">
        <v>10463</v>
      </c>
      <c r="G6" s="6">
        <v>10307</v>
      </c>
      <c r="J6" s="5">
        <v>2566</v>
      </c>
      <c r="K6" s="5">
        <v>3641</v>
      </c>
      <c r="L6" s="5">
        <v>2472</v>
      </c>
      <c r="M6" s="5">
        <v>2416</v>
      </c>
      <c r="N6" s="7"/>
      <c r="O6" s="7"/>
    </row>
    <row r="7" spans="2:15">
      <c r="B7" s="2" t="s">
        <v>69</v>
      </c>
      <c r="C7" s="8">
        <v>0.18602510961692</v>
      </c>
      <c r="D7" s="8">
        <v>0.10071940950246</v>
      </c>
      <c r="E7" s="8">
        <v>0.0485897126649229</v>
      </c>
      <c r="F7" s="9">
        <v>-0.05758250671014</v>
      </c>
      <c r="G7" s="9">
        <v>-0.0149089289870162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0.583141998806979</v>
      </c>
      <c r="D8" s="8">
        <v>0.592249374440765</v>
      </c>
      <c r="E8" s="8">
        <v>0.566005440167168</v>
      </c>
      <c r="F8" s="7"/>
      <c r="G8" s="7"/>
      <c r="J8" s="8">
        <v>0.555713350377253</v>
      </c>
      <c r="K8" s="8">
        <v>0.548749574612839</v>
      </c>
      <c r="L8" s="8">
        <v>0.541680035183644</v>
      </c>
      <c r="M8" s="8">
        <v>0.605174383008001</v>
      </c>
      <c r="N8" s="7"/>
      <c r="O8" s="7"/>
    </row>
    <row r="9" spans="2:15">
      <c r="B9" s="2" t="s">
        <v>71</v>
      </c>
      <c r="C9" s="8">
        <v>0.221708531555071</v>
      </c>
      <c r="D9" s="8">
        <v>0.236651603881556</v>
      </c>
      <c r="E9" s="8">
        <v>0.199107866625835</v>
      </c>
      <c r="F9" s="7"/>
      <c r="G9" s="7"/>
      <c r="J9" s="8">
        <v>0.16987513250608</v>
      </c>
      <c r="K9" s="8">
        <v>0.220688524310996</v>
      </c>
      <c r="L9" s="8">
        <v>0.112051166793373</v>
      </c>
      <c r="M9" s="8">
        <v>0.187798964328575</v>
      </c>
      <c r="N9" s="7"/>
      <c r="O9" s="7"/>
    </row>
    <row r="10" spans="2:15">
      <c r="B10" s="2" t="s">
        <v>72</v>
      </c>
      <c r="C10" s="5">
        <v>1550</v>
      </c>
      <c r="D10" s="5">
        <v>1815</v>
      </c>
      <c r="E10" s="5">
        <v>1579</v>
      </c>
      <c r="F10" s="6">
        <v>1088</v>
      </c>
      <c r="G10" s="6">
        <v>956</v>
      </c>
      <c r="J10" s="5">
        <v>307</v>
      </c>
      <c r="K10" s="5">
        <v>587</v>
      </c>
      <c r="L10" s="5">
        <v>195</v>
      </c>
      <c r="M10" s="5">
        <v>329</v>
      </c>
      <c r="N10" s="7"/>
      <c r="O10" s="7"/>
    </row>
    <row r="11" spans="2:15">
      <c r="B11" s="11" t="s">
        <v>83</v>
      </c>
      <c r="C11" s="8">
        <v>0.161154506606421</v>
      </c>
      <c r="D11" s="8">
        <v>0.171382169044834</v>
      </c>
      <c r="E11" s="8">
        <v>0.142235422333507</v>
      </c>
      <c r="F11" s="9">
        <v>0.103994674135942</v>
      </c>
      <c r="G11" s="9">
        <v>0.0927723994938387</v>
      </c>
      <c r="J11" s="8">
        <v>0.119580891064413</v>
      </c>
      <c r="K11" s="8">
        <v>0.161192825424955</v>
      </c>
      <c r="L11" s="8">
        <v>0.0789155863623729</v>
      </c>
      <c r="M11" s="8">
        <v>0.136288613616898</v>
      </c>
      <c r="N11" s="7"/>
      <c r="O11" s="7"/>
    </row>
    <row r="12" spans="2:15">
      <c r="B12" s="2" t="s">
        <v>84</v>
      </c>
      <c r="C12" s="12">
        <v>12.23</v>
      </c>
      <c r="D12" s="12">
        <v>14.67</v>
      </c>
      <c r="E12" s="12">
        <v>13.27</v>
      </c>
      <c r="F12" s="13">
        <v>9.58246</v>
      </c>
      <c r="G12" s="13">
        <v>8.42095</v>
      </c>
      <c r="J12" s="12">
        <v>2.59</v>
      </c>
      <c r="K12" s="12">
        <v>4.97</v>
      </c>
      <c r="L12" s="12">
        <v>1.69</v>
      </c>
      <c r="M12" s="12">
        <v>2.92</v>
      </c>
      <c r="N12" s="7"/>
      <c r="O12" s="7"/>
    </row>
    <row r="13" spans="2:15">
      <c r="B13" s="2" t="s">
        <v>85</v>
      </c>
      <c r="C13" s="14">
        <v>0.6</v>
      </c>
      <c r="D13" s="14">
        <v>0.6</v>
      </c>
      <c r="E13" s="14">
        <v>0.6</v>
      </c>
      <c r="F13" s="15">
        <v>113.6</v>
      </c>
      <c r="G13" s="15">
        <v>113.6</v>
      </c>
      <c r="J13" s="14">
        <v>0.6</v>
      </c>
      <c r="K13" s="14">
        <v>0.6</v>
      </c>
      <c r="L13" s="14">
        <v>0.5</v>
      </c>
      <c r="M13" s="14">
        <v>0.5</v>
      </c>
      <c r="N13" s="15">
        <v>113.6</v>
      </c>
      <c r="O13" s="15">
        <v>113.6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94.5</v>
      </c>
    </row>
    <row r="17" spans="2:7">
      <c r="B17" s="2" t="s">
        <v>87</v>
      </c>
      <c r="C17" s="5">
        <v>10731</v>
      </c>
    </row>
    <row r="18" spans="2:7">
      <c r="B18" s="2" t="s">
        <v>1</v>
      </c>
      <c r="C18" s="18">
        <f>IF(OR(C10="",C10&lt;=0),"",C$17/C10)</f>
        <v>6.92322580645161</v>
      </c>
      <c r="D18" s="18">
        <f>IF(OR(D10="",D10&lt;=0),"",C$17/D10)</f>
        <v>5.91239669421488</v>
      </c>
      <c r="E18" s="18">
        <f>IF(OR(E10="",E10&lt;=0),"",C$17/E10)</f>
        <v>6.79607346421786</v>
      </c>
      <c r="F18" s="19">
        <f>IF(OR(F10="",F10&lt;=0),"",C$17/F10)</f>
        <v>9.86305147058824</v>
      </c>
      <c r="G18" s="19">
        <f>IF(OR(G10="",G10&lt;=0),"",C$17/G10)</f>
        <v>11.2248953974895</v>
      </c>
    </row>
    <row r="19" spans="2:7">
      <c r="B19" s="2" t="s">
        <v>39</v>
      </c>
      <c r="C19" s="18">
        <f>IF(OR(C6="",C6=0),"",C$17/C6)</f>
        <v>1.11560453269571</v>
      </c>
      <c r="D19" s="18">
        <f>IF(OR(D6="",D6=0),"",C$17/D6)</f>
        <v>1.01350585568568</v>
      </c>
      <c r="E19" s="18">
        <f>IF(OR(E6="",E6=0),"",C$17/E6)</f>
        <v>0.966495541745474</v>
      </c>
      <c r="F19" s="19">
        <f>IF(OR(F6="",F6=0),"",C$17/F6)</f>
        <v>1.02561406862277</v>
      </c>
      <c r="G19" s="19">
        <f>IF(OR(G6="",G6=0),"",C$17/G6)</f>
        <v>1.04113709129718</v>
      </c>
    </row>
    <row r="21" spans="2:7">
      <c r="B21" s="20" t="s">
        <v>88</v>
      </c>
      <c r="F21" s="20">
        <v>24</v>
      </c>
      <c r="G21" s="20">
        <v>25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107</v>
      </c>
    </row>
    <row r="4" spans="2:15">
      <c r="B4" s="2" t="s">
        <v>56</v>
      </c>
      <c r="F4" s="3">
        <v>46354</v>
      </c>
      <c r="G4" s="3">
        <v>46719</v>
      </c>
      <c r="N4" s="3">
        <v>46356</v>
      </c>
      <c r="O4" s="3">
        <v>46446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82</v>
      </c>
      <c r="K5" s="4" t="s">
        <v>62</v>
      </c>
      <c r="L5" s="4" t="s">
        <v>63</v>
      </c>
      <c r="M5" s="4" t="s">
        <v>64</v>
      </c>
      <c r="N5" s="4" t="s">
        <v>65</v>
      </c>
      <c r="O5" s="4" t="s">
        <v>66</v>
      </c>
    </row>
    <row r="6" spans="2:15">
      <c r="B6" s="2" t="s">
        <v>68</v>
      </c>
      <c r="C6" s="5">
        <v>6179</v>
      </c>
      <c r="D6" s="5">
        <v>6355</v>
      </c>
      <c r="E6" s="5">
        <v>6282</v>
      </c>
      <c r="F6" s="6">
        <v>6740</v>
      </c>
      <c r="G6" s="6">
        <v>7041</v>
      </c>
      <c r="J6" s="5">
        <v>1766</v>
      </c>
      <c r="K6" s="5">
        <v>1742</v>
      </c>
      <c r="L6" s="5">
        <v>1562</v>
      </c>
      <c r="M6" s="5">
        <v>1610</v>
      </c>
      <c r="N6" s="7"/>
      <c r="O6" s="7"/>
    </row>
    <row r="7" spans="2:15">
      <c r="B7" s="2" t="s">
        <v>69</v>
      </c>
      <c r="C7" s="8">
        <v>0.00168595791589654</v>
      </c>
      <c r="D7" s="8">
        <v>0.0285321249393107</v>
      </c>
      <c r="E7" s="8">
        <v>-0.0115336805500921</v>
      </c>
      <c r="F7" s="9">
        <v>0.0729684028971664</v>
      </c>
      <c r="G7" s="9">
        <v>0.0446087516018536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0.568975562388736</v>
      </c>
      <c r="D8" s="8">
        <v>0.600427989237329</v>
      </c>
      <c r="E8" s="8">
        <v>0.617287488061127</v>
      </c>
      <c r="F8" s="7"/>
      <c r="G8" s="7"/>
      <c r="J8" s="8">
        <v>0.607543323139653</v>
      </c>
      <c r="K8" s="8">
        <v>0.618823529411765</v>
      </c>
      <c r="L8" s="8">
        <v>0.626824583866837</v>
      </c>
      <c r="M8" s="8">
        <v>0.66211095235137</v>
      </c>
      <c r="N8" s="7"/>
      <c r="O8" s="7"/>
    </row>
    <row r="9" spans="2:15">
      <c r="B9" s="2" t="s">
        <v>71</v>
      </c>
      <c r="C9" s="8">
        <v>0.0571775368182554</v>
      </c>
      <c r="D9" s="8">
        <v>0.0415558667568801</v>
      </c>
      <c r="E9" s="8">
        <v>0.107863737663165</v>
      </c>
      <c r="F9" s="7"/>
      <c r="G9" s="7"/>
      <c r="J9" s="8">
        <v>0.119266055045872</v>
      </c>
      <c r="K9" s="8">
        <v>0.11403156384505</v>
      </c>
      <c r="L9" s="8">
        <v>0.152880921895006</v>
      </c>
      <c r="M9" s="8">
        <v>0.138100267130521</v>
      </c>
      <c r="N9" s="7"/>
      <c r="O9" s="7"/>
    </row>
    <row r="10" spans="2:15">
      <c r="B10" s="2" t="s">
        <v>72</v>
      </c>
      <c r="C10" s="5">
        <v>250</v>
      </c>
      <c r="D10" s="5">
        <v>211</v>
      </c>
      <c r="E10" s="5">
        <v>578</v>
      </c>
      <c r="F10" s="6">
        <v>612</v>
      </c>
      <c r="G10" s="6">
        <v>654</v>
      </c>
      <c r="J10" s="5">
        <v>158</v>
      </c>
      <c r="K10" s="5">
        <v>176</v>
      </c>
      <c r="L10" s="5">
        <v>87</v>
      </c>
      <c r="M10" s="5">
        <v>169</v>
      </c>
      <c r="N10" s="7"/>
      <c r="O10" s="7"/>
    </row>
    <row r="11" spans="2:15">
      <c r="B11" s="11" t="s">
        <v>83</v>
      </c>
      <c r="C11" s="8">
        <v>0.0403948859038679</v>
      </c>
      <c r="D11" s="8">
        <v>0.0331376960961717</v>
      </c>
      <c r="E11" s="8">
        <v>0.0920248328557784</v>
      </c>
      <c r="F11" s="9">
        <v>0.0907517141709284</v>
      </c>
      <c r="G11" s="9">
        <v>0.0928478488614688</v>
      </c>
      <c r="J11" s="8">
        <v>0.0894778570619549</v>
      </c>
      <c r="K11" s="8">
        <v>0.100889526542324</v>
      </c>
      <c r="L11" s="8">
        <v>0.0558898847631242</v>
      </c>
      <c r="M11" s="8">
        <v>0.104740013667143</v>
      </c>
      <c r="N11" s="7"/>
      <c r="O11" s="7"/>
    </row>
    <row r="12" spans="2:15">
      <c r="B12" s="2" t="s">
        <v>84</v>
      </c>
      <c r="C12" s="12">
        <v>0.63</v>
      </c>
      <c r="D12" s="12">
        <v>0.53</v>
      </c>
      <c r="E12" s="12">
        <v>1.46</v>
      </c>
      <c r="F12" s="13">
        <v>1.56336</v>
      </c>
      <c r="G12" s="13">
        <v>1.67082</v>
      </c>
      <c r="J12" s="12">
        <v>0.4</v>
      </c>
      <c r="K12" s="12">
        <v>0.45</v>
      </c>
      <c r="L12" s="12">
        <v>0.23</v>
      </c>
      <c r="M12" s="12">
        <v>0.44</v>
      </c>
      <c r="N12" s="7"/>
      <c r="O12" s="7"/>
    </row>
    <row r="13" spans="2:15">
      <c r="B13" s="2" t="s">
        <v>85</v>
      </c>
      <c r="C13" s="14">
        <v>0.4</v>
      </c>
      <c r="D13" s="14">
        <v>0.4</v>
      </c>
      <c r="E13" s="14">
        <v>0.4</v>
      </c>
      <c r="F13" s="15">
        <v>391.3</v>
      </c>
      <c r="G13" s="15">
        <v>391.3</v>
      </c>
      <c r="J13" s="14">
        <v>0.4</v>
      </c>
      <c r="K13" s="14">
        <v>0.4</v>
      </c>
      <c r="L13" s="14">
        <v>0.4</v>
      </c>
      <c r="M13" s="14">
        <v>0.4</v>
      </c>
      <c r="N13" s="15">
        <v>391.3</v>
      </c>
      <c r="O13" s="15">
        <v>391.3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18.7</v>
      </c>
    </row>
    <row r="17" spans="2:7">
      <c r="B17" s="2" t="s">
        <v>87</v>
      </c>
      <c r="C17" s="5">
        <v>7317</v>
      </c>
    </row>
    <row r="18" spans="2:7">
      <c r="B18" s="2" t="s">
        <v>1</v>
      </c>
      <c r="C18" s="18">
        <f>IF(OR(C10="",C10&lt;=0),"",C$17/C10)</f>
        <v>29.268</v>
      </c>
      <c r="D18" s="18">
        <f>IF(OR(D10="",D10&lt;=0),"",C$17/D10)</f>
        <v>34.6777251184834</v>
      </c>
      <c r="E18" s="18">
        <f>IF(OR(E10="",E10&lt;=0),"",C$17/E10)</f>
        <v>12.659169550173</v>
      </c>
      <c r="F18" s="19">
        <f>IF(OR(F10="",F10&lt;=0),"",C$17/F10)</f>
        <v>11.9558823529412</v>
      </c>
      <c r="G18" s="19">
        <f>IF(OR(G10="",G10&lt;=0),"",C$17/G10)</f>
        <v>11.1880733944954</v>
      </c>
    </row>
    <row r="19" spans="2:7">
      <c r="B19" s="2" t="s">
        <v>39</v>
      </c>
      <c r="C19" s="18">
        <f>IF(OR(C6="",C6=0),"",C$17/C6)</f>
        <v>1.18417219614824</v>
      </c>
      <c r="D19" s="18">
        <f>IF(OR(D6="",D6=0),"",C$17/D6)</f>
        <v>1.1513768686074</v>
      </c>
      <c r="E19" s="18">
        <f>IF(OR(E6="",E6=0),"",C$17/E6)</f>
        <v>1.1647564469914</v>
      </c>
      <c r="F19" s="19">
        <f>IF(OR(F6="",F6=0),"",C$17/F6)</f>
        <v>1.08560830860534</v>
      </c>
      <c r="G19" s="19">
        <f>IF(OR(G6="",G6=0),"",C$17/G6)</f>
        <v>1.03919897741798</v>
      </c>
    </row>
    <row r="21" spans="2:7">
      <c r="B21" s="20" t="s">
        <v>88</v>
      </c>
      <c r="F21" s="20">
        <v>10</v>
      </c>
      <c r="G21" s="20">
        <v>10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108</v>
      </c>
    </row>
    <row r="4" spans="2:15">
      <c r="B4" s="2" t="s">
        <v>56</v>
      </c>
      <c r="F4" s="3">
        <v>46390</v>
      </c>
      <c r="G4" s="3">
        <v>46755</v>
      </c>
      <c r="N4" s="3">
        <v>46299</v>
      </c>
      <c r="O4" s="3">
        <v>46391</v>
      </c>
    </row>
    <row r="5" spans="2:15">
      <c r="B5" s="2" t="s">
        <v>78</v>
      </c>
      <c r="C5" s="4" t="s">
        <v>90</v>
      </c>
      <c r="D5" s="4" t="s">
        <v>79</v>
      </c>
      <c r="E5" s="4" t="s">
        <v>81</v>
      </c>
      <c r="F5" s="4" t="s">
        <v>59</v>
      </c>
      <c r="G5" s="4" t="s">
        <v>60</v>
      </c>
      <c r="J5" s="4" t="s">
        <v>92</v>
      </c>
      <c r="K5" s="4" t="s">
        <v>62</v>
      </c>
      <c r="L5" s="4" t="s">
        <v>63</v>
      </c>
      <c r="M5" s="4" t="s">
        <v>64</v>
      </c>
      <c r="N5" s="4" t="s">
        <v>65</v>
      </c>
      <c r="O5" s="4" t="s">
        <v>66</v>
      </c>
    </row>
    <row r="6" spans="2:15">
      <c r="B6" s="2" t="s">
        <v>68</v>
      </c>
      <c r="C6" s="5">
        <v>2607</v>
      </c>
      <c r="D6" s="5">
        <v>2608</v>
      </c>
      <c r="E6" s="5">
        <v>3154</v>
      </c>
      <c r="F6" s="6">
        <v>2701</v>
      </c>
      <c r="G6" s="6">
        <v>2816</v>
      </c>
      <c r="J6" s="5">
        <v>853</v>
      </c>
      <c r="K6" s="5">
        <v>1019</v>
      </c>
      <c r="L6" s="5">
        <v>613</v>
      </c>
      <c r="M6" s="5">
        <v>584</v>
      </c>
      <c r="N6" s="7"/>
      <c r="O6" s="7"/>
    </row>
    <row r="7" spans="2:15">
      <c r="B7" s="2" t="s">
        <v>69</v>
      </c>
      <c r="C7" s="8">
        <v>-0.00910982715193631</v>
      </c>
      <c r="D7" s="8">
        <v>4.06524020200027e-5</v>
      </c>
      <c r="E7" s="8">
        <v>0.20959373027384</v>
      </c>
      <c r="F7" s="9">
        <v>-0.143671508920107</v>
      </c>
      <c r="G7" s="9">
        <v>0.0424262316560957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0.417199877889389</v>
      </c>
      <c r="D8" s="8">
        <v>0.445459349634028</v>
      </c>
      <c r="E8" s="8">
        <v>0.46704648854986</v>
      </c>
      <c r="F8" s="7"/>
      <c r="G8" s="7"/>
      <c r="J8" s="8">
        <v>0.457762697561576</v>
      </c>
      <c r="K8" s="8">
        <v>0.46901025384826</v>
      </c>
      <c r="L8" s="8">
        <v>0.537032749518198</v>
      </c>
      <c r="M8" s="8">
        <v>0.561815406101101</v>
      </c>
      <c r="N8" s="7"/>
      <c r="O8" s="7"/>
    </row>
    <row r="9" spans="2:15">
      <c r="B9" s="2" t="s">
        <v>71</v>
      </c>
      <c r="C9" s="8">
        <v>0.122443884344683</v>
      </c>
      <c r="D9" s="8">
        <v>0.13126702250134</v>
      </c>
      <c r="E9" s="8">
        <v>0.141406926201052</v>
      </c>
      <c r="F9" s="7"/>
      <c r="G9" s="7"/>
      <c r="J9" s="8">
        <v>0.0748369402788277</v>
      </c>
      <c r="K9" s="8">
        <v>0.141601649724146</v>
      </c>
      <c r="L9" s="8">
        <v>0.146913040784449</v>
      </c>
      <c r="M9" s="8">
        <v>0.154933868229366</v>
      </c>
      <c r="N9" s="7"/>
      <c r="O9" s="7"/>
    </row>
    <row r="10" spans="2:15">
      <c r="B10" s="2" t="s">
        <v>72</v>
      </c>
      <c r="C10" s="5">
        <v>231</v>
      </c>
      <c r="D10" s="5">
        <v>246</v>
      </c>
      <c r="E10" s="5">
        <v>227</v>
      </c>
      <c r="F10" s="6">
        <v>292</v>
      </c>
      <c r="G10" s="6">
        <v>364</v>
      </c>
      <c r="J10" s="5">
        <v>37</v>
      </c>
      <c r="K10" s="5">
        <v>74</v>
      </c>
      <c r="L10" s="5">
        <v>92</v>
      </c>
      <c r="M10" s="5">
        <v>65</v>
      </c>
      <c r="N10" s="7"/>
      <c r="O10" s="7"/>
    </row>
    <row r="11" spans="2:15">
      <c r="B11" s="11" t="s">
        <v>83</v>
      </c>
      <c r="C11" s="8">
        <v>0.0885892542662011</v>
      </c>
      <c r="D11" s="8">
        <v>0.0942644860479725</v>
      </c>
      <c r="E11" s="8">
        <v>0.0721128939700898</v>
      </c>
      <c r="F11" s="9">
        <v>0.108173254356599</v>
      </c>
      <c r="G11" s="9">
        <v>0.129174936244541</v>
      </c>
      <c r="J11" s="8">
        <v>0.0432997544581378</v>
      </c>
      <c r="K11" s="8">
        <v>0.0723933269011628</v>
      </c>
      <c r="L11" s="8">
        <v>0.150718545886174</v>
      </c>
      <c r="M11" s="8">
        <v>0.110907634591161</v>
      </c>
      <c r="N11" s="7"/>
      <c r="O11" s="7"/>
    </row>
    <row r="12" spans="2:15">
      <c r="B12" s="2" t="s">
        <v>84</v>
      </c>
      <c r="C12" s="12">
        <v>4.13</v>
      </c>
      <c r="D12" s="12">
        <v>4.42</v>
      </c>
      <c r="E12" s="12">
        <v>4.1</v>
      </c>
      <c r="F12" s="13">
        <v>5.28602</v>
      </c>
      <c r="G12" s="13">
        <v>6.5801</v>
      </c>
      <c r="J12" s="12">
        <v>0.66</v>
      </c>
      <c r="K12" s="12">
        <v>1.33</v>
      </c>
      <c r="L12" s="12">
        <v>1.67</v>
      </c>
      <c r="M12" s="12">
        <v>1.18</v>
      </c>
      <c r="N12" s="7"/>
      <c r="O12" s="7"/>
    </row>
    <row r="13" spans="2:15">
      <c r="B13" s="2" t="s">
        <v>85</v>
      </c>
      <c r="C13" s="14">
        <v>0</v>
      </c>
      <c r="D13" s="14">
        <v>0</v>
      </c>
      <c r="E13" s="14">
        <v>0</v>
      </c>
      <c r="F13" s="15">
        <v>55.3</v>
      </c>
      <c r="G13" s="15">
        <v>55.3</v>
      </c>
      <c r="J13" s="14">
        <v>0</v>
      </c>
      <c r="K13" s="14">
        <v>0</v>
      </c>
      <c r="L13" s="14">
        <v>0</v>
      </c>
      <c r="M13" s="14">
        <v>0</v>
      </c>
      <c r="N13" s="15">
        <v>55.3</v>
      </c>
      <c r="O13" s="15">
        <v>55.3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65.62</v>
      </c>
    </row>
    <row r="17" spans="2:7">
      <c r="B17" s="2" t="s">
        <v>87</v>
      </c>
      <c r="C17" s="5">
        <v>3627</v>
      </c>
    </row>
    <row r="18" spans="2:7">
      <c r="B18" s="2" t="s">
        <v>1</v>
      </c>
      <c r="C18" s="18">
        <f>IF(OR(C10="",C10&lt;=0),"",C$17/C10)</f>
        <v>15.7012987012987</v>
      </c>
      <c r="D18" s="18">
        <f>IF(OR(D10="",D10&lt;=0),"",C$17/D10)</f>
        <v>14.7439024390244</v>
      </c>
      <c r="E18" s="18">
        <f>IF(OR(E10="",E10&lt;=0),"",C$17/E10)</f>
        <v>15.9779735682819</v>
      </c>
      <c r="F18" s="19">
        <f>IF(OR(F10="",F10&lt;=0),"",C$17/F10)</f>
        <v>12.4212328767123</v>
      </c>
      <c r="G18" s="19">
        <f>IF(OR(G10="",G10&lt;=0),"",C$17/G10)</f>
        <v>9.96428571428571</v>
      </c>
    </row>
    <row r="19" spans="2:7">
      <c r="B19" s="2" t="s">
        <v>39</v>
      </c>
      <c r="C19" s="18">
        <f>IF(OR(C6="",C6=0),"",C$17/C6)</f>
        <v>1.39125431530495</v>
      </c>
      <c r="D19" s="18">
        <f>IF(OR(D6="",D6=0),"",C$17/D6)</f>
        <v>1.39072085889571</v>
      </c>
      <c r="E19" s="18">
        <f>IF(OR(E6="",E6=0),"",C$17/E6)</f>
        <v>1.14996829422955</v>
      </c>
      <c r="F19" s="19">
        <f>IF(OR(F6="",F6=0),"",C$17/F6)</f>
        <v>1.3428359866716</v>
      </c>
      <c r="G19" s="19">
        <f>IF(OR(G6="",G6=0),"",C$17/G6)</f>
        <v>1.28799715909091</v>
      </c>
    </row>
    <row r="21" spans="2:7">
      <c r="B21" s="20" t="s">
        <v>88</v>
      </c>
      <c r="F21" s="20">
        <v>6</v>
      </c>
      <c r="G21" s="20">
        <v>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109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3196</v>
      </c>
      <c r="D6" s="5">
        <v>3271</v>
      </c>
      <c r="E6" s="5">
        <v>3679</v>
      </c>
      <c r="F6" s="6">
        <v>5988</v>
      </c>
      <c r="G6" s="6">
        <v>6189</v>
      </c>
      <c r="J6" s="5">
        <v>911</v>
      </c>
      <c r="K6" s="5">
        <v>1094</v>
      </c>
      <c r="L6" s="5">
        <v>1166</v>
      </c>
      <c r="M6" s="5">
        <v>1542</v>
      </c>
      <c r="N6" s="7"/>
      <c r="O6" s="7"/>
    </row>
    <row r="7" spans="2:15">
      <c r="B7" s="2" t="s">
        <v>69</v>
      </c>
      <c r="C7" s="8">
        <v>-0.0137544352969713</v>
      </c>
      <c r="D7" s="8">
        <v>0.0233670462037272</v>
      </c>
      <c r="E7" s="8">
        <v>0.124976422908405</v>
      </c>
      <c r="F7" s="9">
        <v>0.627554397584983</v>
      </c>
      <c r="G7" s="9">
        <v>0.0335286339625154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0.27536874462399</v>
      </c>
      <c r="D8" s="8">
        <v>0.306880104201383</v>
      </c>
      <c r="E8" s="8">
        <v>0.301775756594476</v>
      </c>
      <c r="F8" s="7"/>
      <c r="G8" s="7"/>
      <c r="J8" s="8">
        <v>0.336709983998981</v>
      </c>
      <c r="K8" s="8">
        <v>0.281901590814379</v>
      </c>
      <c r="L8" s="8">
        <v>0.238737023390489</v>
      </c>
      <c r="M8" s="8">
        <v>0.281386301056283</v>
      </c>
      <c r="N8" s="7"/>
      <c r="O8" s="7"/>
    </row>
    <row r="9" spans="2:15">
      <c r="B9" s="2" t="s">
        <v>71</v>
      </c>
      <c r="C9" s="8">
        <v>0.201461492513402</v>
      </c>
      <c r="D9" s="8">
        <v>0.189029808077442</v>
      </c>
      <c r="E9" s="8">
        <v>0.198447139155619</v>
      </c>
      <c r="F9" s="7"/>
      <c r="G9" s="7"/>
      <c r="J9" s="8">
        <v>0.210972943232074</v>
      </c>
      <c r="K9" s="8">
        <v>0.172385377126775</v>
      </c>
      <c r="L9" s="8">
        <v>0.0512031452625512</v>
      </c>
      <c r="M9" s="8">
        <v>0.168064842405339</v>
      </c>
      <c r="N9" s="7"/>
      <c r="O9" s="7"/>
    </row>
    <row r="10" spans="2:15">
      <c r="B10" s="2" t="s">
        <v>72</v>
      </c>
      <c r="C10" s="5">
        <v>534</v>
      </c>
      <c r="D10" s="5">
        <v>401</v>
      </c>
      <c r="E10" s="5">
        <v>406</v>
      </c>
      <c r="F10" s="6">
        <v>707</v>
      </c>
      <c r="G10" s="6">
        <v>835</v>
      </c>
      <c r="J10" s="5">
        <v>120</v>
      </c>
      <c r="K10" s="5">
        <v>57</v>
      </c>
      <c r="L10" s="5">
        <v>-66</v>
      </c>
      <c r="M10" s="5">
        <v>-49</v>
      </c>
      <c r="N10" s="7"/>
      <c r="O10" s="7"/>
    </row>
    <row r="11" spans="2:15">
      <c r="B11" s="11" t="s">
        <v>83</v>
      </c>
      <c r="C11" s="8">
        <v>0.166957089856382</v>
      </c>
      <c r="D11" s="8">
        <v>0.122566570557606</v>
      </c>
      <c r="E11" s="8">
        <v>0.110308359582533</v>
      </c>
      <c r="F11" s="9">
        <v>0.118135902385769</v>
      </c>
      <c r="G11" s="9">
        <v>0.134878403255345</v>
      </c>
      <c r="J11" s="8">
        <v>0.131956242648811</v>
      </c>
      <c r="K11" s="8">
        <v>0.0520720523784553</v>
      </c>
      <c r="L11" s="8">
        <v>-0.0564255230096814</v>
      </c>
      <c r="M11" s="8">
        <v>-0.031563377218362</v>
      </c>
      <c r="N11" s="7"/>
      <c r="O11" s="7"/>
    </row>
    <row r="12" spans="2:15">
      <c r="B12" s="2" t="s">
        <v>84</v>
      </c>
      <c r="C12" s="12">
        <v>3.03</v>
      </c>
      <c r="D12" s="12">
        <v>2.46</v>
      </c>
      <c r="E12" s="12">
        <v>2.65</v>
      </c>
      <c r="F12" s="13">
        <v>4.62354</v>
      </c>
      <c r="G12" s="13">
        <v>5.45579</v>
      </c>
      <c r="J12" s="12">
        <v>0.8</v>
      </c>
      <c r="K12" s="12">
        <v>0.36</v>
      </c>
      <c r="L12" s="12">
        <v>-0.36</v>
      </c>
      <c r="M12" s="12">
        <v>-0.26</v>
      </c>
      <c r="N12" s="7"/>
      <c r="O12" s="7"/>
    </row>
    <row r="13" spans="2:15">
      <c r="B13" s="2" t="s">
        <v>85</v>
      </c>
      <c r="C13" s="14">
        <v>269.8</v>
      </c>
      <c r="D13" s="14">
        <v>268.6</v>
      </c>
      <c r="E13" s="14">
        <v>2295.3</v>
      </c>
      <c r="F13" s="15">
        <v>153</v>
      </c>
      <c r="G13" s="15">
        <v>153</v>
      </c>
      <c r="J13" s="14">
        <v>286.8</v>
      </c>
      <c r="K13" s="14">
        <v>2295.3</v>
      </c>
      <c r="L13" s="14">
        <v>2314</v>
      </c>
      <c r="M13" s="14">
        <v>2311.7</v>
      </c>
      <c r="N13" s="15">
        <v>153</v>
      </c>
      <c r="O13" s="15">
        <v>153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41.97</v>
      </c>
    </row>
    <row r="17" spans="2:7">
      <c r="B17" s="2" t="s">
        <v>87</v>
      </c>
      <c r="C17" s="5">
        <v>6422</v>
      </c>
    </row>
    <row r="18" spans="2:7">
      <c r="B18" s="2" t="s">
        <v>1</v>
      </c>
      <c r="C18" s="18">
        <f>IF(OR(C10="",C10&lt;=0),"",C$17/C10)</f>
        <v>12.0262172284644</v>
      </c>
      <c r="D18" s="18">
        <f>IF(OR(D10="",D10&lt;=0),"",C$17/D10)</f>
        <v>16.0149625935162</v>
      </c>
      <c r="E18" s="18">
        <f>IF(OR(E10="",E10&lt;=0),"",C$17/E10)</f>
        <v>15.8177339901478</v>
      </c>
      <c r="F18" s="19">
        <f>IF(OR(F10="",F10&lt;=0),"",C$17/F10)</f>
        <v>9.08345120226308</v>
      </c>
      <c r="G18" s="19">
        <f>IF(OR(G10="",G10&lt;=0),"",C$17/G10)</f>
        <v>7.69101796407186</v>
      </c>
    </row>
    <row r="19" spans="2:7">
      <c r="B19" s="2" t="s">
        <v>39</v>
      </c>
      <c r="C19" s="18">
        <f>IF(OR(C6="",C6=0),"",C$17/C6)</f>
        <v>2.00938673341677</v>
      </c>
      <c r="D19" s="18">
        <f>IF(OR(D6="",D6=0),"",C$17/D6)</f>
        <v>1.96331397126261</v>
      </c>
      <c r="E19" s="18">
        <f>IF(OR(E6="",E6=0),"",C$17/E6)</f>
        <v>1.74558303886926</v>
      </c>
      <c r="F19" s="19">
        <f>IF(OR(F6="",F6=0),"",C$17/F6)</f>
        <v>1.07247828991316</v>
      </c>
      <c r="G19" s="19">
        <f>IF(OR(G6="",G6=0),"",C$17/G6)</f>
        <v>1.03764743900469</v>
      </c>
    </row>
    <row r="21" spans="2:7">
      <c r="B21" s="20" t="s">
        <v>88</v>
      </c>
      <c r="F21" s="20">
        <v>9</v>
      </c>
      <c r="G21" s="20">
        <v>9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110</v>
      </c>
    </row>
    <row r="4" spans="2:15">
      <c r="B4" s="2" t="s">
        <v>56</v>
      </c>
      <c r="F4" s="3">
        <v>46415</v>
      </c>
      <c r="G4" s="3">
        <v>46780</v>
      </c>
      <c r="N4" s="3">
        <v>46327</v>
      </c>
      <c r="O4" s="3">
        <v>46419</v>
      </c>
    </row>
    <row r="5" spans="2:15">
      <c r="B5" s="2" t="s">
        <v>78</v>
      </c>
      <c r="C5" s="4" t="s">
        <v>79</v>
      </c>
      <c r="D5" s="4" t="s">
        <v>80</v>
      </c>
      <c r="E5" s="4" t="s">
        <v>81</v>
      </c>
      <c r="F5" s="4" t="s">
        <v>59</v>
      </c>
      <c r="G5" s="4" t="s">
        <v>60</v>
      </c>
      <c r="J5" s="4" t="s">
        <v>82</v>
      </c>
      <c r="K5" s="4" t="s">
        <v>62</v>
      </c>
      <c r="L5" s="4" t="s">
        <v>63</v>
      </c>
      <c r="M5" s="4" t="s">
        <v>64</v>
      </c>
      <c r="N5" s="4" t="s">
        <v>65</v>
      </c>
      <c r="O5" s="4" t="s">
        <v>66</v>
      </c>
    </row>
    <row r="6" spans="2:15">
      <c r="B6" s="2" t="s">
        <v>68</v>
      </c>
      <c r="C6" s="5">
        <v>14889</v>
      </c>
      <c r="D6" s="5">
        <v>15086</v>
      </c>
      <c r="E6" s="5">
        <v>15366</v>
      </c>
      <c r="F6" s="6">
        <v>15540</v>
      </c>
      <c r="G6" s="6">
        <v>16001</v>
      </c>
      <c r="J6" s="5">
        <v>3942</v>
      </c>
      <c r="K6" s="5">
        <v>4236</v>
      </c>
      <c r="L6" s="5">
        <v>3497</v>
      </c>
      <c r="M6" s="5">
        <v>3651</v>
      </c>
      <c r="N6" s="7"/>
      <c r="O6" s="7"/>
    </row>
    <row r="7" spans="2:15">
      <c r="B7" s="2" t="s">
        <v>69</v>
      </c>
      <c r="C7" s="8">
        <v>-0.0465548155737705</v>
      </c>
      <c r="D7" s="8">
        <v>0.0132312445429512</v>
      </c>
      <c r="E7" s="8">
        <v>0.0185602545406336</v>
      </c>
      <c r="F7" s="9">
        <v>0.0113258000780945</v>
      </c>
      <c r="G7" s="9">
        <v>0.0296668854839732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0.38787023977433</v>
      </c>
      <c r="D8" s="8">
        <v>0.412766803659022</v>
      </c>
      <c r="E8" s="8">
        <v>0.407913575426266</v>
      </c>
      <c r="F8" s="7"/>
      <c r="G8" s="7"/>
      <c r="J8" s="8">
        <v>0.423642820903095</v>
      </c>
      <c r="K8" s="8">
        <v>0.381019830028329</v>
      </c>
      <c r="L8" s="8">
        <v>0.405204460966543</v>
      </c>
      <c r="M8" s="8">
        <v>0.52834839769926</v>
      </c>
      <c r="N8" s="7"/>
      <c r="O8" s="7"/>
    </row>
    <row r="9" spans="2:15">
      <c r="B9" s="2" t="s">
        <v>71</v>
      </c>
      <c r="C9" s="8">
        <v>0.0376116596144805</v>
      </c>
      <c r="D9" s="8">
        <v>0.0737107251756595</v>
      </c>
      <c r="E9" s="8">
        <v>0.0725628009891969</v>
      </c>
      <c r="F9" s="7"/>
      <c r="G9" s="7"/>
      <c r="J9" s="8">
        <v>0.084728564180619</v>
      </c>
      <c r="K9" s="8">
        <v>0.0540604343720491</v>
      </c>
      <c r="L9" s="8">
        <v>0.127251930225908</v>
      </c>
      <c r="M9" s="8">
        <v>0.185154752122706</v>
      </c>
      <c r="N9" s="7"/>
      <c r="O9" s="7"/>
    </row>
    <row r="10" spans="2:15">
      <c r="B10" s="2" t="s">
        <v>72</v>
      </c>
      <c r="C10" s="5">
        <v>502</v>
      </c>
      <c r="D10" s="5">
        <v>844</v>
      </c>
      <c r="E10" s="5">
        <v>816</v>
      </c>
      <c r="F10" s="6">
        <v>867</v>
      </c>
      <c r="G10" s="6">
        <v>952</v>
      </c>
      <c r="J10" s="5">
        <v>236</v>
      </c>
      <c r="K10" s="5">
        <v>171</v>
      </c>
      <c r="L10" s="5">
        <v>339</v>
      </c>
      <c r="M10" s="5">
        <v>501</v>
      </c>
      <c r="N10" s="7"/>
      <c r="O10" s="7"/>
    </row>
    <row r="11" spans="2:15">
      <c r="B11" s="11" t="s">
        <v>83</v>
      </c>
      <c r="C11" s="8">
        <v>0.0337161662972664</v>
      </c>
      <c r="D11" s="8">
        <v>0.0559459101153387</v>
      </c>
      <c r="E11" s="8">
        <v>0.0531042561499414</v>
      </c>
      <c r="F11" s="9">
        <v>0.0557709164950173</v>
      </c>
      <c r="G11" s="9">
        <v>0.0594929503768212</v>
      </c>
      <c r="J11" s="8">
        <v>0.0598680872653475</v>
      </c>
      <c r="K11" s="8">
        <v>0.0403682719546742</v>
      </c>
      <c r="L11" s="8">
        <v>0.0969402344867029</v>
      </c>
      <c r="M11" s="8">
        <v>0.137222678718159</v>
      </c>
      <c r="N11" s="7"/>
      <c r="O11" s="7"/>
    </row>
    <row r="12" spans="2:15">
      <c r="B12" s="2" t="s">
        <v>84</v>
      </c>
      <c r="C12" s="12">
        <v>1.36</v>
      </c>
      <c r="D12" s="12">
        <v>2.24</v>
      </c>
      <c r="E12" s="12">
        <v>2.18</v>
      </c>
      <c r="F12" s="13">
        <v>2.40759</v>
      </c>
      <c r="G12" s="13">
        <v>2.64446</v>
      </c>
      <c r="J12" s="12">
        <v>0.63</v>
      </c>
      <c r="K12" s="12">
        <v>0.46</v>
      </c>
      <c r="L12" s="12">
        <v>0.92</v>
      </c>
      <c r="M12" s="12">
        <v>1.41</v>
      </c>
      <c r="N12" s="7"/>
      <c r="O12" s="7"/>
    </row>
    <row r="13" spans="2:15">
      <c r="B13" s="2" t="s">
        <v>85</v>
      </c>
      <c r="C13" s="14">
        <v>19</v>
      </c>
      <c r="D13" s="14">
        <v>19</v>
      </c>
      <c r="E13" s="14">
        <v>19</v>
      </c>
      <c r="F13" s="15">
        <v>360</v>
      </c>
      <c r="G13" s="15">
        <v>360</v>
      </c>
      <c r="J13" s="14">
        <v>19</v>
      </c>
      <c r="K13" s="14">
        <v>19</v>
      </c>
      <c r="L13" s="14">
        <v>18</v>
      </c>
      <c r="M13" s="14">
        <v>18</v>
      </c>
      <c r="N13" s="15">
        <v>360</v>
      </c>
      <c r="O13" s="15">
        <v>360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23.23</v>
      </c>
    </row>
    <row r="17" spans="2:7">
      <c r="B17" s="2" t="s">
        <v>87</v>
      </c>
      <c r="C17" s="5">
        <v>8362</v>
      </c>
    </row>
    <row r="18" spans="2:7">
      <c r="B18" s="2" t="s">
        <v>1</v>
      </c>
      <c r="C18" s="18">
        <f>IF(OR(C10="",C10&lt;=0),"",C$17/C10)</f>
        <v>16.6573705179283</v>
      </c>
      <c r="D18" s="18">
        <f>IF(OR(D10="",D10&lt;=0),"",C$17/D10)</f>
        <v>9.90758293838863</v>
      </c>
      <c r="E18" s="18">
        <f>IF(OR(E10="",E10&lt;=0),"",C$17/E10)</f>
        <v>10.2475490196078</v>
      </c>
      <c r="F18" s="19">
        <f>IF(OR(F10="",F10&lt;=0),"",C$17/F10)</f>
        <v>9.64475201845444</v>
      </c>
      <c r="G18" s="19">
        <f>IF(OR(G10="",G10&lt;=0),"",C$17/G10)</f>
        <v>8.78361344537815</v>
      </c>
    </row>
    <row r="19" spans="2:7">
      <c r="B19" s="2" t="s">
        <v>39</v>
      </c>
      <c r="C19" s="18">
        <f>IF(OR(C6="",C6=0),"",C$17/C6)</f>
        <v>0.561622674457653</v>
      </c>
      <c r="D19" s="18">
        <f>IF(OR(D6="",D6=0),"",C$17/D6)</f>
        <v>0.554288744531354</v>
      </c>
      <c r="E19" s="18">
        <f>IF(OR(E6="",E6=0),"",C$17/E6)</f>
        <v>0.544188468046336</v>
      </c>
      <c r="F19" s="19">
        <f>IF(OR(F6="",F6=0),"",C$17/F6)</f>
        <v>0.538095238095238</v>
      </c>
      <c r="G19" s="19">
        <f>IF(OR(G6="",G6=0),"",C$17/G6)</f>
        <v>0.522592337978876</v>
      </c>
    </row>
    <row r="21" spans="2:7">
      <c r="B21" s="20" t="s">
        <v>88</v>
      </c>
      <c r="F21" s="20">
        <v>14</v>
      </c>
      <c r="G21" s="20">
        <v>14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111</v>
      </c>
    </row>
    <row r="4" spans="2:15">
      <c r="B4" s="2" t="s">
        <v>56</v>
      </c>
      <c r="F4" s="3">
        <v>46474</v>
      </c>
      <c r="G4" s="3">
        <v>46840</v>
      </c>
      <c r="N4" s="3">
        <v>46295</v>
      </c>
      <c r="O4" s="3">
        <v>46386</v>
      </c>
    </row>
    <row r="5" spans="2:15">
      <c r="B5" s="2" t="s">
        <v>78</v>
      </c>
      <c r="C5" s="4" t="s">
        <v>79</v>
      </c>
      <c r="D5" s="4" t="s">
        <v>80</v>
      </c>
      <c r="E5" s="4" t="s">
        <v>81</v>
      </c>
      <c r="F5" s="4" t="s">
        <v>59</v>
      </c>
      <c r="G5" s="4" t="s">
        <v>60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4288</v>
      </c>
      <c r="D6" s="5">
        <v>4986</v>
      </c>
      <c r="E6" s="5">
        <v>5472</v>
      </c>
      <c r="F6" s="6">
        <v>5883</v>
      </c>
      <c r="G6" s="6">
        <v>6313</v>
      </c>
      <c r="J6" s="5">
        <v>1431</v>
      </c>
      <c r="K6" s="5">
        <v>1958</v>
      </c>
      <c r="L6" s="5">
        <v>1119</v>
      </c>
      <c r="M6" s="5">
        <v>1020</v>
      </c>
      <c r="N6" s="7"/>
      <c r="O6" s="7"/>
    </row>
    <row r="7" spans="2:15">
      <c r="B7" s="2" t="s">
        <v>69</v>
      </c>
      <c r="C7" s="8">
        <v>0.182085724698852</v>
      </c>
      <c r="D7" s="8">
        <v>0.162753631672273</v>
      </c>
      <c r="E7" s="8">
        <v>0.097617704707065</v>
      </c>
      <c r="F7" s="9">
        <v>0.0751103849280084</v>
      </c>
      <c r="G7" s="9">
        <v>0.0730937934501472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0.556347913818931</v>
      </c>
      <c r="D8" s="8">
        <v>0.57879814955516</v>
      </c>
      <c r="E8" s="8">
        <v>0.577038595865428</v>
      </c>
      <c r="F8" s="7"/>
      <c r="G8" s="7"/>
      <c r="J8" s="8">
        <v>0.561783288138436</v>
      </c>
      <c r="K8" s="8">
        <v>0.598380934525777</v>
      </c>
      <c r="L8" s="8">
        <v>0.575894097478133</v>
      </c>
      <c r="M8" s="8">
        <v>0.564144690058468</v>
      </c>
      <c r="N8" s="7"/>
      <c r="O8" s="7"/>
    </row>
    <row r="9" spans="2:15">
      <c r="B9" s="2" t="s">
        <v>71</v>
      </c>
      <c r="C9" s="8">
        <v>0.216316526822961</v>
      </c>
      <c r="D9" s="8">
        <v>0.236498949376726</v>
      </c>
      <c r="E9" s="8">
        <v>0.230781193122594</v>
      </c>
      <c r="F9" s="7"/>
      <c r="G9" s="7"/>
      <c r="J9" s="8">
        <v>0.228202314724218</v>
      </c>
      <c r="K9" s="8">
        <v>0.313844506574293</v>
      </c>
      <c r="L9" s="8">
        <v>0.140015490870303</v>
      </c>
      <c r="M9" s="8">
        <v>0.152325922409422</v>
      </c>
      <c r="N9" s="7"/>
      <c r="O9" s="7"/>
    </row>
    <row r="10" spans="2:15">
      <c r="B10" s="2" t="s">
        <v>72</v>
      </c>
      <c r="C10" s="5">
        <v>760</v>
      </c>
      <c r="D10" s="5">
        <v>966</v>
      </c>
      <c r="E10" s="5">
        <v>1024</v>
      </c>
      <c r="F10" s="6">
        <v>1026</v>
      </c>
      <c r="G10" s="6">
        <v>1136</v>
      </c>
      <c r="J10" s="5">
        <v>268</v>
      </c>
      <c r="K10" s="5">
        <v>481</v>
      </c>
      <c r="L10" s="5">
        <v>136</v>
      </c>
      <c r="M10" s="5">
        <v>130</v>
      </c>
      <c r="N10" s="7"/>
      <c r="O10" s="7"/>
    </row>
    <row r="11" spans="2:15">
      <c r="B11" s="11" t="s">
        <v>83</v>
      </c>
      <c r="C11" s="8">
        <v>0.177146684646516</v>
      </c>
      <c r="D11" s="8">
        <v>0.193775809268752</v>
      </c>
      <c r="E11" s="8">
        <v>0.18713735514307</v>
      </c>
      <c r="F11" s="9">
        <v>0.174374473682897</v>
      </c>
      <c r="G11" s="9">
        <v>0.17989353005026</v>
      </c>
      <c r="J11" s="8">
        <v>0.187408794833804</v>
      </c>
      <c r="K11" s="8">
        <v>0.245789505141378</v>
      </c>
      <c r="L11" s="8">
        <v>0.121113770347401</v>
      </c>
      <c r="M11" s="8">
        <v>0.127482146202519</v>
      </c>
      <c r="N11" s="7"/>
      <c r="O11" s="7"/>
    </row>
    <row r="12" spans="2:15">
      <c r="B12" s="2" t="s">
        <v>84</v>
      </c>
      <c r="C12" s="12">
        <v>4.89</v>
      </c>
      <c r="D12" s="12">
        <v>6.36</v>
      </c>
      <c r="E12" s="12">
        <v>7.04</v>
      </c>
      <c r="F12" s="13">
        <v>7.53331</v>
      </c>
      <c r="G12" s="13">
        <v>8.33981</v>
      </c>
      <c r="J12" s="12">
        <v>1.82</v>
      </c>
      <c r="K12" s="12">
        <v>3.34</v>
      </c>
      <c r="L12" s="12">
        <v>0.96</v>
      </c>
      <c r="M12" s="12">
        <v>0.94</v>
      </c>
      <c r="N12" s="7"/>
      <c r="O12" s="7"/>
    </row>
    <row r="13" spans="2:15">
      <c r="B13" s="2" t="s">
        <v>85</v>
      </c>
      <c r="C13" s="14">
        <v>1.5</v>
      </c>
      <c r="D13" s="14">
        <v>1.5</v>
      </c>
      <c r="E13" s="14">
        <v>1.4</v>
      </c>
      <c r="F13" s="15">
        <v>136.2</v>
      </c>
      <c r="G13" s="15">
        <v>136.2</v>
      </c>
      <c r="J13" s="14">
        <v>1.5</v>
      </c>
      <c r="K13" s="14">
        <v>1.4</v>
      </c>
      <c r="L13" s="14">
        <v>1.4</v>
      </c>
      <c r="M13" s="14">
        <v>1.4</v>
      </c>
      <c r="N13" s="15">
        <v>136.2</v>
      </c>
      <c r="O13" s="15">
        <v>136.2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82.89</v>
      </c>
    </row>
    <row r="17" spans="2:7">
      <c r="B17" s="2" t="s">
        <v>87</v>
      </c>
      <c r="C17" s="5">
        <v>11288</v>
      </c>
    </row>
    <row r="18" spans="2:7">
      <c r="B18" s="2" t="s">
        <v>1</v>
      </c>
      <c r="C18" s="18">
        <f>IF(OR(C10="",C10&lt;=0),"",C$17/C10)</f>
        <v>14.8526315789474</v>
      </c>
      <c r="D18" s="18">
        <f>IF(OR(D10="",D10&lt;=0),"",C$17/D10)</f>
        <v>11.6853002070393</v>
      </c>
      <c r="E18" s="18">
        <f>IF(OR(E10="",E10&lt;=0),"",C$17/E10)</f>
        <v>11.0234375</v>
      </c>
      <c r="F18" s="19">
        <f>IF(OR(F10="",F10&lt;=0),"",C$17/F10)</f>
        <v>11.0019493177388</v>
      </c>
      <c r="G18" s="19">
        <f>IF(OR(G10="",G10&lt;=0),"",C$17/G10)</f>
        <v>9.93661971830986</v>
      </c>
    </row>
    <row r="19" spans="2:7">
      <c r="B19" s="2" t="s">
        <v>39</v>
      </c>
      <c r="C19" s="18">
        <f>IF(OR(C6="",C6=0),"",C$17/C6)</f>
        <v>2.63246268656716</v>
      </c>
      <c r="D19" s="18">
        <f>IF(OR(D6="",D6=0),"",C$17/D6)</f>
        <v>2.26393902928199</v>
      </c>
      <c r="E19" s="18">
        <f>IF(OR(E6="",E6=0),"",C$17/E6)</f>
        <v>2.06286549707602</v>
      </c>
      <c r="F19" s="19">
        <f>IF(OR(F6="",F6=0),"",C$17/F6)</f>
        <v>1.91874893761686</v>
      </c>
      <c r="G19" s="19">
        <f>IF(OR(G6="",G6=0),"",C$17/G6)</f>
        <v>1.78805639157294</v>
      </c>
    </row>
    <row r="21" spans="2:7">
      <c r="B21" s="20" t="s">
        <v>88</v>
      </c>
      <c r="F21" s="20">
        <v>19</v>
      </c>
      <c r="G21" s="20">
        <v>19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112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3962</v>
      </c>
      <c r="D6" s="5">
        <v>4102</v>
      </c>
      <c r="E6" s="5">
        <v>4041</v>
      </c>
      <c r="F6" s="6">
        <v>4100</v>
      </c>
      <c r="G6" s="6">
        <v>4200</v>
      </c>
      <c r="J6" s="5">
        <v>996</v>
      </c>
      <c r="K6" s="5">
        <v>958</v>
      </c>
      <c r="L6" s="5">
        <v>921</v>
      </c>
      <c r="M6" s="5">
        <v>1179</v>
      </c>
      <c r="N6" s="7"/>
      <c r="O6" s="7"/>
    </row>
    <row r="7" spans="2:15">
      <c r="B7" s="2" t="s">
        <v>69</v>
      </c>
      <c r="C7" s="8">
        <v>0.114588950445642</v>
      </c>
      <c r="D7" s="8">
        <v>0.0352722767592035</v>
      </c>
      <c r="E7" s="8">
        <v>-0.0149827844610625</v>
      </c>
      <c r="F7" s="9">
        <v>0.0146470800344598</v>
      </c>
      <c r="G7" s="9">
        <v>0.0243852404655891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0.549572008710999</v>
      </c>
      <c r="D8" s="8">
        <v>0.587565710117822</v>
      </c>
      <c r="E8" s="8">
        <v>0.583336035045873</v>
      </c>
      <c r="F8" s="7"/>
      <c r="G8" s="7"/>
      <c r="J8" s="8">
        <v>0.585172553274563</v>
      </c>
      <c r="K8" s="8">
        <v>0.546825529426507</v>
      </c>
      <c r="L8" s="8">
        <v>0.567519699779805</v>
      </c>
      <c r="M8" s="8">
        <v>0.594087334289697</v>
      </c>
      <c r="N8" s="7"/>
      <c r="O8" s="7"/>
    </row>
    <row r="9" spans="2:15">
      <c r="B9" s="2" t="s">
        <v>71</v>
      </c>
      <c r="C9" s="8">
        <v>0.264103572958148</v>
      </c>
      <c r="D9" s="8">
        <v>0.24911850199946</v>
      </c>
      <c r="E9" s="8">
        <v>0.0370027374328913</v>
      </c>
      <c r="F9" s="7"/>
      <c r="G9" s="7"/>
      <c r="J9" s="8">
        <v>0.20843098621802</v>
      </c>
      <c r="K9" s="8">
        <v>0.152872687022263</v>
      </c>
      <c r="L9" s="8">
        <v>0.21796350779255</v>
      </c>
      <c r="M9" s="8">
        <v>0.242209199401764</v>
      </c>
      <c r="N9" s="7"/>
      <c r="O9" s="7"/>
    </row>
    <row r="10" spans="2:15">
      <c r="B10" s="2" t="s">
        <v>72</v>
      </c>
      <c r="C10" s="5">
        <v>793</v>
      </c>
      <c r="D10" s="5">
        <v>950</v>
      </c>
      <c r="E10" s="5">
        <v>-81</v>
      </c>
      <c r="F10" s="6">
        <v>669</v>
      </c>
      <c r="G10" s="6">
        <v>717</v>
      </c>
      <c r="J10" s="5">
        <v>146</v>
      </c>
      <c r="K10" s="5">
        <v>105</v>
      </c>
      <c r="L10" s="5">
        <v>138</v>
      </c>
      <c r="M10" s="5">
        <v>205</v>
      </c>
      <c r="N10" s="7"/>
      <c r="O10" s="7"/>
    </row>
    <row r="11" spans="2:15">
      <c r="B11" s="11" t="s">
        <v>83</v>
      </c>
      <c r="C11" s="8">
        <v>0.200024379490236</v>
      </c>
      <c r="D11" s="8">
        <v>0.231605554997577</v>
      </c>
      <c r="E11" s="8">
        <v>-0.020095296619576</v>
      </c>
      <c r="F11" s="9">
        <v>0.16316496606855</v>
      </c>
      <c r="G11" s="9">
        <v>0.170750888920635</v>
      </c>
      <c r="J11" s="8">
        <v>0.146357375933578</v>
      </c>
      <c r="K11" s="8">
        <v>0.109816841401779</v>
      </c>
      <c r="L11" s="8">
        <v>0.149280975672224</v>
      </c>
      <c r="M11" s="8">
        <v>0.173711368176161</v>
      </c>
      <c r="N11" s="7"/>
      <c r="O11" s="7"/>
    </row>
    <row r="12" spans="2:15">
      <c r="B12" s="2" t="s">
        <v>84</v>
      </c>
      <c r="C12" s="12">
        <v>12.91</v>
      </c>
      <c r="D12" s="12">
        <v>16</v>
      </c>
      <c r="E12" s="12">
        <v>-1.5</v>
      </c>
      <c r="F12" s="13">
        <v>13.95239</v>
      </c>
      <c r="G12" s="13">
        <v>14.95712</v>
      </c>
      <c r="J12" s="12">
        <v>2.72</v>
      </c>
      <c r="K12" s="12">
        <v>2.05</v>
      </c>
      <c r="L12" s="12">
        <v>2.74</v>
      </c>
      <c r="M12" s="12">
        <v>4.15</v>
      </c>
      <c r="N12" s="7"/>
      <c r="O12" s="7"/>
    </row>
    <row r="13" spans="2:15">
      <c r="B13" s="2" t="s">
        <v>85</v>
      </c>
      <c r="C13" s="14">
        <v>0.1</v>
      </c>
      <c r="D13" s="14">
        <v>0.1</v>
      </c>
      <c r="E13" s="14">
        <v>0.1</v>
      </c>
      <c r="F13" s="15">
        <v>47.9</v>
      </c>
      <c r="G13" s="15">
        <v>47.9</v>
      </c>
      <c r="J13" s="14">
        <v>0.1</v>
      </c>
      <c r="K13" s="14">
        <v>0.1</v>
      </c>
      <c r="L13" s="14">
        <v>0.1</v>
      </c>
      <c r="M13" s="14">
        <v>0.1</v>
      </c>
      <c r="N13" s="15">
        <v>47.9</v>
      </c>
      <c r="O13" s="15">
        <v>47.9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114.98</v>
      </c>
    </row>
    <row r="17" spans="2:7">
      <c r="B17" s="2" t="s">
        <v>87</v>
      </c>
      <c r="C17" s="5">
        <v>5513</v>
      </c>
    </row>
    <row r="18" spans="2:7">
      <c r="B18" s="2" t="s">
        <v>1</v>
      </c>
      <c r="C18" s="18">
        <f>IF(OR(C10="",C10&lt;=0),"",C$17/C10)</f>
        <v>6.95208070617907</v>
      </c>
      <c r="D18" s="18">
        <f>IF(OR(D10="",D10&lt;=0),"",C$17/D10)</f>
        <v>5.80315789473684</v>
      </c>
      <c r="E18" s="18" t="str">
        <f>IF(OR(E10="",E10&lt;=0),"",C$17/E10)</f>
        <v/>
      </c>
      <c r="F18" s="19">
        <f>IF(OR(F10="",F10&lt;=0),"",C$17/F10)</f>
        <v>8.2406576980568</v>
      </c>
      <c r="G18" s="19">
        <f>IF(OR(G10="",G10&lt;=0),"",C$17/G10)</f>
        <v>7.68898186889819</v>
      </c>
    </row>
    <row r="19" spans="2:7">
      <c r="B19" s="2" t="s">
        <v>39</v>
      </c>
      <c r="C19" s="18">
        <f>IF(OR(C6="",C6=0),"",C$17/C6)</f>
        <v>1.3914689550732</v>
      </c>
      <c r="D19" s="18">
        <f>IF(OR(D6="",D6=0),"",C$17/D6)</f>
        <v>1.34397854705022</v>
      </c>
      <c r="E19" s="18">
        <f>IF(OR(E6="",E6=0),"",C$17/E6)</f>
        <v>1.36426627072507</v>
      </c>
      <c r="F19" s="19">
        <f>IF(OR(F6="",F6=0),"",C$17/F6)</f>
        <v>1.34463414634146</v>
      </c>
      <c r="G19" s="19">
        <f>IF(OR(G6="",G6=0),"",C$17/G6)</f>
        <v>1.31261904761905</v>
      </c>
    </row>
    <row r="21" spans="2:7">
      <c r="B21" s="20" t="s">
        <v>88</v>
      </c>
      <c r="F21" s="20">
        <v>10</v>
      </c>
      <c r="G21" s="20">
        <v>10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113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3487</v>
      </c>
      <c r="D6" s="5">
        <v>3369</v>
      </c>
      <c r="E6" s="5">
        <v>3397</v>
      </c>
      <c r="F6" s="6">
        <v>3463</v>
      </c>
      <c r="G6" s="6">
        <v>3573</v>
      </c>
      <c r="J6" s="5">
        <v>943</v>
      </c>
      <c r="K6" s="5">
        <v>1070</v>
      </c>
      <c r="L6" s="5">
        <v>779</v>
      </c>
      <c r="M6" s="5">
        <v>614</v>
      </c>
      <c r="N6" s="7"/>
      <c r="O6" s="7"/>
    </row>
    <row r="7" spans="2:15">
      <c r="B7" s="2" t="s">
        <v>69</v>
      </c>
      <c r="C7" s="8">
        <v>0.00665415374383116</v>
      </c>
      <c r="D7" s="8">
        <v>-0.0340160868180028</v>
      </c>
      <c r="E7" s="8">
        <v>0.00844183101376195</v>
      </c>
      <c r="F7" s="9">
        <v>0.0192962762351343</v>
      </c>
      <c r="G7" s="9">
        <v>0.0317664340590058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0.496080096283468</v>
      </c>
      <c r="D8" s="8">
        <v>0.502016872381317</v>
      </c>
      <c r="E8" s="8">
        <v>0.502384885100731</v>
      </c>
      <c r="F8" s="7"/>
      <c r="G8" s="7"/>
      <c r="J8" s="8">
        <v>0.496738651014453</v>
      </c>
      <c r="K8" s="8">
        <v>0.514291750843482</v>
      </c>
      <c r="L8" s="8">
        <v>0.507003092374582</v>
      </c>
      <c r="M8" s="8">
        <v>0.583421500678753</v>
      </c>
      <c r="N8" s="7"/>
      <c r="O8" s="7"/>
    </row>
    <row r="9" spans="2:15">
      <c r="B9" s="2" t="s">
        <v>71</v>
      </c>
      <c r="C9" s="8">
        <v>0.0889779000534239</v>
      </c>
      <c r="D9" s="8">
        <v>0.0803723940815453</v>
      </c>
      <c r="E9" s="8">
        <v>0.0600835614990673</v>
      </c>
      <c r="F9" s="7"/>
      <c r="G9" s="7"/>
      <c r="J9" s="8">
        <v>0.092895433263215</v>
      </c>
      <c r="K9" s="8">
        <v>0.101534768102027</v>
      </c>
      <c r="L9" s="8">
        <v>0.0485550305322247</v>
      </c>
      <c r="M9" s="8">
        <v>0.0502700362327097</v>
      </c>
      <c r="N9" s="7"/>
      <c r="O9" s="7"/>
    </row>
    <row r="10" spans="2:15">
      <c r="B10" s="2" t="s">
        <v>72</v>
      </c>
      <c r="C10" s="5">
        <v>251</v>
      </c>
      <c r="D10" s="5">
        <v>223</v>
      </c>
      <c r="E10" s="5">
        <v>177</v>
      </c>
      <c r="F10" s="6">
        <v>233</v>
      </c>
      <c r="G10" s="6">
        <v>214</v>
      </c>
      <c r="J10" s="5">
        <v>52</v>
      </c>
      <c r="K10" s="5">
        <v>93</v>
      </c>
      <c r="L10" s="5">
        <v>34</v>
      </c>
      <c r="M10" s="5">
        <v>27</v>
      </c>
      <c r="N10" s="7"/>
      <c r="O10" s="7"/>
    </row>
    <row r="11" spans="2:15">
      <c r="B11" s="11" t="s">
        <v>83</v>
      </c>
      <c r="C11" s="8">
        <v>0.0720921609668264</v>
      </c>
      <c r="D11" s="8">
        <v>0.0662810048857353</v>
      </c>
      <c r="E11" s="8">
        <v>0.0521704470890507</v>
      </c>
      <c r="F11" s="9">
        <v>0.0673017275705455</v>
      </c>
      <c r="G11" s="9">
        <v>0.0599902261040526</v>
      </c>
      <c r="J11" s="8">
        <v>0.0551386391395806</v>
      </c>
      <c r="K11" s="8">
        <v>0.0870985805942564</v>
      </c>
      <c r="L11" s="8">
        <v>0.0440403433575563</v>
      </c>
      <c r="M11" s="8">
        <v>0.0432204465770995</v>
      </c>
      <c r="N11" s="7"/>
      <c r="O11" s="7"/>
    </row>
    <row r="12" spans="2:15">
      <c r="B12" s="2" t="s">
        <v>84</v>
      </c>
      <c r="C12" s="12">
        <v>4.11</v>
      </c>
      <c r="D12" s="12">
        <v>3.83</v>
      </c>
      <c r="E12" s="12">
        <v>3.24</v>
      </c>
      <c r="F12" s="13">
        <v>4.55677</v>
      </c>
      <c r="G12" s="13">
        <v>4.19076</v>
      </c>
      <c r="J12" s="12">
        <v>0.95</v>
      </c>
      <c r="K12" s="12">
        <v>1.74</v>
      </c>
      <c r="L12" s="12">
        <v>0.65</v>
      </c>
      <c r="M12" s="12">
        <v>0.52</v>
      </c>
      <c r="N12" s="7"/>
      <c r="O12" s="7"/>
    </row>
    <row r="13" spans="2:15">
      <c r="B13" s="2" t="s">
        <v>85</v>
      </c>
      <c r="C13" s="14">
        <v>0</v>
      </c>
      <c r="D13" s="14">
        <v>0</v>
      </c>
      <c r="E13" s="14">
        <v>0</v>
      </c>
      <c r="F13" s="15">
        <v>51.1</v>
      </c>
      <c r="G13" s="15">
        <v>51.1</v>
      </c>
      <c r="J13" s="14">
        <v>0</v>
      </c>
      <c r="K13" s="14">
        <v>0</v>
      </c>
      <c r="L13" s="14">
        <v>0</v>
      </c>
      <c r="M13" s="14">
        <v>8.2</v>
      </c>
      <c r="N13" s="15">
        <v>51.1</v>
      </c>
      <c r="O13" s="15">
        <v>51.1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57.04</v>
      </c>
    </row>
    <row r="17" spans="2:7">
      <c r="B17" s="2" t="s">
        <v>87</v>
      </c>
      <c r="C17" s="5">
        <v>2917</v>
      </c>
    </row>
    <row r="18" spans="2:7">
      <c r="B18" s="2" t="s">
        <v>1</v>
      </c>
      <c r="C18" s="18">
        <f>IF(OR(C10="",C10&lt;=0),"",C$17/C10)</f>
        <v>11.6215139442231</v>
      </c>
      <c r="D18" s="18">
        <f>IF(OR(D10="",D10&lt;=0),"",C$17/D10)</f>
        <v>13.0807174887892</v>
      </c>
      <c r="E18" s="18">
        <f>IF(OR(E10="",E10&lt;=0),"",C$17/E10)</f>
        <v>16.4802259887006</v>
      </c>
      <c r="F18" s="19">
        <f>IF(OR(F10="",F10&lt;=0),"",C$17/F10)</f>
        <v>12.519313304721</v>
      </c>
      <c r="G18" s="19">
        <f>IF(OR(G10="",G10&lt;=0),"",C$17/G10)</f>
        <v>13.6308411214953</v>
      </c>
    </row>
    <row r="19" spans="2:7">
      <c r="B19" s="2" t="s">
        <v>39</v>
      </c>
      <c r="C19" s="18">
        <f>IF(OR(C6="",C6=0),"",C$17/C6)</f>
        <v>0.83653570404359</v>
      </c>
      <c r="D19" s="18">
        <f>IF(OR(D6="",D6=0),"",C$17/D6)</f>
        <v>0.865835559513209</v>
      </c>
      <c r="E19" s="18">
        <f>IF(OR(E6="",E6=0),"",C$17/E6)</f>
        <v>0.858698851928172</v>
      </c>
      <c r="F19" s="19">
        <f>IF(OR(F6="",F6=0),"",C$17/F6)</f>
        <v>0.842333237077678</v>
      </c>
      <c r="G19" s="19">
        <f>IF(OR(G6="",G6=0),"",C$17/G6)</f>
        <v>0.816400783655192</v>
      </c>
    </row>
    <row r="21" spans="2:7">
      <c r="B21" s="20" t="s">
        <v>88</v>
      </c>
      <c r="F21" s="20">
        <v>7</v>
      </c>
      <c r="G21" s="20">
        <v>7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114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8812</v>
      </c>
      <c r="D6" s="5">
        <v>9422</v>
      </c>
      <c r="E6" s="5">
        <v>9945</v>
      </c>
      <c r="F6" s="6">
        <v>10737</v>
      </c>
      <c r="G6" s="6">
        <v>11499</v>
      </c>
      <c r="J6" s="5">
        <v>2156</v>
      </c>
      <c r="K6" s="5">
        <v>3172</v>
      </c>
      <c r="L6" s="5">
        <v>2381</v>
      </c>
      <c r="M6" s="5">
        <v>2735</v>
      </c>
      <c r="N6" s="7"/>
      <c r="O6" s="7"/>
    </row>
    <row r="7" spans="2:15">
      <c r="B7" s="2" t="s">
        <v>69</v>
      </c>
      <c r="C7" s="8">
        <v>0.0489703690115659</v>
      </c>
      <c r="D7" s="8">
        <v>0.0692481956165976</v>
      </c>
      <c r="E7" s="8">
        <v>0.0555339930710663</v>
      </c>
      <c r="F7" s="9">
        <v>0.0795808823965614</v>
      </c>
      <c r="G7" s="9">
        <v>0.0709302519810631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0.442077990579451</v>
      </c>
      <c r="D8" s="8">
        <v>0.476196662169854</v>
      </c>
      <c r="E8" s="8">
        <v>0.508745125802337</v>
      </c>
      <c r="F8" s="7"/>
      <c r="G8" s="7"/>
      <c r="J8" s="8">
        <v>0.523768756081205</v>
      </c>
      <c r="K8" s="8">
        <v>0.536684941939861</v>
      </c>
      <c r="L8" s="8">
        <v>0.490142411422817</v>
      </c>
      <c r="M8" s="8">
        <v>0.748568066242173</v>
      </c>
      <c r="N8" s="7"/>
      <c r="O8" s="7"/>
    </row>
    <row r="9" spans="2:15">
      <c r="B9" s="2" t="s">
        <v>71</v>
      </c>
      <c r="C9" s="8">
        <v>-0.0234203013545259</v>
      </c>
      <c r="D9" s="8">
        <v>-0.0121866067997286</v>
      </c>
      <c r="E9" s="8">
        <v>0.00753608447171444</v>
      </c>
      <c r="F9" s="7"/>
      <c r="G9" s="7"/>
      <c r="J9" s="8">
        <v>-0.0118804359823655</v>
      </c>
      <c r="K9" s="8">
        <v>0.0611352651827044</v>
      </c>
      <c r="L9" s="8">
        <v>0.000104995298310542</v>
      </c>
      <c r="M9" s="8">
        <v>0.0161423382172577</v>
      </c>
      <c r="N9" s="7"/>
      <c r="O9" s="7"/>
    </row>
    <row r="10" spans="2:15">
      <c r="B10" s="2" t="s">
        <v>72</v>
      </c>
      <c r="C10" s="5">
        <v>-278</v>
      </c>
      <c r="D10" s="5">
        <v>-185</v>
      </c>
      <c r="E10" s="5">
        <v>-242</v>
      </c>
      <c r="F10" s="6">
        <v>188</v>
      </c>
      <c r="G10" s="6">
        <v>332</v>
      </c>
      <c r="J10" s="5">
        <v>-107</v>
      </c>
      <c r="K10" s="5">
        <v>-38</v>
      </c>
      <c r="L10" s="5">
        <v>-7</v>
      </c>
      <c r="M10" s="5">
        <v>17</v>
      </c>
      <c r="N10" s="7"/>
      <c r="O10" s="7"/>
    </row>
    <row r="11" spans="2:15">
      <c r="B11" s="11" t="s">
        <v>83</v>
      </c>
      <c r="C11" s="8">
        <v>-0.0315957318719344</v>
      </c>
      <c r="D11" s="8">
        <v>-0.0196554339742751</v>
      </c>
      <c r="E11" s="8">
        <v>-0.0243427091474592</v>
      </c>
      <c r="F11" s="9">
        <v>0.0175338316282705</v>
      </c>
      <c r="G11" s="9">
        <v>0.0288807063976746</v>
      </c>
      <c r="J11" s="8">
        <v>-0.0496722526404834</v>
      </c>
      <c r="K11" s="8">
        <v>-0.0119654072784176</v>
      </c>
      <c r="L11" s="8">
        <v>-0.00313263972039332</v>
      </c>
      <c r="M11" s="8">
        <v>0.00620494504318057</v>
      </c>
      <c r="N11" s="7"/>
      <c r="O11" s="7"/>
    </row>
    <row r="12" spans="2:15">
      <c r="B12" s="2" t="s">
        <v>84</v>
      </c>
      <c r="C12" s="12">
        <v>-4.68</v>
      </c>
      <c r="D12" s="12">
        <v>-3.09</v>
      </c>
      <c r="E12" s="12">
        <v>-4.05</v>
      </c>
      <c r="F12" s="13">
        <v>3.23799</v>
      </c>
      <c r="G12" s="13">
        <v>5.71173</v>
      </c>
      <c r="J12" s="12">
        <v>-1.86</v>
      </c>
      <c r="K12" s="12">
        <v>-0.66</v>
      </c>
      <c r="L12" s="12">
        <v>-0.13</v>
      </c>
      <c r="M12" s="12">
        <v>0.29</v>
      </c>
      <c r="N12" s="7"/>
      <c r="O12" s="7"/>
    </row>
    <row r="13" spans="2:15">
      <c r="B13" s="2" t="s">
        <v>85</v>
      </c>
      <c r="C13" s="14">
        <v>0.1</v>
      </c>
      <c r="D13" s="14">
        <v>0.1</v>
      </c>
      <c r="E13" s="14">
        <v>0.1</v>
      </c>
      <c r="F13" s="15">
        <v>58.1</v>
      </c>
      <c r="G13" s="15">
        <v>58.1</v>
      </c>
      <c r="J13" s="14">
        <v>0.1</v>
      </c>
      <c r="K13" s="14">
        <v>0.1</v>
      </c>
      <c r="L13" s="14">
        <v>0.1</v>
      </c>
      <c r="M13" s="14">
        <v>0.1</v>
      </c>
      <c r="N13" s="15">
        <v>58.1</v>
      </c>
      <c r="O13" s="15">
        <v>58.1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3.31</v>
      </c>
    </row>
    <row r="17" spans="2:7">
      <c r="B17" s="2" t="s">
        <v>115</v>
      </c>
      <c r="C17" s="5">
        <v>1288</v>
      </c>
    </row>
    <row r="18" spans="2:7">
      <c r="B18" s="2" t="s">
        <v>1</v>
      </c>
      <c r="C18" s="18" t="str">
        <f>IF(OR(C10="",C10&lt;=0),"",C$17/C10)</f>
        <v/>
      </c>
      <c r="D18" s="18" t="str">
        <f>IF(OR(D10="",D10&lt;=0),"",C$17/D10)</f>
        <v/>
      </c>
      <c r="E18" s="18" t="str">
        <f>IF(OR(E10="",E10&lt;=0),"",C$17/E10)</f>
        <v/>
      </c>
      <c r="F18" s="19">
        <f>IF(OR(F10="",F10&lt;=0),"",C$17/F10)</f>
        <v>6.85106382978723</v>
      </c>
      <c r="G18" s="19">
        <f>IF(OR(G10="",G10&lt;=0),"",C$17/G10)</f>
        <v>3.87951807228916</v>
      </c>
    </row>
    <row r="19" spans="2:7">
      <c r="B19" s="2" t="s">
        <v>39</v>
      </c>
      <c r="C19" s="18">
        <f>IF(OR(C6="",C6=0),"",C$17/C6)</f>
        <v>0.146164321379936</v>
      </c>
      <c r="D19" s="18">
        <f>IF(OR(D6="",D6=0),"",C$17/D6)</f>
        <v>0.136701337295691</v>
      </c>
      <c r="E19" s="18">
        <f>IF(OR(E6="",E6=0),"",C$17/E6)</f>
        <v>0.129512317747612</v>
      </c>
      <c r="F19" s="19">
        <f>IF(OR(F6="",F6=0),"",C$17/F6)</f>
        <v>0.119959020210487</v>
      </c>
      <c r="G19" s="19">
        <f>IF(OR(G6="",G6=0),"",C$17/G6)</f>
        <v>0.112009739977389</v>
      </c>
    </row>
    <row r="21" spans="2:7">
      <c r="B21" s="20" t="s">
        <v>88</v>
      </c>
      <c r="F21" s="20">
        <v>5</v>
      </c>
      <c r="G21" s="20">
        <v>5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116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4400</v>
      </c>
      <c r="D6" s="5">
        <v>5183</v>
      </c>
      <c r="E6" s="5">
        <v>6566</v>
      </c>
      <c r="F6" s="6">
        <v>8192</v>
      </c>
      <c r="G6" s="6">
        <v>9493</v>
      </c>
      <c r="J6" s="5">
        <v>1756</v>
      </c>
      <c r="K6" s="5">
        <v>2101</v>
      </c>
      <c r="L6" s="5">
        <v>1946</v>
      </c>
      <c r="M6" s="5">
        <v>1633</v>
      </c>
      <c r="N6" s="7"/>
      <c r="O6" s="7"/>
    </row>
    <row r="7" spans="2:15">
      <c r="B7" s="2" t="s">
        <v>69</v>
      </c>
      <c r="C7" s="8">
        <v>0.232190860215054</v>
      </c>
      <c r="D7" s="8">
        <v>0.177915644032361</v>
      </c>
      <c r="E7" s="8">
        <v>0.266799143402851</v>
      </c>
      <c r="F7" s="9">
        <v>0.247650961743474</v>
      </c>
      <c r="G7" s="9">
        <v>0.158813609162706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0.524520498136533</v>
      </c>
      <c r="D8" s="8">
        <v>0.554048579090541</v>
      </c>
      <c r="E8" s="8">
        <v>0.5763302975846</v>
      </c>
      <c r="F8" s="7"/>
      <c r="G8" s="7"/>
      <c r="J8" s="8">
        <v>0.568353925866879</v>
      </c>
      <c r="K8" s="8">
        <v>0.576888296606539</v>
      </c>
      <c r="L8" s="8">
        <v>0.599023387304035</v>
      </c>
      <c r="M8" s="8">
        <v>0.656376331618278</v>
      </c>
      <c r="N8" s="7"/>
      <c r="O8" s="7"/>
    </row>
    <row r="9" spans="2:15">
      <c r="B9" s="2" t="s">
        <v>71</v>
      </c>
      <c r="C9" s="8">
        <v>0.0687437505681302</v>
      </c>
      <c r="D9" s="8">
        <v>0.090830166110393</v>
      </c>
      <c r="E9" s="8">
        <v>0.103514970607048</v>
      </c>
      <c r="F9" s="7"/>
      <c r="G9" s="7"/>
      <c r="J9" s="8">
        <v>0.122928884586916</v>
      </c>
      <c r="K9" s="8">
        <v>0.106515634667555</v>
      </c>
      <c r="L9" s="8">
        <v>0.161038293497816</v>
      </c>
      <c r="M9" s="8">
        <v>0.104005880191106</v>
      </c>
      <c r="N9" s="7"/>
      <c r="O9" s="7"/>
    </row>
    <row r="10" spans="2:15">
      <c r="B10" s="2" t="s">
        <v>72</v>
      </c>
      <c r="C10" s="5">
        <v>-209</v>
      </c>
      <c r="D10" s="5">
        <v>73</v>
      </c>
      <c r="E10" s="5">
        <v>427</v>
      </c>
      <c r="F10" s="6">
        <v>750</v>
      </c>
      <c r="G10" s="6">
        <v>946</v>
      </c>
      <c r="J10" s="5">
        <v>143</v>
      </c>
      <c r="K10" s="5">
        <v>132</v>
      </c>
      <c r="L10" s="5">
        <v>165</v>
      </c>
      <c r="M10" s="5">
        <v>107</v>
      </c>
      <c r="N10" s="7"/>
      <c r="O10" s="7"/>
    </row>
    <row r="11" spans="2:15">
      <c r="B11" s="11" t="s">
        <v>83</v>
      </c>
      <c r="C11" s="8">
        <v>-0.0474047813835106</v>
      </c>
      <c r="D11" s="8">
        <v>0.0140065209422569</v>
      </c>
      <c r="E11" s="8">
        <v>0.0650909201669154</v>
      </c>
      <c r="F11" s="9">
        <v>0.0915930015868772</v>
      </c>
      <c r="G11" s="9">
        <v>0.0996174012596766</v>
      </c>
      <c r="J11" s="8">
        <v>0.0814781073848431</v>
      </c>
      <c r="K11" s="8">
        <v>0.0625862643377279</v>
      </c>
      <c r="L11" s="8">
        <v>0.0846054998714983</v>
      </c>
      <c r="M11" s="8">
        <v>0.0656621340193556</v>
      </c>
      <c r="N11" s="7"/>
      <c r="O11" s="7"/>
    </row>
    <row r="12" spans="2:15">
      <c r="B12" s="2" t="s">
        <v>84</v>
      </c>
      <c r="C12" s="12">
        <v>-0.43</v>
      </c>
      <c r="D12" s="12">
        <v>0.15</v>
      </c>
      <c r="E12" s="12">
        <v>0.77</v>
      </c>
      <c r="F12" s="13">
        <v>1.29759</v>
      </c>
      <c r="G12" s="13">
        <v>1.6354</v>
      </c>
      <c r="J12" s="12">
        <v>0.26</v>
      </c>
      <c r="K12" s="12">
        <v>0.24</v>
      </c>
      <c r="L12" s="12">
        <v>0.29</v>
      </c>
      <c r="M12" s="12">
        <v>0.18</v>
      </c>
      <c r="N12" s="7"/>
      <c r="O12" s="7"/>
    </row>
    <row r="13" spans="2:15">
      <c r="B13" s="2" t="s">
        <v>85</v>
      </c>
      <c r="C13" s="14">
        <v>642.2</v>
      </c>
      <c r="D13" s="14">
        <v>18.4</v>
      </c>
      <c r="E13" s="14">
        <v>18.6</v>
      </c>
      <c r="F13" s="15">
        <v>578.3</v>
      </c>
      <c r="G13" s="15">
        <v>578.3</v>
      </c>
      <c r="J13" s="14">
        <v>18.5</v>
      </c>
      <c r="K13" s="14">
        <v>18.6</v>
      </c>
      <c r="L13" s="14">
        <v>19.4</v>
      </c>
      <c r="M13" s="14">
        <v>19.5</v>
      </c>
      <c r="N13" s="15">
        <v>578.3</v>
      </c>
      <c r="O13" s="15">
        <v>578.3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28.14</v>
      </c>
    </row>
    <row r="17" spans="2:7">
      <c r="B17" s="2" t="s">
        <v>87</v>
      </c>
      <c r="C17" s="5">
        <v>16273</v>
      </c>
    </row>
    <row r="18" spans="2:7">
      <c r="B18" s="2" t="s">
        <v>1</v>
      </c>
      <c r="C18" s="18" t="str">
        <f>IF(OR(C10="",C10&lt;=0),"",C$17/C10)</f>
        <v/>
      </c>
      <c r="D18" s="18">
        <f>IF(OR(D10="",D10&lt;=0),"",C$17/D10)</f>
        <v>222.917808219178</v>
      </c>
      <c r="E18" s="18">
        <f>IF(OR(E10="",E10&lt;=0),"",C$17/E10)</f>
        <v>38.1100702576112</v>
      </c>
      <c r="F18" s="19">
        <f>IF(OR(F10="",F10&lt;=0),"",C$17/F10)</f>
        <v>21.6973333333333</v>
      </c>
      <c r="G18" s="19">
        <f>IF(OR(G10="",G10&lt;=0),"",C$17/G10)</f>
        <v>17.2019027484144</v>
      </c>
    </row>
    <row r="19" spans="2:7">
      <c r="B19" s="2" t="s">
        <v>39</v>
      </c>
      <c r="C19" s="18">
        <f>IF(OR(C6="",C6=0),"",C$17/C6)</f>
        <v>3.69840909090909</v>
      </c>
      <c r="D19" s="18">
        <f>IF(OR(D6="",D6=0),"",C$17/D6)</f>
        <v>3.13968743970673</v>
      </c>
      <c r="E19" s="18">
        <f>IF(OR(E6="",E6=0),"",C$17/E6)</f>
        <v>2.47837343892781</v>
      </c>
      <c r="F19" s="19">
        <f>IF(OR(F6="",F6=0),"",C$17/F6)</f>
        <v>1.9864501953125</v>
      </c>
      <c r="G19" s="19">
        <f>IF(OR(G6="",G6=0),"",C$17/G6)</f>
        <v>1.71421047087328</v>
      </c>
    </row>
    <row r="21" spans="2:7">
      <c r="B21" s="20" t="s">
        <v>88</v>
      </c>
      <c r="F21" s="20">
        <v>13</v>
      </c>
      <c r="G21" s="20">
        <v>14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117</v>
      </c>
    </row>
    <row r="4" spans="2:15">
      <c r="B4" s="2" t="s">
        <v>56</v>
      </c>
      <c r="F4" s="3">
        <v>46415</v>
      </c>
      <c r="G4" s="3">
        <v>46780</v>
      </c>
      <c r="N4" s="3">
        <v>46327</v>
      </c>
      <c r="O4" s="3">
        <v>46419</v>
      </c>
    </row>
    <row r="5" spans="2:15">
      <c r="B5" s="2" t="s">
        <v>78</v>
      </c>
      <c r="C5" s="4" t="s">
        <v>79</v>
      </c>
      <c r="D5" s="4" t="s">
        <v>80</v>
      </c>
      <c r="E5" s="4" t="s">
        <v>81</v>
      </c>
      <c r="F5" s="4" t="s">
        <v>59</v>
      </c>
      <c r="G5" s="4" t="s">
        <v>60</v>
      </c>
      <c r="J5" s="4" t="s">
        <v>82</v>
      </c>
      <c r="K5" s="4" t="s">
        <v>62</v>
      </c>
      <c r="L5" s="4" t="s">
        <v>63</v>
      </c>
      <c r="M5" s="4" t="s">
        <v>64</v>
      </c>
      <c r="N5" s="4" t="s">
        <v>65</v>
      </c>
      <c r="O5" s="4" t="s">
        <v>66</v>
      </c>
    </row>
    <row r="6" spans="2:15">
      <c r="B6" s="2" t="s">
        <v>68</v>
      </c>
      <c r="C6" s="5">
        <v>4281</v>
      </c>
      <c r="D6" s="5">
        <v>4949</v>
      </c>
      <c r="E6" s="5">
        <v>5266</v>
      </c>
      <c r="F6" s="6">
        <v>5529</v>
      </c>
      <c r="G6" s="6">
        <v>5769</v>
      </c>
      <c r="J6" s="5">
        <v>1291</v>
      </c>
      <c r="K6" s="5">
        <v>1670</v>
      </c>
      <c r="L6" s="5">
        <v>1114</v>
      </c>
      <c r="M6" s="5">
        <v>1267</v>
      </c>
      <c r="N6" s="7"/>
      <c r="O6" s="7"/>
    </row>
    <row r="7" spans="2:15">
      <c r="B7" s="2" t="s">
        <v>69</v>
      </c>
      <c r="C7" s="8">
        <v>0.157643389184399</v>
      </c>
      <c r="D7" s="8">
        <v>0.156029058020495</v>
      </c>
      <c r="E7" s="8">
        <v>0.0642011547942878</v>
      </c>
      <c r="F7" s="9">
        <v>0.0498666553240876</v>
      </c>
      <c r="G7" s="9">
        <v>0.043493017421639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0.629202343461093</v>
      </c>
      <c r="D8" s="8">
        <v>0.641528783873053</v>
      </c>
      <c r="E8" s="8">
        <v>0.614741453759115</v>
      </c>
      <c r="F8" s="7"/>
      <c r="G8" s="7"/>
      <c r="J8" s="8">
        <v>0.625241841318003</v>
      </c>
      <c r="K8" s="8">
        <v>0.594867535192795</v>
      </c>
      <c r="L8" s="8">
        <v>0.590471000277423</v>
      </c>
      <c r="M8" s="8">
        <v>0.710971674973099</v>
      </c>
      <c r="N8" s="7"/>
      <c r="O8" s="7"/>
    </row>
    <row r="9" spans="2:15">
      <c r="B9" s="2" t="s">
        <v>71</v>
      </c>
      <c r="C9" s="8">
        <v>0.113222978514847</v>
      </c>
      <c r="D9" s="8">
        <v>0.149703339559353</v>
      </c>
      <c r="E9" s="8">
        <v>0.132758115197562</v>
      </c>
      <c r="F9" s="7"/>
      <c r="G9" s="7"/>
      <c r="J9" s="8">
        <v>0.120113681884429</v>
      </c>
      <c r="K9" s="8">
        <v>0.141292799984669</v>
      </c>
      <c r="L9" s="8">
        <v>0.0772422139643623</v>
      </c>
      <c r="M9" s="8">
        <v>0.199496482562018</v>
      </c>
      <c r="N9" s="7"/>
      <c r="O9" s="7"/>
    </row>
    <row r="10" spans="2:15">
      <c r="B10" s="2" t="s">
        <v>72</v>
      </c>
      <c r="C10" s="5">
        <v>328</v>
      </c>
      <c r="D10" s="5">
        <v>566</v>
      </c>
      <c r="E10" s="5">
        <v>507</v>
      </c>
      <c r="F10" s="6">
        <v>572</v>
      </c>
      <c r="G10" s="6">
        <v>575</v>
      </c>
      <c r="J10" s="5">
        <v>113</v>
      </c>
      <c r="K10" s="5">
        <v>172</v>
      </c>
      <c r="L10" s="5">
        <v>67</v>
      </c>
      <c r="M10" s="5">
        <v>184</v>
      </c>
      <c r="N10" s="7"/>
      <c r="O10" s="7"/>
    </row>
    <row r="11" spans="2:15">
      <c r="B11" s="11" t="s">
        <v>83</v>
      </c>
      <c r="C11" s="8">
        <v>0.0766521276891482</v>
      </c>
      <c r="D11" s="8">
        <v>0.114421146884959</v>
      </c>
      <c r="E11" s="8">
        <v>0.0962576704823812</v>
      </c>
      <c r="F11" s="9">
        <v>0.103528880398823</v>
      </c>
      <c r="G11" s="9">
        <v>0.0996378849413681</v>
      </c>
      <c r="J11" s="8">
        <v>0.0875510123436894</v>
      </c>
      <c r="K11" s="8">
        <v>0.10308407823203</v>
      </c>
      <c r="L11" s="8">
        <v>0.0602735987200816</v>
      </c>
      <c r="M11" s="8">
        <v>0.145039547986917</v>
      </c>
      <c r="N11" s="7"/>
      <c r="O11" s="7"/>
    </row>
    <row r="12" spans="2:15">
      <c r="B12" s="2" t="s">
        <v>84</v>
      </c>
      <c r="C12" s="12">
        <v>6.53</v>
      </c>
      <c r="D12" s="12">
        <v>11.14</v>
      </c>
      <c r="E12" s="12">
        <v>10.71</v>
      </c>
      <c r="F12" s="13">
        <v>12.88272</v>
      </c>
      <c r="G12" s="13">
        <v>12.93779</v>
      </c>
      <c r="J12" s="12">
        <v>2.41</v>
      </c>
      <c r="K12" s="12">
        <v>3.77</v>
      </c>
      <c r="L12" s="12">
        <v>1.49</v>
      </c>
      <c r="M12" s="12">
        <v>4.2</v>
      </c>
      <c r="N12" s="7"/>
      <c r="O12" s="7"/>
    </row>
    <row r="13" spans="2:15">
      <c r="B13" s="2" t="s">
        <v>85</v>
      </c>
      <c r="C13" s="14">
        <v>1</v>
      </c>
      <c r="D13" s="14">
        <v>1</v>
      </c>
      <c r="E13" s="14">
        <v>1</v>
      </c>
      <c r="F13" s="15">
        <v>44.4</v>
      </c>
      <c r="G13" s="15">
        <v>44.4</v>
      </c>
      <c r="J13" s="14">
        <v>1</v>
      </c>
      <c r="K13" s="14">
        <v>1</v>
      </c>
      <c r="L13" s="14">
        <v>1</v>
      </c>
      <c r="M13" s="14">
        <v>1</v>
      </c>
      <c r="N13" s="15">
        <v>44.4</v>
      </c>
      <c r="O13" s="15">
        <v>44.4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142.6</v>
      </c>
    </row>
    <row r="17" spans="2:7">
      <c r="B17" s="2" t="s">
        <v>87</v>
      </c>
      <c r="C17" s="5">
        <v>6336</v>
      </c>
    </row>
    <row r="18" spans="2:7">
      <c r="B18" s="2" t="s">
        <v>1</v>
      </c>
      <c r="C18" s="18">
        <f>IF(OR(C10="",C10&lt;=0),"",C$17/C10)</f>
        <v>19.3170731707317</v>
      </c>
      <c r="D18" s="18">
        <f>IF(OR(D10="",D10&lt;=0),"",C$17/D10)</f>
        <v>11.1943462897526</v>
      </c>
      <c r="E18" s="18">
        <f>IF(OR(E10="",E10&lt;=0),"",C$17/E10)</f>
        <v>12.4970414201183</v>
      </c>
      <c r="F18" s="19">
        <f>IF(OR(F10="",F10&lt;=0),"",C$17/F10)</f>
        <v>11.0769230769231</v>
      </c>
      <c r="G18" s="19">
        <f>IF(OR(G10="",G10&lt;=0),"",C$17/G10)</f>
        <v>11.0191304347826</v>
      </c>
    </row>
    <row r="19" spans="2:7">
      <c r="B19" s="2" t="s">
        <v>39</v>
      </c>
      <c r="C19" s="18">
        <f>IF(OR(C6="",C6=0),"",C$17/C6)</f>
        <v>1.48002803083392</v>
      </c>
      <c r="D19" s="18">
        <f>IF(OR(D6="",D6=0),"",C$17/D6)</f>
        <v>1.28025863810871</v>
      </c>
      <c r="E19" s="18">
        <f>IF(OR(E6="",E6=0),"",C$17/E6)</f>
        <v>1.20319027725028</v>
      </c>
      <c r="F19" s="19">
        <f>IF(OR(F6="",F6=0),"",C$17/F6)</f>
        <v>1.1459576776994</v>
      </c>
      <c r="G19" s="19">
        <f>IF(OR(G6="",G6=0),"",C$17/G6)</f>
        <v>1.09828393135725</v>
      </c>
    </row>
    <row r="21" spans="2:7">
      <c r="B21" s="20" t="s">
        <v>88</v>
      </c>
      <c r="F21" s="20">
        <v>9</v>
      </c>
      <c r="G21" s="20">
        <v>9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118</v>
      </c>
    </row>
    <row r="4" spans="2:15">
      <c r="B4" s="2" t="s">
        <v>56</v>
      </c>
      <c r="F4" s="3">
        <v>46415</v>
      </c>
      <c r="G4" s="3">
        <v>46780</v>
      </c>
      <c r="N4" s="3">
        <v>46327</v>
      </c>
      <c r="O4" s="3">
        <v>46419</v>
      </c>
    </row>
    <row r="5" spans="2:15">
      <c r="B5" s="2" t="s">
        <v>78</v>
      </c>
      <c r="C5" s="4" t="s">
        <v>79</v>
      </c>
      <c r="D5" s="4" t="s">
        <v>80</v>
      </c>
      <c r="E5" s="4" t="s">
        <v>81</v>
      </c>
      <c r="F5" s="4" t="s">
        <v>59</v>
      </c>
      <c r="G5" s="4" t="s">
        <v>60</v>
      </c>
      <c r="J5" s="4" t="s">
        <v>82</v>
      </c>
      <c r="K5" s="4" t="s">
        <v>62</v>
      </c>
      <c r="L5" s="4" t="s">
        <v>63</v>
      </c>
      <c r="M5" s="4" t="s">
        <v>64</v>
      </c>
      <c r="N5" s="4" t="s">
        <v>65</v>
      </c>
      <c r="O5" s="4" t="s">
        <v>66</v>
      </c>
    </row>
    <row r="6" spans="2:15">
      <c r="B6" s="2" t="s">
        <v>68</v>
      </c>
      <c r="C6" s="5">
        <v>6182</v>
      </c>
      <c r="D6" s="5">
        <v>6230</v>
      </c>
      <c r="E6" s="5">
        <v>6553</v>
      </c>
      <c r="F6" s="6">
        <v>7142</v>
      </c>
      <c r="G6" s="6">
        <v>7468</v>
      </c>
      <c r="J6" s="5">
        <v>1472</v>
      </c>
      <c r="K6" s="5">
        <v>2270</v>
      </c>
      <c r="L6" s="5">
        <v>1560</v>
      </c>
      <c r="M6" s="5">
        <v>1611</v>
      </c>
      <c r="N6" s="7"/>
      <c r="O6" s="7"/>
    </row>
    <row r="7" spans="2:15">
      <c r="B7" s="2" t="s">
        <v>69</v>
      </c>
      <c r="C7" s="8">
        <v>-0.0255359394703657</v>
      </c>
      <c r="D7" s="8">
        <v>0.00776447751536713</v>
      </c>
      <c r="E7" s="8">
        <v>0.0519115569823434</v>
      </c>
      <c r="F7" s="9">
        <v>0.089743000017243</v>
      </c>
      <c r="G7" s="9">
        <v>0.0456629618120863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0.362665803946943</v>
      </c>
      <c r="D8" s="8">
        <v>0.36661316211878</v>
      </c>
      <c r="E8" s="8">
        <v>0.364311002105927</v>
      </c>
      <c r="F8" s="7"/>
      <c r="G8" s="7"/>
      <c r="J8" s="8">
        <v>0.364130434782609</v>
      </c>
      <c r="K8" s="8">
        <v>0.376682303846499</v>
      </c>
      <c r="L8" s="8">
        <v>0.37634738851404</v>
      </c>
      <c r="M8" s="8">
        <v>0.471135940409683</v>
      </c>
      <c r="N8" s="7"/>
      <c r="O8" s="7"/>
    </row>
    <row r="9" spans="2:15">
      <c r="B9" s="2" t="s">
        <v>71</v>
      </c>
      <c r="C9" s="8">
        <v>0.0397929472662569</v>
      </c>
      <c r="D9" s="8">
        <v>0.0497592295345104</v>
      </c>
      <c r="E9" s="8">
        <v>0.0453031391753513</v>
      </c>
      <c r="F9" s="7"/>
      <c r="G9" s="7"/>
      <c r="J9" s="8">
        <v>-0.0129076086956522</v>
      </c>
      <c r="K9" s="8">
        <v>0.100876551455544</v>
      </c>
      <c r="L9" s="8">
        <v>0.0526311064888166</v>
      </c>
      <c r="M9" s="8">
        <v>0.159528243327126</v>
      </c>
      <c r="N9" s="7"/>
      <c r="O9" s="7"/>
    </row>
    <row r="10" spans="2:15">
      <c r="B10" s="2" t="s">
        <v>72</v>
      </c>
      <c r="C10" s="5">
        <v>109</v>
      </c>
      <c r="D10" s="5">
        <v>165</v>
      </c>
      <c r="E10" s="5">
        <v>161</v>
      </c>
      <c r="F10" s="6">
        <v>371</v>
      </c>
      <c r="G10" s="6">
        <v>445</v>
      </c>
      <c r="J10" s="5">
        <v>-37</v>
      </c>
      <c r="K10" s="5">
        <v>184</v>
      </c>
      <c r="L10" s="5">
        <v>48</v>
      </c>
      <c r="M10" s="5">
        <v>183</v>
      </c>
      <c r="N10" s="7"/>
      <c r="O10" s="7"/>
    </row>
    <row r="11" spans="2:15">
      <c r="B11" s="11" t="s">
        <v>83</v>
      </c>
      <c r="C11" s="8">
        <v>0.017631834357813</v>
      </c>
      <c r="D11" s="8">
        <v>0.0264847512038523</v>
      </c>
      <c r="E11" s="8">
        <v>0.0245456982770341</v>
      </c>
      <c r="F11" s="9">
        <v>0.0519081118542206</v>
      </c>
      <c r="G11" s="9">
        <v>0.0595926895160958</v>
      </c>
      <c r="J11" s="8">
        <v>-0.0251358695652174</v>
      </c>
      <c r="K11" s="8">
        <v>0.0809030207013469</v>
      </c>
      <c r="L11" s="8">
        <v>0.0305791710775453</v>
      </c>
      <c r="M11" s="8">
        <v>0.113594040968343</v>
      </c>
      <c r="N11" s="7"/>
      <c r="O11" s="7"/>
    </row>
    <row r="12" spans="2:15">
      <c r="B12" s="2" t="s">
        <v>84</v>
      </c>
      <c r="C12" s="12">
        <v>1.4</v>
      </c>
      <c r="D12" s="12">
        <v>2.09</v>
      </c>
      <c r="E12" s="12">
        <v>1.93</v>
      </c>
      <c r="F12" s="13">
        <v>4.6673</v>
      </c>
      <c r="G12" s="13">
        <v>5.60293</v>
      </c>
      <c r="J12" s="12">
        <v>-0.46</v>
      </c>
      <c r="K12" s="12">
        <v>2.14</v>
      </c>
      <c r="L12" s="12">
        <v>0.56</v>
      </c>
      <c r="M12" s="12">
        <v>0</v>
      </c>
      <c r="N12" s="7"/>
      <c r="O12" s="7"/>
    </row>
    <row r="13" spans="2:15">
      <c r="B13" s="2" t="s">
        <v>85</v>
      </c>
      <c r="C13" s="14">
        <v>1</v>
      </c>
      <c r="D13" s="14">
        <v>1</v>
      </c>
      <c r="E13" s="14">
        <v>1</v>
      </c>
      <c r="F13" s="15">
        <v>79.4</v>
      </c>
      <c r="G13" s="15">
        <v>79.4</v>
      </c>
      <c r="J13" s="14">
        <v>1</v>
      </c>
      <c r="K13" s="14">
        <v>1</v>
      </c>
      <c r="L13" s="14">
        <v>1</v>
      </c>
      <c r="M13" s="14">
        <v>1</v>
      </c>
      <c r="N13" s="15">
        <v>79.4</v>
      </c>
      <c r="O13" s="15">
        <v>79.4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91.51</v>
      </c>
    </row>
    <row r="17" spans="2:7">
      <c r="B17" s="2" t="s">
        <v>87</v>
      </c>
      <c r="C17" s="5">
        <v>7268</v>
      </c>
    </row>
    <row r="18" spans="2:7">
      <c r="B18" s="2" t="s">
        <v>1</v>
      </c>
      <c r="C18" s="18">
        <f>IF(OR(C10="",C10&lt;=0),"",C$17/C10)</f>
        <v>66.6788990825688</v>
      </c>
      <c r="D18" s="18">
        <f>IF(OR(D10="",D10&lt;=0),"",C$17/D10)</f>
        <v>44.0484848484848</v>
      </c>
      <c r="E18" s="18">
        <f>IF(OR(E10="",E10&lt;=0),"",C$17/E10)</f>
        <v>45.1428571428571</v>
      </c>
      <c r="F18" s="19">
        <f>IF(OR(F10="",F10&lt;=0),"",C$17/F10)</f>
        <v>19.5902964959569</v>
      </c>
      <c r="G18" s="19">
        <f>IF(OR(G10="",G10&lt;=0),"",C$17/G10)</f>
        <v>16.3325842696629</v>
      </c>
    </row>
    <row r="19" spans="2:7">
      <c r="B19" s="2" t="s">
        <v>39</v>
      </c>
      <c r="C19" s="18">
        <f>IF(OR(C6="",C6=0),"",C$17/C6)</f>
        <v>1.17567130378518</v>
      </c>
      <c r="D19" s="18">
        <f>IF(OR(D6="",D6=0),"",C$17/D6)</f>
        <v>1.16661316211878</v>
      </c>
      <c r="E19" s="18">
        <f>IF(OR(E6="",E6=0),"",C$17/E6)</f>
        <v>1.10911033114604</v>
      </c>
      <c r="F19" s="19">
        <f>IF(OR(F6="",F6=0),"",C$17/F6)</f>
        <v>1.01764211705405</v>
      </c>
      <c r="G19" s="19">
        <f>IF(OR(G6="",G6=0),"",C$17/G6)</f>
        <v>0.973219068023567</v>
      </c>
    </row>
    <row r="21" spans="2:7">
      <c r="B21" s="20" t="s">
        <v>88</v>
      </c>
      <c r="F21" s="20">
        <v>6</v>
      </c>
      <c r="G21" s="20">
        <v>6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119</v>
      </c>
    </row>
    <row r="4" spans="2:15">
      <c r="B4" s="2" t="s">
        <v>56</v>
      </c>
      <c r="F4" s="3">
        <v>46627</v>
      </c>
      <c r="G4" s="3">
        <v>46993</v>
      </c>
      <c r="N4" s="3">
        <v>46356</v>
      </c>
      <c r="O4" s="3">
        <v>46446</v>
      </c>
    </row>
    <row r="5" spans="2:15">
      <c r="B5" s="2" t="s">
        <v>78</v>
      </c>
      <c r="C5" s="4" t="s">
        <v>79</v>
      </c>
      <c r="D5" s="4" t="s">
        <v>80</v>
      </c>
      <c r="E5" s="4" t="s">
        <v>81</v>
      </c>
      <c r="F5" s="4" t="s">
        <v>59</v>
      </c>
      <c r="G5" s="4" t="s">
        <v>60</v>
      </c>
      <c r="J5" s="4" t="s">
        <v>82</v>
      </c>
      <c r="K5" s="4" t="s">
        <v>62</v>
      </c>
      <c r="L5" s="4" t="s">
        <v>63</v>
      </c>
      <c r="M5" s="4" t="s">
        <v>64</v>
      </c>
      <c r="N5" s="4" t="s">
        <v>65</v>
      </c>
      <c r="O5" s="4" t="s">
        <v>66</v>
      </c>
    </row>
    <row r="6" spans="2:15">
      <c r="B6" s="2" t="s">
        <v>68</v>
      </c>
      <c r="C6" s="5">
        <v>3103836</v>
      </c>
      <c r="D6" s="5">
        <v>3400539</v>
      </c>
      <c r="E6" s="5">
        <v>3963389</v>
      </c>
      <c r="F6" s="6">
        <v>4434755</v>
      </c>
      <c r="G6" s="6">
        <v>4911986</v>
      </c>
      <c r="J6" s="5">
        <v>1027745</v>
      </c>
      <c r="K6" s="5">
        <v>1027482</v>
      </c>
      <c r="L6" s="5">
        <v>1009955</v>
      </c>
      <c r="M6" s="5">
        <v>898207</v>
      </c>
      <c r="N6" s="7"/>
      <c r="O6" s="7"/>
    </row>
    <row r="7" spans="2:15">
      <c r="B7" s="2" t="s">
        <v>69</v>
      </c>
      <c r="C7" s="8">
        <v>0.121912904740441</v>
      </c>
      <c r="D7" s="8">
        <v>0.0955923573281579</v>
      </c>
      <c r="E7" s="8">
        <v>0.165517878195192</v>
      </c>
      <c r="F7" s="9">
        <v>0.118929975651393</v>
      </c>
      <c r="G7" s="9">
        <v>0.107611532364442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0.53903363450904</v>
      </c>
      <c r="D8" s="8">
        <v>0.537814152403487</v>
      </c>
      <c r="E8" s="8">
        <v>0.492985674633502</v>
      </c>
      <c r="F8" s="7"/>
      <c r="G8" s="7"/>
      <c r="J8" s="8">
        <v>0.49740548482357</v>
      </c>
      <c r="K8" s="8">
        <v>0.472069583700736</v>
      </c>
      <c r="L8" s="8">
        <v>0.508086003831854</v>
      </c>
      <c r="M8" s="8">
        <v>0.494875902770742</v>
      </c>
      <c r="N8" s="7"/>
      <c r="O8" s="7"/>
    </row>
    <row r="9" spans="2:15">
      <c r="B9" s="2" t="s">
        <v>71</v>
      </c>
      <c r="C9" s="8">
        <v>0.156373597058608</v>
      </c>
      <c r="D9" s="8">
        <v>0.165933988700027</v>
      </c>
      <c r="E9" s="8">
        <v>0.181284249413822</v>
      </c>
      <c r="F9" s="7"/>
      <c r="G9" s="7"/>
      <c r="J9" s="8">
        <v>0.200096327396387</v>
      </c>
      <c r="K9" s="8">
        <v>0.176466351721977</v>
      </c>
      <c r="L9" s="8">
        <v>0.203723928293835</v>
      </c>
      <c r="M9" s="8">
        <v>0.140038988785436</v>
      </c>
      <c r="N9" s="7"/>
      <c r="O9" s="7"/>
    </row>
    <row r="10" spans="2:15">
      <c r="B10" s="2" t="s">
        <v>72</v>
      </c>
      <c r="C10" s="5">
        <v>371999</v>
      </c>
      <c r="D10" s="5">
        <v>433009</v>
      </c>
      <c r="E10" s="5">
        <v>542517</v>
      </c>
      <c r="F10" s="6">
        <v>576646</v>
      </c>
      <c r="G10" s="6">
        <v>650438</v>
      </c>
      <c r="J10" s="5">
        <v>147446</v>
      </c>
      <c r="K10" s="5">
        <v>131845</v>
      </c>
      <c r="L10" s="5">
        <v>146787</v>
      </c>
      <c r="M10" s="5">
        <v>116439</v>
      </c>
      <c r="N10" s="7"/>
      <c r="O10" s="7"/>
    </row>
    <row r="11" spans="2:15">
      <c r="B11" s="11" t="s">
        <v>83</v>
      </c>
      <c r="C11" s="8">
        <v>0.119851371013159</v>
      </c>
      <c r="D11" s="8">
        <v>0.127335401828945</v>
      </c>
      <c r="E11" s="8">
        <v>0.136882097618982</v>
      </c>
      <c r="F11" s="9">
        <v>0.130028907556162</v>
      </c>
      <c r="G11" s="9">
        <v>0.132418609089767</v>
      </c>
      <c r="J11" s="8">
        <v>0.143465548360731</v>
      </c>
      <c r="K11" s="8">
        <v>0.128318549619361</v>
      </c>
      <c r="L11" s="8">
        <v>0.145340138917081</v>
      </c>
      <c r="M11" s="8">
        <v>0.129634928251505</v>
      </c>
      <c r="N11" s="7"/>
      <c r="O11" s="7"/>
    </row>
    <row r="12" spans="2:15">
      <c r="B12" s="2" t="s">
        <v>84</v>
      </c>
      <c r="C12" s="12">
        <v>1213.19</v>
      </c>
      <c r="D12" s="12">
        <v>1411.43</v>
      </c>
      <c r="E12" s="12">
        <v>1768.07</v>
      </c>
      <c r="F12" s="13">
        <v>1879.23869</v>
      </c>
      <c r="G12" s="13">
        <v>2119.72012</v>
      </c>
      <c r="J12" s="12">
        <v>480.55</v>
      </c>
      <c r="K12" s="12">
        <v>429.69</v>
      </c>
      <c r="L12" s="12">
        <v>478.37</v>
      </c>
      <c r="M12" s="12">
        <v>379.46</v>
      </c>
      <c r="N12" s="7"/>
      <c r="O12" s="7"/>
    </row>
    <row r="13" spans="2:15">
      <c r="B13" s="2" t="s">
        <v>85</v>
      </c>
      <c r="C13" s="14">
        <v>10273</v>
      </c>
      <c r="D13" s="14">
        <v>10273</v>
      </c>
      <c r="E13" s="14">
        <v>10273</v>
      </c>
      <c r="F13" s="15">
        <v>306.9</v>
      </c>
      <c r="G13" s="15">
        <v>306.9</v>
      </c>
      <c r="J13" s="14">
        <v>10273</v>
      </c>
      <c r="K13" s="14">
        <v>10273</v>
      </c>
      <c r="L13" s="14">
        <v>10273</v>
      </c>
      <c r="M13" s="14">
        <v>10273</v>
      </c>
      <c r="N13" s="15">
        <v>306.9</v>
      </c>
      <c r="O13" s="15">
        <v>306.9</v>
      </c>
    </row>
    <row r="15" spans="2:15">
      <c r="B15" s="2" t="s">
        <v>74</v>
      </c>
      <c r="C15" s="16">
        <v>46307</v>
      </c>
    </row>
    <row r="16" spans="2:15">
      <c r="B16" s="2" t="s">
        <v>120</v>
      </c>
      <c r="C16" s="17">
        <v>71780</v>
      </c>
    </row>
    <row r="17" spans="2:7">
      <c r="B17" s="2" t="s">
        <v>121</v>
      </c>
      <c r="C17" s="5">
        <v>22025767</v>
      </c>
    </row>
    <row r="18" spans="2:7">
      <c r="B18" s="2" t="s">
        <v>1</v>
      </c>
      <c r="C18" s="18">
        <f>IF(OR(C10="",C10&lt;=0),"",C$17/C10)</f>
        <v>59.2092102398125</v>
      </c>
      <c r="D18" s="18">
        <f>IF(OR(D10="",D10&lt;=0),"",C$17/D10)</f>
        <v>50.8667648940322</v>
      </c>
      <c r="E18" s="18">
        <f>IF(OR(E10="",E10&lt;=0),"",C$17/E10)</f>
        <v>40.5992199322786</v>
      </c>
      <c r="F18" s="19">
        <f>IF(OR(F10="",F10&lt;=0),"",C$17/F10)</f>
        <v>38.1963405624942</v>
      </c>
      <c r="G18" s="19">
        <f>IF(OR(G10="",G10&lt;=0),"",C$17/G10)</f>
        <v>33.8629769478413</v>
      </c>
    </row>
    <row r="19" spans="2:7">
      <c r="B19" s="2" t="s">
        <v>39</v>
      </c>
      <c r="C19" s="18">
        <f>IF(OR(C6="",C6=0),"",C$17/C6)</f>
        <v>7.09630502384791</v>
      </c>
      <c r="D19" s="18">
        <f>IF(OR(D6="",D6=0),"",C$17/D6)</f>
        <v>6.47713994752008</v>
      </c>
      <c r="E19" s="18">
        <f>IF(OR(E6="",E6=0),"",C$17/E6)</f>
        <v>5.55730638602469</v>
      </c>
      <c r="F19" s="19">
        <f>IF(OR(F6="",F6=0),"",C$17/F6)</f>
        <v>4.96662543928582</v>
      </c>
      <c r="G19" s="19">
        <f>IF(OR(G6="",G6=0),"",C$17/G6)</f>
        <v>4.48408586669425</v>
      </c>
    </row>
    <row r="21" spans="2:7">
      <c r="B21" s="20" t="s">
        <v>88</v>
      </c>
      <c r="F21" s="20">
        <v>14</v>
      </c>
      <c r="G21" s="20">
        <v>16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122</v>
      </c>
    </row>
    <row r="4" spans="2:15">
      <c r="B4" s="2" t="s">
        <v>56</v>
      </c>
      <c r="F4" s="3">
        <v>46474</v>
      </c>
      <c r="G4" s="3">
        <v>46840</v>
      </c>
      <c r="N4" s="3">
        <v>46295</v>
      </c>
      <c r="O4" s="3">
        <v>46386</v>
      </c>
    </row>
    <row r="5" spans="2:15">
      <c r="B5" s="2" t="s">
        <v>78</v>
      </c>
      <c r="C5" s="4" t="s">
        <v>79</v>
      </c>
      <c r="D5" s="4" t="s">
        <v>80</v>
      </c>
      <c r="E5" s="4" t="s">
        <v>81</v>
      </c>
      <c r="F5" s="4" t="s">
        <v>59</v>
      </c>
      <c r="G5" s="4" t="s">
        <v>60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126907</v>
      </c>
      <c r="D6" s="5">
        <v>132305</v>
      </c>
      <c r="E6" s="5">
        <v>137516</v>
      </c>
      <c r="F6" s="6">
        <v>140702</v>
      </c>
      <c r="G6" s="6">
        <v>148929</v>
      </c>
      <c r="J6" s="5">
        <v>31711</v>
      </c>
      <c r="K6" s="5">
        <v>43883</v>
      </c>
      <c r="L6" s="5">
        <v>38044</v>
      </c>
      <c r="M6" s="5">
        <v>23592</v>
      </c>
      <c r="N6" s="7"/>
      <c r="O6" s="7"/>
    </row>
    <row r="7" spans="2:15">
      <c r="B7" s="2" t="s">
        <v>69</v>
      </c>
      <c r="C7" s="8">
        <v>0.103040364356986</v>
      </c>
      <c r="D7" s="8">
        <v>0.0425350847470982</v>
      </c>
      <c r="E7" s="8">
        <v>0.0393862665810061</v>
      </c>
      <c r="F7" s="9">
        <v>0.0231645772128335</v>
      </c>
      <c r="G7" s="9">
        <v>0.0584760408879792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0.529308863971255</v>
      </c>
      <c r="D8" s="8">
        <v>0.52096292657118</v>
      </c>
      <c r="E8" s="8">
        <v>0.530461909886849</v>
      </c>
      <c r="F8" s="7"/>
      <c r="G8" s="7"/>
      <c r="J8" s="8">
        <v>0.501624042130491</v>
      </c>
      <c r="K8" s="8">
        <v>0.56188045484584</v>
      </c>
      <c r="L8" s="8">
        <v>0.518767742613816</v>
      </c>
      <c r="M8" s="8">
        <v>0.540267887419464</v>
      </c>
      <c r="N8" s="7"/>
      <c r="O8" s="7"/>
    </row>
    <row r="9" spans="2:15">
      <c r="B9" s="2" t="s">
        <v>71</v>
      </c>
      <c r="C9" s="8">
        <v>0.187909256384597</v>
      </c>
      <c r="D9" s="8">
        <v>0.165571973848305</v>
      </c>
      <c r="E9" s="8">
        <v>0.188050844992583</v>
      </c>
      <c r="F9" s="7"/>
      <c r="G9" s="7"/>
      <c r="J9" s="8">
        <v>0.153889817413516</v>
      </c>
      <c r="K9" s="8">
        <v>0.267939748877698</v>
      </c>
      <c r="L9" s="8">
        <v>0.187729996845758</v>
      </c>
      <c r="M9" s="8">
        <v>0.0157680569684639</v>
      </c>
      <c r="N9" s="7"/>
      <c r="O9" s="7"/>
    </row>
    <row r="10" spans="2:15">
      <c r="B10" s="2" t="s">
        <v>72</v>
      </c>
      <c r="C10" s="5">
        <v>24281</v>
      </c>
      <c r="D10" s="5">
        <v>24444</v>
      </c>
      <c r="E10" s="5">
        <v>24094</v>
      </c>
      <c r="F10" s="6">
        <v>23800</v>
      </c>
      <c r="G10" s="6">
        <v>25455</v>
      </c>
      <c r="J10" s="5">
        <v>3610</v>
      </c>
      <c r="K10" s="5">
        <v>8453</v>
      </c>
      <c r="L10" s="5">
        <v>8842</v>
      </c>
      <c r="M10" s="5">
        <v>2249</v>
      </c>
      <c r="N10" s="7"/>
      <c r="O10" s="7"/>
    </row>
    <row r="11" spans="2:15">
      <c r="B11" s="11" t="s">
        <v>83</v>
      </c>
      <c r="C11" s="8">
        <v>0.191329083502092</v>
      </c>
      <c r="D11" s="8">
        <v>0.184754922338536</v>
      </c>
      <c r="E11" s="8">
        <v>0.175208702987289</v>
      </c>
      <c r="F11" s="9">
        <v>0.169153445689973</v>
      </c>
      <c r="G11" s="9">
        <v>0.170917465020118</v>
      </c>
      <c r="J11" s="8">
        <v>0.113840623127621</v>
      </c>
      <c r="K11" s="8">
        <v>0.19262584599959</v>
      </c>
      <c r="L11" s="8">
        <v>0.232415098307223</v>
      </c>
      <c r="M11" s="8">
        <v>0.0953289250593422</v>
      </c>
      <c r="N11" s="7"/>
      <c r="O11" s="7"/>
    </row>
    <row r="12" spans="2:15">
      <c r="B12" s="2" t="s">
        <v>84</v>
      </c>
      <c r="C12" s="12">
        <v>179.7</v>
      </c>
      <c r="D12" s="12">
        <v>181.99</v>
      </c>
      <c r="E12" s="12">
        <v>175.75</v>
      </c>
      <c r="F12" s="13">
        <v>174.01667</v>
      </c>
      <c r="G12" s="13">
        <v>186.11333</v>
      </c>
      <c r="J12" s="12">
        <v>26.23</v>
      </c>
      <c r="K12" s="12">
        <v>61.61</v>
      </c>
      <c r="L12" s="12">
        <v>64.59</v>
      </c>
      <c r="M12" s="12">
        <v>16.44</v>
      </c>
      <c r="N12" s="7"/>
      <c r="O12" s="7"/>
    </row>
    <row r="13" spans="2:15">
      <c r="B13" s="2" t="s">
        <v>85</v>
      </c>
      <c r="C13" s="14">
        <v>7079</v>
      </c>
      <c r="D13" s="14">
        <v>7079</v>
      </c>
      <c r="E13" s="14">
        <v>7079</v>
      </c>
      <c r="F13" s="15">
        <v>136.8</v>
      </c>
      <c r="G13" s="15">
        <v>136.8</v>
      </c>
      <c r="J13" s="14">
        <v>7079</v>
      </c>
      <c r="K13" s="14">
        <v>7079</v>
      </c>
      <c r="L13" s="14">
        <v>7079</v>
      </c>
      <c r="M13" s="14">
        <v>7079</v>
      </c>
      <c r="N13" s="15">
        <v>136.8</v>
      </c>
      <c r="O13" s="15">
        <v>136.8</v>
      </c>
    </row>
    <row r="15" spans="2:15">
      <c r="B15" s="2" t="s">
        <v>74</v>
      </c>
      <c r="C15" s="16">
        <v>46307</v>
      </c>
    </row>
    <row r="16" spans="2:15">
      <c r="B16" s="2" t="s">
        <v>120</v>
      </c>
      <c r="C16" s="17">
        <v>2167</v>
      </c>
    </row>
    <row r="17" spans="2:7">
      <c r="B17" s="2" t="s">
        <v>121</v>
      </c>
      <c r="C17" s="5">
        <v>296379</v>
      </c>
    </row>
    <row r="18" spans="2:7">
      <c r="B18" s="2" t="s">
        <v>1</v>
      </c>
      <c r="C18" s="18">
        <f>IF(OR(C10="",C10&lt;=0),"",C$17/C10)</f>
        <v>12.2062106173551</v>
      </c>
      <c r="D18" s="18">
        <f>IF(OR(D10="",D10&lt;=0),"",C$17/D10)</f>
        <v>12.1248159057437</v>
      </c>
      <c r="E18" s="18">
        <f>IF(OR(E10="",E10&lt;=0),"",C$17/E10)</f>
        <v>12.3009462936831</v>
      </c>
      <c r="F18" s="19">
        <f>IF(OR(F10="",F10&lt;=0),"",C$17/F10)</f>
        <v>12.4528991596639</v>
      </c>
      <c r="G18" s="19">
        <f>IF(OR(G10="",G10&lt;=0),"",C$17/G10)</f>
        <v>11.6432527990572</v>
      </c>
    </row>
    <row r="19" spans="2:7">
      <c r="B19" s="2" t="s">
        <v>39</v>
      </c>
      <c r="C19" s="18">
        <f>IF(OR(C6="",C6=0),"",C$17/C6)</f>
        <v>2.33540309045206</v>
      </c>
      <c r="D19" s="18">
        <f>IF(OR(D6="",D6=0),"",C$17/D6)</f>
        <v>2.24011942103473</v>
      </c>
      <c r="E19" s="18">
        <f>IF(OR(E6="",E6=0),"",C$17/E6)</f>
        <v>2.15523284563251</v>
      </c>
      <c r="F19" s="19">
        <f>IF(OR(F6="",F6=0),"",C$17/F6)</f>
        <v>2.10643061221589</v>
      </c>
      <c r="G19" s="19">
        <f>IF(OR(G6="",G6=0),"",C$17/G6)</f>
        <v>1.99006909332635</v>
      </c>
    </row>
    <row r="21" spans="2:7">
      <c r="B21" s="20" t="s">
        <v>88</v>
      </c>
      <c r="F21" s="20">
        <v>6</v>
      </c>
      <c r="G21" s="20">
        <v>6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123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570463</v>
      </c>
      <c r="D6" s="5">
        <v>678526</v>
      </c>
      <c r="E6" s="5">
        <v>810916</v>
      </c>
      <c r="F6" s="6">
        <v>1040811</v>
      </c>
      <c r="G6" s="6">
        <v>1168212</v>
      </c>
      <c r="J6" s="5">
        <v>222257</v>
      </c>
      <c r="K6" s="5">
        <v>185861</v>
      </c>
      <c r="L6" s="5">
        <v>270265</v>
      </c>
      <c r="M6" s="5">
        <v>264218</v>
      </c>
      <c r="N6" s="7"/>
      <c r="O6" s="7"/>
    </row>
    <row r="7" spans="2:15">
      <c r="B7" s="2" t="s">
        <v>69</v>
      </c>
      <c r="C7" s="8">
        <v>0.17718081473212</v>
      </c>
      <c r="D7" s="8">
        <v>0.189430339916875</v>
      </c>
      <c r="E7" s="8">
        <v>0.195114115008121</v>
      </c>
      <c r="F7" s="9">
        <v>0.283499980174272</v>
      </c>
      <c r="G7" s="9">
        <v>0.122405477388529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0.520449179000216</v>
      </c>
      <c r="D8" s="8">
        <v>0.558383908649042</v>
      </c>
      <c r="E8" s="8">
        <v>0.537286229399839</v>
      </c>
      <c r="F8" s="7"/>
      <c r="G8" s="7"/>
      <c r="J8" s="8">
        <v>0.532073230539421</v>
      </c>
      <c r="K8" s="8">
        <v>0.538111814743276</v>
      </c>
      <c r="L8" s="8">
        <v>0.517932399681794</v>
      </c>
      <c r="M8" s="8">
        <v>0.570506172932957</v>
      </c>
      <c r="N8" s="7"/>
      <c r="O8" s="7"/>
    </row>
    <row r="9" spans="2:15">
      <c r="B9" s="2" t="s">
        <v>71</v>
      </c>
      <c r="C9" s="8">
        <v>0.0950368384978517</v>
      </c>
      <c r="D9" s="8">
        <v>0.147541877540433</v>
      </c>
      <c r="E9" s="8">
        <v>0.175753098964628</v>
      </c>
      <c r="F9" s="7"/>
      <c r="G9" s="7"/>
      <c r="J9" s="8">
        <v>0.209104775102696</v>
      </c>
      <c r="K9" s="8">
        <v>0.0802427620641232</v>
      </c>
      <c r="L9" s="8">
        <v>0.224831184208092</v>
      </c>
      <c r="M9" s="8">
        <v>0.226036833221052</v>
      </c>
      <c r="N9" s="7"/>
      <c r="O9" s="7"/>
    </row>
    <row r="10" spans="2:15">
      <c r="B10" s="2" t="s">
        <v>72</v>
      </c>
      <c r="C10" s="5">
        <v>35272</v>
      </c>
      <c r="D10" s="5">
        <v>63806</v>
      </c>
      <c r="E10" s="5">
        <v>98720</v>
      </c>
      <c r="F10" s="6">
        <v>127244</v>
      </c>
      <c r="G10" s="6">
        <v>149918</v>
      </c>
      <c r="J10" s="5">
        <v>32709</v>
      </c>
      <c r="K10" s="5">
        <v>12405</v>
      </c>
      <c r="L10" s="5">
        <v>46570</v>
      </c>
      <c r="M10" s="5">
        <v>35601</v>
      </c>
      <c r="N10" s="7"/>
      <c r="O10" s="7"/>
    </row>
    <row r="11" spans="2:15">
      <c r="B11" s="11" t="s">
        <v>83</v>
      </c>
      <c r="C11" s="8">
        <v>0.0618304780502855</v>
      </c>
      <c r="D11" s="8">
        <v>0.0940361902123132</v>
      </c>
      <c r="E11" s="8">
        <v>0.121738873076866</v>
      </c>
      <c r="F11" s="9">
        <v>0.122254871713384</v>
      </c>
      <c r="G11" s="9">
        <v>0.128331003517266</v>
      </c>
      <c r="J11" s="8">
        <v>0.147167468291212</v>
      </c>
      <c r="K11" s="8">
        <v>0.0667434265391879</v>
      </c>
      <c r="L11" s="8">
        <v>0.172312360091022</v>
      </c>
      <c r="M11" s="8">
        <v>0.134741009318063</v>
      </c>
      <c r="N11" s="7"/>
      <c r="O11" s="7"/>
    </row>
    <row r="12" spans="2:15">
      <c r="B12" s="2" t="s">
        <v>84</v>
      </c>
      <c r="C12" s="12">
        <v>48.13</v>
      </c>
      <c r="D12" s="12">
        <v>88.3</v>
      </c>
      <c r="E12" s="12">
        <v>138.13</v>
      </c>
      <c r="F12" s="13">
        <v>179.49227</v>
      </c>
      <c r="G12" s="13">
        <v>211.47593</v>
      </c>
      <c r="J12" s="12">
        <v>45.64</v>
      </c>
      <c r="K12" s="12">
        <v>17.47</v>
      </c>
      <c r="L12" s="12">
        <v>65.71</v>
      </c>
      <c r="M12" s="12">
        <v>50.22</v>
      </c>
      <c r="N12" s="7"/>
      <c r="O12" s="7"/>
    </row>
    <row r="13" spans="2:15">
      <c r="B13" s="2" t="s">
        <v>85</v>
      </c>
      <c r="C13" s="14">
        <v>23972</v>
      </c>
      <c r="D13" s="14">
        <v>23972</v>
      </c>
      <c r="E13" s="14">
        <v>23972</v>
      </c>
      <c r="F13" s="15">
        <v>708.9</v>
      </c>
      <c r="G13" s="15">
        <v>708.9</v>
      </c>
      <c r="J13" s="14">
        <v>23972</v>
      </c>
      <c r="K13" s="14">
        <v>23972</v>
      </c>
      <c r="L13" s="14">
        <v>23972</v>
      </c>
      <c r="M13" s="14">
        <v>23972</v>
      </c>
      <c r="N13" s="15">
        <v>708.9</v>
      </c>
      <c r="O13" s="15">
        <v>708.9</v>
      </c>
    </row>
    <row r="15" spans="2:15">
      <c r="B15" s="2" t="s">
        <v>74</v>
      </c>
      <c r="C15" s="16">
        <v>46307</v>
      </c>
    </row>
    <row r="16" spans="2:15">
      <c r="B16" s="2" t="s">
        <v>120</v>
      </c>
      <c r="C16" s="17">
        <v>4474</v>
      </c>
    </row>
    <row r="17" spans="2:7">
      <c r="B17" s="2" t="s">
        <v>121</v>
      </c>
      <c r="C17" s="5">
        <v>3171671</v>
      </c>
    </row>
    <row r="18" spans="2:7">
      <c r="B18" s="2" t="s">
        <v>1</v>
      </c>
      <c r="C18" s="18">
        <f>IF(OR(C10="",C10&lt;=0),"",C$17/C10)</f>
        <v>89.9203617600363</v>
      </c>
      <c r="D18" s="18">
        <f>IF(OR(D10="",D10&lt;=0),"",C$17/D10)</f>
        <v>49.7080368617371</v>
      </c>
      <c r="E18" s="18">
        <f>IF(OR(E10="",E10&lt;=0),"",C$17/E10)</f>
        <v>32.1279477309562</v>
      </c>
      <c r="F18" s="19">
        <f>IF(OR(F10="",F10&lt;=0),"",C$17/F10)</f>
        <v>24.9258982741819</v>
      </c>
      <c r="G18" s="19">
        <f>IF(OR(G10="",G10&lt;=0),"",C$17/G10)</f>
        <v>21.1560386344535</v>
      </c>
    </row>
    <row r="19" spans="2:7">
      <c r="B19" s="2" t="s">
        <v>39</v>
      </c>
      <c r="C19" s="18">
        <f>IF(OR(C6="",C6=0),"",C$17/C6)</f>
        <v>5.55981895407765</v>
      </c>
      <c r="D19" s="18">
        <f>IF(OR(D6="",D6=0),"",C$17/D6)</f>
        <v>4.67435440941099</v>
      </c>
      <c r="E19" s="18">
        <f>IF(OR(E6="",E6=0),"",C$17/E6)</f>
        <v>3.91122015103907</v>
      </c>
      <c r="F19" s="19">
        <f>IF(OR(F6="",F6=0),"",C$17/F6)</f>
        <v>3.04730734014149</v>
      </c>
      <c r="G19" s="19">
        <f>IF(OR(G6="",G6=0),"",C$17/G6)</f>
        <v>2.71497895929848</v>
      </c>
    </row>
    <row r="21" spans="2:7">
      <c r="B21" s="20" t="s">
        <v>88</v>
      </c>
      <c r="F21" s="20">
        <v>13</v>
      </c>
      <c r="G21" s="20">
        <v>13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124</v>
      </c>
    </row>
    <row r="4" spans="2:15">
      <c r="B4" s="2" t="s">
        <v>56</v>
      </c>
      <c r="F4" s="3">
        <v>46474</v>
      </c>
      <c r="G4" s="3">
        <v>46840</v>
      </c>
      <c r="N4" s="3">
        <v>46203</v>
      </c>
      <c r="O4" s="3">
        <v>46295</v>
      </c>
    </row>
    <row r="5" spans="2:15">
      <c r="B5" s="2" t="s">
        <v>78</v>
      </c>
      <c r="C5" s="4" t="s">
        <v>79</v>
      </c>
      <c r="D5" s="4" t="s">
        <v>80</v>
      </c>
      <c r="E5" s="4" t="s">
        <v>81</v>
      </c>
      <c r="F5" s="4" t="s">
        <v>59</v>
      </c>
      <c r="G5" s="4" t="s">
        <v>60</v>
      </c>
      <c r="J5" s="4" t="s">
        <v>125</v>
      </c>
      <c r="K5" s="4" t="s">
        <v>126</v>
      </c>
      <c r="L5" s="4" t="s">
        <v>92</v>
      </c>
      <c r="M5" s="4" t="s">
        <v>62</v>
      </c>
      <c r="N5" s="4" t="s">
        <v>63</v>
      </c>
      <c r="O5" s="4" t="s">
        <v>64</v>
      </c>
    </row>
    <row r="6" spans="2:15">
      <c r="B6" s="2" t="s">
        <v>68</v>
      </c>
      <c r="C6" s="5">
        <v>23214</v>
      </c>
      <c r="D6" s="5">
        <v>25902</v>
      </c>
      <c r="E6" s="5">
        <v>26389</v>
      </c>
      <c r="F6" s="6">
        <v>29953</v>
      </c>
      <c r="G6" s="6">
        <v>31768</v>
      </c>
      <c r="J6" s="5">
        <v>8804</v>
      </c>
      <c r="K6" s="5">
        <v>17098</v>
      </c>
      <c r="L6" s="5">
        <v>8928</v>
      </c>
      <c r="M6" s="5">
        <v>17994</v>
      </c>
      <c r="N6" s="7"/>
      <c r="O6" s="7"/>
    </row>
    <row r="7" spans="2:15">
      <c r="B7" s="2" t="s">
        <v>69</v>
      </c>
      <c r="C7" s="8">
        <v>0.383911323447528</v>
      </c>
      <c r="D7" s="8">
        <v>0.115778244995172</v>
      </c>
      <c r="E7" s="8">
        <v>0.0188171338320364</v>
      </c>
      <c r="F7" s="9">
        <v>0.135043583396468</v>
      </c>
      <c r="G7" s="9">
        <v>0.0605914300192028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0.595912825660238</v>
      </c>
      <c r="D8" s="8">
        <v>0.572929520144092</v>
      </c>
      <c r="E8" s="8">
        <v>0.569930951439096</v>
      </c>
      <c r="F8" s="7"/>
      <c r="G8" s="7"/>
      <c r="J8" s="8">
        <v>0.498779663357916</v>
      </c>
      <c r="K8" s="8">
        <v>0.611111803216653</v>
      </c>
      <c r="L8" s="8">
        <v>0.500323041772079</v>
      </c>
      <c r="M8" s="8">
        <v>0.605209555154409</v>
      </c>
      <c r="N8" s="7"/>
      <c r="O8" s="7"/>
    </row>
    <row r="9" spans="2:15">
      <c r="B9" s="2" t="s">
        <v>71</v>
      </c>
      <c r="C9" s="8">
        <v>0.189435243759669</v>
      </c>
      <c r="D9" s="8">
        <v>0.191758861662933</v>
      </c>
      <c r="E9" s="8">
        <v>0.180297371919605</v>
      </c>
      <c r="F9" s="7"/>
      <c r="G9" s="7"/>
      <c r="J9" s="8">
        <v>0.167172149246354</v>
      </c>
      <c r="K9" s="8">
        <v>0.204419396072603</v>
      </c>
      <c r="L9" s="8">
        <v>0.169903954439013</v>
      </c>
      <c r="M9" s="8">
        <v>0.193623209636737</v>
      </c>
      <c r="N9" s="7"/>
      <c r="O9" s="7"/>
    </row>
    <row r="10" spans="2:15">
      <c r="B10" s="2" t="s">
        <v>72</v>
      </c>
      <c r="C10" s="5">
        <v>3074</v>
      </c>
      <c r="D10" s="5">
        <v>3514</v>
      </c>
      <c r="E10" s="5">
        <v>3854</v>
      </c>
      <c r="F10" s="6">
        <v>4437</v>
      </c>
      <c r="G10" s="6">
        <v>4731</v>
      </c>
      <c r="J10" s="5">
        <v>1130</v>
      </c>
      <c r="K10" s="5">
        <v>2384</v>
      </c>
      <c r="L10" s="5">
        <v>1189</v>
      </c>
      <c r="M10" s="5">
        <v>2740</v>
      </c>
      <c r="N10" s="7"/>
      <c r="O10" s="7"/>
    </row>
    <row r="11" spans="2:15">
      <c r="B11" s="11" t="s">
        <v>83</v>
      </c>
      <c r="C11" s="8">
        <v>0.132423004654124</v>
      </c>
      <c r="D11" s="8">
        <v>0.135663343964934</v>
      </c>
      <c r="E11" s="8">
        <v>0.146046840762983</v>
      </c>
      <c r="F11" s="9">
        <v>0.148123917185302</v>
      </c>
      <c r="G11" s="9">
        <v>0.148923621529918</v>
      </c>
      <c r="J11" s="8">
        <v>0.128314581523576</v>
      </c>
      <c r="K11" s="8">
        <v>0.139447471675093</v>
      </c>
      <c r="L11" s="8">
        <v>0.133222807645203</v>
      </c>
      <c r="M11" s="8">
        <v>0.152261473757826</v>
      </c>
      <c r="N11" s="7"/>
      <c r="O11" s="7"/>
    </row>
    <row r="12" spans="2:15">
      <c r="B12" s="2" t="s">
        <v>84</v>
      </c>
      <c r="C12" s="12">
        <v>0.28</v>
      </c>
      <c r="D12" s="12">
        <v>0.32</v>
      </c>
      <c r="E12" s="12">
        <v>0.33</v>
      </c>
      <c r="F12" s="13">
        <v>0.3818</v>
      </c>
      <c r="G12" s="13">
        <v>0.40712</v>
      </c>
      <c r="J12" s="12">
        <v>0.1</v>
      </c>
      <c r="K12" s="12">
        <v>0.22</v>
      </c>
      <c r="L12" s="12">
        <v>0.1</v>
      </c>
      <c r="M12" s="12">
        <v>0.24</v>
      </c>
      <c r="N12" s="7"/>
      <c r="O12" s="7"/>
    </row>
    <row r="13" spans="2:15">
      <c r="B13" s="2" t="s">
        <v>85</v>
      </c>
      <c r="C13" s="14">
        <v>0.8</v>
      </c>
      <c r="D13" s="14">
        <v>0.9</v>
      </c>
      <c r="E13" s="14">
        <v>0.9</v>
      </c>
      <c r="F13" s="15">
        <v>11620.5</v>
      </c>
      <c r="G13" s="15">
        <v>11620.5</v>
      </c>
      <c r="J13" s="14">
        <v>0.8</v>
      </c>
      <c r="K13" s="14">
        <v>0.9</v>
      </c>
      <c r="L13" s="14">
        <v>0.9</v>
      </c>
      <c r="M13" s="14">
        <v>0.9</v>
      </c>
      <c r="N13" s="15">
        <v>11620.5</v>
      </c>
      <c r="O13" s="15">
        <v>11620.5</v>
      </c>
    </row>
    <row r="15" spans="2:15">
      <c r="B15" s="2" t="s">
        <v>74</v>
      </c>
      <c r="C15" s="16">
        <v>46307</v>
      </c>
    </row>
    <row r="16" spans="2:15">
      <c r="B16" s="2" t="s">
        <v>127</v>
      </c>
      <c r="C16" s="17">
        <v>4.31</v>
      </c>
    </row>
    <row r="17" spans="2:7">
      <c r="B17" s="2" t="s">
        <v>115</v>
      </c>
      <c r="C17" s="5">
        <v>42731</v>
      </c>
    </row>
    <row r="18" spans="2:7">
      <c r="B18" s="2" t="s">
        <v>1</v>
      </c>
      <c r="C18" s="18">
        <f>IF(OR(C10="",C10&lt;=0),"",C$17/C10)</f>
        <v>13.9007807417046</v>
      </c>
      <c r="D18" s="18">
        <f>IF(OR(D10="",D10&lt;=0),"",C$17/D10)</f>
        <v>12.1602162777462</v>
      </c>
      <c r="E18" s="18">
        <f>IF(OR(E10="",E10&lt;=0),"",C$17/E10)</f>
        <v>11.087441619097</v>
      </c>
      <c r="F18" s="19">
        <f>IF(OR(F10="",F10&lt;=0),"",C$17/F10)</f>
        <v>9.6306062654947</v>
      </c>
      <c r="G18" s="19">
        <f>IF(OR(G10="",G10&lt;=0),"",C$17/G10)</f>
        <v>9.03212851405623</v>
      </c>
    </row>
    <row r="19" spans="2:7">
      <c r="B19" s="2" t="s">
        <v>39</v>
      </c>
      <c r="C19" s="18">
        <f>IF(OR(C6="",C6=0),"",C$17/C6)</f>
        <v>1.84074265529422</v>
      </c>
      <c r="D19" s="18">
        <f>IF(OR(D6="",D6=0),"",C$17/D6)</f>
        <v>1.6497181684812</v>
      </c>
      <c r="E19" s="18">
        <f>IF(OR(E6="",E6=0),"",C$17/E6)</f>
        <v>1.61927318200765</v>
      </c>
      <c r="F19" s="19">
        <f>IF(OR(F6="",F6=0),"",C$17/F6)</f>
        <v>1.426601675959</v>
      </c>
      <c r="G19" s="19">
        <f>IF(OR(G6="",G6=0),"",C$17/G6)</f>
        <v>1.3450956937799</v>
      </c>
    </row>
    <row r="21" spans="2:7">
      <c r="B21" s="20" t="s">
        <v>88</v>
      </c>
      <c r="F21" s="20">
        <v>19</v>
      </c>
      <c r="G21" s="20">
        <v>19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128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96</v>
      </c>
      <c r="K5" s="4" t="s">
        <v>97</v>
      </c>
      <c r="L5" s="4" t="s">
        <v>82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27598</v>
      </c>
      <c r="D6" s="5">
        <v>28676</v>
      </c>
      <c r="E6" s="5">
        <v>29598</v>
      </c>
      <c r="F6" s="6">
        <v>31923</v>
      </c>
      <c r="G6" s="6">
        <v>33563</v>
      </c>
      <c r="J6" s="5">
        <v>14330</v>
      </c>
      <c r="K6" s="5">
        <v>14817</v>
      </c>
      <c r="L6" s="5">
        <v>14782</v>
      </c>
      <c r="M6" s="5">
        <v>15025</v>
      </c>
      <c r="N6" s="7"/>
      <c r="O6" s="7"/>
    </row>
    <row r="7" spans="2:15">
      <c r="B7" s="2" t="s">
        <v>69</v>
      </c>
      <c r="C7" s="8">
        <v>0.0695687073280276</v>
      </c>
      <c r="D7" s="8">
        <v>0.0390293802657544</v>
      </c>
      <c r="E7" s="8">
        <v>0.0321797143310789</v>
      </c>
      <c r="F7" s="9">
        <v>0.0785415468671855</v>
      </c>
      <c r="G7" s="9">
        <v>0.0513738087262749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0.483796559746691</v>
      </c>
      <c r="D8" s="8">
        <v>0.493662966860063</v>
      </c>
      <c r="E8" s="8">
        <v>0.48951391555839</v>
      </c>
      <c r="F8" s="7"/>
      <c r="G8" s="7"/>
      <c r="J8" s="8">
        <v>0.482925998692984</v>
      </c>
      <c r="K8" s="8">
        <v>0.500433394257572</v>
      </c>
      <c r="L8" s="8">
        <v>0.478568501197498</v>
      </c>
      <c r="M8" s="8">
        <v>0.5087364499732</v>
      </c>
      <c r="N8" s="7"/>
      <c r="O8" s="7"/>
    </row>
    <row r="9" spans="2:15">
      <c r="B9" s="2" t="s">
        <v>71</v>
      </c>
      <c r="C9" s="8">
        <v>0.128959478255532</v>
      </c>
      <c r="D9" s="8">
        <v>0.128269346915778</v>
      </c>
      <c r="E9" s="8">
        <v>0.131703259670948</v>
      </c>
      <c r="F9" s="7"/>
      <c r="G9" s="7"/>
      <c r="J9" s="8">
        <v>0.0890634600468725</v>
      </c>
      <c r="K9" s="8">
        <v>0.164576095332024</v>
      </c>
      <c r="L9" s="8">
        <v>0.0987523453058771</v>
      </c>
      <c r="M9" s="8">
        <v>0.156310858017753</v>
      </c>
      <c r="N9" s="7"/>
      <c r="O9" s="7"/>
    </row>
    <row r="10" spans="2:15">
      <c r="B10" s="2" t="s">
        <v>72</v>
      </c>
      <c r="C10" s="5">
        <v>3187</v>
      </c>
      <c r="D10" s="5">
        <v>3013</v>
      </c>
      <c r="E10" s="5">
        <v>2936</v>
      </c>
      <c r="F10" s="6">
        <v>2529</v>
      </c>
      <c r="G10" s="6">
        <v>2895</v>
      </c>
      <c r="J10" s="5">
        <v>1061</v>
      </c>
      <c r="K10" s="5">
        <v>1737</v>
      </c>
      <c r="L10" s="5">
        <v>1198</v>
      </c>
      <c r="M10" s="5">
        <v>1791</v>
      </c>
      <c r="N10" s="7"/>
      <c r="O10" s="7"/>
    </row>
    <row r="11" spans="2:15">
      <c r="B11" s="11" t="s">
        <v>83</v>
      </c>
      <c r="C11" s="8">
        <v>0.115474067042289</v>
      </c>
      <c r="D11" s="8">
        <v>0.105068890695843</v>
      </c>
      <c r="E11" s="8">
        <v>0.0991858111871321</v>
      </c>
      <c r="F11" s="9">
        <v>0.079233033328311</v>
      </c>
      <c r="G11" s="9">
        <v>0.086264982065698</v>
      </c>
      <c r="J11" s="8">
        <v>0.0740306852133112</v>
      </c>
      <c r="K11" s="8">
        <v>0.117260564942559</v>
      </c>
      <c r="L11" s="8">
        <v>0.0810681267468444</v>
      </c>
      <c r="M11" s="8">
        <v>0.119209399196105</v>
      </c>
      <c r="N11" s="7"/>
      <c r="O11" s="7"/>
    </row>
    <row r="12" spans="2:15">
      <c r="B12" s="2" t="s">
        <v>84</v>
      </c>
      <c r="C12" s="12">
        <v>1.23</v>
      </c>
      <c r="D12" s="12">
        <v>1.17</v>
      </c>
      <c r="E12" s="12">
        <v>1.14</v>
      </c>
      <c r="F12" s="13">
        <v>0.97855</v>
      </c>
      <c r="G12" s="13">
        <v>1.12013</v>
      </c>
      <c r="J12" s="12">
        <v>0.41</v>
      </c>
      <c r="K12" s="12">
        <v>0.67</v>
      </c>
      <c r="L12" s="12">
        <v>0.46</v>
      </c>
      <c r="M12" s="12">
        <v>0.69</v>
      </c>
      <c r="N12" s="7"/>
      <c r="O12" s="7"/>
    </row>
    <row r="13" spans="2:15">
      <c r="B13" s="2" t="s">
        <v>85</v>
      </c>
      <c r="C13" s="14">
        <v>239.5</v>
      </c>
      <c r="D13" s="14">
        <v>235.9</v>
      </c>
      <c r="E13" s="14">
        <v>236</v>
      </c>
      <c r="F13" s="15">
        <v>2584.8</v>
      </c>
      <c r="G13" s="15">
        <v>2584.8</v>
      </c>
      <c r="J13" s="14">
        <v>235.9</v>
      </c>
      <c r="K13" s="14">
        <v>235.9</v>
      </c>
      <c r="L13" s="14">
        <v>236</v>
      </c>
      <c r="M13" s="14">
        <v>235.8</v>
      </c>
      <c r="N13" s="15">
        <v>2584.8</v>
      </c>
      <c r="O13" s="15">
        <v>2584.8</v>
      </c>
    </row>
    <row r="15" spans="2:15">
      <c r="B15" s="2" t="s">
        <v>74</v>
      </c>
      <c r="C15" s="16">
        <v>46307</v>
      </c>
    </row>
    <row r="16" spans="2:15">
      <c r="B16" s="2" t="s">
        <v>127</v>
      </c>
      <c r="C16" s="17">
        <v>12.6</v>
      </c>
    </row>
    <row r="17" spans="2:7">
      <c r="B17" s="2" t="s">
        <v>115</v>
      </c>
      <c r="C17" s="5">
        <v>27787</v>
      </c>
    </row>
    <row r="18" spans="2:7">
      <c r="B18" s="2" t="s">
        <v>1</v>
      </c>
      <c r="C18" s="18">
        <f>IF(OR(C10="",C10&lt;=0),"",C$17/C10)</f>
        <v>8.71885786005648</v>
      </c>
      <c r="D18" s="18">
        <f>IF(OR(D10="",D10&lt;=0),"",C$17/D10)</f>
        <v>9.22236973116495</v>
      </c>
      <c r="E18" s="18">
        <f>IF(OR(E10="",E10&lt;=0),"",C$17/E10)</f>
        <v>9.46423705722071</v>
      </c>
      <c r="F18" s="19">
        <f>IF(OR(F10="",F10&lt;=0),"",C$17/F10)</f>
        <v>10.9873467773824</v>
      </c>
      <c r="G18" s="19">
        <f>IF(OR(G10="",G10&lt;=0),"",C$17/G10)</f>
        <v>9.59827288428325</v>
      </c>
    </row>
    <row r="19" spans="2:7">
      <c r="B19" s="2" t="s">
        <v>39</v>
      </c>
      <c r="C19" s="18">
        <f>IF(OR(C6="",C6=0),"",C$17/C6)</f>
        <v>1.0068483223422</v>
      </c>
      <c r="D19" s="18">
        <f>IF(OR(D6="",D6=0),"",C$17/D6)</f>
        <v>0.968998465615846</v>
      </c>
      <c r="E19" s="18">
        <f>IF(OR(E6="",E6=0),"",C$17/E6)</f>
        <v>0.938813433340091</v>
      </c>
      <c r="F19" s="19">
        <f>IF(OR(F6="",F6=0),"",C$17/F6)</f>
        <v>0.87043824201986</v>
      </c>
      <c r="G19" s="19">
        <f>IF(OR(G6="",G6=0),"",C$17/G6)</f>
        <v>0.827905729523583</v>
      </c>
    </row>
    <row r="21" spans="2:7">
      <c r="B21" s="20" t="s">
        <v>88</v>
      </c>
      <c r="F21" s="20">
        <v>29</v>
      </c>
      <c r="G21" s="20">
        <v>30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129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96</v>
      </c>
      <c r="K5" s="4" t="s">
        <v>97</v>
      </c>
      <c r="L5" s="4" t="s">
        <v>82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62356</v>
      </c>
      <c r="D6" s="5">
        <v>70826</v>
      </c>
      <c r="E6" s="5">
        <v>80219</v>
      </c>
      <c r="F6" s="6">
        <v>92659</v>
      </c>
      <c r="G6" s="6">
        <v>100706</v>
      </c>
      <c r="J6" s="5">
        <v>37091</v>
      </c>
      <c r="K6" s="5">
        <v>38544</v>
      </c>
      <c r="L6" s="5">
        <v>41675</v>
      </c>
      <c r="M6" s="5">
        <v>43507</v>
      </c>
      <c r="N6" s="7"/>
      <c r="O6" s="7"/>
    </row>
    <row r="7" spans="2:15">
      <c r="B7" s="2" t="s">
        <v>69</v>
      </c>
      <c r="C7" s="8">
        <v>0.162252334532441</v>
      </c>
      <c r="D7" s="8">
        <v>0.135832959137854</v>
      </c>
      <c r="E7" s="8">
        <v>0.1326207889758</v>
      </c>
      <c r="F7" s="9">
        <v>0.155073514454182</v>
      </c>
      <c r="G7" s="9">
        <v>0.0868470908126302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0.625890050676759</v>
      </c>
      <c r="D8" s="8">
        <v>0.621692598763166</v>
      </c>
      <c r="E8" s="8">
        <v>0.619977810743091</v>
      </c>
      <c r="F8" s="7"/>
      <c r="G8" s="7"/>
      <c r="J8" s="8">
        <v>0.604297538486425</v>
      </c>
      <c r="K8" s="8">
        <v>0.633691365711914</v>
      </c>
      <c r="L8" s="8">
        <v>0.607294541091782</v>
      </c>
      <c r="M8" s="8">
        <v>0.638793757326407</v>
      </c>
      <c r="N8" s="7"/>
      <c r="O8" s="7"/>
    </row>
    <row r="9" spans="2:15">
      <c r="B9" s="2" t="s">
        <v>71</v>
      </c>
      <c r="C9" s="8">
        <v>0.246439797292963</v>
      </c>
      <c r="D9" s="8">
        <v>0.234306610566741</v>
      </c>
      <c r="E9" s="8">
        <v>0.237986013288622</v>
      </c>
      <c r="F9" s="7"/>
      <c r="G9" s="7"/>
      <c r="J9" s="8">
        <v>0.21393329918309</v>
      </c>
      <c r="K9" s="8">
        <v>0.262842465753425</v>
      </c>
      <c r="L9" s="8">
        <v>0.21499700059988</v>
      </c>
      <c r="M9" s="8">
        <v>0.270301330820328</v>
      </c>
      <c r="N9" s="7"/>
      <c r="O9" s="7"/>
    </row>
    <row r="10" spans="2:15">
      <c r="B10" s="2" t="s">
        <v>72</v>
      </c>
      <c r="C10" s="5">
        <v>10236</v>
      </c>
      <c r="D10" s="5">
        <v>15596</v>
      </c>
      <c r="E10" s="5">
        <v>13588</v>
      </c>
      <c r="F10" s="6">
        <v>15934</v>
      </c>
      <c r="G10" s="6">
        <v>16844</v>
      </c>
      <c r="J10" s="5">
        <v>7875</v>
      </c>
      <c r="K10" s="5">
        <v>7031</v>
      </c>
      <c r="L10" s="5">
        <v>6557</v>
      </c>
      <c r="M10" s="5">
        <v>9487</v>
      </c>
      <c r="N10" s="7"/>
      <c r="O10" s="7"/>
    </row>
    <row r="11" spans="2:15">
      <c r="B11" s="11" t="s">
        <v>83</v>
      </c>
      <c r="C11" s="8">
        <v>0.164154211302842</v>
      </c>
      <c r="D11" s="8">
        <v>0.22020162087369</v>
      </c>
      <c r="E11" s="8">
        <v>0.16938630499009</v>
      </c>
      <c r="F11" s="9">
        <v>0.171960593634064</v>
      </c>
      <c r="G11" s="9">
        <v>0.16726109026074</v>
      </c>
      <c r="J11" s="8">
        <v>0.212315656089078</v>
      </c>
      <c r="K11" s="8">
        <v>0.182414902449149</v>
      </c>
      <c r="L11" s="8">
        <v>0.157336532693461</v>
      </c>
      <c r="M11" s="8">
        <v>0.218056864412623</v>
      </c>
      <c r="N11" s="7"/>
      <c r="O11" s="7"/>
    </row>
    <row r="12" spans="2:15">
      <c r="B12" s="2" t="s">
        <v>84</v>
      </c>
      <c r="C12" s="12">
        <v>3.69</v>
      </c>
      <c r="D12" s="12">
        <v>5.55</v>
      </c>
      <c r="E12" s="12">
        <v>4.89</v>
      </c>
      <c r="F12" s="13">
        <v>5.75119</v>
      </c>
      <c r="G12" s="13">
        <v>6.07984</v>
      </c>
      <c r="J12" s="12">
        <v>2.77</v>
      </c>
      <c r="K12" s="12">
        <v>2.53</v>
      </c>
      <c r="L12" s="12">
        <v>2.32</v>
      </c>
      <c r="M12" s="12">
        <v>3.37</v>
      </c>
      <c r="N12" s="7"/>
      <c r="O12" s="7"/>
    </row>
    <row r="13" spans="2:15">
      <c r="B13" s="2" t="s">
        <v>85</v>
      </c>
      <c r="C13" s="14">
        <v>272</v>
      </c>
      <c r="D13" s="14">
        <v>271</v>
      </c>
      <c r="E13" s="14">
        <v>269.1</v>
      </c>
      <c r="F13" s="15">
        <v>2770.5</v>
      </c>
      <c r="G13" s="15">
        <v>2770.5</v>
      </c>
      <c r="J13" s="14">
        <v>271</v>
      </c>
      <c r="K13" s="14">
        <v>270</v>
      </c>
      <c r="L13" s="14">
        <v>269.1</v>
      </c>
      <c r="M13" s="14">
        <v>269</v>
      </c>
      <c r="N13" s="15">
        <v>2770.5</v>
      </c>
      <c r="O13" s="15">
        <v>2770.5</v>
      </c>
    </row>
    <row r="15" spans="2:15">
      <c r="B15" s="2" t="s">
        <v>74</v>
      </c>
      <c r="C15" s="16">
        <v>46307</v>
      </c>
    </row>
    <row r="16" spans="2:15">
      <c r="B16" s="2" t="s">
        <v>127</v>
      </c>
      <c r="C16" s="17">
        <v>70.95</v>
      </c>
    </row>
    <row r="17" spans="2:7">
      <c r="B17" s="2" t="s">
        <v>115</v>
      </c>
      <c r="C17" s="5">
        <v>167705</v>
      </c>
    </row>
    <row r="18" spans="2:7">
      <c r="B18" s="2" t="s">
        <v>1</v>
      </c>
      <c r="C18" s="18">
        <f>IF(OR(C10="",C10&lt;=0),"",C$17/C10)</f>
        <v>16.3838413442751</v>
      </c>
      <c r="D18" s="18">
        <f>IF(OR(D10="",D10&lt;=0),"",C$17/D10)</f>
        <v>10.7530777122339</v>
      </c>
      <c r="E18" s="18">
        <f>IF(OR(E10="",E10&lt;=0),"",C$17/E10)</f>
        <v>12.3421401236385</v>
      </c>
      <c r="F18" s="19">
        <f>IF(OR(F10="",F10&lt;=0),"",C$17/F10)</f>
        <v>10.5249780343919</v>
      </c>
      <c r="G18" s="19">
        <f>IF(OR(G10="",G10&lt;=0),"",C$17/G10)</f>
        <v>9.95636428401805</v>
      </c>
    </row>
    <row r="19" spans="2:7">
      <c r="B19" s="2" t="s">
        <v>39</v>
      </c>
      <c r="C19" s="18">
        <f>IF(OR(C6="",C6=0),"",C$17/C6)</f>
        <v>2.68947655398037</v>
      </c>
      <c r="D19" s="18">
        <f>IF(OR(D6="",D6=0),"",C$17/D6)</f>
        <v>2.36784514161466</v>
      </c>
      <c r="E19" s="18">
        <f>IF(OR(E6="",E6=0),"",C$17/E6)</f>
        <v>2.09058951121305</v>
      </c>
      <c r="F19" s="19">
        <f>IF(OR(F6="",F6=0),"",C$17/F6)</f>
        <v>1.80991592829623</v>
      </c>
      <c r="G19" s="19">
        <f>IF(OR(G6="",G6=0),"",C$17/G6)</f>
        <v>1.66529303119973</v>
      </c>
    </row>
    <row r="21" spans="2:7">
      <c r="B21" s="20" t="s">
        <v>88</v>
      </c>
      <c r="F21" s="20">
        <v>32</v>
      </c>
      <c r="G21" s="20">
        <v>32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130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96</v>
      </c>
      <c r="K5" s="4" t="s">
        <v>97</v>
      </c>
      <c r="L5" s="4" t="s">
        <v>82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1493</v>
      </c>
      <c r="D6" s="5">
        <v>1545</v>
      </c>
      <c r="E6" s="5">
        <v>1570</v>
      </c>
      <c r="F6" s="6">
        <v>1587</v>
      </c>
      <c r="G6" s="6">
        <v>1665</v>
      </c>
      <c r="J6" s="5">
        <v>775</v>
      </c>
      <c r="K6" s="5">
        <v>388</v>
      </c>
      <c r="L6" s="5">
        <v>795</v>
      </c>
      <c r="M6" s="5">
        <v>785</v>
      </c>
      <c r="N6" s="7"/>
      <c r="O6" s="7"/>
    </row>
    <row r="7" spans="2:15">
      <c r="B7" s="2" t="s">
        <v>69</v>
      </c>
      <c r="C7" s="8">
        <v>-0.0846961345277786</v>
      </c>
      <c r="D7" s="8">
        <v>0.0351475328124258</v>
      </c>
      <c r="E7" s="8">
        <v>0.0162596416833969</v>
      </c>
      <c r="F7" s="9">
        <v>0.0105511995959846</v>
      </c>
      <c r="G7" s="9">
        <v>0.0494450274202711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0.245689045865376</v>
      </c>
      <c r="D8" s="8">
        <v>0.248497521865701</v>
      </c>
      <c r="E8" s="8">
        <v>0.218011675944459</v>
      </c>
      <c r="F8" s="7"/>
      <c r="G8" s="7"/>
      <c r="J8" s="8">
        <v>0.238773427531567</v>
      </c>
      <c r="K8" s="8">
        <v>0.225988744300544</v>
      </c>
      <c r="L8" s="8">
        <v>0.210236140263066</v>
      </c>
      <c r="M8" s="8">
        <v>0.203157096091374</v>
      </c>
      <c r="N8" s="7"/>
      <c r="O8" s="7"/>
    </row>
    <row r="9" spans="2:15">
      <c r="B9" s="2" t="s">
        <v>71</v>
      </c>
      <c r="C9" s="8">
        <v>0.106758378214331</v>
      </c>
      <c r="D9" s="8">
        <v>0.118714865052028</v>
      </c>
      <c r="E9" s="8">
        <v>0.0950518934402896</v>
      </c>
      <c r="F9" s="7"/>
      <c r="G9" s="7"/>
      <c r="J9" s="8">
        <v>0.110624007389986</v>
      </c>
      <c r="K9" s="8">
        <v>0.109593406565051</v>
      </c>
      <c r="L9" s="8">
        <v>0.0808777571391023</v>
      </c>
      <c r="M9" s="8">
        <v>0.0780795550131683</v>
      </c>
      <c r="N9" s="7"/>
      <c r="O9" s="7"/>
    </row>
    <row r="10" spans="2:15">
      <c r="B10" s="2" t="s">
        <v>72</v>
      </c>
      <c r="C10" s="5">
        <v>141</v>
      </c>
      <c r="D10" s="5">
        <v>171</v>
      </c>
      <c r="E10" s="5">
        <v>138</v>
      </c>
      <c r="F10" s="6">
        <v>124</v>
      </c>
      <c r="G10" s="6">
        <v>141</v>
      </c>
      <c r="J10" s="5">
        <v>79</v>
      </c>
      <c r="K10" s="5">
        <v>39</v>
      </c>
      <c r="L10" s="5">
        <v>59</v>
      </c>
      <c r="M10" s="5">
        <v>64</v>
      </c>
      <c r="N10" s="7"/>
      <c r="O10" s="7"/>
    </row>
    <row r="11" spans="2:15">
      <c r="B11" s="11" t="s">
        <v>83</v>
      </c>
      <c r="C11" s="8">
        <v>0.0945110410939999</v>
      </c>
      <c r="D11" s="8">
        <v>0.110703158472449</v>
      </c>
      <c r="E11" s="8">
        <v>0.0878765434771948</v>
      </c>
      <c r="F11" s="9">
        <v>0.0783885177687668</v>
      </c>
      <c r="G11" s="9">
        <v>0.0849041121722829</v>
      </c>
      <c r="J11" s="8">
        <v>0.102057403983729</v>
      </c>
      <c r="K11" s="8">
        <v>0.101452248430472</v>
      </c>
      <c r="L11" s="8">
        <v>0.0746438151674562</v>
      </c>
      <c r="M11" s="8">
        <v>0.0814062269299587</v>
      </c>
      <c r="N11" s="7"/>
      <c r="O11" s="7"/>
    </row>
    <row r="12" spans="2:15">
      <c r="B12" s="2" t="s">
        <v>84</v>
      </c>
      <c r="C12" s="12">
        <v>0.18</v>
      </c>
      <c r="D12" s="12">
        <v>0.21</v>
      </c>
      <c r="E12" s="12">
        <v>0.17</v>
      </c>
      <c r="F12" s="13">
        <v>0.14787</v>
      </c>
      <c r="G12" s="13">
        <v>0.16808</v>
      </c>
      <c r="J12" s="12">
        <v>0.0968</v>
      </c>
      <c r="K12" s="12">
        <v>0.0465</v>
      </c>
      <c r="L12" s="12">
        <v>0.0709</v>
      </c>
      <c r="M12" s="12">
        <v>0.0778</v>
      </c>
      <c r="N12" s="7"/>
      <c r="O12" s="7"/>
    </row>
    <row r="13" spans="2:15">
      <c r="B13" s="2" t="s">
        <v>85</v>
      </c>
      <c r="C13" s="14">
        <v>10.2</v>
      </c>
      <c r="D13" s="14">
        <v>10.5</v>
      </c>
      <c r="E13" s="14">
        <v>10.7</v>
      </c>
      <c r="F13" s="15">
        <v>841.2</v>
      </c>
      <c r="G13" s="15">
        <v>841.2</v>
      </c>
      <c r="J13" s="14">
        <v>10.5</v>
      </c>
      <c r="K13" s="14">
        <v>10.7</v>
      </c>
      <c r="L13" s="14">
        <v>10.7</v>
      </c>
      <c r="M13" s="14">
        <v>10.8</v>
      </c>
      <c r="N13" s="15">
        <v>841.2</v>
      </c>
      <c r="O13" s="15">
        <v>841.2</v>
      </c>
    </row>
    <row r="15" spans="2:15">
      <c r="B15" s="2" t="s">
        <v>74</v>
      </c>
      <c r="C15" s="16">
        <v>46307</v>
      </c>
    </row>
    <row r="16" spans="2:15">
      <c r="B16" s="2" t="s">
        <v>127</v>
      </c>
      <c r="C16" s="17">
        <v>12.33</v>
      </c>
    </row>
    <row r="17" spans="2:7">
      <c r="B17" s="2" t="s">
        <v>87</v>
      </c>
      <c r="C17" s="5">
        <v>1322</v>
      </c>
    </row>
    <row r="18" spans="2:7">
      <c r="B18" s="2" t="s">
        <v>1</v>
      </c>
      <c r="C18" s="18">
        <f>IF(OR(C10="",C10&lt;=0),"",C$17/C10)</f>
        <v>9.37588652482269</v>
      </c>
      <c r="D18" s="18">
        <f>IF(OR(D10="",D10&lt;=0),"",C$17/D10)</f>
        <v>7.73099415204678</v>
      </c>
      <c r="E18" s="18">
        <f>IF(OR(E10="",E10&lt;=0),"",C$17/E10)</f>
        <v>9.57971014492754</v>
      </c>
      <c r="F18" s="19">
        <f>IF(OR(F10="",F10&lt;=0),"",C$17/F10)</f>
        <v>10.6612903225806</v>
      </c>
      <c r="G18" s="19">
        <f>IF(OR(G10="",G10&lt;=0),"",C$17/G10)</f>
        <v>9.37588652482269</v>
      </c>
    </row>
    <row r="19" spans="2:7">
      <c r="B19" s="2" t="s">
        <v>39</v>
      </c>
      <c r="C19" s="18">
        <f>IF(OR(C6="",C6=0),"",C$17/C6)</f>
        <v>0.885465505693235</v>
      </c>
      <c r="D19" s="18">
        <f>IF(OR(D6="",D6=0),"",C$17/D6)</f>
        <v>0.855663430420712</v>
      </c>
      <c r="E19" s="18">
        <f>IF(OR(E6="",E6=0),"",C$17/E6)</f>
        <v>0.84203821656051</v>
      </c>
      <c r="F19" s="19">
        <f>IF(OR(F6="",F6=0),"",C$17/F6)</f>
        <v>0.83301827347196</v>
      </c>
      <c r="G19" s="19">
        <f>IF(OR(G6="",G6=0),"",C$17/G6)</f>
        <v>0.793993993993994</v>
      </c>
    </row>
    <row r="21" spans="2:7">
      <c r="B21" s="20" t="s">
        <v>88</v>
      </c>
      <c r="F21" s="20">
        <v>7</v>
      </c>
      <c r="G21" s="20">
        <v>7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131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96</v>
      </c>
      <c r="K5" s="4" t="s">
        <v>97</v>
      </c>
      <c r="L5" s="4" t="s">
        <v>82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14346</v>
      </c>
      <c r="D6" s="5">
        <v>13577</v>
      </c>
      <c r="E6" s="5">
        <v>14151</v>
      </c>
      <c r="F6" s="6">
        <v>14640</v>
      </c>
      <c r="G6" s="6">
        <v>15362</v>
      </c>
      <c r="J6" s="5">
        <v>6374</v>
      </c>
      <c r="K6" s="5">
        <v>3419</v>
      </c>
      <c r="L6" s="5">
        <v>7313</v>
      </c>
      <c r="M6" s="5">
        <v>6795</v>
      </c>
      <c r="N6" s="7"/>
      <c r="O6" s="7"/>
    </row>
    <row r="7" spans="2:15">
      <c r="B7" s="2" t="s">
        <v>69</v>
      </c>
      <c r="C7" s="8">
        <v>0.109441675557224</v>
      </c>
      <c r="D7" s="8">
        <v>-0.0535558587398927</v>
      </c>
      <c r="E7" s="8">
        <v>0.0422666728142178</v>
      </c>
      <c r="F7" s="9">
        <v>0.0345842753693957</v>
      </c>
      <c r="G7" s="9">
        <v>0.0492843719031937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0.421712148499725</v>
      </c>
      <c r="D8" s="8">
        <v>0.432003247792516</v>
      </c>
      <c r="E8" s="8">
        <v>0.428450650359979</v>
      </c>
      <c r="F8" s="7"/>
      <c r="G8" s="7"/>
      <c r="J8" s="8">
        <v>0.400231469279254</v>
      </c>
      <c r="K8" s="8">
        <v>0.449531578283859</v>
      </c>
      <c r="L8" s="8">
        <v>0.408741216860346</v>
      </c>
      <c r="M8" s="8">
        <v>0.464255707612028</v>
      </c>
      <c r="N8" s="7"/>
      <c r="O8" s="7"/>
    </row>
    <row r="9" spans="2:15">
      <c r="B9" s="2" t="s">
        <v>71</v>
      </c>
      <c r="C9" s="8">
        <v>0.110132175172883</v>
      </c>
      <c r="D9" s="8">
        <v>0.144767390560455</v>
      </c>
      <c r="E9" s="8">
        <v>0.142660711693788</v>
      </c>
      <c r="F9" s="7"/>
      <c r="G9" s="7"/>
      <c r="J9" s="8">
        <v>0.136717328222622</v>
      </c>
      <c r="K9" s="8">
        <v>0.190832014896363</v>
      </c>
      <c r="L9" s="8">
        <v>0.0976233632198455</v>
      </c>
      <c r="M9" s="8">
        <v>0.170845942636238</v>
      </c>
      <c r="N9" s="7"/>
      <c r="O9" s="7"/>
    </row>
    <row r="10" spans="2:15">
      <c r="B10" s="2" t="s">
        <v>72</v>
      </c>
      <c r="C10" s="5">
        <v>1030</v>
      </c>
      <c r="D10" s="5">
        <v>1238</v>
      </c>
      <c r="E10" s="5">
        <v>1372</v>
      </c>
      <c r="F10" s="6">
        <v>1205</v>
      </c>
      <c r="G10" s="6">
        <v>1363</v>
      </c>
      <c r="J10" s="5">
        <v>486</v>
      </c>
      <c r="K10" s="5">
        <v>457</v>
      </c>
      <c r="L10" s="5">
        <v>458</v>
      </c>
      <c r="M10" s="5">
        <v>818</v>
      </c>
      <c r="N10" s="7"/>
      <c r="O10" s="7"/>
    </row>
    <row r="11" spans="2:15">
      <c r="B11" s="11" t="s">
        <v>83</v>
      </c>
      <c r="C11" s="8">
        <v>0.0718001063468788</v>
      </c>
      <c r="D11" s="8">
        <v>0.0912117368339414</v>
      </c>
      <c r="E11" s="8">
        <v>0.0969233739375197</v>
      </c>
      <c r="F11" s="9">
        <v>0.0822931542169714</v>
      </c>
      <c r="G11" s="9">
        <v>0.0887057222499124</v>
      </c>
      <c r="J11" s="8">
        <v>0.0762993594039846</v>
      </c>
      <c r="K11" s="8">
        <v>0.133608632917605</v>
      </c>
      <c r="L11" s="8">
        <v>0.062624804401319</v>
      </c>
      <c r="M11" s="8">
        <v>0.120367621856161</v>
      </c>
      <c r="N11" s="7"/>
      <c r="O11" s="7"/>
    </row>
    <row r="12" spans="2:15">
      <c r="B12" s="2" t="s">
        <v>84</v>
      </c>
      <c r="C12" s="12">
        <v>0.48</v>
      </c>
      <c r="D12" s="12">
        <v>0.51</v>
      </c>
      <c r="E12" s="12">
        <v>0.5</v>
      </c>
      <c r="F12" s="13">
        <v>0.44083</v>
      </c>
      <c r="G12" s="13">
        <v>0.4986</v>
      </c>
      <c r="J12" s="12">
        <v>0.22</v>
      </c>
      <c r="K12" s="12">
        <v>0.17</v>
      </c>
      <c r="L12" s="12">
        <v>0.17</v>
      </c>
      <c r="M12" s="12">
        <v>0.3</v>
      </c>
      <c r="N12" s="7"/>
      <c r="O12" s="7"/>
    </row>
    <row r="13" spans="2:15">
      <c r="B13" s="2" t="s">
        <v>85</v>
      </c>
      <c r="C13" s="14">
        <v>23.2</v>
      </c>
      <c r="D13" s="14">
        <v>23.6</v>
      </c>
      <c r="E13" s="14">
        <v>24.7</v>
      </c>
      <c r="F13" s="15">
        <v>2733.1</v>
      </c>
      <c r="G13" s="15">
        <v>2733.1</v>
      </c>
      <c r="J13" s="14">
        <v>23.6</v>
      </c>
      <c r="K13" s="14">
        <v>24.5</v>
      </c>
      <c r="L13" s="14">
        <v>24.7</v>
      </c>
      <c r="M13" s="14">
        <v>24.8</v>
      </c>
      <c r="N13" s="15">
        <v>2733.1</v>
      </c>
      <c r="O13" s="15">
        <v>2733.1</v>
      </c>
    </row>
    <row r="15" spans="2:15">
      <c r="B15" s="2" t="s">
        <v>74</v>
      </c>
      <c r="C15" s="16">
        <v>46307</v>
      </c>
    </row>
    <row r="16" spans="2:15">
      <c r="B16" s="2" t="s">
        <v>127</v>
      </c>
      <c r="C16" s="17">
        <v>3.53</v>
      </c>
    </row>
    <row r="17" spans="2:7">
      <c r="B17" s="2" t="s">
        <v>115</v>
      </c>
      <c r="C17" s="5">
        <v>8231</v>
      </c>
    </row>
    <row r="18" spans="2:7">
      <c r="B18" s="2" t="s">
        <v>1</v>
      </c>
      <c r="C18" s="18">
        <f>IF(OR(C10="",C10&lt;=0),"",C$17/C10)</f>
        <v>7.99126213592233</v>
      </c>
      <c r="D18" s="18">
        <f>IF(OR(D10="",D10&lt;=0),"",C$17/D10)</f>
        <v>6.6486268174475</v>
      </c>
      <c r="E18" s="18">
        <f>IF(OR(E10="",E10&lt;=0),"",C$17/E10)</f>
        <v>5.99927113702624</v>
      </c>
      <c r="F18" s="19">
        <f>IF(OR(F10="",F10&lt;=0),"",C$17/F10)</f>
        <v>6.83070539419087</v>
      </c>
      <c r="G18" s="19">
        <f>IF(OR(G10="",G10&lt;=0),"",C$17/G10)</f>
        <v>6.03888481291269</v>
      </c>
    </row>
    <row r="19" spans="2:7">
      <c r="B19" s="2" t="s">
        <v>39</v>
      </c>
      <c r="C19" s="18">
        <f>IF(OR(C6="",C6=0),"",C$17/C6)</f>
        <v>0.573748780147776</v>
      </c>
      <c r="D19" s="18">
        <f>IF(OR(D6="",D6=0),"",C$17/D6)</f>
        <v>0.606245856963983</v>
      </c>
      <c r="E19" s="18">
        <f>IF(OR(E6="",E6=0),"",C$17/E6)</f>
        <v>0.581655006713306</v>
      </c>
      <c r="F19" s="19">
        <f>IF(OR(F6="",F6=0),"",C$17/F6)</f>
        <v>0.562226775956284</v>
      </c>
      <c r="G19" s="19">
        <f>IF(OR(G6="",G6=0),"",C$17/G6)</f>
        <v>0.535802629865903</v>
      </c>
    </row>
    <row r="21" spans="2:7">
      <c r="B21" s="20" t="s">
        <v>88</v>
      </c>
      <c r="F21" s="20">
        <v>16</v>
      </c>
      <c r="G21" s="20">
        <v>17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132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96</v>
      </c>
      <c r="K5" s="4" t="s">
        <v>97</v>
      </c>
      <c r="L5" s="4" t="s">
        <v>82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8423</v>
      </c>
      <c r="D6" s="5">
        <v>10074</v>
      </c>
      <c r="E6" s="5">
        <v>11146</v>
      </c>
      <c r="F6" s="6">
        <v>12768</v>
      </c>
      <c r="G6" s="6">
        <v>13895</v>
      </c>
      <c r="J6" s="5">
        <v>4932</v>
      </c>
      <c r="K6" s="5">
        <v>5705</v>
      </c>
      <c r="L6" s="5">
        <v>5441</v>
      </c>
      <c r="M6" s="5">
        <v>6075</v>
      </c>
      <c r="N6" s="7"/>
      <c r="O6" s="7"/>
    </row>
    <row r="7" spans="2:15">
      <c r="B7" s="2" t="s">
        <v>69</v>
      </c>
      <c r="C7" s="8">
        <v>0.210094462927245</v>
      </c>
      <c r="D7" s="8">
        <v>0.195916258995778</v>
      </c>
      <c r="E7" s="8">
        <v>0.106449390530212</v>
      </c>
      <c r="F7" s="9">
        <v>0.145530238621102</v>
      </c>
      <c r="G7" s="9">
        <v>0.0882791880318623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0.411023313191085</v>
      </c>
      <c r="D8" s="8">
        <v>0.415276502430632</v>
      </c>
      <c r="E8" s="8">
        <v>0.415270681077199</v>
      </c>
      <c r="F8" s="7"/>
      <c r="G8" s="7"/>
      <c r="J8" s="8">
        <v>0.417315629900171</v>
      </c>
      <c r="K8" s="8">
        <v>0.414815165394937</v>
      </c>
      <c r="L8" s="8">
        <v>0.415748284460262</v>
      </c>
      <c r="M8" s="8">
        <v>0.41769163546771</v>
      </c>
      <c r="N8" s="7"/>
      <c r="O8" s="7"/>
    </row>
    <row r="9" spans="2:15">
      <c r="B9" s="2" t="s">
        <v>71</v>
      </c>
      <c r="C9" s="8">
        <v>0.164253447330409</v>
      </c>
      <c r="D9" s="8">
        <v>0.156473761380095</v>
      </c>
      <c r="E9" s="8">
        <v>0.158545407434476</v>
      </c>
      <c r="F9" s="7"/>
      <c r="G9" s="7"/>
      <c r="J9" s="8">
        <v>0.104576513728284</v>
      </c>
      <c r="K9" s="8">
        <v>0.199348797422535</v>
      </c>
      <c r="L9" s="8">
        <v>0.115763483874928</v>
      </c>
      <c r="M9" s="8">
        <v>0.176304157566718</v>
      </c>
      <c r="N9" s="7"/>
      <c r="O9" s="7"/>
    </row>
    <row r="10" spans="2:15">
      <c r="B10" s="2" t="s">
        <v>72</v>
      </c>
      <c r="C10" s="5">
        <v>961</v>
      </c>
      <c r="D10" s="5">
        <v>1149</v>
      </c>
      <c r="E10" s="5">
        <v>1309</v>
      </c>
      <c r="F10" s="6">
        <v>1544</v>
      </c>
      <c r="G10" s="6">
        <v>1707</v>
      </c>
      <c r="J10" s="5">
        <v>359</v>
      </c>
      <c r="K10" s="5">
        <v>858</v>
      </c>
      <c r="L10" s="5">
        <v>451</v>
      </c>
      <c r="M10" s="5">
        <v>913</v>
      </c>
      <c r="N10" s="7"/>
      <c r="O10" s="7"/>
    </row>
    <row r="11" spans="2:15">
      <c r="B11" s="11" t="s">
        <v>83</v>
      </c>
      <c r="C11" s="8">
        <v>0.114139578075322</v>
      </c>
      <c r="D11" s="8">
        <v>0.11402331461427</v>
      </c>
      <c r="E11" s="8">
        <v>0.11743262883362</v>
      </c>
      <c r="F11" s="9">
        <v>0.120926334776956</v>
      </c>
      <c r="G11" s="9">
        <v>0.122879721375912</v>
      </c>
      <c r="J11" s="8">
        <v>0.0727687660703301</v>
      </c>
      <c r="K11" s="8">
        <v>0.150344532615345</v>
      </c>
      <c r="L11" s="8">
        <v>0.0829248452352224</v>
      </c>
      <c r="M11" s="8">
        <v>0.150319954514874</v>
      </c>
      <c r="N11" s="7"/>
      <c r="O11" s="7"/>
    </row>
    <row r="12" spans="2:15">
      <c r="B12" s="2" t="s">
        <v>84</v>
      </c>
      <c r="C12" s="12">
        <v>0.46</v>
      </c>
      <c r="D12" s="12">
        <v>0.56</v>
      </c>
      <c r="E12" s="12">
        <v>0.63</v>
      </c>
      <c r="F12" s="13">
        <v>0.71227</v>
      </c>
      <c r="G12" s="13">
        <v>0.78767</v>
      </c>
      <c r="J12" s="12">
        <v>0.17</v>
      </c>
      <c r="K12" s="12">
        <v>0.41</v>
      </c>
      <c r="L12" s="12">
        <v>0.22</v>
      </c>
      <c r="M12" s="12">
        <v>0.44</v>
      </c>
      <c r="N12" s="7"/>
      <c r="O12" s="7"/>
    </row>
    <row r="13" spans="2:15">
      <c r="B13" s="2" t="s">
        <v>85</v>
      </c>
      <c r="C13" s="14">
        <v>182.3</v>
      </c>
      <c r="D13" s="14">
        <v>182.3</v>
      </c>
      <c r="E13" s="14">
        <v>182.3</v>
      </c>
      <c r="F13" s="15">
        <v>2167.7</v>
      </c>
      <c r="G13" s="15">
        <v>2167.7</v>
      </c>
      <c r="J13" s="14">
        <v>182.3</v>
      </c>
      <c r="K13" s="14">
        <v>182.3</v>
      </c>
      <c r="L13" s="14">
        <v>182.3</v>
      </c>
      <c r="M13" s="14">
        <v>191</v>
      </c>
      <c r="N13" s="15">
        <v>2167.7</v>
      </c>
      <c r="O13" s="15">
        <v>2167.7</v>
      </c>
    </row>
    <row r="15" spans="2:15">
      <c r="B15" s="2" t="s">
        <v>74</v>
      </c>
      <c r="C15" s="16">
        <v>46307</v>
      </c>
    </row>
    <row r="16" spans="2:15">
      <c r="B16" s="2" t="s">
        <v>127</v>
      </c>
      <c r="C16" s="17">
        <v>4.58</v>
      </c>
    </row>
    <row r="17" spans="2:7">
      <c r="B17" s="2" t="s">
        <v>115</v>
      </c>
      <c r="C17" s="5">
        <v>8470</v>
      </c>
    </row>
    <row r="18" spans="2:7">
      <c r="B18" s="2" t="s">
        <v>1</v>
      </c>
      <c r="C18" s="18">
        <f>IF(OR(C10="",C10&lt;=0),"",C$17/C10)</f>
        <v>8.81373569198751</v>
      </c>
      <c r="D18" s="18">
        <f>IF(OR(D10="",D10&lt;=0),"",C$17/D10)</f>
        <v>7.37162750217581</v>
      </c>
      <c r="E18" s="18">
        <f>IF(OR(E10="",E10&lt;=0),"",C$17/E10)</f>
        <v>6.47058823529412</v>
      </c>
      <c r="F18" s="19">
        <f>IF(OR(F10="",F10&lt;=0),"",C$17/F10)</f>
        <v>5.48575129533679</v>
      </c>
      <c r="G18" s="19">
        <f>IF(OR(G10="",G10&lt;=0),"",C$17/G10)</f>
        <v>4.96192149970709</v>
      </c>
    </row>
    <row r="19" spans="2:7">
      <c r="B19" s="2" t="s">
        <v>39</v>
      </c>
      <c r="C19" s="18">
        <f>IF(OR(C6="",C6=0),"",C$17/C6)</f>
        <v>1.00557995963433</v>
      </c>
      <c r="D19" s="18">
        <f>IF(OR(D6="",D6=0),"",C$17/D6)</f>
        <v>0.840778241016478</v>
      </c>
      <c r="E19" s="18">
        <f>IF(OR(E6="",E6=0),"",C$17/E6)</f>
        <v>0.759913870446797</v>
      </c>
      <c r="F19" s="19">
        <f>IF(OR(F6="",F6=0),"",C$17/F6)</f>
        <v>0.663377192982456</v>
      </c>
      <c r="G19" s="19">
        <f>IF(OR(G6="",G6=0),"",C$17/G6)</f>
        <v>0.609571788413098</v>
      </c>
    </row>
    <row r="21" spans="2:7">
      <c r="B21" s="20" t="s">
        <v>88</v>
      </c>
      <c r="F21" s="20">
        <v>10</v>
      </c>
      <c r="G21" s="20">
        <v>10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133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3536</v>
      </c>
      <c r="D6" s="5">
        <v>4004</v>
      </c>
      <c r="E6" s="5">
        <v>4314</v>
      </c>
      <c r="F6" s="6">
        <v>5217</v>
      </c>
      <c r="G6" s="6">
        <v>6004</v>
      </c>
      <c r="J6" s="5">
        <v>1098</v>
      </c>
      <c r="K6" s="5">
        <v>1112</v>
      </c>
      <c r="L6" s="5">
        <v>1522</v>
      </c>
      <c r="M6" s="5">
        <v>1079</v>
      </c>
      <c r="N6" s="7"/>
      <c r="O6" s="7"/>
    </row>
    <row r="7" spans="2:15">
      <c r="B7" s="2" t="s">
        <v>69</v>
      </c>
      <c r="C7" s="8">
        <v>0.225763146537368</v>
      </c>
      <c r="D7" s="8">
        <v>0.132441467560949</v>
      </c>
      <c r="E7" s="8">
        <v>0.0772756822447997</v>
      </c>
      <c r="F7" s="9">
        <v>0.209366834093442</v>
      </c>
      <c r="G7" s="9">
        <v>0.150794478616127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0.768925450960585</v>
      </c>
      <c r="D8" s="8">
        <v>0.756045828072673</v>
      </c>
      <c r="E8" s="8">
        <v>0.750875102323681</v>
      </c>
      <c r="F8" s="7"/>
      <c r="G8" s="7"/>
      <c r="J8" s="8">
        <v>0.750815793066751</v>
      </c>
      <c r="K8" s="8">
        <v>0.73520173116584</v>
      </c>
      <c r="L8" s="8">
        <v>0.752716540954253</v>
      </c>
      <c r="M8" s="8">
        <v>0.752052584299643</v>
      </c>
      <c r="N8" s="7"/>
      <c r="O8" s="7"/>
    </row>
    <row r="9" spans="2:15">
      <c r="B9" s="2" t="s">
        <v>71</v>
      </c>
      <c r="C9" s="8">
        <v>0.300469773120758</v>
      </c>
      <c r="D9" s="8">
        <v>0.235428605507973</v>
      </c>
      <c r="E9" s="8">
        <v>0.151555371673534</v>
      </c>
      <c r="F9" s="7"/>
      <c r="G9" s="7"/>
      <c r="J9" s="8">
        <v>0.200938318736192</v>
      </c>
      <c r="K9" s="8">
        <v>-0.0780553852135506</v>
      </c>
      <c r="L9" s="8">
        <v>0.307076024248062</v>
      </c>
      <c r="M9" s="8">
        <v>0.103119343604071</v>
      </c>
      <c r="N9" s="7"/>
      <c r="O9" s="7"/>
    </row>
    <row r="10" spans="2:15">
      <c r="B10" s="2" t="s">
        <v>72</v>
      </c>
      <c r="C10" s="5">
        <v>911</v>
      </c>
      <c r="D10" s="5">
        <v>781</v>
      </c>
      <c r="E10" s="5">
        <v>551</v>
      </c>
      <c r="F10" s="6">
        <v>748</v>
      </c>
      <c r="G10" s="6">
        <v>924</v>
      </c>
      <c r="J10" s="5">
        <v>205</v>
      </c>
      <c r="K10" s="5">
        <v>-69</v>
      </c>
      <c r="L10" s="5">
        <v>386</v>
      </c>
      <c r="M10" s="5">
        <v>104</v>
      </c>
      <c r="N10" s="7"/>
      <c r="O10" s="7"/>
    </row>
    <row r="11" spans="2:15">
      <c r="B11" s="11" t="s">
        <v>83</v>
      </c>
      <c r="C11" s="8">
        <v>0.2575565115675</v>
      </c>
      <c r="D11" s="8">
        <v>0.194954976936823</v>
      </c>
      <c r="E11" s="8">
        <v>0.127655048023043</v>
      </c>
      <c r="F11" s="9">
        <v>0.143303016434494</v>
      </c>
      <c r="G11" s="9">
        <v>0.153914209287993</v>
      </c>
      <c r="J11" s="8">
        <v>0.187027405192867</v>
      </c>
      <c r="K11" s="8">
        <v>-0.0619502853686121</v>
      </c>
      <c r="L11" s="8">
        <v>0.253736471876985</v>
      </c>
      <c r="M11" s="8">
        <v>0.0966597544832084</v>
      </c>
      <c r="N11" s="7"/>
      <c r="O11" s="7"/>
    </row>
    <row r="12" spans="2:15">
      <c r="B12" s="2" t="s">
        <v>84</v>
      </c>
      <c r="C12" s="12">
        <v>1.6</v>
      </c>
      <c r="D12" s="12">
        <v>1.37</v>
      </c>
      <c r="E12" s="12">
        <v>0.96</v>
      </c>
      <c r="F12" s="13">
        <v>1.31</v>
      </c>
      <c r="G12" s="13">
        <v>1.61917</v>
      </c>
      <c r="J12" s="12">
        <v>0.36</v>
      </c>
      <c r="K12" s="12">
        <v>-0.12</v>
      </c>
      <c r="L12" s="12">
        <v>0.68</v>
      </c>
      <c r="M12" s="12">
        <v>0.18</v>
      </c>
      <c r="N12" s="7"/>
      <c r="O12" s="7"/>
    </row>
    <row r="13" spans="2:15">
      <c r="B13" s="2" t="s">
        <v>85</v>
      </c>
      <c r="C13" s="14">
        <v>570.7</v>
      </c>
      <c r="D13" s="14">
        <v>570.7</v>
      </c>
      <c r="E13" s="14">
        <v>570.7</v>
      </c>
      <c r="F13" s="15">
        <v>570.7</v>
      </c>
      <c r="G13" s="15">
        <v>570.7</v>
      </c>
      <c r="J13" s="14">
        <v>570.7</v>
      </c>
      <c r="K13" s="14">
        <v>570.7</v>
      </c>
      <c r="L13" s="14">
        <v>570.7</v>
      </c>
      <c r="M13" s="14">
        <v>570.7</v>
      </c>
      <c r="N13" s="15">
        <v>570.7</v>
      </c>
      <c r="O13" s="15">
        <v>570.7</v>
      </c>
    </row>
    <row r="15" spans="2:15">
      <c r="B15" s="2" t="s">
        <v>74</v>
      </c>
      <c r="C15" s="16">
        <v>46307</v>
      </c>
    </row>
    <row r="16" spans="2:15">
      <c r="B16" s="2" t="s">
        <v>134</v>
      </c>
      <c r="C16" s="17">
        <v>26.76</v>
      </c>
    </row>
    <row r="17" spans="2:7">
      <c r="B17" s="2" t="s">
        <v>115</v>
      </c>
      <c r="C17" s="5">
        <v>15272</v>
      </c>
    </row>
    <row r="18" spans="2:7">
      <c r="B18" s="2" t="s">
        <v>1</v>
      </c>
      <c r="C18" s="18">
        <f>IF(OR(C10="",C10&lt;=0),"",C$17/C10)</f>
        <v>16.7639956092206</v>
      </c>
      <c r="D18" s="18">
        <f>IF(OR(D10="",D10&lt;=0),"",C$17/D10)</f>
        <v>19.5544174135723</v>
      </c>
      <c r="E18" s="18">
        <f>IF(OR(E10="",E10&lt;=0),"",C$17/E10)</f>
        <v>27.7168784029038</v>
      </c>
      <c r="F18" s="19">
        <f>IF(OR(F10="",F10&lt;=0),"",C$17/F10)</f>
        <v>20.4171122994652</v>
      </c>
      <c r="G18" s="19">
        <f>IF(OR(G10="",G10&lt;=0),"",C$17/G10)</f>
        <v>16.5281385281385</v>
      </c>
    </row>
    <row r="19" spans="2:7">
      <c r="B19" s="2" t="s">
        <v>39</v>
      </c>
      <c r="C19" s="18">
        <f>IF(OR(C6="",C6=0),"",C$17/C6)</f>
        <v>4.31900452488688</v>
      </c>
      <c r="D19" s="18">
        <f>IF(OR(D6="",D6=0),"",C$17/D6)</f>
        <v>3.81418581418581</v>
      </c>
      <c r="E19" s="18">
        <f>IF(OR(E6="",E6=0),"",C$17/E6)</f>
        <v>3.5401019935095</v>
      </c>
      <c r="F19" s="19">
        <f>IF(OR(F6="",F6=0),"",C$17/F6)</f>
        <v>2.92735288479969</v>
      </c>
      <c r="G19" s="19">
        <f>IF(OR(G6="",G6=0),"",C$17/G6)</f>
        <v>2.54363757495003</v>
      </c>
    </row>
    <row r="21" spans="2:7">
      <c r="B21" s="20" t="s">
        <v>88</v>
      </c>
      <c r="F21" s="20">
        <v>5</v>
      </c>
      <c r="G21" s="20">
        <v>5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135</v>
      </c>
    </row>
    <row r="4" spans="2:15">
      <c r="B4" s="2" t="s">
        <v>56</v>
      </c>
      <c r="F4" s="3">
        <v>46474</v>
      </c>
      <c r="G4" s="3">
        <v>46840</v>
      </c>
      <c r="N4" s="3">
        <v>46292</v>
      </c>
      <c r="O4" s="3">
        <v>46383</v>
      </c>
    </row>
    <row r="5" spans="2:15">
      <c r="B5" s="2" t="s">
        <v>78</v>
      </c>
      <c r="C5" s="4" t="s">
        <v>79</v>
      </c>
      <c r="D5" s="4" t="s">
        <v>80</v>
      </c>
      <c r="E5" s="4" t="s">
        <v>81</v>
      </c>
      <c r="F5" s="4" t="s">
        <v>59</v>
      </c>
      <c r="G5" s="4" t="s">
        <v>60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9916</v>
      </c>
      <c r="D6" s="5">
        <v>9505</v>
      </c>
      <c r="E6" s="5">
        <v>9605</v>
      </c>
      <c r="F6" s="6">
        <v>9491</v>
      </c>
      <c r="G6" s="6">
        <v>9786</v>
      </c>
      <c r="J6" s="5">
        <v>2803</v>
      </c>
      <c r="K6" s="5">
        <v>2876</v>
      </c>
      <c r="L6" s="5">
        <v>2166</v>
      </c>
      <c r="M6" s="5">
        <v>1669</v>
      </c>
      <c r="N6" s="7"/>
      <c r="O6" s="7"/>
    </row>
    <row r="7" spans="2:15">
      <c r="B7" s="2" t="s">
        <v>69</v>
      </c>
      <c r="C7" s="8">
        <v>-0.105838488951435</v>
      </c>
      <c r="D7" s="8">
        <v>-0.0414481995078905</v>
      </c>
      <c r="E7" s="8">
        <v>0.0105754095530302</v>
      </c>
      <c r="F7" s="9">
        <v>-0.0119214812340848</v>
      </c>
      <c r="G7" s="9">
        <v>0.0311218004259677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0.516032287454272</v>
      </c>
      <c r="D8" s="8">
        <v>0.535073891407937</v>
      </c>
      <c r="E8" s="8">
        <v>0.547798189044755</v>
      </c>
      <c r="F8" s="7"/>
      <c r="G8" s="7"/>
      <c r="J8" s="8">
        <v>0.521797148898243</v>
      </c>
      <c r="K8" s="8">
        <v>0.555540873655722</v>
      </c>
      <c r="L8" s="8">
        <v>0.564131495627492</v>
      </c>
      <c r="M8" s="8">
        <v>0.549332416425509</v>
      </c>
      <c r="N8" s="7"/>
      <c r="O8" s="7"/>
    </row>
    <row r="9" spans="2:15">
      <c r="B9" s="2" t="s">
        <v>71</v>
      </c>
      <c r="C9" s="8">
        <v>-0.0145159009802456</v>
      </c>
      <c r="D9" s="8">
        <v>0.0319603235917927</v>
      </c>
      <c r="E9" s="8">
        <v>0.0632245614279838</v>
      </c>
      <c r="F9" s="7"/>
      <c r="G9" s="7"/>
      <c r="J9" s="8">
        <v>0.111542202428653</v>
      </c>
      <c r="K9" s="8">
        <v>0.100512518077572</v>
      </c>
      <c r="L9" s="8">
        <v>0.028394752806281</v>
      </c>
      <c r="M9" s="8">
        <v>-0.0497622169681061</v>
      </c>
      <c r="N9" s="7"/>
      <c r="O9" s="7"/>
    </row>
    <row r="10" spans="2:15">
      <c r="B10" s="2" t="s">
        <v>72</v>
      </c>
      <c r="C10" s="5">
        <v>-969</v>
      </c>
      <c r="D10" s="5">
        <v>-190</v>
      </c>
      <c r="E10" s="5">
        <v>255</v>
      </c>
      <c r="F10" s="6">
        <v>421</v>
      </c>
      <c r="G10" s="6">
        <v>521</v>
      </c>
      <c r="J10" s="5">
        <v>190</v>
      </c>
      <c r="K10" s="5">
        <v>301</v>
      </c>
      <c r="L10" s="5">
        <v>-119</v>
      </c>
      <c r="M10" s="5">
        <v>-97</v>
      </c>
      <c r="N10" s="7"/>
      <c r="O10" s="7"/>
    </row>
    <row r="11" spans="2:15">
      <c r="B11" s="11" t="s">
        <v>83</v>
      </c>
      <c r="C11" s="8">
        <v>-0.097712128207471</v>
      </c>
      <c r="D11" s="8">
        <v>-0.0199602491022591</v>
      </c>
      <c r="E11" s="8">
        <v>0.0265397716051304</v>
      </c>
      <c r="F11" s="9">
        <v>0.0443906970066225</v>
      </c>
      <c r="G11" s="9">
        <v>0.0532592093985883</v>
      </c>
      <c r="J11" s="8">
        <v>0.0677077795530462</v>
      </c>
      <c r="K11" s="8">
        <v>0.104612593152308</v>
      </c>
      <c r="L11" s="8">
        <v>-0.0550693110080451</v>
      </c>
      <c r="M11" s="8">
        <v>-0.058196491030497</v>
      </c>
      <c r="N11" s="7"/>
      <c r="O11" s="7"/>
    </row>
    <row r="12" spans="2:15">
      <c r="B12" s="2" t="s">
        <v>84</v>
      </c>
      <c r="C12" s="12">
        <v>-2.49</v>
      </c>
      <c r="D12" s="12">
        <v>-0.49</v>
      </c>
      <c r="E12" s="12">
        <v>0.65</v>
      </c>
      <c r="F12" s="13">
        <v>1.07164</v>
      </c>
      <c r="G12" s="13">
        <v>1.32575</v>
      </c>
      <c r="J12" s="12">
        <v>0.49</v>
      </c>
      <c r="K12" s="12">
        <v>0.76</v>
      </c>
      <c r="L12" s="12">
        <v>-0.3</v>
      </c>
      <c r="M12" s="12">
        <v>-0.25</v>
      </c>
      <c r="N12" s="7"/>
      <c r="O12" s="7"/>
    </row>
    <row r="13" spans="2:15">
      <c r="B13" s="2" t="s">
        <v>85</v>
      </c>
      <c r="C13" s="14">
        <v>97.2</v>
      </c>
      <c r="D13" s="14">
        <v>97.4</v>
      </c>
      <c r="E13" s="14">
        <v>97.9</v>
      </c>
      <c r="F13" s="15">
        <v>393.1</v>
      </c>
      <c r="G13" s="15">
        <v>393.1</v>
      </c>
      <c r="J13" s="14">
        <v>97.7</v>
      </c>
      <c r="K13" s="14">
        <v>97.8</v>
      </c>
      <c r="L13" s="14">
        <v>97.9</v>
      </c>
      <c r="M13" s="14">
        <v>98.3</v>
      </c>
      <c r="N13" s="15">
        <v>393.1</v>
      </c>
      <c r="O13" s="15">
        <v>393.1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15</v>
      </c>
    </row>
    <row r="17" spans="2:7">
      <c r="B17" s="2" t="s">
        <v>87</v>
      </c>
      <c r="C17" s="5">
        <v>5897</v>
      </c>
    </row>
    <row r="18" spans="2:7">
      <c r="B18" s="2" t="s">
        <v>1</v>
      </c>
      <c r="C18" s="18" t="str">
        <f>IF(OR(C10="",C10&lt;=0),"",C$17/C10)</f>
        <v/>
      </c>
      <c r="D18" s="18" t="str">
        <f>IF(OR(D10="",D10&lt;=0),"",C$17/D10)</f>
        <v/>
      </c>
      <c r="E18" s="18">
        <f>IF(OR(E10="",E10&lt;=0),"",C$17/E10)</f>
        <v>23.1254901960784</v>
      </c>
      <c r="F18" s="19">
        <f>IF(OR(F10="",F10&lt;=0),"",C$17/F10)</f>
        <v>14.0071258907363</v>
      </c>
      <c r="G18" s="19">
        <f>IF(OR(G10="",G10&lt;=0),"",C$17/G10)</f>
        <v>11.3186180422265</v>
      </c>
    </row>
    <row r="19" spans="2:7">
      <c r="B19" s="2" t="s">
        <v>39</v>
      </c>
      <c r="C19" s="18">
        <f>IF(OR(C6="",C6=0),"",C$17/C6)</f>
        <v>0.594695441710367</v>
      </c>
      <c r="D19" s="18">
        <f>IF(OR(D6="",D6=0),"",C$17/D6)</f>
        <v>0.620410310362967</v>
      </c>
      <c r="E19" s="18">
        <f>IF(OR(E6="",E6=0),"",C$17/E6)</f>
        <v>0.613951067152525</v>
      </c>
      <c r="F19" s="19">
        <f>IF(OR(F6="",F6=0),"",C$17/F6)</f>
        <v>0.621325466231166</v>
      </c>
      <c r="G19" s="19">
        <f>IF(OR(G6="",G6=0),"",C$17/G6)</f>
        <v>0.60259554465563</v>
      </c>
    </row>
    <row r="21" spans="2:7">
      <c r="B21" s="20" t="s">
        <v>88</v>
      </c>
      <c r="F21" s="20">
        <v>17</v>
      </c>
      <c r="G21" s="20">
        <v>17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136</v>
      </c>
    </row>
    <row r="4" spans="2:15">
      <c r="B4" s="2" t="s">
        <v>56</v>
      </c>
      <c r="F4" s="3">
        <v>46474</v>
      </c>
      <c r="G4" s="3">
        <v>46840</v>
      </c>
      <c r="N4" s="3">
        <v>46203</v>
      </c>
      <c r="O4" s="3">
        <v>46295</v>
      </c>
    </row>
    <row r="5" spans="2:15">
      <c r="B5" s="2" t="s">
        <v>78</v>
      </c>
      <c r="C5" s="4" t="s">
        <v>79</v>
      </c>
      <c r="D5" s="4" t="s">
        <v>80</v>
      </c>
      <c r="E5" s="4" t="s">
        <v>81</v>
      </c>
      <c r="F5" s="4" t="s">
        <v>59</v>
      </c>
      <c r="G5" s="4" t="s">
        <v>60</v>
      </c>
      <c r="J5" s="4" t="s">
        <v>125</v>
      </c>
      <c r="K5" s="4" t="s">
        <v>126</v>
      </c>
      <c r="L5" s="4" t="s">
        <v>92</v>
      </c>
      <c r="M5" s="4" t="s">
        <v>62</v>
      </c>
      <c r="N5" s="4" t="s">
        <v>63</v>
      </c>
      <c r="O5" s="4" t="s">
        <v>64</v>
      </c>
    </row>
    <row r="6" spans="2:15">
      <c r="B6" s="2" t="s">
        <v>68</v>
      </c>
      <c r="C6" s="5">
        <v>20616</v>
      </c>
      <c r="D6" s="5">
        <v>21399</v>
      </c>
      <c r="E6" s="5">
        <v>22420</v>
      </c>
      <c r="F6" s="6">
        <v>25480</v>
      </c>
      <c r="G6" s="6">
        <v>27441</v>
      </c>
      <c r="J6" s="5">
        <v>10077</v>
      </c>
      <c r="K6" s="5">
        <v>11322</v>
      </c>
      <c r="L6" s="5">
        <v>10645</v>
      </c>
      <c r="M6" s="5">
        <v>11818</v>
      </c>
      <c r="N6" s="7"/>
      <c r="O6" s="7"/>
    </row>
    <row r="7" spans="2:15">
      <c r="B7" s="2" t="s">
        <v>69</v>
      </c>
      <c r="C7" s="8">
        <v>0.033228086002105</v>
      </c>
      <c r="D7" s="8">
        <v>0.0379802095459838</v>
      </c>
      <c r="E7" s="8">
        <v>0.0477125099303706</v>
      </c>
      <c r="F7" s="9">
        <v>0.136497796565566</v>
      </c>
      <c r="G7" s="9">
        <v>0.0769315560864323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0.680830422972449</v>
      </c>
      <c r="D8" s="8">
        <v>0.669143417916725</v>
      </c>
      <c r="E8" s="8">
        <v>0.643978590544157</v>
      </c>
      <c r="F8" s="7"/>
      <c r="G8" s="7"/>
      <c r="J8" s="8">
        <v>0.671926168502531</v>
      </c>
      <c r="K8" s="8">
        <v>0.666578343048931</v>
      </c>
      <c r="L8" s="8">
        <v>0.651385627054955</v>
      </c>
      <c r="M8" s="8">
        <v>0.635454622470769</v>
      </c>
      <c r="N8" s="7"/>
      <c r="O8" s="7"/>
    </row>
    <row r="9" spans="2:15">
      <c r="B9" s="2" t="s">
        <v>71</v>
      </c>
      <c r="C9" s="8">
        <v>0.232537834691502</v>
      </c>
      <c r="D9" s="8">
        <v>0.208748072339829</v>
      </c>
      <c r="E9" s="8">
        <v>0.206735057983943</v>
      </c>
      <c r="F9" s="7"/>
      <c r="G9" s="7"/>
      <c r="J9" s="8">
        <v>0.218914359432371</v>
      </c>
      <c r="K9" s="8">
        <v>0.1996996996997</v>
      </c>
      <c r="L9" s="8">
        <v>0.221042743071865</v>
      </c>
      <c r="M9" s="8">
        <v>0.180568312543248</v>
      </c>
      <c r="N9" s="7"/>
      <c r="O9" s="7"/>
    </row>
    <row r="10" spans="2:15">
      <c r="B10" s="2" t="s">
        <v>72</v>
      </c>
      <c r="C10" s="5">
        <v>2362</v>
      </c>
      <c r="D10" s="5">
        <v>2751</v>
      </c>
      <c r="E10" s="5">
        <v>3484</v>
      </c>
      <c r="F10" s="6">
        <v>4433</v>
      </c>
      <c r="G10" s="6">
        <v>5093</v>
      </c>
      <c r="J10" s="5">
        <v>458</v>
      </c>
      <c r="K10" s="5">
        <v>2293</v>
      </c>
      <c r="L10" s="5">
        <v>1817</v>
      </c>
      <c r="M10" s="5">
        <v>1673</v>
      </c>
      <c r="N10" s="7"/>
      <c r="O10" s="7"/>
    </row>
    <row r="11" spans="2:15">
      <c r="B11" s="11" t="s">
        <v>83</v>
      </c>
      <c r="C11" s="8">
        <v>0.114571206829647</v>
      </c>
      <c r="D11" s="8">
        <v>0.12855740922473</v>
      </c>
      <c r="E11" s="8">
        <v>0.155396966993756</v>
      </c>
      <c r="F11" s="9">
        <v>0.173976035365086</v>
      </c>
      <c r="G11" s="9">
        <v>0.1856116488785</v>
      </c>
      <c r="J11" s="8">
        <v>0.0454500347325593</v>
      </c>
      <c r="K11" s="8">
        <v>0.202526055467232</v>
      </c>
      <c r="L11" s="8">
        <v>0.170690465007046</v>
      </c>
      <c r="M11" s="8">
        <v>0.141598169498835</v>
      </c>
      <c r="N11" s="7"/>
      <c r="O11" s="7"/>
    </row>
    <row r="12" spans="2:15">
      <c r="B12" s="2" t="s">
        <v>84</v>
      </c>
      <c r="C12" s="12">
        <v>4.1</v>
      </c>
      <c r="D12" s="12">
        <v>4.69</v>
      </c>
      <c r="E12" s="12">
        <v>5.89</v>
      </c>
      <c r="F12" s="13">
        <v>7.53981</v>
      </c>
      <c r="G12" s="13">
        <v>8.66292</v>
      </c>
      <c r="J12" s="12">
        <v>0.79</v>
      </c>
      <c r="K12" s="12">
        <v>3.45</v>
      </c>
      <c r="L12" s="12">
        <v>3.09</v>
      </c>
      <c r="M12" s="12">
        <v>2.84</v>
      </c>
      <c r="N12" s="7"/>
      <c r="O12" s="7"/>
    </row>
    <row r="13" spans="2:15">
      <c r="B13" s="2" t="s">
        <v>85</v>
      </c>
      <c r="C13" s="14">
        <v>352</v>
      </c>
      <c r="D13" s="14">
        <v>352</v>
      </c>
      <c r="E13" s="14">
        <v>353.3</v>
      </c>
      <c r="F13" s="15">
        <v>587.9</v>
      </c>
      <c r="G13" s="15">
        <v>587.9</v>
      </c>
      <c r="J13" s="14">
        <v>352</v>
      </c>
      <c r="K13" s="14">
        <v>352</v>
      </c>
      <c r="L13" s="14">
        <v>352</v>
      </c>
      <c r="M13" s="14">
        <v>353.3</v>
      </c>
      <c r="N13" s="15">
        <v>587.9</v>
      </c>
      <c r="O13" s="15">
        <v>587.9</v>
      </c>
    </row>
    <row r="15" spans="2:15">
      <c r="B15" s="2" t="s">
        <v>74</v>
      </c>
      <c r="C15" s="16">
        <v>46307</v>
      </c>
    </row>
    <row r="16" spans="2:15">
      <c r="B16" s="2" t="s">
        <v>137</v>
      </c>
      <c r="C16" s="17">
        <v>170.75</v>
      </c>
    </row>
    <row r="17" spans="2:7">
      <c r="B17" s="2" t="s">
        <v>94</v>
      </c>
      <c r="C17" s="5">
        <v>107752</v>
      </c>
    </row>
    <row r="18" spans="2:7">
      <c r="B18" s="2" t="s">
        <v>1</v>
      </c>
      <c r="C18" s="18">
        <f>IF(OR(C10="",C10&lt;=0),"",C$17/C10)</f>
        <v>45.618966977138</v>
      </c>
      <c r="D18" s="18">
        <f>IF(OR(D10="",D10&lt;=0),"",C$17/D10)</f>
        <v>39.168302435478</v>
      </c>
      <c r="E18" s="18">
        <f>IF(OR(E10="",E10&lt;=0),"",C$17/E10)</f>
        <v>30.9276693455798</v>
      </c>
      <c r="F18" s="19">
        <f>IF(OR(F10="",F10&lt;=0),"",C$17/F10)</f>
        <v>24.3067899842093</v>
      </c>
      <c r="G18" s="19">
        <f>IF(OR(G10="",G10&lt;=0),"",C$17/G10)</f>
        <v>21.156881994895</v>
      </c>
    </row>
    <row r="19" spans="2:7">
      <c r="B19" s="2" t="s">
        <v>39</v>
      </c>
      <c r="C19" s="18">
        <f>IF(OR(C6="",C6=0),"",C$17/C6)</f>
        <v>5.22662010089251</v>
      </c>
      <c r="D19" s="18">
        <f>IF(OR(D6="",D6=0),"",C$17/D6)</f>
        <v>5.03537548483574</v>
      </c>
      <c r="E19" s="18">
        <f>IF(OR(E6="",E6=0),"",C$17/E6)</f>
        <v>4.80606601248885</v>
      </c>
      <c r="F19" s="19">
        <f>IF(OR(F6="",F6=0),"",C$17/F6)</f>
        <v>4.22888540031397</v>
      </c>
      <c r="G19" s="19">
        <f>IF(OR(G6="",G6=0),"",C$17/G6)</f>
        <v>3.92667905688568</v>
      </c>
    </row>
    <row r="21" spans="2:7">
      <c r="B21" s="20" t="s">
        <v>88</v>
      </c>
      <c r="F21" s="20">
        <v>26</v>
      </c>
      <c r="G21" s="20">
        <v>26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138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96</v>
      </c>
      <c r="K5" s="4" t="s">
        <v>97</v>
      </c>
      <c r="L5" s="4" t="s">
        <v>82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4726</v>
      </c>
      <c r="D6" s="5">
        <v>5432</v>
      </c>
      <c r="E6" s="5">
        <v>5718</v>
      </c>
      <c r="F6" s="6">
        <v>6143</v>
      </c>
      <c r="G6" s="6">
        <v>6434</v>
      </c>
      <c r="J6" s="5">
        <v>2883</v>
      </c>
      <c r="K6" s="5">
        <v>2740</v>
      </c>
      <c r="L6" s="5">
        <v>2977</v>
      </c>
      <c r="M6" s="5">
        <v>3101</v>
      </c>
      <c r="N6" s="7"/>
      <c r="O6" s="7"/>
    </row>
    <row r="7" spans="2:15">
      <c r="B7" s="2" t="s">
        <v>69</v>
      </c>
      <c r="C7" s="8">
        <v>0.125155391729994</v>
      </c>
      <c r="D7" s="8">
        <v>0.149192696107046</v>
      </c>
      <c r="E7" s="8">
        <v>0.052648623589884</v>
      </c>
      <c r="F7" s="9">
        <v>0.0744611007113047</v>
      </c>
      <c r="G7" s="9">
        <v>0.0473491432070805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0.804367415360196</v>
      </c>
      <c r="D8" s="8">
        <v>0.798425202939047</v>
      </c>
      <c r="E8" s="8">
        <v>0.803158746596646</v>
      </c>
      <c r="F8" s="7"/>
      <c r="G8" s="7"/>
      <c r="J8" s="8">
        <v>0.798748700537614</v>
      </c>
      <c r="K8" s="8">
        <v>0.800932104881872</v>
      </c>
      <c r="L8" s="8">
        <v>0.805207816258414</v>
      </c>
      <c r="M8" s="8">
        <v>0.783367792789835</v>
      </c>
      <c r="N8" s="7"/>
      <c r="O8" s="7"/>
    </row>
    <row r="9" spans="2:15">
      <c r="B9" s="2" t="s">
        <v>71</v>
      </c>
      <c r="C9" s="8">
        <v>0.224629639699129</v>
      </c>
      <c r="D9" s="8">
        <v>0.235577017786981</v>
      </c>
      <c r="E9" s="8">
        <v>0.227203363135877</v>
      </c>
      <c r="F9" s="7"/>
      <c r="G9" s="7"/>
      <c r="J9" s="8">
        <v>0.244346102896262</v>
      </c>
      <c r="K9" s="8">
        <v>0.221637314851818</v>
      </c>
      <c r="L9" s="8">
        <v>0.232325525627996</v>
      </c>
      <c r="M9" s="8">
        <v>0.17393358408813</v>
      </c>
      <c r="N9" s="7"/>
      <c r="O9" s="7"/>
    </row>
    <row r="10" spans="2:15">
      <c r="B10" s="2" t="s">
        <v>72</v>
      </c>
      <c r="C10" s="5">
        <v>671</v>
      </c>
      <c r="D10" s="5">
        <v>839</v>
      </c>
      <c r="E10" s="5">
        <v>852</v>
      </c>
      <c r="F10" s="6">
        <v>732</v>
      </c>
      <c r="G10" s="6">
        <v>805</v>
      </c>
      <c r="J10" s="5">
        <v>455</v>
      </c>
      <c r="K10" s="5">
        <v>386</v>
      </c>
      <c r="L10" s="5">
        <v>466</v>
      </c>
      <c r="M10" s="5">
        <v>333</v>
      </c>
      <c r="N10" s="7"/>
      <c r="O10" s="7"/>
    </row>
    <row r="11" spans="2:15">
      <c r="B11" s="11" t="s">
        <v>83</v>
      </c>
      <c r="C11" s="8">
        <v>0.141973687857446</v>
      </c>
      <c r="D11" s="8">
        <v>0.154450556258546</v>
      </c>
      <c r="E11" s="8">
        <v>0.149004437412648</v>
      </c>
      <c r="F11" s="9">
        <v>0.119126390521823</v>
      </c>
      <c r="G11" s="9">
        <v>0.125055289869046</v>
      </c>
      <c r="J11" s="8">
        <v>0.157967451784179</v>
      </c>
      <c r="K11" s="8">
        <v>0.140831412737428</v>
      </c>
      <c r="L11" s="8">
        <v>0.156525673000645</v>
      </c>
      <c r="M11" s="8">
        <v>0.10723605568949</v>
      </c>
      <c r="N11" s="7"/>
      <c r="O11" s="7"/>
    </row>
    <row r="12" spans="2:15">
      <c r="B12" s="2" t="s">
        <v>84</v>
      </c>
      <c r="C12" s="12">
        <v>0.26</v>
      </c>
      <c r="D12" s="12">
        <v>0.33</v>
      </c>
      <c r="E12" s="12">
        <v>0.33</v>
      </c>
      <c r="F12" s="13">
        <v>0.286</v>
      </c>
      <c r="G12" s="13">
        <v>0.31445</v>
      </c>
      <c r="J12" s="12">
        <v>0.18</v>
      </c>
      <c r="K12" s="12">
        <v>0.15</v>
      </c>
      <c r="L12" s="12">
        <v>0.18</v>
      </c>
      <c r="M12" s="12">
        <v>0.13</v>
      </c>
      <c r="N12" s="7"/>
      <c r="O12" s="7"/>
    </row>
    <row r="13" spans="2:15">
      <c r="B13" s="2" t="s">
        <v>85</v>
      </c>
      <c r="C13" s="14">
        <v>255.9</v>
      </c>
      <c r="D13" s="14">
        <v>255.9</v>
      </c>
      <c r="E13" s="14">
        <v>255.8</v>
      </c>
      <c r="F13" s="15">
        <v>2558.8</v>
      </c>
      <c r="G13" s="15">
        <v>2558.8</v>
      </c>
      <c r="J13" s="14">
        <v>255.9</v>
      </c>
      <c r="K13" s="14">
        <v>255.9</v>
      </c>
      <c r="L13" s="14">
        <v>255.8</v>
      </c>
      <c r="M13" s="14">
        <v>255.7</v>
      </c>
      <c r="N13" s="15">
        <v>2558.8</v>
      </c>
      <c r="O13" s="15">
        <v>2558.8</v>
      </c>
    </row>
    <row r="15" spans="2:15">
      <c r="B15" s="2" t="s">
        <v>74</v>
      </c>
      <c r="C15" s="16">
        <v>46307</v>
      </c>
    </row>
    <row r="16" spans="2:15">
      <c r="B16" s="2" t="s">
        <v>127</v>
      </c>
      <c r="C16" s="17">
        <v>37.12</v>
      </c>
    </row>
    <row r="17" spans="2:7">
      <c r="B17" s="2" t="s">
        <v>94</v>
      </c>
      <c r="C17" s="5">
        <v>10806</v>
      </c>
    </row>
    <row r="18" spans="2:7">
      <c r="B18" s="2" t="s">
        <v>1</v>
      </c>
      <c r="C18" s="18">
        <f>IF(OR(C10="",C10&lt;=0),"",C$17/C10)</f>
        <v>16.1043219076006</v>
      </c>
      <c r="D18" s="18">
        <f>IF(OR(D10="",D10&lt;=0),"",C$17/D10)</f>
        <v>12.8796185935638</v>
      </c>
      <c r="E18" s="18">
        <f>IF(OR(E10="",E10&lt;=0),"",C$17/E10)</f>
        <v>12.6830985915493</v>
      </c>
      <c r="F18" s="19">
        <f>IF(OR(F10="",F10&lt;=0),"",C$17/F10)</f>
        <v>14.7622950819672</v>
      </c>
      <c r="G18" s="19">
        <f>IF(OR(G10="",G10&lt;=0),"",C$17/G10)</f>
        <v>13.423602484472</v>
      </c>
    </row>
    <row r="19" spans="2:7">
      <c r="B19" s="2" t="s">
        <v>39</v>
      </c>
      <c r="C19" s="18">
        <f>IF(OR(C6="",C6=0),"",C$17/C6)</f>
        <v>2.28650021159543</v>
      </c>
      <c r="D19" s="18">
        <f>IF(OR(D6="",D6=0),"",C$17/D6)</f>
        <v>1.98932253313697</v>
      </c>
      <c r="E19" s="18">
        <f>IF(OR(E6="",E6=0),"",C$17/E6)</f>
        <v>1.88982161594963</v>
      </c>
      <c r="F19" s="19">
        <f>IF(OR(F6="",F6=0),"",C$17/F6)</f>
        <v>1.75907537034022</v>
      </c>
      <c r="G19" s="19">
        <f>IF(OR(G6="",G6=0),"",C$17/G6)</f>
        <v>1.67951507615791</v>
      </c>
    </row>
    <row r="21" spans="2:7">
      <c r="B21" s="20" t="s">
        <v>88</v>
      </c>
      <c r="F21" s="20">
        <v>17</v>
      </c>
      <c r="G21" s="20">
        <v>18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139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96</v>
      </c>
      <c r="K5" s="4" t="s">
        <v>97</v>
      </c>
      <c r="L5" s="4" t="s">
        <v>82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2984</v>
      </c>
      <c r="D6" s="5">
        <v>3109</v>
      </c>
      <c r="E6" s="5">
        <v>3132</v>
      </c>
      <c r="F6" s="6">
        <v>3233</v>
      </c>
      <c r="G6" s="6">
        <v>3455</v>
      </c>
      <c r="J6" s="5">
        <v>1879</v>
      </c>
      <c r="K6" s="5">
        <v>1226</v>
      </c>
      <c r="L6" s="5">
        <v>1906</v>
      </c>
      <c r="M6" s="5">
        <v>1290</v>
      </c>
      <c r="N6" s="7"/>
      <c r="O6" s="7"/>
    </row>
    <row r="7" spans="2:15">
      <c r="B7" s="2" t="s">
        <v>69</v>
      </c>
      <c r="C7" s="8">
        <v>0.146501388840865</v>
      </c>
      <c r="D7" s="8">
        <v>0.0417888511458784</v>
      </c>
      <c r="E7" s="8">
        <v>0.00746367553532989</v>
      </c>
      <c r="F7" s="9">
        <v>0.0322750210080813</v>
      </c>
      <c r="G7" s="9">
        <v>0.0686856956595272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0.770999562029169</v>
      </c>
      <c r="D8" s="8">
        <v>0.780513450956022</v>
      </c>
      <c r="E8" s="8">
        <v>0.781001606575466</v>
      </c>
      <c r="F8" s="7"/>
      <c r="G8" s="7"/>
      <c r="J8" s="8">
        <v>0.789601764141368</v>
      </c>
      <c r="K8" s="8">
        <v>0.689133653975597</v>
      </c>
      <c r="L8" s="8">
        <v>0.789026590078066</v>
      </c>
      <c r="M8" s="8">
        <v>0.771523948920547</v>
      </c>
      <c r="N8" s="7"/>
      <c r="O8" s="7"/>
    </row>
    <row r="9" spans="2:15">
      <c r="B9" s="2" t="s">
        <v>71</v>
      </c>
      <c r="C9" s="8">
        <v>0.299522119202458</v>
      </c>
      <c r="D9" s="8">
        <v>0.294739916446977</v>
      </c>
      <c r="E9" s="8">
        <v>0.291608772055293</v>
      </c>
      <c r="F9" s="7"/>
      <c r="G9" s="7"/>
      <c r="J9" s="8">
        <v>0.350054637071985</v>
      </c>
      <c r="K9" s="8">
        <v>0.183370660009056</v>
      </c>
      <c r="L9" s="8">
        <v>0.361195050730069</v>
      </c>
      <c r="M9" s="8">
        <v>0.190233907429344</v>
      </c>
      <c r="N9" s="7"/>
      <c r="O9" s="7"/>
    </row>
    <row r="10" spans="2:15">
      <c r="B10" s="2" t="s">
        <v>72</v>
      </c>
      <c r="C10" s="5">
        <v>612</v>
      </c>
      <c r="D10" s="5">
        <v>640</v>
      </c>
      <c r="E10" s="5">
        <v>627</v>
      </c>
      <c r="F10" s="6">
        <v>640</v>
      </c>
      <c r="G10" s="6">
        <v>693</v>
      </c>
      <c r="J10" s="5">
        <v>459</v>
      </c>
      <c r="K10" s="5">
        <v>153</v>
      </c>
      <c r="L10" s="5">
        <v>473</v>
      </c>
      <c r="M10" s="5">
        <v>165</v>
      </c>
      <c r="N10" s="7"/>
      <c r="O10" s="7"/>
    </row>
    <row r="11" spans="2:15">
      <c r="B11" s="11" t="s">
        <v>83</v>
      </c>
      <c r="C11" s="8">
        <v>0.205055798556204</v>
      </c>
      <c r="D11" s="8">
        <v>0.205729056097865</v>
      </c>
      <c r="E11" s="8">
        <v>0.200078030016653</v>
      </c>
      <c r="F11" s="9">
        <v>0.197889710386576</v>
      </c>
      <c r="G11" s="9">
        <v>0.200544500747964</v>
      </c>
      <c r="J11" s="8">
        <v>0.24423276829783</v>
      </c>
      <c r="K11" s="8">
        <v>0.125205500687382</v>
      </c>
      <c r="L11" s="8">
        <v>0.248213576660024</v>
      </c>
      <c r="M11" s="8">
        <v>0.127692431731777</v>
      </c>
      <c r="N11" s="7"/>
      <c r="O11" s="7"/>
    </row>
    <row r="12" spans="2:15">
      <c r="B12" s="2" t="s">
        <v>84</v>
      </c>
      <c r="C12" s="12">
        <v>2.27</v>
      </c>
      <c r="D12" s="12">
        <v>2.36</v>
      </c>
      <c r="E12" s="12">
        <v>2.31</v>
      </c>
      <c r="F12" s="13">
        <v>2.35237</v>
      </c>
      <c r="G12" s="13">
        <v>2.54767</v>
      </c>
      <c r="J12" s="12">
        <v>1.7</v>
      </c>
      <c r="K12" s="12">
        <v>0.57</v>
      </c>
      <c r="L12" s="12">
        <v>1.71</v>
      </c>
      <c r="M12" s="12">
        <v>0.6</v>
      </c>
      <c r="N12" s="7"/>
      <c r="O12" s="7"/>
    </row>
    <row r="13" spans="2:15">
      <c r="B13" s="2" t="s">
        <v>85</v>
      </c>
      <c r="C13" s="14">
        <v>54.9</v>
      </c>
      <c r="D13" s="14">
        <v>55</v>
      </c>
      <c r="E13" s="14">
        <v>55</v>
      </c>
      <c r="F13" s="15">
        <v>272</v>
      </c>
      <c r="G13" s="15">
        <v>272</v>
      </c>
      <c r="J13" s="14">
        <v>55</v>
      </c>
      <c r="K13" s="14">
        <v>55</v>
      </c>
      <c r="L13" s="14">
        <v>55</v>
      </c>
      <c r="M13" s="14">
        <v>55</v>
      </c>
      <c r="N13" s="15">
        <v>272</v>
      </c>
      <c r="O13" s="15">
        <v>272</v>
      </c>
    </row>
    <row r="15" spans="2:15">
      <c r="B15" s="2" t="s">
        <v>74</v>
      </c>
      <c r="C15" s="16">
        <v>46307</v>
      </c>
    </row>
    <row r="16" spans="2:15">
      <c r="B16" s="2" t="s">
        <v>93</v>
      </c>
      <c r="C16" s="17">
        <v>43.67</v>
      </c>
    </row>
    <row r="17" spans="2:7">
      <c r="B17" s="2" t="s">
        <v>94</v>
      </c>
      <c r="C17" s="5">
        <v>11878</v>
      </c>
    </row>
    <row r="18" spans="2:7">
      <c r="B18" s="2" t="s">
        <v>1</v>
      </c>
      <c r="C18" s="18">
        <f>IF(OR(C10="",C10&lt;=0),"",C$17/C10)</f>
        <v>19.4084967320261</v>
      </c>
      <c r="D18" s="18">
        <f>IF(OR(D10="",D10&lt;=0),"",C$17/D10)</f>
        <v>18.559375</v>
      </c>
      <c r="E18" s="18">
        <f>IF(OR(E10="",E10&lt;=0),"",C$17/E10)</f>
        <v>18.9441786283892</v>
      </c>
      <c r="F18" s="19">
        <f>IF(OR(F10="",F10&lt;=0),"",C$17/F10)</f>
        <v>18.559375</v>
      </c>
      <c r="G18" s="19">
        <f>IF(OR(G10="",G10&lt;=0),"",C$17/G10)</f>
        <v>17.1399711399711</v>
      </c>
    </row>
    <row r="19" spans="2:7">
      <c r="B19" s="2" t="s">
        <v>39</v>
      </c>
      <c r="C19" s="18">
        <f>IF(OR(C6="",C6=0),"",C$17/C6)</f>
        <v>3.98056300268097</v>
      </c>
      <c r="D19" s="18">
        <f>IF(OR(D6="",D6=0),"",C$17/D6)</f>
        <v>3.82052106786748</v>
      </c>
      <c r="E19" s="18">
        <f>IF(OR(E6="",E6=0),"",C$17/E6)</f>
        <v>3.79246487867177</v>
      </c>
      <c r="F19" s="19">
        <f>IF(OR(F6="",F6=0),"",C$17/F6)</f>
        <v>3.67398700897</v>
      </c>
      <c r="G19" s="19">
        <f>IF(OR(G6="",G6=0),"",C$17/G6)</f>
        <v>3.43791606367583</v>
      </c>
    </row>
    <row r="21" spans="2:7">
      <c r="B21" s="20" t="s">
        <v>88</v>
      </c>
      <c r="F21" s="20">
        <v>24</v>
      </c>
      <c r="G21" s="20">
        <v>24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140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96</v>
      </c>
      <c r="K5" s="4" t="s">
        <v>97</v>
      </c>
      <c r="L5" s="4" t="s">
        <v>82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19566</v>
      </c>
      <c r="D6" s="5">
        <v>17194</v>
      </c>
      <c r="E6" s="5">
        <v>14675</v>
      </c>
      <c r="F6" s="6">
        <v>14620</v>
      </c>
      <c r="G6" s="6">
        <v>15433</v>
      </c>
      <c r="J6" s="5">
        <v>8176</v>
      </c>
      <c r="K6" s="5">
        <v>7587</v>
      </c>
      <c r="L6" s="5">
        <v>7088</v>
      </c>
      <c r="M6" s="5">
        <v>7220</v>
      </c>
      <c r="N6" s="7"/>
      <c r="O6" s="7"/>
    </row>
    <row r="7" spans="2:15">
      <c r="B7" s="2" t="s">
        <v>69</v>
      </c>
      <c r="C7" s="8">
        <v>-0.0385730430937055</v>
      </c>
      <c r="D7" s="8">
        <v>-0.121230706327302</v>
      </c>
      <c r="E7" s="8">
        <v>-0.146504594626032</v>
      </c>
      <c r="F7" s="9">
        <v>-0.00373027236797274</v>
      </c>
      <c r="G7" s="9">
        <v>0.0555578306445665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0.762905039353981</v>
      </c>
      <c r="D8" s="8">
        <v>0.737524717924858</v>
      </c>
      <c r="E8" s="8">
        <v>0.53717206132879</v>
      </c>
      <c r="F8" s="7"/>
      <c r="G8" s="7"/>
      <c r="J8" s="8">
        <v>0.730552837573386</v>
      </c>
      <c r="K8" s="8">
        <v>0.730064584157111</v>
      </c>
      <c r="L8" s="8">
        <v>0.722488713318284</v>
      </c>
      <c r="M8" s="8">
        <v>0.71606648199446</v>
      </c>
      <c r="N8" s="7"/>
      <c r="O8" s="7"/>
    </row>
    <row r="9" spans="2:15">
      <c r="B9" s="2" t="s">
        <v>71</v>
      </c>
      <c r="C9" s="8">
        <v>0.242563630788102</v>
      </c>
      <c r="D9" s="8">
        <v>0.134465511224846</v>
      </c>
      <c r="E9" s="8">
        <v>0.11114139693356</v>
      </c>
      <c r="F9" s="7"/>
      <c r="G9" s="7"/>
      <c r="J9" s="8">
        <v>0.0908757338551859</v>
      </c>
      <c r="K9" s="8">
        <v>0.127718465796758</v>
      </c>
      <c r="L9" s="8">
        <v>0.0933972911963883</v>
      </c>
      <c r="M9" s="8">
        <v>0.127562326869806</v>
      </c>
      <c r="N9" s="7"/>
      <c r="O9" s="7"/>
    </row>
    <row r="10" spans="2:15">
      <c r="B10" s="2" t="s">
        <v>72</v>
      </c>
      <c r="C10" s="5">
        <v>2983</v>
      </c>
      <c r="D10" s="5">
        <v>1133</v>
      </c>
      <c r="E10" s="5">
        <v>72</v>
      </c>
      <c r="F10" s="6">
        <v>781</v>
      </c>
      <c r="G10" s="6">
        <v>1203</v>
      </c>
      <c r="J10" s="5">
        <v>255</v>
      </c>
      <c r="K10" s="5">
        <v>474</v>
      </c>
      <c r="L10" s="5">
        <v>-402</v>
      </c>
      <c r="M10" s="5">
        <v>189</v>
      </c>
      <c r="N10" s="7"/>
      <c r="O10" s="7"/>
    </row>
    <row r="11" spans="2:15">
      <c r="B11" s="11" t="s">
        <v>83</v>
      </c>
      <c r="C11" s="8">
        <v>0.1524583461106</v>
      </c>
      <c r="D11" s="8">
        <v>0.0658950796789578</v>
      </c>
      <c r="E11" s="8">
        <v>0.00490630323679727</v>
      </c>
      <c r="F11" s="9">
        <v>0.0533944131363679</v>
      </c>
      <c r="G11" s="9">
        <v>0.0779358497278111</v>
      </c>
      <c r="J11" s="8">
        <v>0.0311888454011742</v>
      </c>
      <c r="K11" s="8">
        <v>0.0624752866745749</v>
      </c>
      <c r="L11" s="8">
        <v>-0.0567155756207675</v>
      </c>
      <c r="M11" s="8">
        <v>0.0261772853185596</v>
      </c>
      <c r="N11" s="7"/>
      <c r="O11" s="7"/>
    </row>
    <row r="12" spans="2:15">
      <c r="B12" s="2" t="s">
        <v>84</v>
      </c>
      <c r="C12" s="12">
        <v>24.37</v>
      </c>
      <c r="D12" s="12">
        <v>9.24</v>
      </c>
      <c r="E12" s="12">
        <v>0.59</v>
      </c>
      <c r="F12" s="13">
        <v>6.36641</v>
      </c>
      <c r="G12" s="13">
        <v>9.80885</v>
      </c>
      <c r="J12" s="12">
        <v>2.08</v>
      </c>
      <c r="K12" s="12">
        <v>3.87</v>
      </c>
      <c r="L12" s="12">
        <v>-3.27</v>
      </c>
      <c r="M12" s="12">
        <v>1.54</v>
      </c>
      <c r="N12" s="7"/>
      <c r="O12" s="7"/>
    </row>
    <row r="13" spans="2:15">
      <c r="B13" s="2" t="s">
        <v>85</v>
      </c>
      <c r="C13" s="14">
        <v>493</v>
      </c>
      <c r="D13" s="14">
        <v>493</v>
      </c>
      <c r="E13" s="14">
        <v>493</v>
      </c>
      <c r="F13" s="15">
        <v>122.6</v>
      </c>
      <c r="G13" s="15">
        <v>122.6</v>
      </c>
      <c r="J13" s="14">
        <v>493</v>
      </c>
      <c r="K13" s="14">
        <v>493</v>
      </c>
      <c r="L13" s="14">
        <v>493</v>
      </c>
      <c r="M13" s="14">
        <v>493</v>
      </c>
      <c r="N13" s="15">
        <v>122.6</v>
      </c>
      <c r="O13" s="15">
        <v>122.6</v>
      </c>
    </row>
    <row r="15" spans="2:15">
      <c r="B15" s="2" t="s">
        <v>74</v>
      </c>
      <c r="C15" s="16">
        <v>46307</v>
      </c>
    </row>
    <row r="16" spans="2:15">
      <c r="B16" s="2" t="s">
        <v>93</v>
      </c>
      <c r="C16" s="17">
        <v>214.8</v>
      </c>
    </row>
    <row r="17" spans="2:7">
      <c r="B17" s="2" t="s">
        <v>94</v>
      </c>
      <c r="C17" s="5">
        <v>26338</v>
      </c>
    </row>
    <row r="18" spans="2:7">
      <c r="B18" s="2" t="s">
        <v>1</v>
      </c>
      <c r="C18" s="18">
        <f>IF(OR(C10="",C10&lt;=0),"",C$17/C10)</f>
        <v>8.82936640965471</v>
      </c>
      <c r="D18" s="18">
        <f>IF(OR(D10="",D10&lt;=0),"",C$17/D10)</f>
        <v>23.2462488967343</v>
      </c>
      <c r="E18" s="18">
        <f>IF(OR(E10="",E10&lt;=0),"",C$17/E10)</f>
        <v>365.805555555556</v>
      </c>
      <c r="F18" s="19">
        <f>IF(OR(F10="",F10&lt;=0),"",C$17/F10)</f>
        <v>33.7234314980794</v>
      </c>
      <c r="G18" s="19">
        <f>IF(OR(G10="",G10&lt;=0),"",C$17/G10)</f>
        <v>21.8935993349958</v>
      </c>
    </row>
    <row r="19" spans="2:7">
      <c r="B19" s="2" t="s">
        <v>39</v>
      </c>
      <c r="C19" s="18">
        <f>IF(OR(C6="",C6=0),"",C$17/C6)</f>
        <v>1.34611060002044</v>
      </c>
      <c r="D19" s="18">
        <f>IF(OR(D6="",D6=0),"",C$17/D6)</f>
        <v>1.53181342328719</v>
      </c>
      <c r="E19" s="18">
        <f>IF(OR(E6="",E6=0),"",C$17/E6)</f>
        <v>1.79475298126065</v>
      </c>
      <c r="F19" s="19">
        <f>IF(OR(F6="",F6=0),"",C$17/F6)</f>
        <v>1.8015047879617</v>
      </c>
      <c r="G19" s="19">
        <f>IF(OR(G6="",G6=0),"",C$17/G6)</f>
        <v>1.70660273440031</v>
      </c>
    </row>
    <row r="21" spans="2:7">
      <c r="B21" s="20" t="s">
        <v>88</v>
      </c>
      <c r="F21" s="20">
        <v>23</v>
      </c>
      <c r="G21" s="20">
        <v>24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141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1156</v>
      </c>
      <c r="D6" s="5">
        <v>1035</v>
      </c>
      <c r="E6" s="5">
        <v>977</v>
      </c>
      <c r="F6" s="6">
        <v>964</v>
      </c>
      <c r="G6" s="6">
        <v>1005</v>
      </c>
      <c r="J6" s="5">
        <v>251</v>
      </c>
      <c r="K6" s="5">
        <v>251</v>
      </c>
      <c r="L6" s="5">
        <v>234</v>
      </c>
      <c r="M6" s="5">
        <v>234</v>
      </c>
      <c r="N6" s="7"/>
      <c r="O6" s="7"/>
    </row>
    <row r="7" spans="2:15">
      <c r="B7" s="2" t="s">
        <v>69</v>
      </c>
      <c r="C7" s="8">
        <v>-0.0763192118919195</v>
      </c>
      <c r="D7" s="8">
        <v>-0.104789448148401</v>
      </c>
      <c r="E7" s="8">
        <v>-0.0565884073708394</v>
      </c>
      <c r="F7" s="9">
        <v>-0.0129758338444965</v>
      </c>
      <c r="G7" s="9">
        <v>0.0423425133028905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0.725982057839382</v>
      </c>
      <c r="D8" s="8">
        <v>0.714910357006915</v>
      </c>
      <c r="E8" s="8">
        <v>0.706661642077927</v>
      </c>
      <c r="F8" s="7"/>
      <c r="G8" s="7"/>
      <c r="J8" s="8">
        <v>0.684765544946089</v>
      </c>
      <c r="K8" s="8">
        <v>0.684765544946089</v>
      </c>
      <c r="L8" s="8">
        <v>0.692322655807441</v>
      </c>
      <c r="M8" s="8">
        <v>0.692322655807441</v>
      </c>
      <c r="N8" s="7"/>
      <c r="O8" s="7"/>
    </row>
    <row r="9" spans="2:15">
      <c r="B9" s="2" t="s">
        <v>71</v>
      </c>
      <c r="C9" s="8">
        <v>0.0622881660095254</v>
      </c>
      <c r="D9" s="8">
        <v>-0.0473391130956636</v>
      </c>
      <c r="E9" s="8">
        <v>0.011283819970897</v>
      </c>
      <c r="F9" s="7"/>
      <c r="G9" s="7"/>
      <c r="J9" s="8">
        <v>0.0451997747671566</v>
      </c>
      <c r="K9" s="8">
        <v>0.0451997747671566</v>
      </c>
      <c r="L9" s="8">
        <v>0.0447173501779588</v>
      </c>
      <c r="M9" s="8">
        <v>0.0447173501779588</v>
      </c>
      <c r="N9" s="7"/>
      <c r="O9" s="7"/>
    </row>
    <row r="10" spans="2:15">
      <c r="B10" s="2" t="s">
        <v>72</v>
      </c>
      <c r="C10" s="5">
        <v>26</v>
      </c>
      <c r="D10" s="5">
        <v>-68</v>
      </c>
      <c r="E10" s="5">
        <v>-49</v>
      </c>
      <c r="F10" s="6">
        <v>7</v>
      </c>
      <c r="G10" s="6">
        <v>24</v>
      </c>
      <c r="J10" s="5">
        <v>4</v>
      </c>
      <c r="K10" s="5">
        <v>4</v>
      </c>
      <c r="L10" s="5">
        <v>1</v>
      </c>
      <c r="M10" s="5">
        <v>1</v>
      </c>
      <c r="N10" s="7"/>
      <c r="O10" s="7"/>
    </row>
    <row r="11" spans="2:15">
      <c r="B11" s="11" t="s">
        <v>83</v>
      </c>
      <c r="C11" s="8">
        <v>0.0225379690401299</v>
      </c>
      <c r="D11" s="8">
        <v>-0.0657778043987765</v>
      </c>
      <c r="E11" s="8">
        <v>-0.0506189767657146</v>
      </c>
      <c r="F11" s="9">
        <v>0.00718873389173888</v>
      </c>
      <c r="G11" s="9">
        <v>0.0237877288911332</v>
      </c>
      <c r="J11" s="8">
        <v>0.0164686554275743</v>
      </c>
      <c r="K11" s="8">
        <v>0.0164686554275743</v>
      </c>
      <c r="L11" s="8">
        <v>0.00303545280619061</v>
      </c>
      <c r="M11" s="8">
        <v>0.00303545280619061</v>
      </c>
      <c r="N11" s="7"/>
      <c r="O11" s="7"/>
    </row>
    <row r="12" spans="2:15">
      <c r="B12" s="2" t="s">
        <v>84</v>
      </c>
      <c r="C12" s="12">
        <v>0.16</v>
      </c>
      <c r="D12" s="12">
        <v>-0.41</v>
      </c>
      <c r="E12" s="12">
        <v>-0.3</v>
      </c>
      <c r="F12" s="13">
        <v>0.041822</v>
      </c>
      <c r="G12" s="13">
        <v>0.14425</v>
      </c>
      <c r="J12" s="12">
        <v>0.025</v>
      </c>
      <c r="K12" s="12">
        <v>0.025</v>
      </c>
      <c r="L12" s="12">
        <v>0.0043</v>
      </c>
      <c r="M12" s="12">
        <v>0.0043</v>
      </c>
      <c r="N12" s="7"/>
      <c r="O12" s="7"/>
    </row>
    <row r="13" spans="2:15">
      <c r="B13" s="2" t="s">
        <v>85</v>
      </c>
      <c r="C13" s="14">
        <v>16.9</v>
      </c>
      <c r="D13" s="14">
        <v>16.9</v>
      </c>
      <c r="E13" s="14">
        <v>16.9</v>
      </c>
      <c r="F13" s="15">
        <v>165.7</v>
      </c>
      <c r="G13" s="15">
        <v>165.7</v>
      </c>
      <c r="J13" s="14">
        <v>16.9</v>
      </c>
      <c r="K13" s="14">
        <v>16.9</v>
      </c>
      <c r="L13" s="14">
        <v>16.9</v>
      </c>
      <c r="M13" s="14">
        <v>16.9</v>
      </c>
      <c r="N13" s="15">
        <v>165.7</v>
      </c>
      <c r="O13" s="15">
        <v>165.7</v>
      </c>
    </row>
    <row r="15" spans="2:15">
      <c r="B15" s="2" t="s">
        <v>74</v>
      </c>
      <c r="C15" s="16">
        <v>46307</v>
      </c>
    </row>
    <row r="16" spans="2:15">
      <c r="B16" s="2" t="s">
        <v>93</v>
      </c>
      <c r="C16" s="17">
        <v>6.98</v>
      </c>
    </row>
    <row r="17" spans="2:7">
      <c r="B17" s="2" t="s">
        <v>94</v>
      </c>
      <c r="C17" s="5">
        <v>1156</v>
      </c>
    </row>
    <row r="18" spans="2:7">
      <c r="B18" s="2" t="s">
        <v>1</v>
      </c>
      <c r="C18" s="18">
        <f>IF(OR(C10="",C10&lt;=0),"",C$17/C10)</f>
        <v>44.4615384615385</v>
      </c>
      <c r="D18" s="18" t="str">
        <f>IF(OR(D10="",D10&lt;=0),"",C$17/D10)</f>
        <v/>
      </c>
      <c r="E18" s="18" t="str">
        <f>IF(OR(E10="",E10&lt;=0),"",C$17/E10)</f>
        <v/>
      </c>
      <c r="F18" s="19">
        <f>IF(OR(F10="",F10&lt;=0),"",C$17/F10)</f>
        <v>165.142857142857</v>
      </c>
      <c r="G18" s="19">
        <f>IF(OR(G10="",G10&lt;=0),"",C$17/G10)</f>
        <v>48.1666666666667</v>
      </c>
    </row>
    <row r="19" spans="2:7">
      <c r="B19" s="2" t="s">
        <v>39</v>
      </c>
      <c r="C19" s="18">
        <f>IF(OR(C6="",C6=0),"",C$17/C6)</f>
        <v>1</v>
      </c>
      <c r="D19" s="18">
        <f>IF(OR(D6="",D6=0),"",C$17/D6)</f>
        <v>1.11690821256039</v>
      </c>
      <c r="E19" s="18">
        <f>IF(OR(E6="",E6=0),"",C$17/E6)</f>
        <v>1.18321392016377</v>
      </c>
      <c r="F19" s="19">
        <f>IF(OR(F6="",F6=0),"",C$17/F6)</f>
        <v>1.19917012448133</v>
      </c>
      <c r="G19" s="19">
        <f>IF(OR(G6="",G6=0),"",C$17/G6)</f>
        <v>1.15024875621891</v>
      </c>
    </row>
    <row r="21" spans="2:7">
      <c r="B21" s="20" t="s">
        <v>88</v>
      </c>
      <c r="F21" s="20">
        <v>14</v>
      </c>
      <c r="G21" s="20">
        <v>15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142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5970</v>
      </c>
      <c r="D6" s="5">
        <v>6677</v>
      </c>
      <c r="E6" s="5">
        <v>7146</v>
      </c>
      <c r="F6" s="6">
        <v>7585</v>
      </c>
      <c r="G6" s="6">
        <v>8222</v>
      </c>
      <c r="J6" s="5">
        <v>1766</v>
      </c>
      <c r="K6" s="5">
        <v>1801</v>
      </c>
      <c r="L6" s="5">
        <v>1848</v>
      </c>
      <c r="M6" s="5">
        <v>1935</v>
      </c>
      <c r="N6" s="7"/>
      <c r="O6" s="7"/>
    </row>
    <row r="7" spans="2:15">
      <c r="B7" s="2" t="s">
        <v>69</v>
      </c>
      <c r="C7" s="8">
        <v>0.171707239717588</v>
      </c>
      <c r="D7" s="8">
        <v>0.118342499496662</v>
      </c>
      <c r="E7" s="8">
        <v>0.0702595965532509</v>
      </c>
      <c r="F7" s="9">
        <v>0.0614684053554495</v>
      </c>
      <c r="G7" s="9">
        <v>0.0839397928072885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0.498190329013729</v>
      </c>
      <c r="D8" s="8">
        <v>0.501325661243003</v>
      </c>
      <c r="E8" s="8">
        <v>0.516780981414454</v>
      </c>
      <c r="F8" s="7"/>
      <c r="G8" s="7"/>
      <c r="J8" s="8">
        <v>0.500508448857292</v>
      </c>
      <c r="K8" s="8">
        <v>0.518844351524364</v>
      </c>
      <c r="L8" s="8">
        <v>0.518339633586101</v>
      </c>
      <c r="M8" s="8">
        <v>0.525925432612603</v>
      </c>
      <c r="N8" s="7"/>
      <c r="O8" s="7"/>
    </row>
    <row r="9" spans="2:15">
      <c r="B9" s="2" t="s">
        <v>71</v>
      </c>
      <c r="C9" s="8">
        <v>0.273046923810573</v>
      </c>
      <c r="D9" s="8">
        <v>0.283367242462857</v>
      </c>
      <c r="E9" s="8">
        <v>0.293480560801862</v>
      </c>
      <c r="F9" s="7"/>
      <c r="G9" s="7"/>
      <c r="J9" s="8">
        <v>0.283934148512362</v>
      </c>
      <c r="K9" s="8">
        <v>0.282383533308277</v>
      </c>
      <c r="L9" s="8">
        <v>0.298781325855999</v>
      </c>
      <c r="M9" s="8">
        <v>0.316626490736109</v>
      </c>
      <c r="N9" s="7"/>
      <c r="O9" s="7"/>
    </row>
    <row r="10" spans="2:15">
      <c r="B10" s="2" t="s">
        <v>72</v>
      </c>
      <c r="C10" s="5">
        <v>1252</v>
      </c>
      <c r="D10" s="5">
        <v>1522</v>
      </c>
      <c r="E10" s="5">
        <v>1597</v>
      </c>
      <c r="F10" s="6">
        <v>1721</v>
      </c>
      <c r="G10" s="6">
        <v>1927</v>
      </c>
      <c r="J10" s="5">
        <v>381</v>
      </c>
      <c r="K10" s="5">
        <v>380</v>
      </c>
      <c r="L10" s="5">
        <v>413</v>
      </c>
      <c r="M10" s="5">
        <v>462</v>
      </c>
      <c r="N10" s="7"/>
      <c r="O10" s="7"/>
    </row>
    <row r="11" spans="2:15">
      <c r="B11" s="11" t="s">
        <v>83</v>
      </c>
      <c r="C11" s="8">
        <v>0.209718154296394</v>
      </c>
      <c r="D11" s="8">
        <v>0.227939595019552</v>
      </c>
      <c r="E11" s="8">
        <v>0.22347758841317</v>
      </c>
      <c r="F11" s="9">
        <v>0.226912453705357</v>
      </c>
      <c r="G11" s="9">
        <v>0.234412966326687</v>
      </c>
      <c r="J11" s="8">
        <v>0.215906182692809</v>
      </c>
      <c r="K11" s="8">
        <v>0.210783380308431</v>
      </c>
      <c r="L11" s="8">
        <v>0.2234017685439</v>
      </c>
      <c r="M11" s="8">
        <v>0.23854391261629</v>
      </c>
      <c r="N11" s="7"/>
      <c r="O11" s="7"/>
    </row>
    <row r="12" spans="2:15">
      <c r="B12" s="2" t="s">
        <v>84</v>
      </c>
      <c r="C12" s="12">
        <v>6.91</v>
      </c>
      <c r="D12" s="12">
        <v>8.47</v>
      </c>
      <c r="E12" s="12">
        <v>8.96</v>
      </c>
      <c r="F12" s="13">
        <v>9.78383</v>
      </c>
      <c r="G12" s="13">
        <v>10.95563</v>
      </c>
      <c r="J12" s="12">
        <v>2.14</v>
      </c>
      <c r="K12" s="12">
        <v>2.14</v>
      </c>
      <c r="L12" s="12">
        <v>2.35</v>
      </c>
      <c r="M12" s="12">
        <v>2.62</v>
      </c>
      <c r="N12" s="7"/>
      <c r="O12" s="7"/>
    </row>
    <row r="13" spans="2:15">
      <c r="B13" s="2" t="s">
        <v>85</v>
      </c>
      <c r="C13" s="14">
        <v>2.6</v>
      </c>
      <c r="D13" s="14">
        <v>2.6</v>
      </c>
      <c r="E13" s="14">
        <v>2.6</v>
      </c>
      <c r="F13" s="15">
        <v>175.9</v>
      </c>
      <c r="G13" s="15">
        <v>175.9</v>
      </c>
      <c r="J13" s="14">
        <v>2.6</v>
      </c>
      <c r="K13" s="14">
        <v>2.6</v>
      </c>
      <c r="L13" s="14">
        <v>2.6</v>
      </c>
      <c r="M13" s="14">
        <v>2.6</v>
      </c>
      <c r="N13" s="15">
        <v>175.9</v>
      </c>
      <c r="O13" s="15">
        <v>175.9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389.91</v>
      </c>
    </row>
    <row r="17" spans="2:7">
      <c r="B17" s="2" t="s">
        <v>94</v>
      </c>
      <c r="C17" s="5">
        <v>61211</v>
      </c>
    </row>
    <row r="18" spans="2:7">
      <c r="B18" s="2" t="s">
        <v>1</v>
      </c>
      <c r="C18" s="18">
        <f>IF(OR(C10="",C10&lt;=0),"",C$17/C10)</f>
        <v>48.8905750798722</v>
      </c>
      <c r="D18" s="18">
        <f>IF(OR(D10="",D10&lt;=0),"",C$17/D10)</f>
        <v>40.2174770039422</v>
      </c>
      <c r="E18" s="18">
        <f>IF(OR(E10="",E10&lt;=0),"",C$17/E10)</f>
        <v>38.3287413901065</v>
      </c>
      <c r="F18" s="19">
        <f>IF(OR(F10="",F10&lt;=0),"",C$17/F10)</f>
        <v>35.5671121441023</v>
      </c>
      <c r="G18" s="19">
        <f>IF(OR(G10="",G10&lt;=0),"",C$17/G10)</f>
        <v>31.7649195640893</v>
      </c>
    </row>
    <row r="19" spans="2:7">
      <c r="B19" s="2" t="s">
        <v>39</v>
      </c>
      <c r="C19" s="18">
        <f>IF(OR(C6="",C6=0),"",C$17/C6)</f>
        <v>10.2530988274707</v>
      </c>
      <c r="D19" s="18">
        <f>IF(OR(D6="",D6=0),"",C$17/D6)</f>
        <v>9.16744046727572</v>
      </c>
      <c r="E19" s="18">
        <f>IF(OR(E6="",E6=0),"",C$17/E6)</f>
        <v>8.56577106073328</v>
      </c>
      <c r="F19" s="19">
        <f>IF(OR(F6="",F6=0),"",C$17/F6)</f>
        <v>8.07000659195781</v>
      </c>
      <c r="G19" s="19">
        <f>IF(OR(G6="",G6=0),"",C$17/G6)</f>
        <v>7.44478229141328</v>
      </c>
    </row>
    <row r="21" spans="2:7">
      <c r="B21" s="20" t="s">
        <v>88</v>
      </c>
      <c r="F21" s="20">
        <v>15</v>
      </c>
      <c r="G21" s="20">
        <v>15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143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96</v>
      </c>
      <c r="K5" s="4" t="s">
        <v>97</v>
      </c>
      <c r="L5" s="4" t="s">
        <v>82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13427</v>
      </c>
      <c r="D6" s="5">
        <v>15170</v>
      </c>
      <c r="E6" s="5">
        <v>16002</v>
      </c>
      <c r="F6" s="6">
        <v>16714</v>
      </c>
      <c r="G6" s="6">
        <v>18000</v>
      </c>
      <c r="J6" s="5">
        <v>7666</v>
      </c>
      <c r="K6" s="5">
        <v>8034</v>
      </c>
      <c r="L6" s="5">
        <v>7968</v>
      </c>
      <c r="M6" s="5">
        <v>8163</v>
      </c>
      <c r="N6" s="7"/>
      <c r="O6" s="7"/>
    </row>
    <row r="7" spans="2:15">
      <c r="B7" s="2" t="s">
        <v>69</v>
      </c>
      <c r="C7" s="8">
        <v>0.157300465436994</v>
      </c>
      <c r="D7" s="8">
        <v>0.129813063230804</v>
      </c>
      <c r="E7" s="8">
        <v>0.0548450889914305</v>
      </c>
      <c r="F7" s="9">
        <v>0.0444883562054743</v>
      </c>
      <c r="G7" s="9">
        <v>0.0769341070081986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0.722946302226856</v>
      </c>
      <c r="D8" s="8">
        <v>0.702636783124588</v>
      </c>
      <c r="E8" s="8">
        <v>0.711098612673416</v>
      </c>
      <c r="F8" s="7"/>
      <c r="G8" s="7"/>
      <c r="J8" s="8">
        <v>0.6993216801461</v>
      </c>
      <c r="K8" s="8">
        <v>0.66268359472243</v>
      </c>
      <c r="L8" s="8">
        <v>0.715486947791165</v>
      </c>
      <c r="M8" s="8">
        <v>0.664216587039079</v>
      </c>
      <c r="N8" s="7"/>
      <c r="O8" s="7"/>
    </row>
    <row r="9" spans="2:15">
      <c r="B9" s="2" t="s">
        <v>71</v>
      </c>
      <c r="C9" s="8">
        <v>0.420793922693081</v>
      </c>
      <c r="D9" s="8">
        <v>0.405405405405405</v>
      </c>
      <c r="E9" s="8">
        <v>0.418385201849769</v>
      </c>
      <c r="F9" s="7"/>
      <c r="G9" s="7"/>
      <c r="J9" s="8">
        <v>0.391599269501696</v>
      </c>
      <c r="K9" s="8">
        <v>0.418595967139657</v>
      </c>
      <c r="L9" s="8">
        <v>0.494477911646586</v>
      </c>
      <c r="M9" s="8">
        <v>0.417248560578219</v>
      </c>
      <c r="N9" s="7"/>
      <c r="O9" s="7"/>
    </row>
    <row r="10" spans="2:15">
      <c r="B10" s="2" t="s">
        <v>72</v>
      </c>
      <c r="C10" s="5">
        <v>4311</v>
      </c>
      <c r="D10" s="5">
        <v>4603</v>
      </c>
      <c r="E10" s="5">
        <v>4524</v>
      </c>
      <c r="F10" s="6">
        <v>4633</v>
      </c>
      <c r="G10" s="6">
        <v>5119</v>
      </c>
      <c r="J10" s="5">
        <v>2235</v>
      </c>
      <c r="K10" s="5">
        <v>2246</v>
      </c>
      <c r="L10" s="5">
        <v>2277</v>
      </c>
      <c r="M10" s="5">
        <v>2238</v>
      </c>
      <c r="N10" s="7"/>
      <c r="O10" s="7"/>
    </row>
    <row r="11" spans="2:15">
      <c r="B11" s="11" t="s">
        <v>83</v>
      </c>
      <c r="C11" s="8">
        <v>0.321069486854845</v>
      </c>
      <c r="D11" s="8">
        <v>0.303427818061964</v>
      </c>
      <c r="E11" s="8">
        <v>0.282714660667417</v>
      </c>
      <c r="F11" s="9">
        <v>0.277205812427858</v>
      </c>
      <c r="G11" s="9">
        <v>0.284417209538645</v>
      </c>
      <c r="J11" s="8">
        <v>0.291547091051396</v>
      </c>
      <c r="K11" s="8">
        <v>0.279561862086134</v>
      </c>
      <c r="L11" s="8">
        <v>0.285768072289157</v>
      </c>
      <c r="M11" s="8">
        <v>0.274163910327086</v>
      </c>
      <c r="N11" s="7"/>
      <c r="O11" s="7"/>
    </row>
    <row r="12" spans="2:15">
      <c r="B12" s="2" t="s">
        <v>84</v>
      </c>
      <c r="C12" s="12">
        <v>41.2</v>
      </c>
      <c r="D12" s="12">
        <v>43.93</v>
      </c>
      <c r="E12" s="12">
        <v>43.15</v>
      </c>
      <c r="F12" s="13">
        <v>44.23435</v>
      </c>
      <c r="G12" s="13">
        <v>48.87675</v>
      </c>
      <c r="J12" s="12">
        <v>21.32</v>
      </c>
      <c r="K12" s="12">
        <v>21.42</v>
      </c>
      <c r="L12" s="12">
        <v>21.73</v>
      </c>
      <c r="M12" s="12">
        <v>21.36</v>
      </c>
      <c r="N12" s="7"/>
      <c r="O12" s="7"/>
    </row>
    <row r="13" spans="2:15">
      <c r="B13" s="2" t="s">
        <v>85</v>
      </c>
      <c r="C13" s="14">
        <v>54</v>
      </c>
      <c r="D13" s="14">
        <v>54</v>
      </c>
      <c r="E13" s="14">
        <v>54</v>
      </c>
      <c r="F13" s="15">
        <v>104.7</v>
      </c>
      <c r="G13" s="15">
        <v>104.7</v>
      </c>
      <c r="J13" s="14">
        <v>54</v>
      </c>
      <c r="K13" s="14">
        <v>54</v>
      </c>
      <c r="L13" s="14">
        <v>54</v>
      </c>
      <c r="M13" s="14">
        <v>54</v>
      </c>
      <c r="N13" s="15">
        <v>104.7</v>
      </c>
      <c r="O13" s="15">
        <v>104.7</v>
      </c>
    </row>
    <row r="15" spans="2:15">
      <c r="B15" s="2" t="s">
        <v>74</v>
      </c>
      <c r="C15" s="16">
        <v>46307</v>
      </c>
    </row>
    <row r="16" spans="2:15">
      <c r="B16" s="2" t="s">
        <v>93</v>
      </c>
      <c r="C16" s="17">
        <v>1302.5</v>
      </c>
    </row>
    <row r="17" spans="2:7">
      <c r="B17" s="2" t="s">
        <v>94</v>
      </c>
      <c r="C17" s="5">
        <v>136426</v>
      </c>
    </row>
    <row r="18" spans="2:7">
      <c r="B18" s="2" t="s">
        <v>1</v>
      </c>
      <c r="C18" s="18">
        <f>IF(OR(C10="",C10&lt;=0),"",C$17/C10)</f>
        <v>31.6460218046857</v>
      </c>
      <c r="D18" s="18">
        <f>IF(OR(D10="",D10&lt;=0),"",C$17/D10)</f>
        <v>29.6384966326309</v>
      </c>
      <c r="E18" s="18">
        <f>IF(OR(E10="",E10&lt;=0),"",C$17/E10)</f>
        <v>30.1560565870911</v>
      </c>
      <c r="F18" s="19">
        <f>IF(OR(F10="",F10&lt;=0),"",C$17/F10)</f>
        <v>29.4465788905677</v>
      </c>
      <c r="G18" s="19">
        <f>IF(OR(G10="",G10&lt;=0),"",C$17/G10)</f>
        <v>26.6509083805431</v>
      </c>
    </row>
    <row r="19" spans="2:7">
      <c r="B19" s="2" t="s">
        <v>39</v>
      </c>
      <c r="C19" s="18">
        <f>IF(OR(C6="",C6=0),"",C$17/C6)</f>
        <v>10.1605719818277</v>
      </c>
      <c r="D19" s="18">
        <f>IF(OR(D6="",D6=0),"",C$17/D6)</f>
        <v>8.99314436387607</v>
      </c>
      <c r="E19" s="18">
        <f>IF(OR(E6="",E6=0),"",C$17/E6)</f>
        <v>8.52555930508686</v>
      </c>
      <c r="F19" s="19">
        <f>IF(OR(F6="",F6=0),"",C$17/F6)</f>
        <v>8.1623788440828</v>
      </c>
      <c r="G19" s="19">
        <f>IF(OR(G6="",G6=0),"",C$17/G6)</f>
        <v>7.57922222222222</v>
      </c>
    </row>
    <row r="21" spans="2:7">
      <c r="B21" s="20" t="s">
        <v>88</v>
      </c>
      <c r="F21" s="20">
        <v>21</v>
      </c>
      <c r="G21" s="20">
        <v>21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144</v>
      </c>
    </row>
    <row r="4" spans="2:15">
      <c r="B4" s="2" t="s">
        <v>56</v>
      </c>
      <c r="F4" s="3">
        <v>46384</v>
      </c>
      <c r="G4" s="3">
        <v>46749</v>
      </c>
      <c r="N4" s="3">
        <v>46295</v>
      </c>
      <c r="O4" s="3">
        <v>46386</v>
      </c>
    </row>
    <row r="5" spans="2:15">
      <c r="B5" s="2" t="s">
        <v>78</v>
      </c>
      <c r="C5" s="4" t="s">
        <v>90</v>
      </c>
      <c r="D5" s="4" t="s">
        <v>79</v>
      </c>
      <c r="E5" s="4" t="s">
        <v>80</v>
      </c>
      <c r="F5" s="4" t="s">
        <v>91</v>
      </c>
      <c r="G5" s="4" t="s">
        <v>59</v>
      </c>
      <c r="J5" s="4" t="s">
        <v>96</v>
      </c>
      <c r="K5" s="4" t="s">
        <v>97</v>
      </c>
      <c r="L5" s="4" t="s">
        <v>82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86153</v>
      </c>
      <c r="D6" s="5">
        <v>84683</v>
      </c>
      <c r="E6" s="5">
        <v>80807</v>
      </c>
      <c r="F6" s="6">
        <v>80371</v>
      </c>
      <c r="G6" s="6">
        <v>83880</v>
      </c>
      <c r="J6" s="5">
        <v>43006</v>
      </c>
      <c r="K6" s="5">
        <v>39810</v>
      </c>
      <c r="L6" s="5">
        <v>40997</v>
      </c>
      <c r="M6" s="5">
        <v>38644</v>
      </c>
      <c r="N6" s="7"/>
      <c r="O6" s="7"/>
    </row>
    <row r="7" spans="2:15">
      <c r="B7" s="2" t="s">
        <v>69</v>
      </c>
      <c r="C7" s="8">
        <v>0.0880102040816326</v>
      </c>
      <c r="D7" s="8">
        <v>-0.0170626675797708</v>
      </c>
      <c r="E7" s="8">
        <v>-0.045770697778775</v>
      </c>
      <c r="F7" s="9">
        <v>-0.0053988834878167</v>
      </c>
      <c r="G7" s="9">
        <v>0.0436679183856648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0.688043364711618</v>
      </c>
      <c r="D8" s="8">
        <v>0.670323441540805</v>
      </c>
      <c r="E8" s="8">
        <v>0.662417859838875</v>
      </c>
      <c r="F8" s="7"/>
      <c r="G8" s="7"/>
      <c r="J8" s="8">
        <v>0.652746128447193</v>
      </c>
      <c r="K8" s="8">
        <v>0.668425018839488</v>
      </c>
      <c r="L8" s="8">
        <v>0.656584628143523</v>
      </c>
      <c r="M8" s="8">
        <v>0.671152054652727</v>
      </c>
      <c r="N8" s="7"/>
      <c r="O8" s="7"/>
    </row>
    <row r="9" spans="2:15">
      <c r="B9" s="2" t="s">
        <v>71</v>
      </c>
      <c r="C9" s="8">
        <v>0.261859714693627</v>
      </c>
      <c r="D9" s="8">
        <v>0.223267952245433</v>
      </c>
      <c r="E9" s="8">
        <v>0.21879292635539</v>
      </c>
      <c r="F9" s="7"/>
      <c r="G9" s="7"/>
      <c r="J9" s="8">
        <v>0.192601032414082</v>
      </c>
      <c r="K9" s="8">
        <v>0.225797538306958</v>
      </c>
      <c r="L9" s="8">
        <v>0.211991121301559</v>
      </c>
      <c r="M9" s="8">
        <v>0.224303902287548</v>
      </c>
      <c r="N9" s="7"/>
      <c r="O9" s="7"/>
    </row>
    <row r="10" spans="2:15">
      <c r="B10" s="2" t="s">
        <v>72</v>
      </c>
      <c r="C10" s="5">
        <v>15174</v>
      </c>
      <c r="D10" s="5">
        <v>12550</v>
      </c>
      <c r="E10" s="5">
        <v>10878</v>
      </c>
      <c r="F10" s="6">
        <v>10941</v>
      </c>
      <c r="G10" s="6">
        <v>11997</v>
      </c>
      <c r="J10" s="5">
        <v>5283</v>
      </c>
      <c r="K10" s="5">
        <v>5698</v>
      </c>
      <c r="L10" s="5">
        <v>5180</v>
      </c>
      <c r="M10" s="5">
        <v>5697</v>
      </c>
      <c r="N10" s="7"/>
      <c r="O10" s="7"/>
    </row>
    <row r="11" spans="2:15">
      <c r="B11" s="11" t="s">
        <v>83</v>
      </c>
      <c r="C11" s="8">
        <v>0.176128515547921</v>
      </c>
      <c r="D11" s="8">
        <v>0.148199756739842</v>
      </c>
      <c r="E11" s="8">
        <v>0.134617050503051</v>
      </c>
      <c r="F11" s="9">
        <v>0.136135007562756</v>
      </c>
      <c r="G11" s="9">
        <v>0.143023272248713</v>
      </c>
      <c r="J11" s="8">
        <v>0.122843324187323</v>
      </c>
      <c r="K11" s="8">
        <v>0.143129866867621</v>
      </c>
      <c r="L11" s="8">
        <v>0.126350708588433</v>
      </c>
      <c r="M11" s="8">
        <v>0.14742262705724</v>
      </c>
      <c r="N11" s="7"/>
      <c r="O11" s="7"/>
    </row>
    <row r="12" spans="2:15">
      <c r="B12" s="2" t="s">
        <v>84</v>
      </c>
      <c r="C12" s="12">
        <v>30.34</v>
      </c>
      <c r="D12" s="12">
        <v>25.13</v>
      </c>
      <c r="E12" s="12">
        <v>21.86</v>
      </c>
      <c r="F12" s="13">
        <v>22.18878</v>
      </c>
      <c r="G12" s="13">
        <v>24.32947</v>
      </c>
      <c r="J12" s="12">
        <v>10.58</v>
      </c>
      <c r="K12" s="12">
        <v>11.43</v>
      </c>
      <c r="L12" s="12">
        <v>10.43</v>
      </c>
      <c r="M12" s="12">
        <v>11.52</v>
      </c>
      <c r="N12" s="7"/>
      <c r="O12" s="7"/>
    </row>
    <row r="13" spans="2:15">
      <c r="B13" s="2" t="s">
        <v>85</v>
      </c>
      <c r="C13" s="14">
        <v>151</v>
      </c>
      <c r="D13" s="14">
        <v>150</v>
      </c>
      <c r="E13" s="14">
        <v>149</v>
      </c>
      <c r="F13" s="15">
        <v>493.1</v>
      </c>
      <c r="G13" s="15">
        <v>493.1</v>
      </c>
      <c r="J13" s="14">
        <v>150</v>
      </c>
      <c r="K13" s="14">
        <v>150</v>
      </c>
      <c r="L13" s="14">
        <v>149</v>
      </c>
      <c r="M13" s="14">
        <v>149</v>
      </c>
      <c r="N13" s="15">
        <v>493.1</v>
      </c>
      <c r="O13" s="15">
        <v>493.1</v>
      </c>
    </row>
    <row r="15" spans="2:15">
      <c r="B15" s="2" t="s">
        <v>74</v>
      </c>
      <c r="C15" s="16">
        <v>46307</v>
      </c>
    </row>
    <row r="16" spans="2:15">
      <c r="B16" s="2" t="s">
        <v>93</v>
      </c>
      <c r="C16" s="17">
        <v>384.95</v>
      </c>
    </row>
    <row r="17" spans="2:7">
      <c r="B17" s="2" t="s">
        <v>94</v>
      </c>
      <c r="C17" s="5">
        <v>189819</v>
      </c>
    </row>
    <row r="18" spans="2:7">
      <c r="B18" s="2" t="s">
        <v>1</v>
      </c>
      <c r="C18" s="18">
        <f>IF(OR(C10="",C10&lt;=0),"",C$17/C10)</f>
        <v>12.5094899169632</v>
      </c>
      <c r="D18" s="18">
        <f>IF(OR(D10="",D10&lt;=0),"",C$17/D10)</f>
        <v>15.1250199203187</v>
      </c>
      <c r="E18" s="18">
        <f>IF(OR(E10="",E10&lt;=0),"",C$17/E10)</f>
        <v>17.4498069498069</v>
      </c>
      <c r="F18" s="19">
        <f>IF(OR(F10="",F10&lt;=0),"",C$17/F10)</f>
        <v>17.3493282149712</v>
      </c>
      <c r="G18" s="19">
        <f>IF(OR(G10="",G10&lt;=0),"",C$17/G10)</f>
        <v>15.8222055513878</v>
      </c>
    </row>
    <row r="19" spans="2:7">
      <c r="B19" s="2" t="s">
        <v>39</v>
      </c>
      <c r="C19" s="18">
        <f>IF(OR(C6="",C6=0),"",C$17/C6)</f>
        <v>2.20327788933641</v>
      </c>
      <c r="D19" s="18">
        <f>IF(OR(D6="",D6=0),"",C$17/D6)</f>
        <v>2.24152427287649</v>
      </c>
      <c r="E19" s="18">
        <f>IF(OR(E6="",E6=0),"",C$17/E6)</f>
        <v>2.34904154343064</v>
      </c>
      <c r="F19" s="19">
        <f>IF(OR(F6="",F6=0),"",C$17/F6)</f>
        <v>2.36178472334549</v>
      </c>
      <c r="G19" s="19">
        <f>IF(OR(G6="",G6=0),"",C$17/G6)</f>
        <v>2.26298283261803</v>
      </c>
    </row>
    <row r="21" spans="2:7">
      <c r="B21" s="20" t="s">
        <v>88</v>
      </c>
      <c r="F21" s="20">
        <v>24</v>
      </c>
      <c r="G21" s="20">
        <v>24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145</v>
      </c>
    </row>
    <row r="4" spans="2:15">
      <c r="B4" s="2" t="s">
        <v>56</v>
      </c>
      <c r="F4" s="3">
        <v>46474</v>
      </c>
      <c r="G4" s="3">
        <v>46840</v>
      </c>
      <c r="N4" s="3">
        <v>46203</v>
      </c>
      <c r="O4" s="3">
        <v>46295</v>
      </c>
    </row>
    <row r="5" spans="2:15">
      <c r="B5" s="2" t="s">
        <v>78</v>
      </c>
      <c r="C5" s="4" t="s">
        <v>79</v>
      </c>
      <c r="D5" s="4" t="s">
        <v>80</v>
      </c>
      <c r="E5" s="4" t="s">
        <v>81</v>
      </c>
      <c r="F5" s="4" t="s">
        <v>59</v>
      </c>
      <c r="G5" s="4" t="s">
        <v>60</v>
      </c>
      <c r="J5" s="4" t="s">
        <v>125</v>
      </c>
      <c r="K5" s="4" t="s">
        <v>126</v>
      </c>
      <c r="L5" s="4" t="s">
        <v>92</v>
      </c>
      <c r="M5" s="4" t="s">
        <v>62</v>
      </c>
      <c r="N5" s="4" t="s">
        <v>63</v>
      </c>
      <c r="O5" s="4" t="s">
        <v>64</v>
      </c>
    </row>
    <row r="6" spans="2:15">
      <c r="B6" s="2" t="s">
        <v>68</v>
      </c>
      <c r="C6" s="5">
        <v>2968</v>
      </c>
      <c r="D6" s="5">
        <v>2461</v>
      </c>
      <c r="E6" s="5">
        <v>2420</v>
      </c>
      <c r="F6" s="6">
        <v>2537</v>
      </c>
      <c r="G6" s="6">
        <v>2680</v>
      </c>
      <c r="J6" s="5">
        <v>1086</v>
      </c>
      <c r="K6" s="5">
        <v>1375</v>
      </c>
      <c r="L6" s="5">
        <v>1032</v>
      </c>
      <c r="M6" s="5">
        <v>1388</v>
      </c>
      <c r="N6" s="7"/>
      <c r="O6" s="7"/>
    </row>
    <row r="7" spans="2:15">
      <c r="B7" s="2" t="s">
        <v>69</v>
      </c>
      <c r="C7" s="8">
        <v>-0.0407239819004525</v>
      </c>
      <c r="D7" s="8">
        <v>-0.170822102425876</v>
      </c>
      <c r="E7" s="8">
        <v>-0.0166598943518895</v>
      </c>
      <c r="F7" s="9">
        <v>0.0485482400826447</v>
      </c>
      <c r="G7" s="9">
        <v>0.056196653837018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0.67688679245283</v>
      </c>
      <c r="D8" s="8">
        <v>0.624949207639171</v>
      </c>
      <c r="E8" s="8">
        <v>0.525206611570248</v>
      </c>
      <c r="F8" s="7"/>
      <c r="G8" s="7"/>
      <c r="J8" s="8">
        <v>0.634438305709024</v>
      </c>
      <c r="K8" s="8">
        <v>0.617454545454545</v>
      </c>
      <c r="L8" s="8">
        <v>0.551356589147287</v>
      </c>
      <c r="M8" s="8">
        <v>0.543948126801153</v>
      </c>
      <c r="N8" s="7"/>
      <c r="O8" s="7"/>
    </row>
    <row r="9" spans="2:15">
      <c r="B9" s="2" t="s">
        <v>71</v>
      </c>
      <c r="C9" s="8">
        <v>0.140835579514825</v>
      </c>
      <c r="D9" s="8">
        <v>-0.00121901665989435</v>
      </c>
      <c r="E9" s="8">
        <v>0.0632231404958678</v>
      </c>
      <c r="F9" s="7"/>
      <c r="G9" s="7"/>
      <c r="J9" s="8">
        <v>-0.0488029465930018</v>
      </c>
      <c r="K9" s="8">
        <v>0.0363636363636364</v>
      </c>
      <c r="L9" s="8">
        <v>0.0184108527131783</v>
      </c>
      <c r="M9" s="8">
        <v>0.101585014409222</v>
      </c>
      <c r="N9" s="7"/>
      <c r="O9" s="7"/>
    </row>
    <row r="10" spans="2:15">
      <c r="B10" s="2" t="s">
        <v>72</v>
      </c>
      <c r="C10" s="5">
        <v>270</v>
      </c>
      <c r="D10" s="5">
        <v>-75</v>
      </c>
      <c r="E10" s="5">
        <v>21</v>
      </c>
      <c r="F10" s="6">
        <v>1</v>
      </c>
      <c r="G10" s="6">
        <v>2</v>
      </c>
      <c r="J10" s="5">
        <v>-74</v>
      </c>
      <c r="K10" s="5">
        <v>-1</v>
      </c>
      <c r="L10" s="5">
        <v>-26</v>
      </c>
      <c r="M10" s="5">
        <v>47</v>
      </c>
      <c r="N10" s="7"/>
      <c r="O10" s="7"/>
    </row>
    <row r="11" spans="2:15">
      <c r="B11" s="11" t="s">
        <v>83</v>
      </c>
      <c r="C11" s="8">
        <v>0.0909703504043127</v>
      </c>
      <c r="D11" s="8">
        <v>-0.0304754164973588</v>
      </c>
      <c r="E11" s="8">
        <v>0.00867768595041322</v>
      </c>
      <c r="F11" s="9">
        <v>0.000536140557867057</v>
      </c>
      <c r="G11" s="9">
        <v>0.000735846309658376</v>
      </c>
      <c r="J11" s="8">
        <v>-0.0681399631675875</v>
      </c>
      <c r="K11" s="8">
        <v>-0.000727272727272727</v>
      </c>
      <c r="L11" s="8">
        <v>-0.0251937984496124</v>
      </c>
      <c r="M11" s="8">
        <v>0.0338616714697406</v>
      </c>
      <c r="N11" s="7"/>
      <c r="O11" s="7"/>
    </row>
    <row r="12" spans="2:15">
      <c r="B12" s="2" t="s">
        <v>84</v>
      </c>
      <c r="C12" s="12">
        <v>0.74</v>
      </c>
      <c r="D12" s="12">
        <v>-0.21</v>
      </c>
      <c r="E12" s="12">
        <v>0.0586</v>
      </c>
      <c r="F12" s="13">
        <v>0.37979</v>
      </c>
      <c r="G12" s="13">
        <v>0.55055</v>
      </c>
      <c r="J12" s="12">
        <v>-0.21</v>
      </c>
      <c r="K12" s="12">
        <v>-0.0028</v>
      </c>
      <c r="L12" s="12">
        <v>-0.0726</v>
      </c>
      <c r="M12" s="12">
        <v>0.13</v>
      </c>
      <c r="N12" s="7"/>
      <c r="O12" s="7"/>
    </row>
    <row r="13" spans="2:15">
      <c r="B13" s="2" t="s">
        <v>85</v>
      </c>
      <c r="C13" s="14">
        <v>0</v>
      </c>
      <c r="D13" s="14">
        <v>0</v>
      </c>
      <c r="E13" s="14">
        <v>0</v>
      </c>
      <c r="F13" s="15">
        <v>3.6</v>
      </c>
      <c r="G13" s="15">
        <v>3.6</v>
      </c>
      <c r="J13" s="14">
        <v>0</v>
      </c>
      <c r="K13" s="14">
        <v>0</v>
      </c>
      <c r="L13" s="14">
        <v>0</v>
      </c>
      <c r="M13" s="14">
        <v>0</v>
      </c>
      <c r="N13" s="15">
        <v>3.6</v>
      </c>
      <c r="O13" s="15">
        <v>3.6</v>
      </c>
    </row>
    <row r="15" spans="2:15">
      <c r="B15" s="2" t="s">
        <v>74</v>
      </c>
      <c r="C15" s="16">
        <v>46307</v>
      </c>
    </row>
    <row r="16" spans="2:15">
      <c r="B16" s="2" t="s">
        <v>146</v>
      </c>
      <c r="C16" s="17">
        <v>1030.5</v>
      </c>
    </row>
    <row r="17" spans="2:7">
      <c r="B17" s="2" t="s">
        <v>147</v>
      </c>
      <c r="C17" s="5">
        <v>37</v>
      </c>
    </row>
    <row r="18" spans="2:7">
      <c r="B18" s="2" t="s">
        <v>1</v>
      </c>
      <c r="C18" s="18">
        <f>IF(OR(C10="",C10&lt;=0),"",C$17/C10)</f>
        <v>0.137037037037037</v>
      </c>
      <c r="D18" s="18" t="str">
        <f>IF(OR(D10="",D10&lt;=0),"",C$17/D10)</f>
        <v/>
      </c>
      <c r="E18" s="18">
        <f>IF(OR(E10="",E10&lt;=0),"",C$17/E10)</f>
        <v>1.76190476190476</v>
      </c>
      <c r="F18" s="19">
        <f>IF(OR(F10="",F10&lt;=0),"",C$17/F10)</f>
        <v>37</v>
      </c>
      <c r="G18" s="19">
        <f>IF(OR(G10="",G10&lt;=0),"",C$17/G10)</f>
        <v>18.5</v>
      </c>
    </row>
    <row r="19" spans="2:7">
      <c r="B19" s="2" t="s">
        <v>39</v>
      </c>
      <c r="C19" s="18">
        <f>IF(OR(C6="",C6=0),"",C$17/C6)</f>
        <v>0.012466307277628</v>
      </c>
      <c r="D19" s="18">
        <f>IF(OR(D6="",D6=0),"",C$17/D6)</f>
        <v>0.0150345388053637</v>
      </c>
      <c r="E19" s="18">
        <f>IF(OR(E6="",E6=0),"",C$17/E6)</f>
        <v>0.0152892561983471</v>
      </c>
      <c r="F19" s="19">
        <f>IF(OR(F6="",F6=0),"",C$17/F6)</f>
        <v>0.0145841545132046</v>
      </c>
      <c r="G19" s="19">
        <f>IF(OR(G6="",G6=0),"",C$17/G6)</f>
        <v>0.0138059701492537</v>
      </c>
    </row>
    <row r="21" spans="2:7">
      <c r="B21" s="20" t="s">
        <v>88</v>
      </c>
      <c r="F21" s="20">
        <v>19</v>
      </c>
      <c r="G21" s="20">
        <v>17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148</v>
      </c>
    </row>
    <row r="4" spans="2:15">
      <c r="B4" s="2" t="s">
        <v>56</v>
      </c>
      <c r="F4" s="3">
        <v>46474</v>
      </c>
      <c r="G4" s="3">
        <v>46840</v>
      </c>
      <c r="N4" s="3">
        <v>46292</v>
      </c>
      <c r="O4" s="3">
        <v>46383</v>
      </c>
    </row>
    <row r="5" spans="2:15">
      <c r="B5" s="2" t="s">
        <v>78</v>
      </c>
      <c r="C5" s="4" t="s">
        <v>79</v>
      </c>
      <c r="D5" s="4" t="s">
        <v>80</v>
      </c>
      <c r="E5" s="4" t="s">
        <v>81</v>
      </c>
      <c r="F5" s="4" t="s">
        <v>59</v>
      </c>
      <c r="G5" s="4" t="s">
        <v>60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4442</v>
      </c>
      <c r="D6" s="5">
        <v>4442</v>
      </c>
      <c r="E6" s="5">
        <v>3474</v>
      </c>
      <c r="F6" s="6">
        <v>3402</v>
      </c>
      <c r="G6" s="6">
        <v>3488</v>
      </c>
      <c r="J6" s="5">
        <v>856</v>
      </c>
      <c r="K6" s="5">
        <v>1025</v>
      </c>
      <c r="L6" s="5">
        <v>796</v>
      </c>
      <c r="M6" s="5">
        <v>769</v>
      </c>
      <c r="N6" s="7"/>
      <c r="O6" s="7"/>
    </row>
    <row r="7" spans="2:15">
      <c r="B7" s="2" t="s">
        <v>69</v>
      </c>
      <c r="C7" s="8">
        <v>-0.209467876846414</v>
      </c>
      <c r="D7" s="8">
        <v>0</v>
      </c>
      <c r="E7" s="8">
        <v>-0.217919855920756</v>
      </c>
      <c r="F7" s="9">
        <v>-0.0208063767990788</v>
      </c>
      <c r="G7" s="9">
        <v>0.0254678375815718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0.636199909950473</v>
      </c>
      <c r="D8" s="8">
        <v>0.636199909950473</v>
      </c>
      <c r="E8" s="8">
        <v>0.588946459412781</v>
      </c>
      <c r="F8" s="7"/>
      <c r="G8" s="7"/>
      <c r="J8" s="8">
        <v>0.574766355140187</v>
      </c>
      <c r="K8" s="8">
        <v>0.60780487804878</v>
      </c>
      <c r="L8" s="8">
        <v>0.610552763819096</v>
      </c>
      <c r="M8" s="8">
        <v>0.650195058517555</v>
      </c>
      <c r="N8" s="7"/>
      <c r="O8" s="7"/>
    </row>
    <row r="9" spans="2:15">
      <c r="B9" s="2" t="s">
        <v>71</v>
      </c>
      <c r="C9" s="8">
        <v>-0.169293111211166</v>
      </c>
      <c r="D9" s="8">
        <v>-0.169293111211166</v>
      </c>
      <c r="E9" s="8">
        <v>0.0236039147956246</v>
      </c>
      <c r="F9" s="7"/>
      <c r="G9" s="7"/>
      <c r="J9" s="8">
        <v>0.0116822429906542</v>
      </c>
      <c r="K9" s="8">
        <v>0.0448780487804878</v>
      </c>
      <c r="L9" s="8">
        <v>-0.00879396984924623</v>
      </c>
      <c r="M9" s="8">
        <v>0.0221066319895969</v>
      </c>
      <c r="N9" s="7"/>
      <c r="O9" s="7"/>
    </row>
    <row r="10" spans="2:15">
      <c r="B10" s="2" t="s">
        <v>72</v>
      </c>
      <c r="C10" s="5">
        <v>-1182</v>
      </c>
      <c r="D10" s="5">
        <v>-1182</v>
      </c>
      <c r="E10" s="5">
        <v>92</v>
      </c>
      <c r="F10" s="6">
        <v>244</v>
      </c>
      <c r="G10" s="6">
        <v>289</v>
      </c>
      <c r="J10" s="5">
        <v>-28</v>
      </c>
      <c r="K10" s="5">
        <v>116</v>
      </c>
      <c r="L10" s="5">
        <v>-4</v>
      </c>
      <c r="M10" s="5">
        <v>69</v>
      </c>
      <c r="N10" s="7"/>
      <c r="O10" s="7"/>
    </row>
    <row r="11" spans="2:15">
      <c r="B11" s="11" t="s">
        <v>83</v>
      </c>
      <c r="C11" s="8">
        <v>-0.266096352994147</v>
      </c>
      <c r="D11" s="8">
        <v>-0.266096352994147</v>
      </c>
      <c r="E11" s="8">
        <v>0.026482440990213</v>
      </c>
      <c r="F11" s="9">
        <v>0.0717032181489516</v>
      </c>
      <c r="G11" s="9">
        <v>0.0827892986571826</v>
      </c>
      <c r="J11" s="8">
        <v>-0.0327102803738318</v>
      </c>
      <c r="K11" s="8">
        <v>0.113170731707317</v>
      </c>
      <c r="L11" s="8">
        <v>-0.0050251256281407</v>
      </c>
      <c r="M11" s="8">
        <v>0.0897269180754226</v>
      </c>
      <c r="N11" s="7"/>
      <c r="O11" s="7"/>
    </row>
    <row r="12" spans="2:15">
      <c r="B12" s="2" t="s">
        <v>84</v>
      </c>
      <c r="C12" s="12">
        <v>-10</v>
      </c>
      <c r="D12" s="12">
        <v>-10</v>
      </c>
      <c r="E12" s="12">
        <v>0.77</v>
      </c>
      <c r="F12" s="13">
        <v>2.12476</v>
      </c>
      <c r="G12" s="13">
        <v>2.51575</v>
      </c>
      <c r="J12" s="12">
        <v>-0.28</v>
      </c>
      <c r="K12" s="12">
        <v>0.97</v>
      </c>
      <c r="L12" s="12">
        <v>-0.0337</v>
      </c>
      <c r="M12" s="12">
        <v>0.6</v>
      </c>
      <c r="N12" s="7"/>
      <c r="O12" s="7"/>
    </row>
    <row r="13" spans="2:15">
      <c r="B13" s="2" t="s">
        <v>85</v>
      </c>
      <c r="C13" s="14">
        <v>0</v>
      </c>
      <c r="D13" s="14">
        <v>0</v>
      </c>
      <c r="E13" s="14">
        <v>0</v>
      </c>
      <c r="F13" s="15">
        <v>114.8</v>
      </c>
      <c r="G13" s="15">
        <v>114.8</v>
      </c>
      <c r="J13" s="14">
        <v>0</v>
      </c>
      <c r="K13" s="14">
        <v>0</v>
      </c>
      <c r="L13" s="14">
        <v>0</v>
      </c>
      <c r="M13" s="14">
        <v>0</v>
      </c>
      <c r="N13" s="15">
        <v>114.8</v>
      </c>
      <c r="O13" s="15">
        <v>114.8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14.95</v>
      </c>
    </row>
    <row r="17" spans="2:7">
      <c r="B17" s="2" t="s">
        <v>87</v>
      </c>
      <c r="C17" s="5">
        <v>1716</v>
      </c>
    </row>
    <row r="18" spans="2:7">
      <c r="B18" s="2" t="s">
        <v>1</v>
      </c>
      <c r="C18" s="18" t="str">
        <f>IF(OR(C10="",C10&lt;=0),"",C$17/C10)</f>
        <v/>
      </c>
      <c r="D18" s="18" t="str">
        <f>IF(OR(D10="",D10&lt;=0),"",C$17/D10)</f>
        <v/>
      </c>
      <c r="E18" s="18">
        <f>IF(OR(E10="",E10&lt;=0),"",C$17/E10)</f>
        <v>18.6521739130435</v>
      </c>
      <c r="F18" s="19">
        <f>IF(OR(F10="",F10&lt;=0),"",C$17/F10)</f>
        <v>7.0327868852459</v>
      </c>
      <c r="G18" s="19">
        <f>IF(OR(G10="",G10&lt;=0),"",C$17/G10)</f>
        <v>5.93771626297578</v>
      </c>
    </row>
    <row r="19" spans="2:7">
      <c r="B19" s="2" t="s">
        <v>39</v>
      </c>
      <c r="C19" s="18">
        <f>IF(OR(C6="",C6=0),"",C$17/C6)</f>
        <v>0.386312471859523</v>
      </c>
      <c r="D19" s="18">
        <f>IF(OR(D6="",D6=0),"",C$17/D6)</f>
        <v>0.386312471859523</v>
      </c>
      <c r="E19" s="18">
        <f>IF(OR(E6="",E6=0),"",C$17/E6)</f>
        <v>0.493955094991364</v>
      </c>
      <c r="F19" s="19">
        <f>IF(OR(F6="",F6=0),"",C$17/F6)</f>
        <v>0.504409171075838</v>
      </c>
      <c r="G19" s="19">
        <f>IF(OR(G6="",G6=0),"",C$17/G6)</f>
        <v>0.49197247706422</v>
      </c>
    </row>
    <row r="21" spans="2:7">
      <c r="B21" s="20" t="s">
        <v>88</v>
      </c>
      <c r="F21" s="20">
        <v>11</v>
      </c>
      <c r="G21" s="20">
        <v>11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149</v>
      </c>
    </row>
    <row r="4" spans="2:15">
      <c r="B4" s="2" t="s">
        <v>56</v>
      </c>
      <c r="F4" s="3">
        <v>46419</v>
      </c>
      <c r="G4" s="3">
        <v>46784</v>
      </c>
      <c r="N4" s="3">
        <v>46328</v>
      </c>
      <c r="O4" s="3">
        <v>46420</v>
      </c>
    </row>
    <row r="5" spans="2:15">
      <c r="B5" s="2" t="s">
        <v>78</v>
      </c>
      <c r="C5" s="4" t="s">
        <v>79</v>
      </c>
      <c r="D5" s="4" t="s">
        <v>80</v>
      </c>
      <c r="E5" s="4" t="s">
        <v>81</v>
      </c>
      <c r="F5" s="4" t="s">
        <v>59</v>
      </c>
      <c r="G5" s="4" t="s">
        <v>60</v>
      </c>
      <c r="J5" s="4" t="s">
        <v>82</v>
      </c>
      <c r="K5" s="4" t="s">
        <v>62</v>
      </c>
      <c r="L5" s="4" t="s">
        <v>63</v>
      </c>
      <c r="M5" s="4" t="s">
        <v>64</v>
      </c>
      <c r="N5" s="4" t="s">
        <v>65</v>
      </c>
      <c r="O5" s="4" t="s">
        <v>66</v>
      </c>
    </row>
    <row r="6" spans="2:15">
      <c r="B6" s="2" t="s">
        <v>68</v>
      </c>
      <c r="C6" s="5">
        <v>9218</v>
      </c>
      <c r="D6" s="5">
        <v>8653</v>
      </c>
      <c r="E6" s="5">
        <v>8950</v>
      </c>
      <c r="F6" s="6">
        <v>8901</v>
      </c>
      <c r="G6" s="6">
        <v>9051</v>
      </c>
      <c r="J6" s="5">
        <v>2294</v>
      </c>
      <c r="K6" s="5">
        <v>2505</v>
      </c>
      <c r="L6" s="5">
        <v>2025</v>
      </c>
      <c r="M6" s="5">
        <v>2097</v>
      </c>
      <c r="N6" s="7"/>
      <c r="O6" s="7"/>
    </row>
    <row r="7" spans="2:15">
      <c r="B7" s="2" t="s">
        <v>69</v>
      </c>
      <c r="C7" s="8">
        <v>0.0214423439196827</v>
      </c>
      <c r="D7" s="8">
        <v>-0.0612734196166071</v>
      </c>
      <c r="E7" s="8">
        <v>0.0343584231876017</v>
      </c>
      <c r="F7" s="9">
        <v>-0.00548748821255396</v>
      </c>
      <c r="G7" s="9">
        <v>0.0168272726461458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0.580177267648112</v>
      </c>
      <c r="D8" s="8">
        <v>0.591119740202707</v>
      </c>
      <c r="E8" s="8">
        <v>0.575249715090166</v>
      </c>
      <c r="F8" s="7"/>
      <c r="G8" s="7"/>
      <c r="J8" s="8">
        <v>0.56047596216711</v>
      </c>
      <c r="K8" s="8">
        <v>0.584647319468285</v>
      </c>
      <c r="L8" s="8">
        <v>0.585748851908548</v>
      </c>
      <c r="M8" s="8">
        <v>0.63032904148784</v>
      </c>
      <c r="N8" s="7"/>
      <c r="O8" s="7"/>
    </row>
    <row r="9" spans="2:15">
      <c r="B9" s="2" t="s">
        <v>71</v>
      </c>
      <c r="C9" s="8">
        <v>0.10279136877963</v>
      </c>
      <c r="D9" s="8">
        <v>0.0792335517572143</v>
      </c>
      <c r="E9" s="8">
        <v>0.0733503161940515</v>
      </c>
      <c r="F9" s="7"/>
      <c r="G9" s="7"/>
      <c r="J9" s="8">
        <v>0.0705225994856819</v>
      </c>
      <c r="K9" s="8">
        <v>0.0898566923476109</v>
      </c>
      <c r="L9" s="8">
        <v>0.0586143894128685</v>
      </c>
      <c r="M9" s="8">
        <v>-0.09103481163567</v>
      </c>
      <c r="N9" s="7"/>
      <c r="O9" s="7"/>
    </row>
    <row r="10" spans="2:15">
      <c r="B10" s="2" t="s">
        <v>72</v>
      </c>
      <c r="C10" s="5">
        <v>664</v>
      </c>
      <c r="D10" s="5">
        <v>598</v>
      </c>
      <c r="E10" s="5">
        <v>25</v>
      </c>
      <c r="F10" s="6">
        <v>558</v>
      </c>
      <c r="G10" s="6">
        <v>575</v>
      </c>
      <c r="J10" s="5">
        <v>4</v>
      </c>
      <c r="K10" s="5">
        <v>-158</v>
      </c>
      <c r="L10" s="5">
        <v>88</v>
      </c>
      <c r="M10" s="5">
        <v>-103</v>
      </c>
      <c r="N10" s="7"/>
      <c r="O10" s="7"/>
    </row>
    <row r="11" spans="2:15">
      <c r="B11" s="11" t="s">
        <v>83</v>
      </c>
      <c r="C11" s="8">
        <v>0.0719919285722035</v>
      </c>
      <c r="D11" s="8">
        <v>0.069167562320147</v>
      </c>
      <c r="E11" s="8">
        <v>0.00282675247480503</v>
      </c>
      <c r="F11" s="9">
        <v>0.0626362730424629</v>
      </c>
      <c r="G11" s="9">
        <v>0.0634987820230765</v>
      </c>
      <c r="J11" s="8">
        <v>0.00183062371965305</v>
      </c>
      <c r="K11" s="8">
        <v>-0.0631910901760409</v>
      </c>
      <c r="L11" s="8">
        <v>0.0434546442151005</v>
      </c>
      <c r="M11" s="8">
        <v>-0.0490701001430615</v>
      </c>
      <c r="N11" s="7"/>
      <c r="O11" s="7"/>
    </row>
    <row r="12" spans="2:15">
      <c r="B12" s="2" t="s">
        <v>84</v>
      </c>
      <c r="C12" s="12">
        <v>10.88</v>
      </c>
      <c r="D12" s="12">
        <v>10.69</v>
      </c>
      <c r="E12" s="12">
        <v>0.53</v>
      </c>
      <c r="F12" s="13">
        <v>12.09182</v>
      </c>
      <c r="G12" s="13">
        <v>12.4646</v>
      </c>
      <c r="J12" s="12">
        <v>0.0888</v>
      </c>
      <c r="K12" s="12">
        <v>-3.34</v>
      </c>
      <c r="L12" s="12">
        <v>1.92</v>
      </c>
      <c r="M12" s="12">
        <v>-2.23</v>
      </c>
      <c r="N12" s="7"/>
      <c r="O12" s="7"/>
    </row>
    <row r="13" spans="2:15">
      <c r="B13" s="2" t="s">
        <v>85</v>
      </c>
      <c r="C13" s="14">
        <v>88.6</v>
      </c>
      <c r="D13" s="14">
        <v>89.1</v>
      </c>
      <c r="E13" s="14">
        <v>89.6</v>
      </c>
      <c r="F13" s="15">
        <v>46.1</v>
      </c>
      <c r="G13" s="15">
        <v>46.1</v>
      </c>
      <c r="J13" s="14">
        <v>89.6</v>
      </c>
      <c r="K13" s="14">
        <v>89.6</v>
      </c>
      <c r="L13" s="14">
        <v>90</v>
      </c>
      <c r="M13" s="14">
        <v>90.1</v>
      </c>
      <c r="N13" s="15">
        <v>46.1</v>
      </c>
      <c r="O13" s="15">
        <v>46.1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81.35</v>
      </c>
    </row>
    <row r="17" spans="2:7">
      <c r="B17" s="2" t="s">
        <v>87</v>
      </c>
      <c r="C17" s="5">
        <v>3751</v>
      </c>
    </row>
    <row r="18" spans="2:7">
      <c r="B18" s="2" t="s">
        <v>1</v>
      </c>
      <c r="C18" s="18">
        <f>IF(OR(C10="",C10&lt;=0),"",C$17/C10)</f>
        <v>5.64909638554217</v>
      </c>
      <c r="D18" s="18">
        <f>IF(OR(D10="",D10&lt;=0),"",C$17/D10)</f>
        <v>6.27257525083612</v>
      </c>
      <c r="E18" s="18">
        <f>IF(OR(E10="",E10&lt;=0),"",C$17/E10)</f>
        <v>150.04</v>
      </c>
      <c r="F18" s="19">
        <f>IF(OR(F10="",F10&lt;=0),"",C$17/F10)</f>
        <v>6.72222222222222</v>
      </c>
      <c r="G18" s="19">
        <f>IF(OR(G10="",G10&lt;=0),"",C$17/G10)</f>
        <v>6.52347826086956</v>
      </c>
    </row>
    <row r="19" spans="2:7">
      <c r="B19" s="2" t="s">
        <v>39</v>
      </c>
      <c r="C19" s="18">
        <f>IF(OR(C6="",C6=0),"",C$17/C6)</f>
        <v>0.406921241050119</v>
      </c>
      <c r="D19" s="18">
        <f>IF(OR(D6="",D6=0),"",C$17/D6)</f>
        <v>0.433491274702415</v>
      </c>
      <c r="E19" s="18">
        <f>IF(OR(E6="",E6=0),"",C$17/E6)</f>
        <v>0.419106145251397</v>
      </c>
      <c r="F19" s="19">
        <f>IF(OR(F6="",F6=0),"",C$17/F6)</f>
        <v>0.421413324345579</v>
      </c>
      <c r="G19" s="19">
        <f>IF(OR(G6="",G6=0),"",C$17/G6)</f>
        <v>0.414429344823776</v>
      </c>
    </row>
    <row r="21" spans="2:7">
      <c r="B21" s="20" t="s">
        <v>88</v>
      </c>
      <c r="F21" s="20">
        <v>9</v>
      </c>
      <c r="G21" s="20">
        <v>9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150</v>
      </c>
    </row>
    <row r="4" spans="2:15">
      <c r="B4" s="2" t="s">
        <v>56</v>
      </c>
      <c r="F4" s="3">
        <v>46565</v>
      </c>
      <c r="G4" s="3">
        <v>46931</v>
      </c>
      <c r="N4" s="3">
        <v>46292</v>
      </c>
      <c r="O4" s="3">
        <v>46383</v>
      </c>
    </row>
    <row r="5" spans="2:15">
      <c r="B5" s="2" t="s">
        <v>78</v>
      </c>
      <c r="C5" s="4" t="s">
        <v>79</v>
      </c>
      <c r="D5" s="4" t="s">
        <v>80</v>
      </c>
      <c r="E5" s="4" t="s">
        <v>81</v>
      </c>
      <c r="F5" s="4" t="s">
        <v>59</v>
      </c>
      <c r="G5" s="4" t="s">
        <v>60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6671</v>
      </c>
      <c r="D6" s="5">
        <v>7011</v>
      </c>
      <c r="E6" s="5">
        <v>8004</v>
      </c>
      <c r="F6" s="6">
        <v>8554</v>
      </c>
      <c r="G6" s="6">
        <v>9011</v>
      </c>
      <c r="J6" s="5">
        <v>1705</v>
      </c>
      <c r="K6" s="5">
        <v>2502</v>
      </c>
      <c r="L6" s="5">
        <v>1921</v>
      </c>
      <c r="M6" s="5">
        <v>1877</v>
      </c>
      <c r="N6" s="7"/>
      <c r="O6" s="7"/>
    </row>
    <row r="7" spans="2:15">
      <c r="B7" s="2" t="s">
        <v>69</v>
      </c>
      <c r="C7" s="8">
        <v>0.0015463375820084</v>
      </c>
      <c r="D7" s="8">
        <v>0.0508903945317185</v>
      </c>
      <c r="E7" s="8">
        <v>0.141711954583708</v>
      </c>
      <c r="F7" s="9">
        <v>0.068699026011344</v>
      </c>
      <c r="G7" s="9">
        <v>0.0534654111513726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0.732926609905264</v>
      </c>
      <c r="D8" s="8">
        <v>0.754403982483917</v>
      </c>
      <c r="E8" s="8">
        <v>0.778216436370905</v>
      </c>
      <c r="F8" s="7"/>
      <c r="G8" s="7"/>
      <c r="J8" s="8">
        <v>0.762935586061246</v>
      </c>
      <c r="K8" s="8">
        <v>0.754635549872123</v>
      </c>
      <c r="L8" s="8">
        <v>0.768770175986671</v>
      </c>
      <c r="M8" s="8">
        <v>0.833208994990941</v>
      </c>
      <c r="N8" s="7"/>
      <c r="O8" s="7"/>
    </row>
    <row r="9" spans="2:15">
      <c r="B9" s="2" t="s">
        <v>71</v>
      </c>
      <c r="C9" s="8">
        <v>0.1708987888236</v>
      </c>
      <c r="D9" s="8">
        <v>0.059195230148202</v>
      </c>
      <c r="E9" s="8">
        <v>0.239174433422453</v>
      </c>
      <c r="F9" s="7"/>
      <c r="G9" s="7"/>
      <c r="J9" s="8">
        <v>0.192537838789159</v>
      </c>
      <c r="K9" s="8">
        <v>0.286285166240409</v>
      </c>
      <c r="L9" s="8">
        <v>0.222586691658857</v>
      </c>
      <c r="M9" s="8">
        <v>0.235692209314718</v>
      </c>
      <c r="N9" s="7"/>
      <c r="O9" s="7"/>
    </row>
    <row r="10" spans="2:15">
      <c r="B10" s="2" t="s">
        <v>72</v>
      </c>
      <c r="C10" s="5">
        <v>816</v>
      </c>
      <c r="D10" s="5">
        <v>183</v>
      </c>
      <c r="E10" s="5">
        <v>1528</v>
      </c>
      <c r="F10" s="6">
        <v>1613</v>
      </c>
      <c r="G10" s="6">
        <v>1803</v>
      </c>
      <c r="J10" s="5">
        <v>275</v>
      </c>
      <c r="K10" s="5">
        <v>561</v>
      </c>
      <c r="L10" s="5">
        <v>344</v>
      </c>
      <c r="M10" s="5">
        <v>348</v>
      </c>
      <c r="N10" s="7"/>
      <c r="O10" s="7"/>
    </row>
    <row r="11" spans="2:15">
      <c r="B11" s="11" t="s">
        <v>83</v>
      </c>
      <c r="C11" s="8">
        <v>0.1223168245593</v>
      </c>
      <c r="D11" s="8">
        <v>0.0261314847304834</v>
      </c>
      <c r="E11" s="8">
        <v>0.190862297293921</v>
      </c>
      <c r="F11" s="9">
        <v>0.188584103467986</v>
      </c>
      <c r="G11" s="9">
        <v>0.200051816009656</v>
      </c>
      <c r="J11" s="8">
        <v>0.16121084125308</v>
      </c>
      <c r="K11" s="8">
        <v>0.224304667519182</v>
      </c>
      <c r="L11" s="8">
        <v>0.179006560449859</v>
      </c>
      <c r="M11" s="8">
        <v>0.185335180645849</v>
      </c>
      <c r="N11" s="7"/>
      <c r="O11" s="7"/>
    </row>
    <row r="12" spans="2:15">
      <c r="B12" s="2" t="s">
        <v>84</v>
      </c>
      <c r="C12" s="12">
        <v>3.56</v>
      </c>
      <c r="D12" s="12">
        <v>0.85</v>
      </c>
      <c r="E12" s="12">
        <v>7.49</v>
      </c>
      <c r="F12" s="13">
        <v>7.98418</v>
      </c>
      <c r="G12" s="13">
        <v>8.92253</v>
      </c>
      <c r="J12" s="12">
        <v>1.32</v>
      </c>
      <c r="K12" s="12">
        <v>2.75</v>
      </c>
      <c r="L12" s="12">
        <v>1.7</v>
      </c>
      <c r="M12" s="12">
        <v>1.72</v>
      </c>
      <c r="N12" s="7"/>
      <c r="O12" s="7"/>
    </row>
    <row r="13" spans="2:15">
      <c r="B13" s="2" t="s">
        <v>85</v>
      </c>
      <c r="C13" s="14">
        <v>2.3</v>
      </c>
      <c r="D13" s="14">
        <v>2.1</v>
      </c>
      <c r="E13" s="14">
        <v>2</v>
      </c>
      <c r="F13" s="15">
        <v>202</v>
      </c>
      <c r="G13" s="15">
        <v>202</v>
      </c>
      <c r="J13" s="14">
        <v>2.1</v>
      </c>
      <c r="K13" s="14">
        <v>2</v>
      </c>
      <c r="L13" s="14">
        <v>2</v>
      </c>
      <c r="M13" s="14">
        <v>2</v>
      </c>
      <c r="N13" s="15">
        <v>202</v>
      </c>
      <c r="O13" s="15">
        <v>202</v>
      </c>
    </row>
    <row r="15" spans="2:15">
      <c r="B15" s="2" t="s">
        <v>74</v>
      </c>
      <c r="C15" s="16">
        <v>46307</v>
      </c>
    </row>
    <row r="16" spans="2:15">
      <c r="B16" s="2" t="s">
        <v>86</v>
      </c>
      <c r="C16" s="17">
        <v>116.24</v>
      </c>
    </row>
    <row r="17" spans="2:7">
      <c r="B17" s="2" t="s">
        <v>87</v>
      </c>
      <c r="C17" s="5">
        <v>23486</v>
      </c>
    </row>
    <row r="18" spans="2:7">
      <c r="B18" s="2" t="s">
        <v>1</v>
      </c>
      <c r="C18" s="18">
        <f>IF(OR(C10="",C10&lt;=0),"",C$17/C10)</f>
        <v>28.781862745098</v>
      </c>
      <c r="D18" s="18">
        <f>IF(OR(D10="",D10&lt;=0),"",C$17/D10)</f>
        <v>128.338797814208</v>
      </c>
      <c r="E18" s="18">
        <f>IF(OR(E10="",E10&lt;=0),"",C$17/E10)</f>
        <v>15.3704188481675</v>
      </c>
      <c r="F18" s="19">
        <f>IF(OR(F10="",F10&lt;=0),"",C$17/F10)</f>
        <v>14.5604463732176</v>
      </c>
      <c r="G18" s="19">
        <f>IF(OR(G10="",G10&lt;=0),"",C$17/G10)</f>
        <v>13.0260676650028</v>
      </c>
    </row>
    <row r="19" spans="2:7">
      <c r="B19" s="2" t="s">
        <v>39</v>
      </c>
      <c r="C19" s="18">
        <f>IF(OR(C6="",C6=0),"",C$17/C6)</f>
        <v>3.5206116024584</v>
      </c>
      <c r="D19" s="18">
        <f>IF(OR(D6="",D6=0),"",C$17/D6)</f>
        <v>3.34987876194551</v>
      </c>
      <c r="E19" s="18">
        <f>IF(OR(E6="",E6=0),"",C$17/E6)</f>
        <v>2.93428285857071</v>
      </c>
      <c r="F19" s="19">
        <f>IF(OR(F6="",F6=0),"",C$17/F6)</f>
        <v>2.74561608604162</v>
      </c>
      <c r="G19" s="19">
        <f>IF(OR(G6="",G6=0),"",C$17/G6)</f>
        <v>2.60636999223172</v>
      </c>
    </row>
    <row r="21" spans="2:7">
      <c r="B21" s="20" t="s">
        <v>88</v>
      </c>
      <c r="F21" s="20">
        <v>15</v>
      </c>
      <c r="G21" s="20">
        <v>15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1"/>
  <sheetViews>
    <sheetView workbookViewId="0">
      <selection activeCell="A1" sqref="A1"/>
    </sheetView>
  </sheetViews>
  <sheetFormatPr defaultColWidth="9" defaultRowHeight="16.8"/>
  <cols>
    <col min="1" max="1" width="2" style="1" customWidth="1"/>
    <col min="2" max="2" width="22" style="1" customWidth="1"/>
    <col min="3" max="7" width="12" style="1" customWidth="1"/>
    <col min="9" max="9" width="2" style="1" customWidth="1"/>
    <col min="10" max="15" width="12" style="1" customWidth="1"/>
  </cols>
  <sheetData>
    <row r="3" spans="2:15">
      <c r="B3" s="2" t="s">
        <v>151</v>
      </c>
    </row>
    <row r="4" spans="2:15">
      <c r="B4" s="2" t="s">
        <v>56</v>
      </c>
      <c r="F4" s="3">
        <v>46474</v>
      </c>
      <c r="G4" s="3">
        <v>46840</v>
      </c>
      <c r="N4" s="3">
        <v>46295</v>
      </c>
      <c r="O4" s="3">
        <v>46386</v>
      </c>
    </row>
    <row r="5" spans="2:15">
      <c r="B5" s="2" t="s">
        <v>78</v>
      </c>
      <c r="C5" s="4" t="s">
        <v>79</v>
      </c>
      <c r="D5" s="4" t="s">
        <v>80</v>
      </c>
      <c r="E5" s="4" t="s">
        <v>81</v>
      </c>
      <c r="F5" s="4" t="s">
        <v>59</v>
      </c>
      <c r="G5" s="4" t="s">
        <v>60</v>
      </c>
      <c r="J5" s="4" t="s">
        <v>92</v>
      </c>
      <c r="K5" s="4" t="s">
        <v>82</v>
      </c>
      <c r="L5" s="4" t="s">
        <v>62</v>
      </c>
      <c r="M5" s="4" t="s">
        <v>63</v>
      </c>
      <c r="N5" s="4" t="s">
        <v>64</v>
      </c>
      <c r="O5" s="4" t="s">
        <v>65</v>
      </c>
    </row>
    <row r="6" spans="2:15">
      <c r="B6" s="2" t="s">
        <v>68</v>
      </c>
      <c r="C6" s="5">
        <v>1334</v>
      </c>
      <c r="D6" s="5">
        <v>1348</v>
      </c>
      <c r="E6" s="5">
        <v>1528</v>
      </c>
      <c r="F6" s="6">
        <v>1578</v>
      </c>
      <c r="G6" s="6">
        <v>1642</v>
      </c>
      <c r="J6" s="5">
        <v>273</v>
      </c>
      <c r="K6" s="5">
        <v>694</v>
      </c>
      <c r="L6" s="5">
        <v>453</v>
      </c>
      <c r="M6" s="5">
        <v>119</v>
      </c>
      <c r="N6" s="7"/>
      <c r="O6" s="7"/>
    </row>
    <row r="7" spans="2:15">
      <c r="B7" s="2" t="s">
        <v>69</v>
      </c>
      <c r="C7" s="8">
        <v>0.095973705834018</v>
      </c>
      <c r="D7" s="8">
        <v>0.0109461688409056</v>
      </c>
      <c r="E7" s="8">
        <v>0.133343221595966</v>
      </c>
      <c r="F7" s="9">
        <v>0.0326161536448109</v>
      </c>
      <c r="G7" s="9">
        <v>0.0405050890577001</v>
      </c>
      <c r="J7" s="10"/>
      <c r="K7" s="10"/>
      <c r="L7" s="10"/>
      <c r="M7" s="10"/>
      <c r="N7" s="7"/>
      <c r="O7" s="7"/>
    </row>
    <row r="8" spans="2:15">
      <c r="B8" s="2" t="s">
        <v>70</v>
      </c>
      <c r="C8" s="8">
        <v>0.687809266756635</v>
      </c>
      <c r="D8" s="8">
        <v>0.699421536636013</v>
      </c>
      <c r="E8" s="8">
        <v>0.611176547572307</v>
      </c>
      <c r="F8" s="7"/>
      <c r="G8" s="7"/>
      <c r="J8" s="8">
        <v>0.623991195891416</v>
      </c>
      <c r="K8" s="8">
        <v>0.69618430525558</v>
      </c>
      <c r="L8" s="8">
        <v>0.617692477388043</v>
      </c>
      <c r="M8" s="8">
        <v>0.346509671993272</v>
      </c>
      <c r="N8" s="7"/>
      <c r="O8" s="7"/>
    </row>
    <row r="9" spans="2:15">
      <c r="B9" s="2" t="s">
        <v>71</v>
      </c>
      <c r="C9" s="8">
        <v>0.0933423301844355</v>
      </c>
      <c r="D9" s="8">
        <v>0.121699792346485</v>
      </c>
      <c r="E9" s="8">
        <v>0.0581075775422065</v>
      </c>
      <c r="F9" s="7"/>
      <c r="G9" s="7"/>
      <c r="J9" s="8">
        <v>-0.0645634629493764</v>
      </c>
      <c r="K9" s="8">
        <v>0.289992800575954</v>
      </c>
      <c r="L9" s="8">
        <v>0.1431722920803</v>
      </c>
      <c r="M9" s="8">
        <v>-0.88645920941968</v>
      </c>
      <c r="N9" s="7"/>
      <c r="O9" s="7"/>
    </row>
    <row r="10" spans="2:15">
      <c r="B10" s="2" t="s">
        <v>72</v>
      </c>
      <c r="C10" s="5">
        <v>58</v>
      </c>
      <c r="D10" s="5">
        <v>95</v>
      </c>
      <c r="E10" s="5">
        <v>22</v>
      </c>
      <c r="F10" s="6">
        <v>101</v>
      </c>
      <c r="G10" s="6">
        <v>112</v>
      </c>
      <c r="J10" s="5">
        <v>-15</v>
      </c>
      <c r="K10" s="5">
        <v>135</v>
      </c>
      <c r="L10" s="5">
        <v>28</v>
      </c>
      <c r="M10" s="5">
        <v>-91</v>
      </c>
      <c r="N10" s="7"/>
      <c r="O10" s="7"/>
    </row>
    <row r="11" spans="2:15">
      <c r="B11" s="11" t="s">
        <v>83</v>
      </c>
      <c r="C11" s="8">
        <v>0.0437846753636227</v>
      </c>
      <c r="D11" s="8">
        <v>0.0703055473153367</v>
      </c>
      <c r="E11" s="8">
        <v>0.0147232037691402</v>
      </c>
      <c r="F11" s="9">
        <v>0.0637796748548403</v>
      </c>
      <c r="G11" s="9">
        <v>0.0681616420811766</v>
      </c>
      <c r="J11" s="8">
        <v>-0.0557593543653705</v>
      </c>
      <c r="K11" s="8">
        <v>0.194096472282217</v>
      </c>
      <c r="L11" s="8">
        <v>0.0619898521950143</v>
      </c>
      <c r="M11" s="8">
        <v>-0.763666947014298</v>
      </c>
      <c r="N11" s="7"/>
      <c r="O11" s="7"/>
    </row>
    <row r="12" spans="2:15">
      <c r="B12" s="2" t="s">
        <v>84</v>
      </c>
      <c r="C12" s="12">
        <v>0.58</v>
      </c>
      <c r="D12" s="12">
        <v>0.98</v>
      </c>
      <c r="E12" s="12">
        <v>0.23</v>
      </c>
      <c r="F12" s="13">
        <v>1.03596</v>
      </c>
      <c r="G12" s="13">
        <v>1.15198</v>
      </c>
      <c r="J12" s="12">
        <v>-0.16</v>
      </c>
      <c r="K12" s="12">
        <v>1.39</v>
      </c>
      <c r="L12" s="12">
        <v>0.29</v>
      </c>
      <c r="M12" s="12">
        <v>-0.93</v>
      </c>
      <c r="N12" s="7"/>
      <c r="O12" s="7"/>
    </row>
    <row r="13" spans="2:15">
      <c r="B13" s="2" t="s">
        <v>85</v>
      </c>
      <c r="C13" s="14">
        <v>104.9</v>
      </c>
      <c r="D13" s="14">
        <v>109.6</v>
      </c>
      <c r="E13" s="14">
        <v>114.1</v>
      </c>
      <c r="F13" s="15">
        <v>97.2</v>
      </c>
      <c r="G13" s="15">
        <v>97.2</v>
      </c>
      <c r="J13" s="14">
        <v>109.5</v>
      </c>
      <c r="K13" s="14">
        <v>113.8</v>
      </c>
      <c r="L13" s="14">
        <v>114.1</v>
      </c>
      <c r="M13" s="14">
        <v>124.7</v>
      </c>
      <c r="N13" s="15">
        <v>97.2</v>
      </c>
      <c r="O13" s="15">
        <v>97.2</v>
      </c>
    </row>
    <row r="15" spans="2:15">
      <c r="B15" s="2" t="s">
        <v>74</v>
      </c>
      <c r="C15" s="16">
        <v>46307</v>
      </c>
    </row>
    <row r="16" spans="2:15">
      <c r="B16" s="2" t="s">
        <v>152</v>
      </c>
      <c r="C16" s="17">
        <v>11.27</v>
      </c>
    </row>
    <row r="17" spans="2:7">
      <c r="B17" s="2" t="s">
        <v>153</v>
      </c>
      <c r="C17" s="5">
        <v>1095</v>
      </c>
    </row>
    <row r="18" spans="2:7">
      <c r="B18" s="2" t="s">
        <v>1</v>
      </c>
      <c r="C18" s="18">
        <f>IF(OR(C10="",C10&lt;=0),"",C$17/C10)</f>
        <v>18.8793103448276</v>
      </c>
      <c r="D18" s="18">
        <f>IF(OR(D10="",D10&lt;=0),"",C$17/D10)</f>
        <v>11.5263157894737</v>
      </c>
      <c r="E18" s="18">
        <f>IF(OR(E10="",E10&lt;=0),"",C$17/E10)</f>
        <v>49.7727272727273</v>
      </c>
      <c r="F18" s="19">
        <f>IF(OR(F10="",F10&lt;=0),"",C$17/F10)</f>
        <v>10.8415841584158</v>
      </c>
      <c r="G18" s="19">
        <f>IF(OR(G10="",G10&lt;=0),"",C$17/G10)</f>
        <v>9.77678571428571</v>
      </c>
    </row>
    <row r="19" spans="2:7">
      <c r="B19" s="2" t="s">
        <v>39</v>
      </c>
      <c r="C19" s="18">
        <f>IF(OR(C6="",C6=0),"",C$17/C6)</f>
        <v>0.820839580209895</v>
      </c>
      <c r="D19" s="18">
        <f>IF(OR(D6="",D6=0),"",C$17/D6)</f>
        <v>0.812314540059347</v>
      </c>
      <c r="E19" s="18">
        <f>IF(OR(E6="",E6=0),"",C$17/E6)</f>
        <v>0.716623036649215</v>
      </c>
      <c r="F19" s="19">
        <f>IF(OR(F6="",F6=0),"",C$17/F6)</f>
        <v>0.693916349809886</v>
      </c>
      <c r="G19" s="19">
        <f>IF(OR(G6="",G6=0),"",C$17/G6)</f>
        <v>0.666869671132765</v>
      </c>
    </row>
    <row r="21" spans="2:7">
      <c r="B21" s="20" t="s">
        <v>88</v>
      </c>
      <c r="F21" s="20">
        <v>11</v>
      </c>
      <c r="G21" s="20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50</vt:i4>
      </vt:variant>
    </vt:vector>
  </HeadingPairs>
  <TitlesOfParts>
    <vt:vector size="50" baseType="lpstr">
      <vt:lpstr>Summary</vt:lpstr>
      <vt:lpstr>template</vt:lpstr>
      <vt:lpstr>Sportswear&gt;&gt;</vt:lpstr>
      <vt:lpstr>Luxury&gt;&gt;</vt:lpstr>
      <vt:lpstr>NKE.N</vt:lpstr>
      <vt:lpstr>ADDY</vt:lpstr>
      <vt:lpstr>ZGN.N</vt:lpstr>
      <vt:lpstr>WWW.N</vt:lpstr>
      <vt:lpstr>UAA.N</vt:lpstr>
      <vt:lpstr>SHOO.O</vt:lpstr>
      <vt:lpstr>RL.N</vt:lpstr>
      <vt:lpstr>PUM.DF</vt:lpstr>
      <vt:lpstr>ONON.N</vt:lpstr>
      <vt:lpstr>NWL.O</vt:lpstr>
      <vt:lpstr>LULU.O</vt:lpstr>
      <vt:lpstr>LEVI.N</vt:lpstr>
      <vt:lpstr>KTB.N</vt:lpstr>
      <vt:lpstr>GIL.N</vt:lpstr>
      <vt:lpstr>GAP.N</vt:lpstr>
      <vt:lpstr>DECK.N</vt:lpstr>
      <vt:lpstr>CROX.O</vt:lpstr>
      <vt:lpstr>COLM.O</vt:lpstr>
      <vt:lpstr>BZUN.O</vt:lpstr>
      <vt:lpstr>AS.N</vt:lpstr>
      <vt:lpstr>ANF.N</vt:lpstr>
      <vt:lpstr>VSCO.N</vt:lpstr>
      <vt:lpstr>9983.T</vt:lpstr>
      <vt:lpstr>8111.T</vt:lpstr>
      <vt:lpstr>7936.T</vt:lpstr>
      <vt:lpstr>3998.HK</vt:lpstr>
      <vt:lpstr>2331.HK</vt:lpstr>
      <vt:lpstr>2020.HK</vt:lpstr>
      <vt:lpstr>1836.HK</vt:lpstr>
      <vt:lpstr>1368.HK</vt:lpstr>
      <vt:lpstr>1361.HK</vt:lpstr>
      <vt:lpstr>002832.SZ</vt:lpstr>
      <vt:lpstr>VFC</vt:lpstr>
      <vt:lpstr>CFR</vt:lpstr>
      <vt:lpstr>1913.HK</vt:lpstr>
      <vt:lpstr>MONC</vt:lpstr>
      <vt:lpstr>KER</vt:lpstr>
      <vt:lpstr>SFER</vt:lpstr>
      <vt:lpstr>RACE</vt:lpstr>
      <vt:lpstr>RMS</vt:lpstr>
      <vt:lpstr>MC</vt:lpstr>
      <vt:lpstr>BRBY</vt:lpstr>
      <vt:lpstr>CPRI</vt:lpstr>
      <vt:lpstr>PVH</vt:lpstr>
      <vt:lpstr>TPR</vt:lpstr>
      <vt:lpstr>GOOS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rundong</dc:creator>
  <cp:lastModifiedBy>David（RS intern）</cp:lastModifiedBy>
  <dcterms:created xsi:type="dcterms:W3CDTF">2026-09-26T00:58:00Z</dcterms:created>
  <dcterms:modified xsi:type="dcterms:W3CDTF">2026-10-15T14:05:07Z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4B3F5D65CC78B84FA6F1B06A38C5FDB3_41</vt:lpwstr>
  </property>
  <property fmtid="{D5CDD505-2E9C-101B-9397-08002B2CF9AE}" pid="3" name="KSOProductBuildVer">
    <vt:lpwstr>2052-12.1.23540.23540</vt:lpwstr>
  </property>
</Properties>
</file>