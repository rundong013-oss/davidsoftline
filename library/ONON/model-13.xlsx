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ml.chartshapes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ml.chartshapes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ustomProperty2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M:\ln\Retail\GENERAL RETAIL\Europe Retail\Companies_Europe\ON Holding\"/>
    </mc:Choice>
  </mc:AlternateContent>
  <xr:revisionPtr revIDLastSave="0" documentId="8_{A83A57EB-830B-47CC-B74E-D22F022617B1}" xr6:coauthVersionLast="47" xr6:coauthVersionMax="47" xr10:uidLastSave="{00000000-0000-0000-0000-000000000000}"/>
  <bookViews>
    <workbookView xWindow="18795" yWindow="5070" windowWidth="23700" windowHeight="17835" activeTab="2" xr2:uid="{00000000-000D-0000-FFFF-FFFF00000000}"/>
  </bookViews>
  <sheets>
    <sheet name="Cover Sheet" sheetId="47" r:id="rId1"/>
    <sheet name="ITX.MC_Validation_Sheet" sheetId="53" state="hidden" r:id="rId2"/>
    <sheet name="MODEL" sheetId="32" r:id="rId3"/>
    <sheet name="GSe vs Cons" sheetId="56" state="hidden" r:id="rId4"/>
    <sheet name="FX" sheetId="34" state="hidden" r:id="rId5"/>
    <sheet name="Worksheet" sheetId="54" state="hidden" r:id="rId6"/>
    <sheet name="Vs consensus" sheetId="37" state="hidden" r:id="rId7"/>
    <sheet name="Stat Ab" sheetId="33" state="hidden" r:id="rId8"/>
    <sheet name="Valuation" sheetId="31" state="hidden" r:id="rId9"/>
    <sheet name="Mkt share" sheetId="35" state="hidden" r:id="rId10"/>
    <sheet name="Sales growth comparative" sheetId="55" state="hidden" r:id="rId11"/>
    <sheet name="Comps" sheetId="46" state="hidden" r:id="rId12"/>
    <sheet name="GEOS" sheetId="63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A_ALL_KEYWORDS_TYPE_ScalarContributed_EQTY_200021488">#REF!,#REF!,#REF!</definedName>
    <definedName name="A_ALL_ONON">#REF!</definedName>
    <definedName name="A_ALL_SECTION_KEYWORDS_EQTY_200021488_13A">#REF!</definedName>
    <definedName name="A_ALL_YOUG.DE">[1]YOUG.DE_Annotation_Sheet!$A$1:$U$346</definedName>
    <definedName name="E_ALL_GFG.DE">[2]GFG.DE_Exchange_Sheet!$A$1:$U$346</definedName>
    <definedName name="E_ALL_ONON">#REF!</definedName>
    <definedName name="E_ALL_YOUG.DE">[1]YOUG.DE_Exchange_Sheet!$A$1:$U$346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44167.6386458333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_ALL_GFG.DE">[2]GFG.DE_Live_Sheet!$A$1:$U$346</definedName>
    <definedName name="L_ALL_KEYWORDS_TYPE_ScalarContributed_EQTY_200021488">#REF!,#REF!,#REF!</definedName>
    <definedName name="L_ALL_ONON">#REF!</definedName>
    <definedName name="L_ALL_SECTION_KEYWORDS_EQTY_200021488_13A">#REF!</definedName>
    <definedName name="L_ALL_YOUG.DE">[1]YOUG.DE_Live_Sheet!$A$1:$U$346</definedName>
    <definedName name="Tigr_Exhibit4617ac80_e3cc_4d24_82a9_aad7c3f7fe3a" hidden="1">Comps!$S$29:$X$33</definedName>
    <definedName name="Tigr_Exhibit5fccafc4_8f7e_4ae2_9f55_cc0f13143646" hidden="1">Comps!$E$57:$H$64</definedName>
    <definedName name="Tigr_Exhibit6fa78e13_c15d_45e8_bccd_7592eedfed2e" hidden="1">Comps!$S$29:$X$34</definedName>
    <definedName name="Tigr_Exhibit786cbbc6_d99d_46eb_a58f_cbe95a8ac131" hidden="1">Comps!$F$35:$I$40</definedName>
    <definedName name="Tigr_Exhibit9f93f911_fb08_4dad_86b5_6f435822e73c" hidden="1">Comps!$E$21:$K$32</definedName>
    <definedName name="Tigr_Exhibitc669ba69_6f63_41a7_bd00_dfae01482be7" hidden="1">Comps!$I$20:$R$34</definedName>
    <definedName name="Tigr_Exhibitf7b30c3b_fe94_4c16_a7f6_65bdebdf4e41" hidden="1">Valuation!$A$47:$M$70</definedName>
    <definedName name="TRNR_1493d2575b2e4090993f689ea1a28477_7_1" hidden="1">Comps!$C$51</definedName>
    <definedName name="TRNR_223507f133924798a0aaa87c9e58310d_7_1" hidden="1">Comps!$C$51</definedName>
    <definedName name="TRNR_29c351a95b3f40e58da64147fccd131c_7_1" hidden="1">Comps!$C$51</definedName>
    <definedName name="TRNR_2dcb2412d85545c3b6d3f7a0e5baa64a_7_1" hidden="1">Comps!$C$51</definedName>
    <definedName name="TRNR_3a7f1c7611b64c539632b9b6e54d7eae_7_1" hidden="1">Comps!$C$51</definedName>
    <definedName name="TRNR_3f9d585ba99d4fb2a896716fe67376ac_7_1" hidden="1">Comps!$C$51</definedName>
    <definedName name="TRNR_4d0ccdc70ee9443fac9152b6f97ee7dd_7_1" hidden="1">Comps!$C$51</definedName>
    <definedName name="TRNR_653ab3a9534246599fd12cea8f4cc38f_7_1" hidden="1">Comps!$C$51</definedName>
    <definedName name="TRNR_6acd489a9bb54f54bf4d8dc9e237dca1_7_1" hidden="1">Comps!$C$51</definedName>
    <definedName name="TRNR_74eae3bef8584ace8e2d8fa88f9dbab9_7_1" hidden="1">Comps!$C$51</definedName>
    <definedName name="TRNR_7c944d7fa91a4bfea8aca418cbd8a1af_5_1" localSheetId="11" hidden="1">Comps!$C$46</definedName>
    <definedName name="TRNR_7cf6f6613df549b5be729446ba111f7a_7_1" hidden="1">Comps!$C$51</definedName>
    <definedName name="V_ALL_GFG.DE">[2]GFG.DE_Validation_Sheet!$A$1:$U$346</definedName>
    <definedName name="V_ALL_KEYWORDS_TYPE_ScalarContributed_EQTY_200021488">#REF!,#REF!,#REF!</definedName>
    <definedName name="V_ALL_KEYWORDS_TYPE_ScalarContributed_ISSR_208001535" localSheetId="1">ITX.MC_Validation_Sheet!$9:$9,ITX.MC_Validation_Sheet!$42:$42</definedName>
    <definedName name="V_ALL_KEYWORDS_TYPE_ScalarReference_ISSR_208001535" localSheetId="1">ITX.MC_Validation_Sheet!$6:$7</definedName>
    <definedName name="V_ALL_KEYWORDS_TYPE_Vector_ISSR_208001535" localSheetId="1">ITX.MC_Validation_Sheet!$2:$3,ITX.MC_Validation_Sheet!$11:$29,ITX.MC_Validation_Sheet!$31:$41,ITX.MC_Validation_Sheet!$44:$73,ITX.MC_Validation_Sheet!$75:$92,ITX.MC_Validation_Sheet!$94:$111,ITX.MC_Validation_Sheet!$113:$125,ITX.MC_Validation_Sheet!$127:$127,ITX.MC_Validation_Sheet!$129:$129,ITX.MC_Validation_Sheet!$131:$188,ITX.MC_Validation_Sheet!$190:$198,ITX.MC_Validation_Sheet!$200:$225,ITX.MC_Validation_Sheet!$227:$240,ITX.MC_Validation_Sheet!$242:$282,ITX.MC_Validation_Sheet!$284:$284</definedName>
    <definedName name="V_ALL_ONON">#REF!</definedName>
    <definedName name="V_ALL_PERIODS_ITX.MC" localSheetId="1">ITX.MC_Validation_Sheet!$F$1:$DL$1</definedName>
    <definedName name="V_ALL_SECTION_KEYWORDS_EQTY_200021488_13A">#REF!</definedName>
    <definedName name="V_ALL_SECTION_KEYWORDS_ISSR_208001535_1314" localSheetId="1">ITX.MC_Validation_Sheet!$C$44:$C$73</definedName>
    <definedName name="V_ALL_SECTION_KEYWORDS_ISSR_208001535_13168" localSheetId="1">ITX.MC_Validation_Sheet!$C$131:$C$188</definedName>
    <definedName name="V_ALL_SECTION_KEYWORDS_ISSR_208001535_1316S" localSheetId="1">ITX.MC_Validation_Sheet!$C$190:$C$198</definedName>
    <definedName name="V_ALL_SECTION_KEYWORDS_ISSR_208001535_1316T" localSheetId="1">ITX.MC_Validation_Sheet!$C$200:$C$225</definedName>
    <definedName name="V_ALL_SECTION_KEYWORDS_ISSR_208001535_1319" localSheetId="1">ITX.MC_Validation_Sheet!$C$75:$C$92</definedName>
    <definedName name="V_ALL_SECTION_KEYWORDS_ISSR_208001535_131E" localSheetId="1">ITX.MC_Validation_Sheet!$C$94:$C$111</definedName>
    <definedName name="V_ALL_SECTION_KEYWORDS_ISSR_208001535_131J" localSheetId="1">ITX.MC_Validation_Sheet!$C$113:$C$125</definedName>
    <definedName name="V_ALL_SECTION_KEYWORDS_ISSR_208001535_131O" localSheetId="1">ITX.MC_Validation_Sheet!$C$127</definedName>
    <definedName name="V_ALL_SECTION_KEYWORDS_ISSR_208001535_131P" localSheetId="1">ITX.MC_Validation_Sheet!$C$129</definedName>
    <definedName name="V_ALL_SECTION_KEYWORDS_ISSR_208001535_13A" localSheetId="1">ITX.MC_Validation_Sheet!$C$9</definedName>
    <definedName name="V_ALL_SECTION_KEYWORDS_ISSR_208001535_13U" localSheetId="1">ITX.MC_Validation_Sheet!$C$11:$C$29</definedName>
    <definedName name="V_ALL_SECTION_KEYWORDS_ISSR_208001535_13V" localSheetId="1">ITX.MC_Validation_Sheet!$C$31:$C$42</definedName>
    <definedName name="V_ALL_SECTION_KEYWORDS_ISSR_208001535_Reference_Data" localSheetId="1">ITX.MC_Validation_Sheet!$C$6:$C$7</definedName>
    <definedName name="V_ALL_SECTIONS_ISSR_208001535" localSheetId="1">ITX.MC_Validation_Sheet!$5:$5,ITX.MC_Validation_Sheet!$8:$8,ITX.MC_Validation_Sheet!$10:$10,ITX.MC_Validation_Sheet!$30:$30,ITX.MC_Validation_Sheet!$43:$43,ITX.MC_Validation_Sheet!$74:$74,ITX.MC_Validation_Sheet!$93:$93,ITX.MC_Validation_Sheet!$112:$112,ITX.MC_Validation_Sheet!$126:$126,ITX.MC_Validation_Sheet!$128:$128,ITX.MC_Validation_Sheet!$130:$130,ITX.MC_Validation_Sheet!$189:$189,ITX.MC_Validation_Sheet!$199:$199,ITX.MC_Validation_Sheet!$226:$226,ITX.MC_Validation_Sheet!$241:$241,ITX.MC_Validation_Sheet!$283:$283</definedName>
    <definedName name="V_ALL_YOUG.DE">[1]YOUG.DE_Validation_Sheet!$A$1:$U$346</definedName>
    <definedName name="V_CURRENCY_ISSR_208001535_REP" localSheetId="1">ITX.MC_Validation_Sheet!$E$7</definedName>
    <definedName name="V_ENTITY_DATA_ISSR_208001535" localSheetId="1">ITX.MC_Validation_Sheet!$E$5:$DL$284</definedName>
    <definedName name="V_KEYWORD_ISSR_208001535_ACC_AMORT" localSheetId="1">ITX.MC_Validation_Sheet!$53:$53</definedName>
    <definedName name="V_KEYWORD_ISSR_208001535_ACC_DDA" localSheetId="1">ITX.MC_Validation_Sheet!$50:$50</definedName>
    <definedName name="V_KEYWORD_ISSR_208001535_ACC_END_DATE" localSheetId="1">ITX.MC_Validation_Sheet!$3:$3</definedName>
    <definedName name="V_KEYWORD_ISSR_208001535_ACC_PAY_GQ" localSheetId="1">ITX.MC_Validation_Sheet!$59:$59</definedName>
    <definedName name="V_KEYWORD_ISSR_208001535_ACQ" localSheetId="1">ITX.MC_Validation_Sheet!$100:$100</definedName>
    <definedName name="V_KEYWORD_ISSR_208001535_ADJ_UNF_PENS_GOOD" localSheetId="1">ITX.MC_Validation_Sheet!$88:$88</definedName>
    <definedName name="V_KEYWORD_ISSR_208001535_ASSOC_JV_ADDBK" localSheetId="1">ITX.MC_Validation_Sheet!$113:$113</definedName>
    <definedName name="V_KEYWORD_ISSR_208001535_ASSOCIATE" localSheetId="1">ITX.MC_Validation_Sheet!$26:$26</definedName>
    <definedName name="V_KEYWORD_ISSR_208001535_ASSOCIATE_OP" localSheetId="1">ITX.MC_Validation_Sheet!$37:$37</definedName>
    <definedName name="V_KEYWORD_ISSR_208001535_BAL_MINO_INT" localSheetId="1">ITX.MC_Validation_Sheet!$91:$91</definedName>
    <definedName name="V_KEYWORD_ISSR_208001535_CAP_LEASES" localSheetId="1">ITX.MC_Validation_Sheet!$80:$80</definedName>
    <definedName name="V_KEYWORD_ISSR_208001535_CAPEX" localSheetId="1">ITX.MC_Validation_Sheet!$99:$99</definedName>
    <definedName name="V_KEYWORD_ISSR_208001535_CAPEX_EXPANSION" localSheetId="1">ITX.MC_Validation_Sheet!$123:$123</definedName>
    <definedName name="V_KEYWORD_ISSR_208001535_CAPEX_MAINTENANCE" localSheetId="1">ITX.MC_Validation_Sheet!$122:$122</definedName>
    <definedName name="V_KEYWORD_ISSR_208001535_CASH_EQ" localSheetId="1">ITX.MC_Validation_Sheet!$44:$44</definedName>
    <definedName name="V_KEYWORD_ISSR_208001535_CASH_INT_EXP" localSheetId="1">ITX.MC_Validation_Sheet!$119:$119</definedName>
    <definedName name="V_KEYWORD_ISSR_208001535_CASH_INT_INC_EXP" localSheetId="1">ITX.MC_Validation_Sheet!$114:$114</definedName>
    <definedName name="V_KEYWORD_ISSR_208001535_CASH_TAX_EXP" localSheetId="1">ITX.MC_Validation_Sheet!$120:$120</definedName>
    <definedName name="V_KEYWORD_ISSR_208001535_CASH_TAX_PD" localSheetId="1">ITX.MC_Validation_Sheet!$115:$115</definedName>
    <definedName name="V_KEYWORD_ISSR_208001535_CF_FIN" localSheetId="1">ITX.MC_Validation_Sheet!$109:$109</definedName>
    <definedName name="V_KEYWORD_ISSR_208001535_CF_INC_MINORITY" localSheetId="1">ITX.MC_Validation_Sheet!$94:$94</definedName>
    <definedName name="V_KEYWORD_ISSR_208001535_CF_INV" localSheetId="1">ITX.MC_Validation_Sheet!$103:$103</definedName>
    <definedName name="V_KEYWORD_ISSR_208001535_CF_OPS" localSheetId="1">ITX.MC_Validation_Sheet!$98:$98</definedName>
    <definedName name="V_KEYWORD_ISSR_208001535_CHG_LT_DEBT" localSheetId="1">ITX.MC_Validation_Sheet!$106:$106</definedName>
    <definedName name="V_KEYWORD_ISSR_208001535_CO_BOR_MARGIN" localSheetId="1">ITX.MC_Validation_Sheet!$84:$84</definedName>
    <definedName name="V_KEYWORD_ISSR_208001535_COGS_PCT_ROW" localSheetId="1">ITX.MC_Validation_Sheet!$181:$181</definedName>
    <definedName name="V_KEYWORD_ISSR_208001535_COGS_PCT_US" localSheetId="1">ITX.MC_Validation_Sheet!$180:$180</definedName>
    <definedName name="V_KEYWORD_ISSR_208001535_COST_GD_SD" localSheetId="1">ITX.MC_Validation_Sheet!$12:$12</definedName>
    <definedName name="V_KEYWORD_ISSR_208001535_CUR_ASS" localSheetId="1">ITX.MC_Validation_Sheet!$48:$48</definedName>
    <definedName name="V_KEYWORD_ISSR_208001535_CURRENCY_ISO" localSheetId="1">ITX.MC_Validation_Sheet!$7:$7</definedName>
    <definedName name="V_KEYWORD_ISSR_208001535_DEBTORS" localSheetId="1">ITX.MC_Validation_Sheet!$45:$45</definedName>
    <definedName name="V_KEYWORD_ISSR_208001535_DEF_INC_TAX" localSheetId="1">ITX.MC_Validation_Sheet!$81:$81</definedName>
    <definedName name="V_KEYWORD_ISSR_208001535_DEPR_AMORT" localSheetId="1">ITX.MC_Validation_Sheet!$95:$95</definedName>
    <definedName name="V_KEYWORD_ISSR_208001535_DEPR_ROU_ASSETS" localSheetId="1">ITX.MC_Validation_Sheet!$40:$40</definedName>
    <definedName name="V_KEYWORD_ISSR_208001535_DEPREC" localSheetId="1">ITX.MC_Validation_Sheet!$20:$20</definedName>
    <definedName name="V_KEYWORD_ISSR_208001535_DIV_PAID" localSheetId="1">ITX.MC_Validation_Sheet!$104:$104</definedName>
    <definedName name="V_KEYWORD_ISSR_208001535_DIVDS_ASSOC_JV" localSheetId="1">ITX.MC_Validation_Sheet!$121:$121</definedName>
    <definedName name="V_KEYWORD_ISSR_208001535_DIVDS_PD_MINORITIES" localSheetId="1">ITX.MC_Validation_Sheet!$125:$125</definedName>
    <definedName name="V_KEYWORD_ISSR_208001535_DIVEST" localSheetId="1">ITX.MC_Validation_Sheet!$101:$101</definedName>
    <definedName name="V_KEYWORD_ISSR_208001535_EBIT" localSheetId="1">ITX.MC_Validation_Sheet!$22:$22</definedName>
    <definedName name="V_KEYWORD_ISSR_208001535_EBITDA_CALC" localSheetId="1">ITX.MC_Validation_Sheet!$19:$19</definedName>
    <definedName name="V_KEYWORD_ISSR_208001535_EMPLOYEES" localSheetId="1">ITX.MC_Validation_Sheet!$127:$127</definedName>
    <definedName name="V_KEYWORD_ISSR_208001535_EQ" localSheetId="1">ITX.MC_Validation_Sheet!$72:$72</definedName>
    <definedName name="V_KEYWORD_ISSR_208001535_EXP_ALUMINIUM" localSheetId="1">ITX.MC_Validation_Sheet!$206:$206</definedName>
    <definedName name="V_KEYWORD_ISSR_208001535_EXP_BEEF" localSheetId="1">ITX.MC_Validation_Sheet!$216:$216</definedName>
    <definedName name="V_KEYWORD_ISSR_208001535_EXP_CHICKEN" localSheetId="1">ITX.MC_Validation_Sheet!$218:$218</definedName>
    <definedName name="V_KEYWORD_ISSR_208001535_EXP_COCOA" localSheetId="1">ITX.MC_Validation_Sheet!$215:$215</definedName>
    <definedName name="V_KEYWORD_ISSR_208001535_EXP_COFFEE" localSheetId="1">ITX.MC_Validation_Sheet!$214:$214</definedName>
    <definedName name="V_KEYWORD_ISSR_208001535_EXP_COPPER" localSheetId="1">ITX.MC_Validation_Sheet!$203:$203</definedName>
    <definedName name="V_KEYWORD_ISSR_208001535_EXP_CORN" localSheetId="1">ITX.MC_Validation_Sheet!$212:$212</definedName>
    <definedName name="V_KEYWORD_ISSR_208001535_EXP_COTTON" localSheetId="1">ITX.MC_Validation_Sheet!$213:$213</definedName>
    <definedName name="V_KEYWORD_ISSR_208001535_EXP_DAIRY" localSheetId="1">ITX.MC_Validation_Sheet!$219:$219</definedName>
    <definedName name="V_KEYWORD_ISSR_208001535_EXP_DIAMONDS" localSheetId="1">ITX.MC_Validation_Sheet!$207:$207</definedName>
    <definedName name="V_KEYWORD_ISSR_208001535_EXP_GOLD" localSheetId="1">ITX.MC_Validation_Sheet!$202:$202</definedName>
    <definedName name="V_KEYWORD_ISSR_208001535_EXP_NUTS" localSheetId="1">ITX.MC_Validation_Sheet!$220:$220</definedName>
    <definedName name="V_KEYWORD_ISSR_208001535_EXP_OIL_DERIV_NGLS_PLASTICS" localSheetId="1">ITX.MC_Validation_Sheet!$201:$201</definedName>
    <definedName name="V_KEYWORD_ISSR_208001535_EXP_OIL_PETRO_FUEL" localSheetId="1">ITX.MC_Validation_Sheet!$200:$200</definedName>
    <definedName name="V_KEYWORD_ISSR_208001535_EXP_OTH_COMMODITY" localSheetId="1">ITX.MC_Validation_Sheet!$224:$224</definedName>
    <definedName name="V_KEYWORD_ISSR_208001535_EXP_OTH_COST" localSheetId="1">ITX.MC_Validation_Sheet!$225:$225</definedName>
    <definedName name="V_KEYWORD_ISSR_208001535_EXP_PALM_OIL" localSheetId="1">ITX.MC_Validation_Sheet!$221:$221</definedName>
    <definedName name="V_KEYWORD_ISSR_208001535_EXP_PAPER_PULP" localSheetId="1">ITX.MC_Validation_Sheet!$208:$208</definedName>
    <definedName name="V_KEYWORD_ISSR_208001535_EXP_PLATINUM" localSheetId="1">ITX.MC_Validation_Sheet!$205:$205</definedName>
    <definedName name="V_KEYWORD_ISSR_208001535_EXP_PORK" localSheetId="1">ITX.MC_Validation_Sheet!$217:$217</definedName>
    <definedName name="V_KEYWORD_ISSR_208001535_EXP_SILVER" localSheetId="1">ITX.MC_Validation_Sheet!$204:$204</definedName>
    <definedName name="V_KEYWORD_ISSR_208001535_EXP_SOYBEAN" localSheetId="1">ITX.MC_Validation_Sheet!$211:$211</definedName>
    <definedName name="V_KEYWORD_ISSR_208001535_EXP_SUGAR" localSheetId="1">ITX.MC_Validation_Sheet!$210:$210</definedName>
    <definedName name="V_KEYWORD_ISSR_208001535_EXP_TOBACCO_LEAF" localSheetId="1">ITX.MC_Validation_Sheet!$222:$222</definedName>
    <definedName name="V_KEYWORD_ISSR_208001535_EXP_WATER" localSheetId="1">ITX.MC_Validation_Sheet!$223:$223</definedName>
    <definedName name="V_KEYWORD_ISSR_208001535_EXP_WHEAT" localSheetId="1">ITX.MC_Validation_Sheet!$209:$209</definedName>
    <definedName name="V_KEYWORD_ISSR_208001535_FIX_ASS_INV" localSheetId="1">ITX.MC_Validation_Sheet!$55:$55</definedName>
    <definedName name="V_KEYWORD_ISSR_208001535_FLOATING_PCT_LOCAL_DEBT" localSheetId="1">ITX.MC_Validation_Sheet!$77:$77</definedName>
    <definedName name="V_KEYWORD_ISSR_208001535_FLOATING_PCT_LOCAL_DEBT_HEDGED" localSheetId="1">ITX.MC_Validation_Sheet!$78:$78</definedName>
    <definedName name="V_KEYWORD_ISSR_208001535_GCI_INFL" localSheetId="1">ITX.MC_Validation_Sheet!$90:$90</definedName>
    <definedName name="V_KEYWORD_ISSR_208001535_GOODWILL_AMORT" localSheetId="1">ITX.MC_Validation_Sheet!$21:$21</definedName>
    <definedName name="V_KEYWORD_ISSR_208001535_GR_FIX_ASS" localSheetId="1">ITX.MC_Validation_Sheet!$49:$49</definedName>
    <definedName name="V_KEYWORD_ISSR_208001535_GR_INTANG" localSheetId="1">ITX.MC_Validation_Sheet!$52:$52</definedName>
    <definedName name="V_KEYWORD_ISSR_208001535_GW_AMORT" localSheetId="1">ITX.MC_Validation_Sheet!$38:$38</definedName>
    <definedName name="V_KEYWORD_ISSR_208001535_INT_EXP_IND" localSheetId="1">ITX.MC_Validation_Sheet!$24:$24</definedName>
    <definedName name="V_KEYWORD_ISSR_208001535_INT_INC_IND" localSheetId="1">ITX.MC_Validation_Sheet!$23:$23</definedName>
    <definedName name="V_KEYWORD_ISSR_208001535_INV_SECUR" localSheetId="1">ITX.MC_Validation_Sheet!$56:$56</definedName>
    <definedName name="V_KEYWORD_ISSR_208001535_Issuer_Name" localSheetId="1">ITX.MC_Validation_Sheet!$6:$6</definedName>
    <definedName name="V_KEYWORD_ISSR_208001535_LEASE_ADOPT" localSheetId="1">ITX.MC_Validation_Sheet!$42:$42</definedName>
    <definedName name="V_KEYWORD_ISSR_208001535_LEASE_DEEM_DEPR" localSheetId="1">ITX.MC_Validation_Sheet!$35:$35</definedName>
    <definedName name="V_KEYWORD_ISSR_208001535_LEASE_DEEM_INT" localSheetId="1">ITX.MC_Validation_Sheet!$34:$34</definedName>
    <definedName name="V_KEYWORD_ISSR_208001535_LEASE_INT_CHG" localSheetId="1">ITX.MC_Validation_Sheet!$41:$41</definedName>
    <definedName name="V_KEYWORD_ISSR_208001535_LEASE_PAY" localSheetId="1">ITX.MC_Validation_Sheet!$33:$33</definedName>
    <definedName name="V_KEYWORD_ISSR_208001535_LEASE_PRINCIPAL_CASH" localSheetId="1">ITX.MC_Validation_Sheet!$107:$107</definedName>
    <definedName name="V_KEYWORD_ISSR_208001535_LT_DEBT" localSheetId="1">ITX.MC_Validation_Sheet!$64:$64</definedName>
    <definedName name="V_KEYWORD_ISSR_208001535_LT_LEASE_LIAB" localSheetId="1">ITX.MC_Validation_Sheet!$65:$65</definedName>
    <definedName name="V_KEYWORD_ISSR_208001535_MA_PROB" localSheetId="1">ITX.MC_Validation_Sheet!$9:$9</definedName>
    <definedName name="V_KEYWORD_ISSR_208001535_MINORITIES" localSheetId="1">ITX.MC_Validation_Sheet!$71:$71</definedName>
    <definedName name="V_KEYWORD_ISSR_208001535_MV_ASSOCIATES" localSheetId="1">ITX.MC_Validation_Sheet!$82:$82</definedName>
    <definedName name="V_KEYWORD_ISSR_208001535_NET_DEBT" localSheetId="1">ITX.MC_Validation_Sheet!$79:$79</definedName>
    <definedName name="V_KEYWORD_ISSR_208001535_NET_DEBT_ADJ" localSheetId="1">ITX.MC_Validation_Sheet!$83:$83</definedName>
    <definedName name="V_KEYWORD_ISSR_208001535_NET_FIX_ASS" localSheetId="1">ITX.MC_Validation_Sheet!$51:$51</definedName>
    <definedName name="V_KEYWORD_ISSR_208001535_NET_INT_CH" localSheetId="1">ITX.MC_Validation_Sheet!$36:$36</definedName>
    <definedName name="V_KEYWORD_ISSR_208001535_NET_INT_EXP" localSheetId="1">ITX.MC_Validation_Sheet!$25:$25</definedName>
    <definedName name="V_KEYWORD_ISSR_208001535_NET_INTANG" localSheetId="1">ITX.MC_Validation_Sheet!$54:$54</definedName>
    <definedName name="V_KEYWORD_ISSR_208001535_NONPPE_CAPEX" localSheetId="1">ITX.MC_Validation_Sheet!$124:$124</definedName>
    <definedName name="V_KEYWORD_ISSR_208001535_OP_COST" localSheetId="1">ITX.MC_Validation_Sheet!$14:$14</definedName>
    <definedName name="V_KEYWORD_ISSR_208001535_ORD_SH_FUND" localSheetId="1">ITX.MC_Validation_Sheet!$70:$70</definedName>
    <definedName name="V_KEYWORD_ISSR_208001535_ORG_REV" localSheetId="1">ITX.MC_Validation_Sheet!$31:$31</definedName>
    <definedName name="V_KEYWORD_ISSR_208001535_ORG_REV_GRTH" localSheetId="1">ITX.MC_Validation_Sheet!$32:$32</definedName>
    <definedName name="V_KEYWORD_ISSR_208001535_OTH_COST_INC" localSheetId="1">ITX.MC_Validation_Sheet!$28:$28</definedName>
    <definedName name="V_KEYWORD_ISSR_208001535_OTH_CUR_ASS" localSheetId="1">ITX.MC_Validation_Sheet!$47:$47</definedName>
    <definedName name="V_KEYWORD_ISSR_208001535_OTH_CUR_LIABS" localSheetId="1">ITX.MC_Validation_Sheet!$62:$62</definedName>
    <definedName name="V_KEYWORD_ISSR_208001535_OTH_DACF_ADJ" localSheetId="1">ITX.MC_Validation_Sheet!$118:$118</definedName>
    <definedName name="V_KEYWORD_ISSR_208001535_OTH_FIN_CF" localSheetId="1">ITX.MC_Validation_Sheet!$108:$108</definedName>
    <definedName name="V_KEYWORD_ISSR_208001535_OTH_GCI_ADJ" localSheetId="1">ITX.MC_Validation_Sheet!$89:$89</definedName>
    <definedName name="V_KEYWORD_ISSR_208001535_OTH_INT_AMORT" localSheetId="1">ITX.MC_Validation_Sheet!$39:$39</definedName>
    <definedName name="V_KEYWORD_ISSR_208001535_OTH_INV_CF" localSheetId="1">ITX.MC_Validation_Sheet!$102:$102</definedName>
    <definedName name="V_KEYWORD_ISSR_208001535_OTH_ITEM_NCF" localSheetId="1">ITX.MC_Validation_Sheet!$110:$110</definedName>
    <definedName name="V_KEYWORD_ISSR_208001535_OTH_LT_ASS" localSheetId="1">ITX.MC_Validation_Sheet!$57:$57</definedName>
    <definedName name="V_KEYWORD_ISSR_208001535_OTH_LT_CRED_GQ" localSheetId="1">ITX.MC_Validation_Sheet!$66:$66</definedName>
    <definedName name="V_KEYWORD_ISSR_208001535_OTH_NONCASH_ADJ" localSheetId="1">ITX.MC_Validation_Sheet!$117:$117</definedName>
    <definedName name="V_KEYWORD_ISSR_208001535_OTH_OP_CF" localSheetId="1">ITX.MC_Validation_Sheet!$97:$97</definedName>
    <definedName name="V_KEYWORD_ISSR_208001535_OTH_OP_INC_EXP" localSheetId="1">ITX.MC_Validation_Sheet!$16:$16</definedName>
    <definedName name="V_KEYWORD_ISSR_208001535_PERIOD_MILESTONE" localSheetId="1">ITX.MC_Validation_Sheet!$2:$2</definedName>
    <definedName name="V_KEYWORD_ISSR_208001535_PL_SALE_ASSETS" localSheetId="1">ITX.MC_Validation_Sheet!$116:$116</definedName>
    <definedName name="V_KEYWORD_ISSR_208001535_PREF_SH" localSheetId="1">ITX.MC_Validation_Sheet!$69:$69</definedName>
    <definedName name="V_KEYWORD_ISSR_208001535_PROFIT_ON_DISP" localSheetId="1">ITX.MC_Validation_Sheet!$27:$27</definedName>
    <definedName name="V_KEYWORD_ISSR_208001535_PT_PROF" localSheetId="1">ITX.MC_Validation_Sheet!$29:$29</definedName>
    <definedName name="V_KEYWORD_ISSR_208001535_RD_EXP" localSheetId="1">ITX.MC_Validation_Sheet!$15:$15</definedName>
    <definedName name="V_KEYWORD_ISSR_208001535_RETAIL_SSS_PCT_CHG" localSheetId="1">ITX.MC_Validation_Sheet!$129:$129</definedName>
    <definedName name="V_KEYWORD_ISSR_208001535_ROU_ASSET" localSheetId="1">ITX.MC_Validation_Sheet!$92:$92</definedName>
    <definedName name="V_KEYWORD_ISSR_208001535_SALES" localSheetId="1">ITX.MC_Validation_Sheet!$11:$11</definedName>
    <definedName name="V_KEYWORD_ISSR_208001535_SALES_ARGENTINA" localSheetId="1">ITX.MC_Validation_Sheet!$134:$134</definedName>
    <definedName name="V_KEYWORD_ISSR_208001535_SALES_AUSTRA" localSheetId="1">ITX.MC_Validation_Sheet!$177:$177</definedName>
    <definedName name="V_KEYWORD_ISSR_208001535_SALES_AUSTRIA" localSheetId="1">ITX.MC_Validation_Sheet!$141:$141</definedName>
    <definedName name="V_KEYWORD_ISSR_208001535_SALES_BEL" localSheetId="1">ITX.MC_Validation_Sheet!$142:$142</definedName>
    <definedName name="V_KEYWORD_ISSR_208001535_SALES_BRAZIL" localSheetId="1">ITX.MC_Validation_Sheet!$135:$135</definedName>
    <definedName name="V_KEYWORD_ISSR_208001535_SALES_CANADA" localSheetId="1">ITX.MC_Validation_Sheet!$131:$131</definedName>
    <definedName name="V_KEYWORD_ISSR_208001535_SALES_CEMENT" localSheetId="1">ITX.MC_Validation_Sheet!$195:$195</definedName>
    <definedName name="V_KEYWORD_ISSR_208001535_SALES_CHILE" localSheetId="1">ITX.MC_Validation_Sheet!$136:$136</definedName>
    <definedName name="V_KEYWORD_ISSR_208001535_SALES_CHINA" localSheetId="1">ITX.MC_Validation_Sheet!$172:$172</definedName>
    <definedName name="V_KEYWORD_ISSR_208001535_SALES_COLOMBIA" localSheetId="1">ITX.MC_Validation_Sheet!$137:$137</definedName>
    <definedName name="V_KEYWORD_ISSR_208001535_SALES_CONS" localSheetId="1">ITX.MC_Validation_Sheet!$184:$184</definedName>
    <definedName name="V_KEYWORD_ISSR_208001535_SALES_FINAN" localSheetId="1">ITX.MC_Validation_Sheet!$187:$187</definedName>
    <definedName name="V_KEYWORD_ISSR_208001535_SALES_FRA" localSheetId="1">ITX.MC_Validation_Sheet!$143:$143</definedName>
    <definedName name="V_KEYWORD_ISSR_208001535_SALES_FX_EUR" localSheetId="1">ITX.MC_Validation_Sheet!$228:$228</definedName>
    <definedName name="V_KEYWORD_ISSR_208001535_SALES_FX_GPB" localSheetId="1">ITX.MC_Validation_Sheet!$227:$227</definedName>
    <definedName name="V_KEYWORD_ISSR_208001535_SALES_GER" localSheetId="1">ITX.MC_Validation_Sheet!$144:$144</definedName>
    <definedName name="V_KEYWORD_ISSR_208001535_SALES_GLASS" localSheetId="1">ITX.MC_Validation_Sheet!$194:$194</definedName>
    <definedName name="V_KEYWORD_ISSR_208001535_SALES_GOV" localSheetId="1">ITX.MC_Validation_Sheet!$186:$186</definedName>
    <definedName name="V_KEYWORD_ISSR_208001535_SALES_GRE" localSheetId="1">ITX.MC_Validation_Sheet!$145:$145</definedName>
    <definedName name="V_KEYWORD_ISSR_208001535_SALES_HONG_KONG" localSheetId="1">ITX.MC_Validation_Sheet!$166:$166</definedName>
    <definedName name="V_KEYWORD_ISSR_208001535_SALES_IND" localSheetId="1">ITX.MC_Validation_Sheet!$185:$185</definedName>
    <definedName name="V_KEYWORD_ISSR_208001535_SALES_INDIA" localSheetId="1">ITX.MC_Validation_Sheet!$173:$173</definedName>
    <definedName name="V_KEYWORD_ISSR_208001535_SALES_INDONESIA" localSheetId="1">ITX.MC_Validation_Sheet!$174:$174</definedName>
    <definedName name="V_KEYWORD_ISSR_208001535_SALES_IRE" localSheetId="1">ITX.MC_Validation_Sheet!$146:$146</definedName>
    <definedName name="V_KEYWORD_ISSR_208001535_SALES_ITA" localSheetId="1">ITX.MC_Validation_Sheet!$147:$147</definedName>
    <definedName name="V_KEYWORD_ISSR_208001535_SALES_JAPAN" localSheetId="1">ITX.MC_Validation_Sheet!$167:$167</definedName>
    <definedName name="V_KEYWORD_ISSR_208001535_SALES_LUMBER" localSheetId="1">ITX.MC_Validation_Sheet!$193:$193</definedName>
    <definedName name="V_KEYWORD_ISSR_208001535_SALES_MEXICO" localSheetId="1">ITX.MC_Validation_Sheet!$138:$138</definedName>
    <definedName name="V_KEYWORD_ISSR_208001535_SALES_NETH" localSheetId="1">ITX.MC_Validation_Sheet!$148:$148</definedName>
    <definedName name="V_KEYWORD_ISSR_208001535_SALES_NIGERIA" localSheetId="1">ITX.MC_Validation_Sheet!$163:$163</definedName>
    <definedName name="V_KEYWORD_ISSR_208001535_SALES_NOR" localSheetId="1">ITX.MC_Validation_Sheet!$149:$149</definedName>
    <definedName name="V_KEYWORD_ISSR_208001535_SALES_NZ" localSheetId="1">ITX.MC_Validation_Sheet!$178:$178</definedName>
    <definedName name="V_KEYWORD_ISSR_208001535_SALES_OIL_GAS" localSheetId="1">ITX.MC_Validation_Sheet!$188:$188</definedName>
    <definedName name="V_KEYWORD_ISSR_208001535_SALES_OIL_PETRO_FUEL" localSheetId="1">ITX.MC_Validation_Sheet!$190:$190</definedName>
    <definedName name="V_KEYWORD_ISSR_208001535_SALES_OTH_AFRICA" localSheetId="1">ITX.MC_Validation_Sheet!$165:$165</definedName>
    <definedName name="V_KEYWORD_ISSR_208001535_SALES_OTH_CEE" localSheetId="1">ITX.MC_Validation_Sheet!$159:$159</definedName>
    <definedName name="V_KEYWORD_ISSR_208001535_SALES_OTH_COMMODITY" localSheetId="1">ITX.MC_Validation_Sheet!$197:$197</definedName>
    <definedName name="V_KEYWORD_ISSR_208001535_SALES_OTH_DEV_ASIA" localSheetId="1">ITX.MC_Validation_Sheet!$171:$171</definedName>
    <definedName name="V_KEYWORD_ISSR_208001535_SALES_OTH_EMERG_ASIA" localSheetId="1">ITX.MC_Validation_Sheet!$176:$176</definedName>
    <definedName name="V_KEYWORD_ISSR_208001535_SALES_OTH_LATAM" localSheetId="1">ITX.MC_Validation_Sheet!$140:$140</definedName>
    <definedName name="V_KEYWORD_ISSR_208001535_SALES_OTH_ME" localSheetId="1">ITX.MC_Validation_Sheet!$162:$162</definedName>
    <definedName name="V_KEYWORD_ISSR_208001535_SALES_OTH_NO_AMER" localSheetId="1">ITX.MC_Validation_Sheet!$133:$133</definedName>
    <definedName name="V_KEYWORD_ISSR_208001535_SALES_OTH_SALES_SOURCES" localSheetId="1">ITX.MC_Validation_Sheet!$198:$198</definedName>
    <definedName name="V_KEYWORD_ISSR_208001535_SALES_OTH_WEST_EURO" localSheetId="1">ITX.MC_Validation_Sheet!$155:$155</definedName>
    <definedName name="V_KEYWORD_ISSR_208001535_SALES_OTHER" localSheetId="1">ITX.MC_Validation_Sheet!$179:$179</definedName>
    <definedName name="V_KEYWORD_ISSR_208001535_SALES_PAPER_PULP" localSheetId="1">ITX.MC_Validation_Sheet!$192:$192</definedName>
    <definedName name="V_KEYWORD_ISSR_208001535_SALES_POLAND" localSheetId="1">ITX.MC_Validation_Sheet!$156:$156</definedName>
    <definedName name="V_KEYWORD_ISSR_208001535_SALES_POR" localSheetId="1">ITX.MC_Validation_Sheet!$150:$150</definedName>
    <definedName name="V_KEYWORD_ISSR_208001535_SALES_RUSSIA" localSheetId="1">ITX.MC_Validation_Sheet!$157:$157</definedName>
    <definedName name="V_KEYWORD_ISSR_208001535_SALES_SAUDI_ARABIA" localSheetId="1">ITX.MC_Validation_Sheet!$160:$160</definedName>
    <definedName name="V_KEYWORD_ISSR_208001535_SALES_SINGAPORE" localSheetId="1">ITX.MC_Validation_Sheet!$168:$168</definedName>
    <definedName name="V_KEYWORD_ISSR_208001535_SALES_SK" localSheetId="1">ITX.MC_Validation_Sheet!$169:$169</definedName>
    <definedName name="V_KEYWORD_ISSR_208001535_SALES_SO_AFRICA" localSheetId="1">ITX.MC_Validation_Sheet!$164:$164</definedName>
    <definedName name="V_KEYWORD_ISSR_208001535_SALES_SPA" localSheetId="1">ITX.MC_Validation_Sheet!$151:$151</definedName>
    <definedName name="V_KEYWORD_ISSR_208001535_SALES_STEEL" localSheetId="1">ITX.MC_Validation_Sheet!$191:$191</definedName>
    <definedName name="V_KEYWORD_ISSR_208001535_SALES_SWE" localSheetId="1">ITX.MC_Validation_Sheet!$152:$152</definedName>
    <definedName name="V_KEYWORD_ISSR_208001535_SALES_SWIT" localSheetId="1">ITX.MC_Validation_Sheet!$153:$153</definedName>
    <definedName name="V_KEYWORD_ISSR_208001535_SALES_TAIWAN" localSheetId="1">ITX.MC_Validation_Sheet!$170:$170</definedName>
    <definedName name="V_KEYWORD_ISSR_208001535_SALES_THAILAND" localSheetId="1">ITX.MC_Validation_Sheet!$175:$175</definedName>
    <definedName name="V_KEYWORD_ISSR_208001535_SALES_TOBACCO_LEAF" localSheetId="1">ITX.MC_Validation_Sheet!$196:$196</definedName>
    <definedName name="V_KEYWORD_ISSR_208001535_SALES_TURKEY" localSheetId="1">ITX.MC_Validation_Sheet!$158:$158</definedName>
    <definedName name="V_KEYWORD_ISSR_208001535_SALES_UAE" localSheetId="1">ITX.MC_Validation_Sheet!$161:$161</definedName>
    <definedName name="V_KEYWORD_ISSR_208001535_SALES_UK" localSheetId="1">ITX.MC_Validation_Sheet!$154:$154</definedName>
    <definedName name="V_KEYWORD_ISSR_208001535_SALES_US" localSheetId="1">ITX.MC_Validation_Sheet!$132:$132</definedName>
    <definedName name="V_KEYWORD_ISSR_208001535_SALES_VENEZUELA" localSheetId="1">ITX.MC_Validation_Sheet!$139:$139</definedName>
    <definedName name="V_KEYWORD_ISSR_208001535_SEL_GL_AD" localSheetId="1">ITX.MC_Validation_Sheet!$13:$13</definedName>
    <definedName name="V_KEYWORD_ISSR_208001535_SGA_PCT_ROW" localSheetId="1">ITX.MC_Validation_Sheet!$183:$183</definedName>
    <definedName name="V_KEYWORD_ISSR_208001535_SGA_PCT_US" localSheetId="1">ITX.MC_Validation_Sheet!$182:$182</definedName>
    <definedName name="V_KEYWORD_ISSR_208001535_SH_REPUR" localSheetId="1">ITX.MC_Validation_Sheet!$105:$105</definedName>
    <definedName name="V_KEYWORD_ISSR_208001535_SHORT_T_DEBT" localSheetId="1">ITX.MC_Validation_Sheet!$60:$60</definedName>
    <definedName name="V_KEYWORD_ISSR_208001535_SHORT_TERM_LIABS" localSheetId="1">ITX.MC_Validation_Sheet!$63:$63</definedName>
    <definedName name="V_KEYWORD_ISSR_208001535_ST_LEASE_LIAB" localSheetId="1">ITX.MC_Validation_Sheet!$61:$61</definedName>
    <definedName name="V_KEYWORD_ISSR_208001535_STOCKS" localSheetId="1">ITX.MC_Validation_Sheet!$46:$46</definedName>
    <definedName name="V_KEYWORD_ISSR_208001535_TOT_ASSET" localSheetId="1">ITX.MC_Validation_Sheet!$58:$58</definedName>
    <definedName name="V_KEYWORD_ISSR_208001535_TOT_CF" localSheetId="1">ITX.MC_Validation_Sheet!$111:$111</definedName>
    <definedName name="V_KEYWORD_ISSR_208001535_TOT_LIAB" localSheetId="1">ITX.MC_Validation_Sheet!$68:$68</definedName>
    <definedName name="V_KEYWORD_ISSR_208001535_TOT_LIAB_EQ" localSheetId="1">ITX.MC_Validation_Sheet!$73:$73</definedName>
    <definedName name="V_KEYWORD_ISSR_208001535_TOT_LT_LIAB" localSheetId="1">ITX.MC_Validation_Sheet!$67:$67</definedName>
    <definedName name="V_KEYWORD_ISSR_208001535_TOT_OPS_EXP" localSheetId="1">ITX.MC_Validation_Sheet!$18:$18</definedName>
    <definedName name="V_KEYWORD_ISSR_208001535_TOT_OPS_EXP_DDA" localSheetId="1">ITX.MC_Validation_Sheet!$17:$17</definedName>
    <definedName name="V_KEYWORD_ISSR_208001535_TOT_PCT_USD_DEBT_HEDGED" localSheetId="1">ITX.MC_Validation_Sheet!$76:$76</definedName>
    <definedName name="V_KEYWORD_ISSR_208001535_TOT_USD_DEBT" localSheetId="1">ITX.MC_Validation_Sheet!$75:$75</definedName>
    <definedName name="V_KEYWORD_ISSR_208001535_UNF_PENS" localSheetId="1">ITX.MC_Validation_Sheet!$85:$85</definedName>
    <definedName name="V_KEYWORD_ISSR_208001535_UNF_PENS_LIAB_OTH" localSheetId="1">ITX.MC_Validation_Sheet!$87:$87</definedName>
    <definedName name="V_KEYWORD_ISSR_208001535_UNF_PENS_OFF" localSheetId="1">ITX.MC_Validation_Sheet!$86:$86</definedName>
    <definedName name="V_KEYWORD_ISSR_208001535_WORK_CAP" localSheetId="1">ITX.MC_Validation_Sheet!$96:$96</definedName>
    <definedName name="V_LIVEDATA_ISSR_208001535" localSheetId="1">ITX.MC_Validation_Sheet!$B$4</definedName>
    <definedName name="V_PERIOD_1997" localSheetId="1">ITX.MC_Validation_Sheet!$F:$F</definedName>
    <definedName name="V_PERIOD_1998" localSheetId="1">ITX.MC_Validation_Sheet!$G:$G</definedName>
    <definedName name="V_PERIOD_1999" localSheetId="1">ITX.MC_Validation_Sheet!$H:$H</definedName>
    <definedName name="V_PERIOD_2000" localSheetId="1">ITX.MC_Validation_Sheet!$I:$I</definedName>
    <definedName name="V_PERIOD_2001" localSheetId="1">ITX.MC_Validation_Sheet!$J:$J</definedName>
    <definedName name="V_PERIOD_2002" localSheetId="1">ITX.MC_Validation_Sheet!$K:$K</definedName>
    <definedName name="V_PERIOD_2003" localSheetId="1">ITX.MC_Validation_Sheet!$L:$L</definedName>
    <definedName name="V_PERIOD_2004" localSheetId="1">ITX.MC_Validation_Sheet!$M:$M</definedName>
    <definedName name="V_PERIOD_2004_Q1" localSheetId="1">ITX.MC_Validation_Sheet!$AK:$AK</definedName>
    <definedName name="V_PERIOD_2004_Q2" localSheetId="1">ITX.MC_Validation_Sheet!$AL:$AL</definedName>
    <definedName name="V_PERIOD_2004_Q3" localSheetId="1">ITX.MC_Validation_Sheet!$AM:$AM</definedName>
    <definedName name="V_PERIOD_2004_Q4" localSheetId="1">ITX.MC_Validation_Sheet!$AN:$AN</definedName>
    <definedName name="V_PERIOD_2005" localSheetId="1">ITX.MC_Validation_Sheet!$N:$N</definedName>
    <definedName name="V_PERIOD_2005_Q1" localSheetId="1">ITX.MC_Validation_Sheet!$AO:$AO</definedName>
    <definedName name="V_PERIOD_2005_Q2" localSheetId="1">ITX.MC_Validation_Sheet!$AP:$AP</definedName>
    <definedName name="V_PERIOD_2005_Q3" localSheetId="1">ITX.MC_Validation_Sheet!$AQ:$AQ</definedName>
    <definedName name="V_PERIOD_2005_Q4" localSheetId="1">ITX.MC_Validation_Sheet!$AR:$AR</definedName>
    <definedName name="V_PERIOD_2006" localSheetId="1">ITX.MC_Validation_Sheet!$O:$O</definedName>
    <definedName name="V_PERIOD_2006_Q1" localSheetId="1">ITX.MC_Validation_Sheet!$AS:$AS</definedName>
    <definedName name="V_PERIOD_2006_Q2" localSheetId="1">ITX.MC_Validation_Sheet!$AT:$AT</definedName>
    <definedName name="V_PERIOD_2006_Q3" localSheetId="1">ITX.MC_Validation_Sheet!$AU:$AU</definedName>
    <definedName name="V_PERIOD_2006_Q4" localSheetId="1">ITX.MC_Validation_Sheet!$AV:$AV</definedName>
    <definedName name="V_PERIOD_2007" localSheetId="1">ITX.MC_Validation_Sheet!$P:$P</definedName>
    <definedName name="V_PERIOD_2007_Q1" localSheetId="1">ITX.MC_Validation_Sheet!$AW:$AW</definedName>
    <definedName name="V_PERIOD_2007_Q2" localSheetId="1">ITX.MC_Validation_Sheet!$AX:$AX</definedName>
    <definedName name="V_PERIOD_2007_Q3" localSheetId="1">ITX.MC_Validation_Sheet!$AY:$AY</definedName>
    <definedName name="V_PERIOD_2007_Q4" localSheetId="1">ITX.MC_Validation_Sheet!$AZ:$AZ</definedName>
    <definedName name="V_PERIOD_2008" localSheetId="1">ITX.MC_Validation_Sheet!$Q:$Q</definedName>
    <definedName name="V_PERIOD_2008_Q1" localSheetId="1">ITX.MC_Validation_Sheet!$BA:$BA</definedName>
    <definedName name="V_PERIOD_2008_Q2" localSheetId="1">ITX.MC_Validation_Sheet!$BB:$BB</definedName>
    <definedName name="V_PERIOD_2008_Q3" localSheetId="1">ITX.MC_Validation_Sheet!$BC:$BC</definedName>
    <definedName name="V_PERIOD_2008_Q4" localSheetId="1">ITX.MC_Validation_Sheet!$BD:$BD</definedName>
    <definedName name="V_PERIOD_2009" localSheetId="1">ITX.MC_Validation_Sheet!$R:$R</definedName>
    <definedName name="V_PERIOD_2009_Q1" localSheetId="1">ITX.MC_Validation_Sheet!$BE:$BE</definedName>
    <definedName name="V_PERIOD_2009_Q2" localSheetId="1">ITX.MC_Validation_Sheet!$BF:$BF</definedName>
    <definedName name="V_PERIOD_2009_Q3" localSheetId="1">ITX.MC_Validation_Sheet!$BG:$BG</definedName>
    <definedName name="V_PERIOD_2009_Q4" localSheetId="1">ITX.MC_Validation_Sheet!$BH:$BH</definedName>
    <definedName name="V_PERIOD_2010" localSheetId="1">ITX.MC_Validation_Sheet!$S:$S</definedName>
    <definedName name="V_PERIOD_2010_Q1" localSheetId="1">ITX.MC_Validation_Sheet!$BI:$BI</definedName>
    <definedName name="V_PERIOD_2010_Q2" localSheetId="1">ITX.MC_Validation_Sheet!$BJ:$BJ</definedName>
    <definedName name="V_PERIOD_2010_Q3" localSheetId="1">ITX.MC_Validation_Sheet!$BK:$BK</definedName>
    <definedName name="V_PERIOD_2010_Q4" localSheetId="1">ITX.MC_Validation_Sheet!$BL:$BL</definedName>
    <definedName name="V_PERIOD_2011" localSheetId="1">ITX.MC_Validation_Sheet!$T:$T</definedName>
    <definedName name="V_PERIOD_2011_Q1" localSheetId="1">ITX.MC_Validation_Sheet!$BM:$BM</definedName>
    <definedName name="V_PERIOD_2011_Q2" localSheetId="1">ITX.MC_Validation_Sheet!$BN:$BN</definedName>
    <definedName name="V_PERIOD_2011_Q3" localSheetId="1">ITX.MC_Validation_Sheet!$BO:$BO</definedName>
    <definedName name="V_PERIOD_2011_Q4" localSheetId="1">ITX.MC_Validation_Sheet!$BP:$BP</definedName>
    <definedName name="V_PERIOD_2012" localSheetId="1">ITX.MC_Validation_Sheet!$U:$U</definedName>
    <definedName name="V_PERIOD_2012_Q1" localSheetId="1">ITX.MC_Validation_Sheet!$BQ:$BQ</definedName>
    <definedName name="V_PERIOD_2012_Q2" localSheetId="1">ITX.MC_Validation_Sheet!$BR:$BR</definedName>
    <definedName name="V_PERIOD_2012_Q3" localSheetId="1">ITX.MC_Validation_Sheet!$BS:$BS</definedName>
    <definedName name="V_PERIOD_2012_Q4" localSheetId="1">ITX.MC_Validation_Sheet!$BT:$BT</definedName>
    <definedName name="V_PERIOD_2013" localSheetId="1">ITX.MC_Validation_Sheet!$V:$V</definedName>
    <definedName name="V_PERIOD_2013_Q1" localSheetId="1">ITX.MC_Validation_Sheet!$BU:$BU</definedName>
    <definedName name="V_PERIOD_2013_Q2" localSheetId="1">ITX.MC_Validation_Sheet!$BV:$BV</definedName>
    <definedName name="V_PERIOD_2013_Q3" localSheetId="1">ITX.MC_Validation_Sheet!$BW:$BW</definedName>
    <definedName name="V_PERIOD_2013_Q4" localSheetId="1">ITX.MC_Validation_Sheet!$BX:$BX</definedName>
    <definedName name="V_PERIOD_2014" localSheetId="1">ITX.MC_Validation_Sheet!$W:$W</definedName>
    <definedName name="V_PERIOD_2014_Q1" localSheetId="1">ITX.MC_Validation_Sheet!$BY:$BY</definedName>
    <definedName name="V_PERIOD_2014_Q2" localSheetId="1">ITX.MC_Validation_Sheet!$BZ:$BZ</definedName>
    <definedName name="V_PERIOD_2014_Q3" localSheetId="1">ITX.MC_Validation_Sheet!$CA:$CA</definedName>
    <definedName name="V_PERIOD_2014_Q4" localSheetId="1">ITX.MC_Validation_Sheet!$CB:$CB</definedName>
    <definedName name="V_PERIOD_2015" localSheetId="1">ITX.MC_Validation_Sheet!$X:$X</definedName>
    <definedName name="V_PERIOD_2015_Q1" localSheetId="1">ITX.MC_Validation_Sheet!$CC:$CC</definedName>
    <definedName name="V_PERIOD_2015_Q2" localSheetId="1">ITX.MC_Validation_Sheet!$CD:$CD</definedName>
    <definedName name="V_PERIOD_2015_Q3" localSheetId="1">ITX.MC_Validation_Sheet!$CE:$CE</definedName>
    <definedName name="V_PERIOD_2015_Q4" localSheetId="1">ITX.MC_Validation_Sheet!$CF:$CF</definedName>
    <definedName name="V_PERIOD_2016" localSheetId="1">ITX.MC_Validation_Sheet!$Y:$Y</definedName>
    <definedName name="V_PERIOD_2016_Q1" localSheetId="1">ITX.MC_Validation_Sheet!$CG:$CG</definedName>
    <definedName name="V_PERIOD_2016_Q2" localSheetId="1">ITX.MC_Validation_Sheet!$CH:$CH</definedName>
    <definedName name="V_PERIOD_2016_Q3" localSheetId="1">ITX.MC_Validation_Sheet!$CI:$CI</definedName>
    <definedName name="V_PERIOD_2016_Q4" localSheetId="1">ITX.MC_Validation_Sheet!$CJ:$CJ</definedName>
    <definedName name="V_PERIOD_2017" localSheetId="1">ITX.MC_Validation_Sheet!$Z:$Z</definedName>
    <definedName name="V_PERIOD_2017_Q1" localSheetId="1">ITX.MC_Validation_Sheet!$CK:$CK</definedName>
    <definedName name="V_PERIOD_2017_Q2" localSheetId="1">ITX.MC_Validation_Sheet!$CL:$CL</definedName>
    <definedName name="V_PERIOD_2017_Q3" localSheetId="1">ITX.MC_Validation_Sheet!$CM:$CM</definedName>
    <definedName name="V_PERIOD_2017_Q4" localSheetId="1">ITX.MC_Validation_Sheet!$CN:$CN</definedName>
    <definedName name="V_PERIOD_2018" localSheetId="1">ITX.MC_Validation_Sheet!$AA:$AA</definedName>
    <definedName name="V_PERIOD_2018_Q1" localSheetId="1">ITX.MC_Validation_Sheet!$CO:$CO</definedName>
    <definedName name="V_PERIOD_2018_Q2" localSheetId="1">ITX.MC_Validation_Sheet!$CP:$CP</definedName>
    <definedName name="V_PERIOD_2018_Q3" localSheetId="1">ITX.MC_Validation_Sheet!$CQ:$CQ</definedName>
    <definedName name="V_PERIOD_2018_Q4" localSheetId="1">ITX.MC_Validation_Sheet!$CR:$CR</definedName>
    <definedName name="V_PERIOD_2019" localSheetId="1">ITX.MC_Validation_Sheet!$AB:$AB</definedName>
    <definedName name="V_PERIOD_2019_Q1" localSheetId="1">ITX.MC_Validation_Sheet!$CS:$CS</definedName>
    <definedName name="V_PERIOD_2019_Q2" localSheetId="1">ITX.MC_Validation_Sheet!$CT:$CT</definedName>
    <definedName name="V_PERIOD_2019_Q3" localSheetId="1">ITX.MC_Validation_Sheet!$CU:$CU</definedName>
    <definedName name="V_PERIOD_2019_Q4" localSheetId="1">ITX.MC_Validation_Sheet!$CV:$CV</definedName>
    <definedName name="V_PERIOD_2020" localSheetId="1">ITX.MC_Validation_Sheet!$AC:$AC</definedName>
    <definedName name="V_PERIOD_2020_Q1" localSheetId="1">ITX.MC_Validation_Sheet!$CW:$CW</definedName>
    <definedName name="V_PERIOD_2020_Q2" localSheetId="1">ITX.MC_Validation_Sheet!$CX:$CX</definedName>
    <definedName name="V_PERIOD_2020_Q3" localSheetId="1">ITX.MC_Validation_Sheet!$CY:$CY</definedName>
    <definedName name="V_PERIOD_2020_Q4" localSheetId="1">ITX.MC_Validation_Sheet!$CZ:$CZ</definedName>
    <definedName name="V_PERIOD_2021" localSheetId="1">ITX.MC_Validation_Sheet!$AD:$AD</definedName>
    <definedName name="V_PERIOD_2021_Q1" localSheetId="1">ITX.MC_Validation_Sheet!$DA:$DA</definedName>
    <definedName name="V_PERIOD_2021_Q2" localSheetId="1">ITX.MC_Validation_Sheet!$DB:$DB</definedName>
    <definedName name="V_PERIOD_2021_Q3" localSheetId="1">ITX.MC_Validation_Sheet!$DC:$DC</definedName>
    <definedName name="V_PERIOD_2021_Q4" localSheetId="1">ITX.MC_Validation_Sheet!$DD:$DD</definedName>
    <definedName name="V_PERIOD_2022" localSheetId="1">ITX.MC_Validation_Sheet!$AE:$AE</definedName>
    <definedName name="V_PERIOD_2022_Q1" localSheetId="1">ITX.MC_Validation_Sheet!$DE:$DE</definedName>
    <definedName name="V_PERIOD_2022_Q2" localSheetId="1">ITX.MC_Validation_Sheet!$DF:$DF</definedName>
    <definedName name="V_PERIOD_2022_Q3" localSheetId="1">ITX.MC_Validation_Sheet!$DG:$DG</definedName>
    <definedName name="V_PERIOD_2022_Q4" localSheetId="1">ITX.MC_Validation_Sheet!$DH:$DH</definedName>
    <definedName name="V_PERIOD_2023" localSheetId="1">ITX.MC_Validation_Sheet!$AF:$AF</definedName>
    <definedName name="V_PERIOD_2023_Q1" localSheetId="1">ITX.MC_Validation_Sheet!$DI:$DI</definedName>
    <definedName name="V_PERIOD_2023_Q2" localSheetId="1">ITX.MC_Validation_Sheet!$DJ:$DJ</definedName>
    <definedName name="V_PERIOD_2023_Q3" localSheetId="1">ITX.MC_Validation_Sheet!$DK:$DK</definedName>
    <definedName name="V_PERIOD_2023_Q4" localSheetId="1">ITX.MC_Validation_Sheet!$DL:$DL</definedName>
    <definedName name="V_PERIOD_2024" localSheetId="1">ITX.MC_Validation_Sheet!$AG:$AG</definedName>
    <definedName name="V_PERIOD_2025" localSheetId="1">ITX.MC_Validation_Sheet!$AH:$AH</definedName>
    <definedName name="V_PERIOD_2026" localSheetId="1">ITX.MC_Validation_Sheet!$AI:$AI</definedName>
    <definedName name="V_SECTION_ISSR_208001535_1314" localSheetId="1">ITX.MC_Validation_Sheet!$43:$43</definedName>
    <definedName name="V_SECTION_ISSR_208001535_13168" localSheetId="1">ITX.MC_Validation_Sheet!$130:$130</definedName>
    <definedName name="V_SECTION_ISSR_208001535_1316S" localSheetId="1">ITX.MC_Validation_Sheet!$189:$189</definedName>
    <definedName name="V_SECTION_ISSR_208001535_1316T" localSheetId="1">ITX.MC_Validation_Sheet!$199:$199</definedName>
    <definedName name="V_SECTION_ISSR_208001535_1316U" localSheetId="1">ITX.MC_Validation_Sheet!$226:$226</definedName>
    <definedName name="V_SECTION_ISSR_208001535_1319" localSheetId="1">ITX.MC_Validation_Sheet!$74:$74</definedName>
    <definedName name="V_SECTION_ISSR_208001535_131E" localSheetId="1">ITX.MC_Validation_Sheet!$93:$93</definedName>
    <definedName name="V_SECTION_ISSR_208001535_131J" localSheetId="1">ITX.MC_Validation_Sheet!$112:$112</definedName>
    <definedName name="V_SECTION_ISSR_208001535_131O" localSheetId="1">ITX.MC_Validation_Sheet!$126:$126</definedName>
    <definedName name="V_SECTION_ISSR_208001535_131P" localSheetId="1">ITX.MC_Validation_Sheet!$128:$128</definedName>
    <definedName name="V_SECTION_ISSR_208001535_13A" localSheetId="1">ITX.MC_Validation_Sheet!$8:$8</definedName>
    <definedName name="V_SECTION_ISSR_208001535_13U" localSheetId="1">ITX.MC_Validation_Sheet!$10:$10</definedName>
    <definedName name="V_SECTION_ISSR_208001535_13V" localSheetId="1">ITX.MC_Validation_Sheet!$30:$30</definedName>
    <definedName name="V_SECTION_ISSR_208001535_Reference_Data" localSheetId="1">ITX.MC_Validation_Sheet!$5:$5</definedName>
    <definedName name="V_TEMPLATEHASH" localSheetId="1">ITX.MC_Validation_Sheet!$C$1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56" l="1"/>
  <c r="D33" i="56"/>
  <c r="D32" i="56"/>
  <c r="D31" i="56"/>
  <c r="D30" i="56"/>
  <c r="P32" i="56"/>
  <c r="P30" i="56"/>
  <c r="P28" i="56"/>
  <c r="M32" i="56"/>
  <c r="M30" i="56"/>
  <c r="M28" i="56"/>
  <c r="Q23" i="56"/>
  <c r="Q35" i="56"/>
  <c r="Q32" i="56"/>
  <c r="Q31" i="56"/>
  <c r="Q30" i="56"/>
  <c r="Q28" i="56"/>
  <c r="Q27" i="56"/>
  <c r="Q25" i="56"/>
  <c r="Q24" i="56"/>
  <c r="Q33" i="56"/>
  <c r="N32" i="56"/>
  <c r="N30" i="56"/>
  <c r="N27" i="56"/>
  <c r="N24" i="56"/>
  <c r="N25" i="56"/>
  <c r="N28" i="56"/>
  <c r="N23" i="56"/>
  <c r="N31" i="56"/>
  <c r="N35" i="56"/>
  <c r="O30" i="56" l="1"/>
  <c r="O28" i="56"/>
  <c r="O32" i="56"/>
  <c r="Q36" i="56"/>
  <c r="R32" i="56"/>
  <c r="R28" i="56"/>
  <c r="R30" i="56"/>
  <c r="N36" i="56"/>
  <c r="R9" i="33"/>
  <c r="R8" i="33"/>
  <c r="R7" i="33"/>
  <c r="R5" i="33"/>
  <c r="N33" i="56"/>
  <c r="Q34" i="56" l="1"/>
  <c r="AV205" i="32"/>
  <c r="AW205" i="32" s="1"/>
  <c r="AX205" i="32" s="1"/>
  <c r="AY205" i="32" s="1"/>
  <c r="AU140" i="32" l="1"/>
  <c r="AV140" i="32" s="1"/>
  <c r="AW140" i="32" s="1"/>
  <c r="AT20" i="32" l="1"/>
  <c r="AR21" i="32"/>
  <c r="AU146" i="32"/>
  <c r="AV146" i="32"/>
  <c r="AW146" i="32" s="1"/>
  <c r="AX146" i="32" s="1"/>
  <c r="AY146" i="32" s="1"/>
  <c r="P50" i="31"/>
  <c r="AO8" i="34"/>
  <c r="AX140" i="32" l="1"/>
  <c r="AY140" i="32" s="1"/>
  <c r="H37" i="31"/>
  <c r="C1" i="33" s="1"/>
  <c r="AT159" i="32"/>
  <c r="AR159" i="32" s="1"/>
  <c r="AP46" i="32"/>
  <c r="AP41" i="32"/>
  <c r="AP175" i="32"/>
  <c r="AR175" i="32" s="1"/>
  <c r="AP81" i="32"/>
  <c r="AQ21" i="32"/>
  <c r="AP21" i="32"/>
  <c r="AQ14" i="32"/>
  <c r="AP7" i="32"/>
  <c r="J28" i="56" l="1"/>
  <c r="AQ6" i="34"/>
  <c r="AQ5" i="34"/>
  <c r="AU143" i="32"/>
  <c r="AV143" i="32" s="1"/>
  <c r="AW143" i="32" s="1"/>
  <c r="AX143" i="32" s="1"/>
  <c r="AY143" i="32" s="1"/>
  <c r="AU262" i="32" l="1"/>
  <c r="AV262" i="32" s="1"/>
  <c r="AW262" i="32" s="1"/>
  <c r="AX262" i="32" s="1"/>
  <c r="AY262" i="32" s="1"/>
  <c r="AT21" i="32"/>
  <c r="AJ238" i="32" l="1"/>
  <c r="AO238" i="32"/>
  <c r="AJ231" i="32"/>
  <c r="AO231" i="32"/>
  <c r="AT225" i="32"/>
  <c r="AU225" i="32" s="1"/>
  <c r="AV225" i="32" s="1"/>
  <c r="AW225" i="32" s="1"/>
  <c r="AX225" i="32" s="1"/>
  <c r="AY225" i="32" s="1"/>
  <c r="AO205" i="32"/>
  <c r="AO195" i="32"/>
  <c r="AN175" i="32" l="1"/>
  <c r="AN174" i="32"/>
  <c r="AO166" i="32"/>
  <c r="AO80" i="32"/>
  <c r="AQ137" i="32" l="1"/>
  <c r="AP137" i="32"/>
  <c r="J12" i="31"/>
  <c r="AU136" i="32" l="1"/>
  <c r="G33" i="56"/>
  <c r="AR137" i="32"/>
  <c r="AM8" i="34"/>
  <c r="AO10" i="34"/>
  <c r="AN10" i="34"/>
  <c r="AM10" i="34"/>
  <c r="AL10" i="34"/>
  <c r="AO9" i="34"/>
  <c r="AN9" i="34"/>
  <c r="AM9" i="34"/>
  <c r="AL9" i="34"/>
  <c r="AL8" i="34"/>
  <c r="AP6" i="34"/>
  <c r="AP5" i="34"/>
  <c r="AS175" i="32"/>
  <c r="AS166" i="32"/>
  <c r="AS58" i="32"/>
  <c r="AS130" i="32" s="1"/>
  <c r="AR58" i="32"/>
  <c r="AR130" i="32" s="1"/>
  <c r="AQ58" i="32"/>
  <c r="AQ130" i="32" s="1"/>
  <c r="AP58" i="32"/>
  <c r="AP130" i="32" s="1"/>
  <c r="AQ17" i="32"/>
  <c r="G34" i="56" l="1"/>
  <c r="AR13" i="32"/>
  <c r="AR14" i="32" s="1"/>
  <c r="AR17" i="32" s="1"/>
  <c r="AS13" i="32"/>
  <c r="AV136" i="32"/>
  <c r="M33" i="56" s="1"/>
  <c r="O33" i="56" s="1"/>
  <c r="J33" i="56"/>
  <c r="AQ7" i="32"/>
  <c r="AQ10" i="32" s="1"/>
  <c r="AT13" i="32" l="1"/>
  <c r="M34" i="56"/>
  <c r="AT14" i="32"/>
  <c r="AS6" i="32"/>
  <c r="AQ4" i="34"/>
  <c r="AN8" i="34"/>
  <c r="AR6" i="32" s="1"/>
  <c r="AP4" i="34"/>
  <c r="AR7" i="32" l="1"/>
  <c r="AR10" i="32" s="1"/>
  <c r="AT6" i="32"/>
  <c r="AT7" i="32" s="1"/>
  <c r="S50" i="31"/>
  <c r="R50" i="31"/>
  <c r="AO45" i="32"/>
  <c r="AO40" i="32"/>
  <c r="AM51" i="32"/>
  <c r="AM49" i="32" s="1"/>
  <c r="AM46" i="32"/>
  <c r="AM44" i="32" s="1"/>
  <c r="AM41" i="32"/>
  <c r="AM39" i="32" s="1"/>
  <c r="Q50" i="31" l="1"/>
  <c r="AW136" i="32" l="1"/>
  <c r="AL166" i="32"/>
  <c r="AL44" i="32"/>
  <c r="AL55" i="32"/>
  <c r="AL41" i="32"/>
  <c r="AL39" i="32" s="1"/>
  <c r="AL19" i="32"/>
  <c r="D10" i="56"/>
  <c r="AU159" i="32"/>
  <c r="AV159" i="32" s="1"/>
  <c r="AX136" i="32" l="1"/>
  <c r="P33" i="56"/>
  <c r="AY136" i="32"/>
  <c r="AY137" i="32" s="1"/>
  <c r="AX137" i="32"/>
  <c r="AT137" i="32"/>
  <c r="R33" i="56" l="1"/>
  <c r="P34" i="56"/>
  <c r="AK44" i="32"/>
  <c r="AK55" i="32"/>
  <c r="AK175" i="32"/>
  <c r="AK166" i="32"/>
  <c r="AU137" i="32" l="1"/>
  <c r="AN166" i="32"/>
  <c r="AM137" i="32"/>
  <c r="AK137" i="32"/>
  <c r="AN58" i="32"/>
  <c r="AN130" i="32" s="1"/>
  <c r="AM58" i="32"/>
  <c r="AM130" i="32" s="1"/>
  <c r="AL58" i="32"/>
  <c r="AL130" i="32" s="1"/>
  <c r="AK58" i="32"/>
  <c r="AK130" i="32" s="1"/>
  <c r="AG10" i="34"/>
  <c r="AK19" i="32" s="1"/>
  <c r="AG9" i="34"/>
  <c r="AK12" i="32" s="1"/>
  <c r="AG8" i="34"/>
  <c r="AJ10" i="34"/>
  <c r="AH9" i="34"/>
  <c r="AL12" i="32" s="1"/>
  <c r="AM17" i="32"/>
  <c r="AL17" i="32"/>
  <c r="AM10" i="32"/>
  <c r="AL10" i="32"/>
  <c r="AJ80" i="32"/>
  <c r="AJ45" i="32"/>
  <c r="AJ40" i="32"/>
  <c r="AJ198" i="32"/>
  <c r="AJ205" i="32"/>
  <c r="AJ195" i="32"/>
  <c r="AJ186" i="32"/>
  <c r="D13" i="56" l="1"/>
  <c r="AH8" i="34"/>
  <c r="AL5" i="32" s="1"/>
  <c r="AK6" i="34"/>
  <c r="AK5" i="34"/>
  <c r="AK5" i="32"/>
  <c r="AH10" i="34"/>
  <c r="AI10" i="34"/>
  <c r="AM19" i="32" s="1"/>
  <c r="D11" i="63"/>
  <c r="D9" i="63"/>
  <c r="E9" i="63"/>
  <c r="D6" i="63"/>
  <c r="D4" i="63"/>
  <c r="E11" i="63"/>
  <c r="E6" i="63"/>
  <c r="E4" i="63"/>
  <c r="E12" i="63"/>
  <c r="D12" i="63"/>
  <c r="C12" i="63"/>
  <c r="D14" i="56" l="1"/>
  <c r="D12" i="56"/>
  <c r="AJ9" i="34"/>
  <c r="AI8" i="34"/>
  <c r="AM5" i="32" s="1"/>
  <c r="AI9" i="34"/>
  <c r="AM12" i="32" s="1"/>
  <c r="AJ8" i="34" l="1"/>
  <c r="AK4" i="34"/>
  <c r="AN33" i="32" l="1"/>
  <c r="AW159" i="32" l="1"/>
  <c r="AX159" i="32" s="1"/>
  <c r="AY159" i="32" s="1"/>
  <c r="AN133" i="32"/>
  <c r="AN55" i="32"/>
  <c r="G180" i="32"/>
  <c r="K44" i="31"/>
  <c r="H25" i="56"/>
  <c r="H32" i="56"/>
  <c r="E25" i="56"/>
  <c r="E30" i="56"/>
  <c r="E31" i="56"/>
  <c r="E24" i="56"/>
  <c r="H28" i="56"/>
  <c r="H31" i="56"/>
  <c r="E28" i="56"/>
  <c r="H24" i="56"/>
  <c r="H27" i="56"/>
  <c r="H23" i="56"/>
  <c r="E32" i="56"/>
  <c r="H30" i="56"/>
  <c r="E35" i="56"/>
  <c r="E27" i="56"/>
  <c r="E23" i="56"/>
  <c r="F32" i="56" l="1"/>
  <c r="F31" i="56"/>
  <c r="F30" i="56"/>
  <c r="E36" i="56"/>
  <c r="C252" i="54"/>
  <c r="D254" i="54"/>
  <c r="D252" i="54"/>
  <c r="H33" i="56"/>
  <c r="E33" i="56"/>
  <c r="E34" i="56" l="1"/>
  <c r="I33" i="56"/>
  <c r="F33" i="56"/>
  <c r="H34" i="56"/>
  <c r="D253" i="54" l="1"/>
  <c r="E216" i="54"/>
  <c r="N48" i="31"/>
  <c r="O48" i="31"/>
  <c r="P48" i="31"/>
  <c r="Q48" i="31"/>
  <c r="R48" i="31"/>
  <c r="S48" i="31"/>
  <c r="T48" i="31"/>
  <c r="D227" i="54" l="1"/>
  <c r="L215" i="54" l="1"/>
  <c r="K215" i="54"/>
  <c r="J215" i="54"/>
  <c r="I215" i="54"/>
  <c r="H215" i="54"/>
  <c r="G215" i="54"/>
  <c r="F215" i="54"/>
  <c r="E215" i="54"/>
  <c r="D215" i="54"/>
  <c r="E214" i="54"/>
  <c r="D214" i="54"/>
  <c r="C210" i="54"/>
  <c r="E197" i="54"/>
  <c r="D197" i="54"/>
  <c r="C197" i="54"/>
  <c r="E222" i="54" l="1"/>
  <c r="M215" i="54"/>
  <c r="G214" i="54"/>
  <c r="F214" i="54"/>
  <c r="F222" i="54" s="1"/>
  <c r="H214" i="54"/>
  <c r="H222" i="54" l="1"/>
  <c r="G222" i="54"/>
  <c r="I214" i="54"/>
  <c r="I222" i="54" s="1"/>
  <c r="G199" i="54"/>
  <c r="F199" i="54"/>
  <c r="E199" i="54"/>
  <c r="D199" i="54"/>
  <c r="C199" i="54"/>
  <c r="J214" i="54" l="1"/>
  <c r="J222" i="54" s="1"/>
  <c r="E196" i="54"/>
  <c r="D196" i="54"/>
  <c r="C196" i="54"/>
  <c r="AJ83" i="32"/>
  <c r="L214" i="54" l="1"/>
  <c r="K214" i="54"/>
  <c r="K222" i="54" s="1"/>
  <c r="L222" i="54" l="1"/>
  <c r="M214" i="54"/>
  <c r="C174" i="54" l="1"/>
  <c r="T50" i="31" l="1"/>
  <c r="O50" i="31"/>
  <c r="N50" i="31"/>
  <c r="J7" i="31" l="1"/>
  <c r="K7" i="31" s="1"/>
  <c r="L7" i="31" s="1"/>
  <c r="M7" i="31" s="1"/>
  <c r="N7" i="31" s="1"/>
  <c r="O7" i="31" s="1"/>
  <c r="P7" i="31" s="1"/>
  <c r="Q7" i="31" s="1"/>
  <c r="R7" i="31" s="1"/>
  <c r="S7" i="31" s="1"/>
  <c r="T7" i="31" s="1"/>
  <c r="I7" i="31"/>
  <c r="H7" i="31"/>
  <c r="G7" i="31"/>
  <c r="F7" i="31"/>
  <c r="E7" i="31"/>
  <c r="D7" i="31"/>
  <c r="C7" i="31"/>
  <c r="J5" i="31"/>
  <c r="I5" i="31"/>
  <c r="H5" i="31"/>
  <c r="G5" i="31"/>
  <c r="F5" i="31"/>
  <c r="E5" i="31"/>
  <c r="D5" i="31"/>
  <c r="C5" i="31"/>
  <c r="J4" i="31"/>
  <c r="I4" i="31"/>
  <c r="H4" i="31"/>
  <c r="G4" i="31"/>
  <c r="F4" i="31"/>
  <c r="E4" i="31"/>
  <c r="D4" i="31"/>
  <c r="C4" i="31"/>
  <c r="J3" i="31"/>
  <c r="I3" i="31"/>
  <c r="H3" i="31"/>
  <c r="G3" i="31"/>
  <c r="F3" i="31"/>
  <c r="E3" i="31"/>
  <c r="D3" i="31"/>
  <c r="C3" i="31"/>
  <c r="J2" i="31"/>
  <c r="I2" i="31"/>
  <c r="H2" i="31"/>
  <c r="G2" i="31"/>
  <c r="F2" i="31"/>
  <c r="E2" i="31"/>
  <c r="D2" i="31"/>
  <c r="C2" i="31"/>
  <c r="D6" i="31" l="1"/>
  <c r="G6" i="31"/>
  <c r="J6" i="31"/>
  <c r="E6" i="31"/>
  <c r="F6" i="31"/>
  <c r="H6" i="31"/>
  <c r="C6" i="31"/>
  <c r="I6" i="31"/>
  <c r="AJ137" i="32" l="1"/>
  <c r="AU166" i="32" l="1"/>
  <c r="AV166" i="32" s="1"/>
  <c r="AO137" i="32" l="1"/>
  <c r="AW166" i="32"/>
  <c r="AF79" i="32"/>
  <c r="O109" i="54" s="1"/>
  <c r="AF78" i="32"/>
  <c r="AF5" i="32"/>
  <c r="AX166" i="32" l="1"/>
  <c r="AY166" i="32" s="1"/>
  <c r="AK78" i="32"/>
  <c r="AP78" i="32" s="1"/>
  <c r="B25" i="56"/>
  <c r="B46" i="56" s="1"/>
  <c r="G52" i="56"/>
  <c r="K25" i="56"/>
  <c r="G46" i="56" l="1"/>
  <c r="D46" i="56" s="1"/>
  <c r="G51" i="56"/>
  <c r="AV137" i="32" l="1"/>
  <c r="AW137" i="32" l="1"/>
  <c r="E63" i="31"/>
  <c r="AT207" i="32"/>
  <c r="AU207" i="32" s="1"/>
  <c r="AV207" i="32" s="1"/>
  <c r="AI166" i="32"/>
  <c r="AG136" i="32"/>
  <c r="AH78" i="32"/>
  <c r="AG78" i="32"/>
  <c r="AE195" i="32"/>
  <c r="AE191" i="32"/>
  <c r="AE186" i="32"/>
  <c r="AD175" i="32"/>
  <c r="AD174" i="32"/>
  <c r="AE80" i="32"/>
  <c r="E16" i="56" l="1"/>
  <c r="AL78" i="32"/>
  <c r="E10" i="56"/>
  <c r="AH137" i="32"/>
  <c r="AG137" i="32"/>
  <c r="AF137" i="32"/>
  <c r="AW207" i="32"/>
  <c r="AC10" i="34"/>
  <c r="AB10" i="34"/>
  <c r="AC9" i="34"/>
  <c r="AB9" i="34"/>
  <c r="AC8" i="34"/>
  <c r="AB8" i="34"/>
  <c r="AE10" i="34"/>
  <c r="AD8" i="34"/>
  <c r="AH5" i="32" s="1"/>
  <c r="AL137" i="32" l="1"/>
  <c r="D15" i="56"/>
  <c r="AX207" i="32"/>
  <c r="AY207" i="32" s="1"/>
  <c r="AD10" i="34"/>
  <c r="AD9" i="34"/>
  <c r="AH12" i="32" s="1"/>
  <c r="AF5" i="34"/>
  <c r="AE9" i="34"/>
  <c r="AF6" i="34"/>
  <c r="AH17" i="32"/>
  <c r="AF17" i="32"/>
  <c r="AH10" i="32"/>
  <c r="AF10" i="32"/>
  <c r="AF180" i="32"/>
  <c r="AI58" i="32"/>
  <c r="AI130" i="32" s="1"/>
  <c r="AH58" i="32"/>
  <c r="AH130" i="32" s="1"/>
  <c r="AG58" i="32"/>
  <c r="AG130" i="32" s="1"/>
  <c r="AF58" i="32"/>
  <c r="AF130" i="32" s="1"/>
  <c r="E18" i="56"/>
  <c r="B36" i="56"/>
  <c r="B57" i="56" s="1"/>
  <c r="B35" i="56"/>
  <c r="B56" i="56" s="1"/>
  <c r="B34" i="56"/>
  <c r="B55" i="56" s="1"/>
  <c r="B33" i="56"/>
  <c r="B54" i="56" s="1"/>
  <c r="B32" i="56"/>
  <c r="B53" i="56" s="1"/>
  <c r="B31" i="56"/>
  <c r="B52" i="56" s="1"/>
  <c r="B30" i="56"/>
  <c r="B51" i="56" s="1"/>
  <c r="B29" i="56"/>
  <c r="B50" i="56" s="1"/>
  <c r="B28" i="56"/>
  <c r="B49" i="56" s="1"/>
  <c r="B27" i="56"/>
  <c r="B48" i="56" s="1"/>
  <c r="B26" i="56"/>
  <c r="B47" i="56" s="1"/>
  <c r="B24" i="56"/>
  <c r="B45" i="56" s="1"/>
  <c r="B23" i="56"/>
  <c r="B44" i="56" s="1"/>
  <c r="AU162" i="32"/>
  <c r="AV162" i="32" s="1"/>
  <c r="AW162" i="32" s="1"/>
  <c r="AX162" i="32" s="1"/>
  <c r="AY162" i="32" s="1"/>
  <c r="AC20" i="32"/>
  <c r="AC13" i="32"/>
  <c r="AC6" i="32"/>
  <c r="D16" i="56" l="1"/>
  <c r="F216" i="54"/>
  <c r="AF4" i="34"/>
  <c r="AE8" i="34"/>
  <c r="G216" i="54" l="1"/>
  <c r="C10" i="54"/>
  <c r="H216" i="54" l="1"/>
  <c r="D7" i="55"/>
  <c r="D8" i="55"/>
  <c r="D13" i="55"/>
  <c r="AA8" i="55"/>
  <c r="Q6" i="55"/>
  <c r="I216" i="54" l="1"/>
  <c r="AB175" i="32"/>
  <c r="K216" i="54" l="1"/>
  <c r="J216" i="54"/>
  <c r="AA180" i="32"/>
  <c r="AA175" i="32"/>
  <c r="H66" i="46" l="1"/>
  <c r="H64" i="46"/>
  <c r="G64" i="46"/>
  <c r="F64" i="46"/>
  <c r="H65" i="46" s="1"/>
  <c r="T7" i="46"/>
  <c r="S7" i="46"/>
  <c r="R7" i="46"/>
  <c r="Q7" i="46"/>
  <c r="J7" i="46"/>
  <c r="H7" i="46"/>
  <c r="Z8" i="55"/>
  <c r="Y8" i="55"/>
  <c r="X8" i="55"/>
  <c r="W8" i="55"/>
  <c r="V8" i="55"/>
  <c r="U8" i="55"/>
  <c r="T8" i="55"/>
  <c r="S8" i="55"/>
  <c r="R8" i="55"/>
  <c r="Q8" i="55"/>
  <c r="P8" i="55"/>
  <c r="O8" i="55"/>
  <c r="N8" i="55"/>
  <c r="M8" i="55"/>
  <c r="L8" i="55"/>
  <c r="K8" i="55"/>
  <c r="J8" i="55"/>
  <c r="I8" i="55"/>
  <c r="H8" i="55"/>
  <c r="G8" i="55"/>
  <c r="F8" i="55"/>
  <c r="E8" i="55"/>
  <c r="C8" i="55"/>
  <c r="D9" i="55" s="1"/>
  <c r="T6" i="46"/>
  <c r="S6" i="46"/>
  <c r="R6" i="46"/>
  <c r="Q6" i="46"/>
  <c r="J6" i="46"/>
  <c r="H6" i="46"/>
  <c r="O5" i="46"/>
  <c r="N5" i="46"/>
  <c r="M5" i="46"/>
  <c r="L5" i="46"/>
  <c r="P12" i="46" l="1"/>
  <c r="O12" i="46"/>
  <c r="N12" i="46"/>
  <c r="M12" i="46"/>
  <c r="L12" i="46"/>
  <c r="J12" i="46"/>
  <c r="H12" i="46"/>
  <c r="R12" i="46" l="1"/>
  <c r="S12" i="46"/>
  <c r="T12" i="46"/>
  <c r="Q12" i="46"/>
  <c r="K31" i="46" l="1"/>
  <c r="N180" i="32"/>
  <c r="E12" i="46"/>
  <c r="I12" i="46" l="1"/>
  <c r="K12" i="46" s="1"/>
  <c r="H31" i="46" s="1"/>
  <c r="AT234" i="32"/>
  <c r="AU234" i="32" s="1"/>
  <c r="AV234" i="32" s="1"/>
  <c r="AW234" i="32" s="1"/>
  <c r="AX234" i="32" s="1"/>
  <c r="AY234" i="32" s="1"/>
  <c r="L216" i="54"/>
  <c r="Z235" i="32" l="1"/>
  <c r="Z186" i="32"/>
  <c r="Z195" i="32"/>
  <c r="W10" i="34"/>
  <c r="AA20" i="32" s="1"/>
  <c r="W9" i="34"/>
  <c r="AA13" i="32" s="1"/>
  <c r="W8" i="34"/>
  <c r="AA6" i="32" s="1"/>
  <c r="X10" i="34"/>
  <c r="AB20" i="32" s="1"/>
  <c r="AA5" i="34"/>
  <c r="AD166" i="32"/>
  <c r="AD58" i="32"/>
  <c r="AD130" i="32" s="1"/>
  <c r="AC58" i="32"/>
  <c r="AC130" i="32" s="1"/>
  <c r="AB58" i="32"/>
  <c r="AB130" i="32" s="1"/>
  <c r="AA58" i="32"/>
  <c r="AA130" i="32" s="1"/>
  <c r="AC24" i="32"/>
  <c r="AC17" i="32"/>
  <c r="AC10" i="32"/>
  <c r="K30" i="56"/>
  <c r="K28" i="56"/>
  <c r="K23" i="56"/>
  <c r="H35" i="56"/>
  <c r="K32" i="56"/>
  <c r="K31" i="56"/>
  <c r="K27" i="56"/>
  <c r="K24" i="56"/>
  <c r="K35" i="56"/>
  <c r="L28" i="56" l="1"/>
  <c r="Z8" i="34"/>
  <c r="Z9" i="34"/>
  <c r="Y9" i="34"/>
  <c r="AA4" i="34"/>
  <c r="X9" i="34"/>
  <c r="AB13" i="32" s="1"/>
  <c r="X8" i="34"/>
  <c r="AB6" i="32" s="1"/>
  <c r="Y8" i="34"/>
  <c r="K36" i="56"/>
  <c r="H36" i="56"/>
  <c r="K33" i="56"/>
  <c r="L33" i="56" l="1"/>
  <c r="N34" i="56"/>
  <c r="G53" i="56"/>
  <c r="G48" i="56"/>
  <c r="G49" i="56"/>
  <c r="G56" i="56"/>
  <c r="D56" i="56" s="1"/>
  <c r="G45" i="56"/>
  <c r="G44" i="56"/>
  <c r="D44" i="56" s="1"/>
  <c r="Y10" i="34"/>
  <c r="AA6" i="34"/>
  <c r="K34" i="56"/>
  <c r="G57" i="56"/>
  <c r="D57" i="56" s="1"/>
  <c r="G54" i="56" l="1"/>
  <c r="D54" i="56" s="1"/>
  <c r="Z10" i="34"/>
  <c r="P4" i="46" l="1"/>
  <c r="O4" i="46"/>
  <c r="N4" i="46"/>
  <c r="M4" i="46"/>
  <c r="L4" i="46"/>
  <c r="J4" i="46"/>
  <c r="H4" i="46"/>
  <c r="T10" i="46" l="1"/>
  <c r="S10" i="46"/>
  <c r="R10" i="46"/>
  <c r="Q10" i="46"/>
  <c r="J10" i="46"/>
  <c r="H10" i="46"/>
  <c r="J26" i="46" l="1"/>
  <c r="J29" i="46"/>
  <c r="J25" i="46"/>
  <c r="K25" i="46"/>
  <c r="K29" i="46" l="1"/>
  <c r="T8" i="46"/>
  <c r="S8" i="46"/>
  <c r="R8" i="46"/>
  <c r="Q8" i="46"/>
  <c r="J8" i="46"/>
  <c r="H8" i="46"/>
  <c r="J27" i="46" l="1"/>
  <c r="K27" i="46"/>
  <c r="T9" i="46"/>
  <c r="S9" i="46"/>
  <c r="R9" i="46"/>
  <c r="Q9" i="46"/>
  <c r="J9" i="46"/>
  <c r="H9" i="46"/>
  <c r="J28" i="46" l="1"/>
  <c r="K28" i="46"/>
  <c r="AB5" i="37"/>
  <c r="Y5" i="37"/>
  <c r="V5" i="37"/>
  <c r="S5" i="37"/>
  <c r="AB6" i="37"/>
  <c r="Y6" i="37"/>
  <c r="V6" i="37"/>
  <c r="S6" i="37"/>
  <c r="L6" i="34" l="1"/>
  <c r="L5" i="34"/>
  <c r="E11" i="46"/>
  <c r="G67" i="54" l="1"/>
  <c r="H67" i="54"/>
  <c r="I67" i="54"/>
  <c r="G68" i="54"/>
  <c r="H66" i="54"/>
  <c r="I66" i="54"/>
  <c r="J66" i="54"/>
  <c r="K66" i="54"/>
  <c r="L66" i="54"/>
  <c r="G66" i="54"/>
  <c r="D65" i="54"/>
  <c r="E65" i="54"/>
  <c r="C93" i="54" s="1"/>
  <c r="F65" i="54"/>
  <c r="D93" i="54" s="1"/>
  <c r="G65" i="54"/>
  <c r="E93" i="54" s="1"/>
  <c r="H65" i="54"/>
  <c r="F93" i="54" s="1"/>
  <c r="I65" i="54"/>
  <c r="J65" i="54"/>
  <c r="K65" i="54"/>
  <c r="L65" i="54"/>
  <c r="C65" i="54"/>
  <c r="F48" i="54" l="1"/>
  <c r="D48" i="54"/>
  <c r="X21" i="55"/>
  <c r="W21" i="55"/>
  <c r="V21" i="55"/>
  <c r="U21" i="55"/>
  <c r="T21" i="55"/>
  <c r="S21" i="55"/>
  <c r="R21" i="55"/>
  <c r="Q21" i="55"/>
  <c r="P21" i="55"/>
  <c r="O21" i="55"/>
  <c r="N21" i="55"/>
  <c r="M21" i="55"/>
  <c r="L21" i="55"/>
  <c r="K21" i="55"/>
  <c r="J21" i="55"/>
  <c r="I21" i="55"/>
  <c r="H21" i="55"/>
  <c r="G21" i="55"/>
  <c r="F21" i="55"/>
  <c r="E21" i="55"/>
  <c r="D21" i="55"/>
  <c r="C21" i="55"/>
  <c r="E13" i="55"/>
  <c r="F13" i="55" s="1"/>
  <c r="G13" i="55" s="1"/>
  <c r="H13" i="55" s="1"/>
  <c r="I13" i="55" s="1"/>
  <c r="J13" i="55" s="1"/>
  <c r="K13" i="55" s="1"/>
  <c r="L13" i="55" s="1"/>
  <c r="M13" i="55" s="1"/>
  <c r="N13" i="55" s="1"/>
  <c r="O13" i="55" s="1"/>
  <c r="P13" i="55" s="1"/>
  <c r="Q13" i="55" s="1"/>
  <c r="R13" i="55" s="1"/>
  <c r="S13" i="55" s="1"/>
  <c r="T13" i="55" s="1"/>
  <c r="U13" i="55" s="1"/>
  <c r="V13" i="55" s="1"/>
  <c r="W13" i="55" s="1"/>
  <c r="X13" i="55" s="1"/>
  <c r="Y13" i="55" s="1"/>
  <c r="Z13" i="55" s="1"/>
  <c r="AA13" i="55" s="1"/>
  <c r="AB13" i="55" s="1"/>
  <c r="AC13" i="55" s="1"/>
  <c r="AD13" i="55" s="1"/>
  <c r="AE13" i="55" s="1"/>
  <c r="AF13" i="55" s="1"/>
  <c r="AG13" i="55" s="1"/>
  <c r="AH13" i="55" s="1"/>
  <c r="AI13" i="55" s="1"/>
  <c r="R19" i="55" l="1"/>
  <c r="Q19" i="55"/>
  <c r="P19" i="55"/>
  <c r="L19" i="55"/>
  <c r="K19" i="55"/>
  <c r="J19" i="55"/>
  <c r="I19" i="55"/>
  <c r="H19" i="55"/>
  <c r="F19" i="55"/>
  <c r="E19" i="55"/>
  <c r="D19" i="55"/>
  <c r="C19" i="55"/>
  <c r="J9" i="55"/>
  <c r="E7" i="55"/>
  <c r="F7" i="55" s="1"/>
  <c r="G7" i="55" s="1"/>
  <c r="H7" i="55" s="1"/>
  <c r="I7" i="55" s="1"/>
  <c r="J7" i="55" s="1"/>
  <c r="K7" i="55" s="1"/>
  <c r="L7" i="55" s="1"/>
  <c r="M7" i="55" s="1"/>
  <c r="N7" i="55" s="1"/>
  <c r="O7" i="55" s="1"/>
  <c r="P7" i="55" s="1"/>
  <c r="Q7" i="55" s="1"/>
  <c r="R7" i="55" s="1"/>
  <c r="S7" i="55" s="1"/>
  <c r="T7" i="55" s="1"/>
  <c r="U7" i="55" s="1"/>
  <c r="V7" i="55" s="1"/>
  <c r="I9" i="55" l="1"/>
  <c r="P9" i="55"/>
  <c r="G19" i="55"/>
  <c r="V9" i="55"/>
  <c r="M19" i="55"/>
  <c r="N19" i="55"/>
  <c r="C41" i="55"/>
  <c r="D41" i="55"/>
  <c r="O19" i="55"/>
  <c r="G9" i="55"/>
  <c r="W9" i="55"/>
  <c r="K9" i="55"/>
  <c r="E9" i="55"/>
  <c r="Q9" i="55"/>
  <c r="F9" i="55"/>
  <c r="R9" i="55"/>
  <c r="H9" i="55"/>
  <c r="N9" i="55"/>
  <c r="S9" i="55"/>
  <c r="Y9" i="55"/>
  <c r="E41" i="55"/>
  <c r="L9" i="55"/>
  <c r="M9" i="55"/>
  <c r="X9" i="55"/>
  <c r="O9" i="55"/>
  <c r="T9" i="55"/>
  <c r="Z9" i="55"/>
  <c r="U9" i="55"/>
  <c r="AA9" i="55"/>
  <c r="M5" i="55" l="1"/>
  <c r="L5" i="55"/>
  <c r="K5" i="55"/>
  <c r="J5" i="55"/>
  <c r="I5" i="55"/>
  <c r="H5" i="55"/>
  <c r="G5" i="55"/>
  <c r="F5" i="55"/>
  <c r="E5" i="55"/>
  <c r="D5" i="55"/>
  <c r="C5" i="55"/>
  <c r="C20" i="55" s="1"/>
  <c r="D4" i="55"/>
  <c r="E4" i="55" s="1"/>
  <c r="F4" i="55" s="1"/>
  <c r="G4" i="55" s="1"/>
  <c r="H4" i="55" s="1"/>
  <c r="I4" i="55" s="1"/>
  <c r="J4" i="55" s="1"/>
  <c r="K4" i="55" s="1"/>
  <c r="L4" i="55" s="1"/>
  <c r="M4" i="55" s="1"/>
  <c r="D42" i="55" l="1"/>
  <c r="O6" i="55"/>
  <c r="O20" i="55"/>
  <c r="J20" i="55"/>
  <c r="J6" i="55"/>
  <c r="E42" i="55"/>
  <c r="P20" i="55"/>
  <c r="P6" i="55"/>
  <c r="K20" i="55"/>
  <c r="K6" i="55"/>
  <c r="I6" i="55"/>
  <c r="I20" i="55"/>
  <c r="D20" i="55"/>
  <c r="D6" i="55"/>
  <c r="E20" i="55"/>
  <c r="E6" i="55"/>
  <c r="F6" i="55"/>
  <c r="F20" i="55"/>
  <c r="L6" i="55"/>
  <c r="L20" i="55"/>
  <c r="M6" i="55"/>
  <c r="M20" i="55"/>
  <c r="G6" i="55"/>
  <c r="G20" i="55"/>
  <c r="H6" i="55"/>
  <c r="H20" i="55"/>
  <c r="N6" i="55"/>
  <c r="C42" i="55"/>
  <c r="N20" i="55"/>
  <c r="J5" i="46" l="1"/>
  <c r="H5" i="46"/>
  <c r="E8" i="46"/>
  <c r="Z14" i="46"/>
  <c r="X14" i="46"/>
  <c r="E9" i="46"/>
  <c r="E7" i="46"/>
  <c r="E4" i="46"/>
  <c r="E5" i="46"/>
  <c r="E6" i="46"/>
  <c r="AA14" i="46"/>
  <c r="AB14" i="46"/>
  <c r="E10" i="46"/>
  <c r="Y14" i="46"/>
  <c r="T4" i="46" l="1"/>
  <c r="C51" i="46"/>
  <c r="T5" i="46" l="1"/>
  <c r="S5" i="46"/>
  <c r="R5" i="46"/>
  <c r="J24" i="46" l="1"/>
  <c r="K24" i="46"/>
  <c r="BB3" i="46"/>
  <c r="BC3" i="46" s="1"/>
  <c r="BD3" i="46" s="1"/>
  <c r="BE3" i="46" s="1"/>
  <c r="BF3" i="46" s="1"/>
  <c r="BG3" i="46" s="1"/>
  <c r="BH3" i="46" s="1"/>
  <c r="BI3" i="46" s="1"/>
  <c r="AR3" i="46"/>
  <c r="AS3" i="46" s="1"/>
  <c r="AT3" i="46" s="1"/>
  <c r="AU3" i="46" s="1"/>
  <c r="AV3" i="46" s="1"/>
  <c r="AW3" i="46" s="1"/>
  <c r="AX3" i="46" s="1"/>
  <c r="AY3" i="46" s="1"/>
  <c r="AH3" i="46"/>
  <c r="AI3" i="46" s="1"/>
  <c r="AJ3" i="46" s="1"/>
  <c r="AK3" i="46" s="1"/>
  <c r="AL3" i="46" s="1"/>
  <c r="AM3" i="46" s="1"/>
  <c r="AN3" i="46" s="1"/>
  <c r="AO3" i="46" s="1"/>
  <c r="C12" i="54" l="1"/>
  <c r="C21" i="54" s="1"/>
  <c r="D12" i="54"/>
  <c r="D17" i="54"/>
  <c r="C17" i="54"/>
  <c r="B17" i="54"/>
  <c r="C9" i="54"/>
  <c r="C8" i="54" s="1"/>
  <c r="D8" i="54" s="1"/>
  <c r="D10" i="54"/>
  <c r="C19" i="54" l="1"/>
  <c r="D21" i="54" l="1"/>
  <c r="D19" i="54"/>
  <c r="D18" i="54" l="1"/>
  <c r="D9" i="54"/>
  <c r="V5" i="34" l="1"/>
  <c r="V4" i="34"/>
  <c r="AQ6" i="46"/>
  <c r="AJ11" i="46"/>
  <c r="AM9" i="46"/>
  <c r="AI8" i="46"/>
  <c r="AW8" i="46"/>
  <c r="AG4" i="46"/>
  <c r="AO11" i="46"/>
  <c r="AN10" i="46"/>
  <c r="AY4" i="46"/>
  <c r="AX5" i="46"/>
  <c r="AH9" i="46"/>
  <c r="AV11" i="46"/>
  <c r="AY10" i="46"/>
  <c r="AU6" i="46"/>
  <c r="AR8" i="46"/>
  <c r="AM6" i="46"/>
  <c r="AG7" i="46"/>
  <c r="AT6" i="46"/>
  <c r="AI6" i="46"/>
  <c r="AO10" i="46"/>
  <c r="AU5" i="46"/>
  <c r="AS4" i="46"/>
  <c r="AK8" i="46"/>
  <c r="AY6" i="46"/>
  <c r="AN4" i="46"/>
  <c r="AQ9" i="46"/>
  <c r="AK5" i="46"/>
  <c r="AM5" i="46"/>
  <c r="AG9" i="46"/>
  <c r="AM10" i="46"/>
  <c r="AR5" i="46"/>
  <c r="AL5" i="46"/>
  <c r="AT9" i="46"/>
  <c r="AI11" i="46"/>
  <c r="AK10" i="46"/>
  <c r="AK11" i="46"/>
  <c r="AW10" i="46"/>
  <c r="AQ11" i="46"/>
  <c r="AM11" i="46"/>
  <c r="AQ10" i="46"/>
  <c r="AS5" i="46"/>
  <c r="AT5" i="46"/>
  <c r="AR6" i="46"/>
  <c r="AN6" i="46"/>
  <c r="AS11" i="46"/>
  <c r="AX4" i="46"/>
  <c r="AX11" i="46"/>
  <c r="AG11" i="46"/>
  <c r="AS7" i="46"/>
  <c r="AY11" i="46"/>
  <c r="AU11" i="46"/>
  <c r="AV7" i="46"/>
  <c r="AQ7" i="46"/>
  <c r="AL10" i="46"/>
  <c r="AX8" i="46"/>
  <c r="AX7" i="46"/>
  <c r="AS9" i="46"/>
  <c r="AN7" i="46"/>
  <c r="AI7" i="46"/>
  <c r="AH5" i="46"/>
  <c r="AS10" i="46"/>
  <c r="AV9" i="46"/>
  <c r="AI10" i="46"/>
  <c r="AV6" i="46"/>
  <c r="AM8" i="46"/>
  <c r="AQ8" i="46"/>
  <c r="AT11" i="46"/>
  <c r="AW4" i="46"/>
  <c r="AO6" i="46"/>
  <c r="AV8" i="46"/>
  <c r="AI4" i="46"/>
  <c r="AT7" i="46"/>
  <c r="AR10" i="46"/>
  <c r="AQ5" i="46"/>
  <c r="AO8" i="46"/>
  <c r="AJ7" i="46"/>
  <c r="AW5" i="46"/>
  <c r="AJ6" i="46"/>
  <c r="AV4" i="46"/>
  <c r="AX9" i="46"/>
  <c r="AU9" i="46"/>
  <c r="AL11" i="46"/>
  <c r="AM4" i="46"/>
  <c r="AK9" i="46"/>
  <c r="AU8" i="46"/>
  <c r="AJ10" i="46"/>
  <c r="AK4" i="46"/>
  <c r="AY7" i="46"/>
  <c r="AR9" i="46"/>
  <c r="AK7" i="46"/>
  <c r="AT8" i="46"/>
  <c r="AG10" i="46"/>
  <c r="AV10" i="46"/>
  <c r="AO4" i="46"/>
  <c r="AW6" i="46"/>
  <c r="AX6" i="46"/>
  <c r="AL6" i="46"/>
  <c r="AT4" i="46"/>
  <c r="AX10" i="46"/>
  <c r="AH4" i="46"/>
  <c r="AG5" i="46"/>
  <c r="AY9" i="46"/>
  <c r="AG6" i="46"/>
  <c r="AL9" i="46"/>
  <c r="AW7" i="46"/>
  <c r="AO9" i="46"/>
  <c r="AH11" i="46"/>
  <c r="AI9" i="46"/>
  <c r="AQ4" i="46"/>
  <c r="AL7" i="46"/>
  <c r="AO7" i="46"/>
  <c r="AJ4" i="46"/>
  <c r="AV5" i="46"/>
  <c r="AR7" i="46"/>
  <c r="AW11" i="46"/>
  <c r="AY5" i="46"/>
  <c r="AK6" i="46"/>
  <c r="AH10" i="46"/>
  <c r="AT10" i="46"/>
  <c r="AN5" i="46"/>
  <c r="AR11" i="46"/>
  <c r="AN9" i="46"/>
  <c r="AH7" i="46"/>
  <c r="AG8" i="46"/>
  <c r="AH8" i="46"/>
  <c r="AJ8" i="46"/>
  <c r="AH6" i="46"/>
  <c r="AO5" i="46"/>
  <c r="AI5" i="46"/>
  <c r="AS6" i="46"/>
  <c r="AS8" i="46"/>
  <c r="AL8" i="46"/>
  <c r="AU4" i="46"/>
  <c r="AN8" i="46"/>
  <c r="AL4" i="46"/>
  <c r="AW9" i="46"/>
  <c r="AU10" i="46"/>
  <c r="AU7" i="46"/>
  <c r="AN11" i="46"/>
  <c r="AJ9" i="46"/>
  <c r="AY8" i="46"/>
  <c r="AM7" i="46"/>
  <c r="AJ5" i="46"/>
  <c r="AR4" i="46"/>
  <c r="BE5" i="46" l="1"/>
  <c r="G36" i="54" s="1"/>
  <c r="BG8" i="46"/>
  <c r="BD4" i="46"/>
  <c r="F35" i="54" s="1"/>
  <c r="BC5" i="46"/>
  <c r="E36" i="54" s="1"/>
  <c r="BB7" i="46"/>
  <c r="D33" i="54" s="1"/>
  <c r="BI6" i="46"/>
  <c r="K34" i="54" s="1"/>
  <c r="BG11" i="46"/>
  <c r="BF4" i="46"/>
  <c r="H35" i="54" s="1"/>
  <c r="BD8" i="46"/>
  <c r="BD5" i="46"/>
  <c r="F36" i="54" s="1"/>
  <c r="BF9" i="46"/>
  <c r="BG7" i="46"/>
  <c r="I33" i="54" s="1"/>
  <c r="BH9" i="46"/>
  <c r="BF11" i="46"/>
  <c r="BF8" i="46"/>
  <c r="BH8" i="46"/>
  <c r="BI11" i="46"/>
  <c r="BC11" i="46"/>
  <c r="BH11" i="46"/>
  <c r="BA10" i="46"/>
  <c r="BF5" i="46"/>
  <c r="H36" i="54" s="1"/>
  <c r="BE10" i="46"/>
  <c r="BB11" i="46"/>
  <c r="BA7" i="46"/>
  <c r="C33" i="54" s="1"/>
  <c r="BA4" i="46"/>
  <c r="C35" i="54" s="1"/>
  <c r="BB9" i="46"/>
  <c r="BA5" i="46"/>
  <c r="C36" i="54" s="1"/>
  <c r="BA9" i="46"/>
  <c r="BC7" i="46"/>
  <c r="E33" i="54" s="1"/>
  <c r="BB4" i="46"/>
  <c r="D35" i="54" s="1"/>
  <c r="BA11" i="46"/>
  <c r="BE4" i="46"/>
  <c r="G35" i="54" s="1"/>
  <c r="BC4" i="46"/>
  <c r="E35" i="54" s="1"/>
  <c r="BE7" i="46"/>
  <c r="G33" i="54" s="1"/>
  <c r="BD9" i="46"/>
  <c r="BG9" i="46"/>
  <c r="BG5" i="46"/>
  <c r="I36" i="54" s="1"/>
  <c r="BC8" i="46"/>
  <c r="BA8" i="46"/>
  <c r="BF7" i="46"/>
  <c r="H33" i="54" s="1"/>
  <c r="BE8" i="46"/>
  <c r="BC9" i="46"/>
  <c r="BB10" i="46"/>
  <c r="BG4" i="46"/>
  <c r="I35" i="54" s="1"/>
  <c r="BH6" i="46"/>
  <c r="J34" i="54" s="1"/>
  <c r="BB8" i="46"/>
  <c r="BB6" i="46"/>
  <c r="D34" i="54" s="1"/>
  <c r="BD6" i="46"/>
  <c r="F34" i="54" s="1"/>
  <c r="BI8" i="46"/>
  <c r="BF10" i="46"/>
  <c r="BA6" i="46"/>
  <c r="C34" i="54" s="1"/>
  <c r="BI7" i="46"/>
  <c r="K33" i="54" s="1"/>
  <c r="BB5" i="46"/>
  <c r="D36" i="54" s="1"/>
  <c r="BF6" i="46"/>
  <c r="H34" i="54" s="1"/>
  <c r="BG6" i="46"/>
  <c r="I34" i="54" s="1"/>
  <c r="BC6" i="46"/>
  <c r="E34" i="54" s="1"/>
  <c r="BD10" i="46"/>
  <c r="BE9" i="46"/>
  <c r="BE11" i="46"/>
  <c r="BI9" i="46"/>
  <c r="BC10" i="46"/>
  <c r="BH7" i="46"/>
  <c r="J33" i="54" s="1"/>
  <c r="BD7" i="46"/>
  <c r="F33" i="54" s="1"/>
  <c r="BD11" i="46"/>
  <c r="BE6" i="46"/>
  <c r="G34" i="54" s="1"/>
  <c r="Y175" i="32"/>
  <c r="U175" i="32"/>
  <c r="Z175" i="32" l="1"/>
  <c r="AG175" i="32" s="1"/>
  <c r="Y174" i="32"/>
  <c r="Z174" i="32" l="1"/>
  <c r="AG174" i="32" l="1"/>
  <c r="R6" i="33"/>
  <c r="AI174" i="32"/>
  <c r="AI175" i="32"/>
  <c r="H11" i="46"/>
  <c r="V10" i="46" l="1"/>
  <c r="V4" i="46"/>
  <c r="V9" i="46"/>
  <c r="V7" i="46"/>
  <c r="V6" i="46"/>
  <c r="V8" i="46"/>
  <c r="V5" i="46"/>
  <c r="V11" i="46"/>
  <c r="S78" i="32" l="1"/>
  <c r="O4" i="32" l="1"/>
  <c r="O78" i="32"/>
  <c r="I11" i="46" l="1"/>
  <c r="V122" i="32" l="1"/>
  <c r="G31" i="37" l="1"/>
  <c r="H31" i="37"/>
  <c r="I31" i="37"/>
  <c r="R166" i="32" l="1"/>
  <c r="R25" i="32"/>
  <c r="O175" i="32" l="1"/>
  <c r="O174" i="32"/>
  <c r="P175" i="32" l="1"/>
  <c r="P174" i="32"/>
  <c r="Q175" i="32" l="1"/>
  <c r="R175" i="32" s="1"/>
  <c r="Q174" i="32"/>
  <c r="R174" i="32" s="1"/>
  <c r="S175" i="32" l="1"/>
  <c r="S174" i="32"/>
  <c r="T175" i="32" l="1"/>
  <c r="T174" i="32"/>
  <c r="I9" i="46" l="1"/>
  <c r="K9" i="46" s="1"/>
  <c r="H28" i="46" s="1"/>
  <c r="I10" i="46" l="1"/>
  <c r="K10" i="46" s="1"/>
  <c r="H29" i="46" s="1"/>
  <c r="E24" i="46" l="1"/>
  <c r="E25" i="46"/>
  <c r="E26" i="46"/>
  <c r="E27" i="46"/>
  <c r="E28" i="46"/>
  <c r="E29" i="46"/>
  <c r="E23" i="46"/>
  <c r="I6" i="46"/>
  <c r="K6" i="46" s="1"/>
  <c r="H25" i="46" s="1"/>
  <c r="S4" i="46" l="1"/>
  <c r="J23" i="46" s="1"/>
  <c r="R4" i="46"/>
  <c r="K23" i="46" s="1"/>
  <c r="Q4" i="46"/>
  <c r="I8" i="46"/>
  <c r="K8" i="46" s="1"/>
  <c r="H27" i="46" s="1"/>
  <c r="I7" i="46"/>
  <c r="I4" i="46"/>
  <c r="K4" i="46" s="1"/>
  <c r="H23" i="46" s="1"/>
  <c r="I5" i="46"/>
  <c r="K5" i="46" s="1"/>
  <c r="H24" i="46" s="1"/>
  <c r="G32" i="46" l="1"/>
  <c r="F32" i="46"/>
  <c r="X81" i="31" l="1"/>
  <c r="Y81" i="31" s="1"/>
  <c r="X89" i="31" l="1"/>
  <c r="V85" i="31"/>
  <c r="V86" i="31" s="1"/>
  <c r="V87" i="31" s="1"/>
  <c r="AT175" i="32" l="1"/>
  <c r="AT174" i="32"/>
  <c r="R10" i="33" l="1"/>
  <c r="H39" i="31"/>
  <c r="AU172" i="32"/>
  <c r="D14" i="33"/>
  <c r="D15" i="33" s="1"/>
  <c r="AU175" i="32"/>
  <c r="Y89" i="31"/>
  <c r="W89" i="31"/>
  <c r="AU173" i="32" l="1"/>
  <c r="AV172" i="32" s="1"/>
  <c r="D16" i="33"/>
  <c r="AR174" i="32"/>
  <c r="AV175" i="32"/>
  <c r="AU174" i="32" l="1"/>
  <c r="AS174" i="32"/>
  <c r="AW175" i="32"/>
  <c r="T160" i="32"/>
  <c r="Q160" i="32"/>
  <c r="R11" i="33" l="1"/>
  <c r="AX175" i="32"/>
  <c r="AY175" i="32" s="1"/>
  <c r="U160" i="32"/>
  <c r="T58" i="32"/>
  <c r="Q58" i="32"/>
  <c r="M58" i="32"/>
  <c r="J58" i="32"/>
  <c r="T166" i="32"/>
  <c r="Q166" i="32"/>
  <c r="T130" i="32"/>
  <c r="T180" i="32" s="1"/>
  <c r="T216" i="32" s="1"/>
  <c r="Q130" i="32"/>
  <c r="Q180" i="32" s="1"/>
  <c r="Q216" i="32" s="1"/>
  <c r="M130" i="32"/>
  <c r="M180" i="32" s="1"/>
  <c r="M216" i="32" s="1"/>
  <c r="J130" i="32"/>
  <c r="J180" i="32" s="1"/>
  <c r="J216" i="32" s="1"/>
  <c r="M169" i="32"/>
  <c r="M166" i="32"/>
  <c r="M161" i="32"/>
  <c r="M157" i="32"/>
  <c r="M150" i="32"/>
  <c r="M144" i="32"/>
  <c r="M141" i="32"/>
  <c r="M138" i="32"/>
  <c r="M135" i="32"/>
  <c r="J169" i="32"/>
  <c r="J166" i="32"/>
  <c r="J161" i="32"/>
  <c r="J157" i="32"/>
  <c r="J150" i="32"/>
  <c r="J144" i="32"/>
  <c r="J141" i="32"/>
  <c r="J138" i="32"/>
  <c r="J135" i="32"/>
  <c r="M115" i="32"/>
  <c r="J115" i="32"/>
  <c r="M78" i="32"/>
  <c r="J78" i="32"/>
  <c r="M38" i="32"/>
  <c r="M43" i="32"/>
  <c r="M48" i="32"/>
  <c r="J48" i="32"/>
  <c r="J43" i="32"/>
  <c r="J38" i="32"/>
  <c r="M4" i="32"/>
  <c r="M18" i="32"/>
  <c r="M25" i="32"/>
  <c r="J25" i="32"/>
  <c r="J18" i="32"/>
  <c r="J4" i="32"/>
  <c r="U166" i="32" l="1"/>
  <c r="M11" i="37" l="1"/>
  <c r="J11" i="37"/>
  <c r="G11" i="37"/>
  <c r="D11" i="37"/>
  <c r="M9" i="37"/>
  <c r="J9" i="37"/>
  <c r="G9" i="37"/>
  <c r="D9" i="37"/>
  <c r="M8" i="37"/>
  <c r="J8" i="37"/>
  <c r="G8" i="37"/>
  <c r="D8" i="37"/>
  <c r="M7" i="37"/>
  <c r="J7" i="37"/>
  <c r="G7" i="37"/>
  <c r="D7" i="37"/>
  <c r="M6" i="37"/>
  <c r="J6" i="37"/>
  <c r="G6" i="37"/>
  <c r="M5" i="37"/>
  <c r="J5" i="37"/>
  <c r="G5" i="37"/>
  <c r="D5" i="37"/>
  <c r="D6" i="37"/>
  <c r="M4" i="37"/>
  <c r="J4" i="37"/>
  <c r="G4" i="37"/>
  <c r="D4" i="37"/>
  <c r="M3" i="37"/>
  <c r="J3" i="37"/>
  <c r="G3" i="37"/>
  <c r="D3" i="37"/>
  <c r="P161" i="32" l="1"/>
  <c r="Q161" i="32" l="1"/>
  <c r="T161" i="32"/>
  <c r="P51" i="32"/>
  <c r="U161" i="32" l="1"/>
  <c r="K12" i="31"/>
  <c r="L12" i="31" s="1"/>
  <c r="M12" i="31" s="1"/>
  <c r="N12" i="31" s="1"/>
  <c r="O12" i="31" s="1"/>
  <c r="P12" i="31" s="1"/>
  <c r="Q12" i="31" l="1"/>
  <c r="P27" i="31"/>
  <c r="O27" i="31"/>
  <c r="N27" i="31"/>
  <c r="R12" i="31" l="1"/>
  <c r="Q27" i="31"/>
  <c r="G109" i="32"/>
  <c r="G112" i="32" s="1"/>
  <c r="AJ110" i="32"/>
  <c r="N110" i="32"/>
  <c r="N111" i="32" s="1"/>
  <c r="S12" i="31" l="1"/>
  <c r="R27" i="31"/>
  <c r="M10" i="37"/>
  <c r="J10" i="37"/>
  <c r="G10" i="37"/>
  <c r="D10" i="37"/>
  <c r="T12" i="31" l="1"/>
  <c r="T27" i="31" s="1"/>
  <c r="S27" i="31"/>
  <c r="C9" i="37"/>
  <c r="E9" i="37" s="1"/>
  <c r="O8" i="34" l="1"/>
  <c r="R6" i="32" s="1"/>
  <c r="N8" i="34"/>
  <c r="M8" i="34"/>
  <c r="O6" i="32" s="1"/>
  <c r="L8" i="34"/>
  <c r="O10" i="34"/>
  <c r="R20" i="32" s="1"/>
  <c r="N10" i="34"/>
  <c r="P20" i="32" s="1"/>
  <c r="P19" i="32" s="1"/>
  <c r="M10" i="34"/>
  <c r="O20" i="32" s="1"/>
  <c r="L10" i="34"/>
  <c r="O9" i="34"/>
  <c r="R13" i="32" s="1"/>
  <c r="R12" i="32" s="1"/>
  <c r="N9" i="34"/>
  <c r="P13" i="32" s="1"/>
  <c r="P12" i="32" s="1"/>
  <c r="M9" i="34"/>
  <c r="O13" i="32" s="1"/>
  <c r="O12" i="32" s="1"/>
  <c r="L9" i="34"/>
  <c r="Q6" i="34"/>
  <c r="P10" i="34"/>
  <c r="S20" i="32" s="1"/>
  <c r="S19" i="32" s="1"/>
  <c r="Q5" i="34"/>
  <c r="Q9" i="34" s="1"/>
  <c r="P9" i="34"/>
  <c r="S13" i="32" s="1"/>
  <c r="S12" i="32" s="1"/>
  <c r="P6" i="32" l="1"/>
  <c r="P5" i="32" s="1"/>
  <c r="Q20" i="32"/>
  <c r="Q10" i="34"/>
  <c r="V6" i="34"/>
  <c r="R5" i="32"/>
  <c r="R19" i="32"/>
  <c r="T20" i="32"/>
  <c r="U20" i="32"/>
  <c r="U71" i="32" s="1"/>
  <c r="O19" i="32"/>
  <c r="O5" i="32"/>
  <c r="Q6" i="32" l="1"/>
  <c r="R10" i="34"/>
  <c r="V20" i="32" s="1"/>
  <c r="V19" i="32" s="1"/>
  <c r="R9" i="34"/>
  <c r="V13" i="32" s="1"/>
  <c r="V12" i="32" s="1"/>
  <c r="S9" i="34" l="1"/>
  <c r="W13" i="32" s="1"/>
  <c r="W12" i="32" s="1"/>
  <c r="S10" i="34"/>
  <c r="W20" i="32" s="1"/>
  <c r="W19" i="32" s="1"/>
  <c r="T10" i="34" l="1"/>
  <c r="X20" i="32" s="1"/>
  <c r="X19" i="32" s="1"/>
  <c r="T9" i="34"/>
  <c r="X13" i="32" s="1"/>
  <c r="X12" i="32" s="1"/>
  <c r="U9" i="34" l="1"/>
  <c r="Y13" i="32" s="1"/>
  <c r="Y12" i="32" s="1"/>
  <c r="U10" i="34"/>
  <c r="Y20" i="32" s="1"/>
  <c r="Y19" i="32" s="1"/>
  <c r="AA10" i="34" l="1"/>
  <c r="V10" i="34"/>
  <c r="V9" i="34"/>
  <c r="AA9" i="34"/>
  <c r="AE2" i="35"/>
  <c r="AD2" i="35"/>
  <c r="AC2" i="35"/>
  <c r="AB2" i="35"/>
  <c r="AA2" i="35"/>
  <c r="Z2" i="35"/>
  <c r="Y2" i="35"/>
  <c r="X2" i="35"/>
  <c r="W2" i="35"/>
  <c r="G3" i="35"/>
  <c r="L3" i="35"/>
  <c r="Q3" i="35"/>
  <c r="V3" i="35"/>
  <c r="W3" i="35"/>
  <c r="X3" i="35"/>
  <c r="Y3" i="35" s="1"/>
  <c r="Z3" i="35" s="1"/>
  <c r="AA3" i="35" s="1"/>
  <c r="G5" i="35"/>
  <c r="L5" i="35"/>
  <c r="Q5" i="35"/>
  <c r="V5" i="35"/>
  <c r="W5" i="35"/>
  <c r="X5" i="35"/>
  <c r="Y5" i="35" s="1"/>
  <c r="G6" i="35"/>
  <c r="G9" i="35" s="1"/>
  <c r="L6" i="35"/>
  <c r="L9" i="35" s="1"/>
  <c r="Q6" i="35"/>
  <c r="V6" i="35"/>
  <c r="W6" i="35"/>
  <c r="X6" i="35"/>
  <c r="Y6" i="35" s="1"/>
  <c r="Z6" i="35" s="1"/>
  <c r="G7" i="35"/>
  <c r="G10" i="35" s="1"/>
  <c r="L7" i="35"/>
  <c r="L10" i="35" s="1"/>
  <c r="Q7" i="35"/>
  <c r="V7" i="35"/>
  <c r="W7" i="35"/>
  <c r="X7" i="35"/>
  <c r="Y7" i="35" s="1"/>
  <c r="G11" i="35"/>
  <c r="L11" i="35"/>
  <c r="Q11" i="35"/>
  <c r="V11" i="35"/>
  <c r="W11" i="35"/>
  <c r="X11" i="35"/>
  <c r="Y11" i="35" s="1"/>
  <c r="Q14" i="35" l="1"/>
  <c r="V14" i="35"/>
  <c r="AE12" i="32"/>
  <c r="AE67" i="32"/>
  <c r="P8" i="34"/>
  <c r="S6" i="32" s="1"/>
  <c r="Q4" i="34"/>
  <c r="AF9" i="34"/>
  <c r="AE19" i="32"/>
  <c r="AE71" i="32"/>
  <c r="AF10" i="34"/>
  <c r="L14" i="35"/>
  <c r="Y14" i="35"/>
  <c r="W14" i="35"/>
  <c r="G14" i="35"/>
  <c r="X14" i="35"/>
  <c r="AB3" i="35"/>
  <c r="AA6" i="35"/>
  <c r="Z5" i="35"/>
  <c r="Z11" i="35"/>
  <c r="Z14" i="35" s="1"/>
  <c r="Z7" i="35"/>
  <c r="AF19" i="32" l="1"/>
  <c r="AF12" i="32"/>
  <c r="AA19" i="32"/>
  <c r="AA12" i="32"/>
  <c r="S5" i="32"/>
  <c r="T6" i="32"/>
  <c r="U6" i="32"/>
  <c r="U63" i="32" s="1"/>
  <c r="Q8" i="34"/>
  <c r="R8" i="34"/>
  <c r="AB6" i="35"/>
  <c r="AA11" i="35"/>
  <c r="AA14" i="35" s="1"/>
  <c r="AA7" i="35"/>
  <c r="AA5" i="35"/>
  <c r="AC3" i="35"/>
  <c r="AB19" i="32" l="1"/>
  <c r="AB12" i="32"/>
  <c r="V6" i="32"/>
  <c r="V5" i="32" s="1"/>
  <c r="AP9" i="34"/>
  <c r="AP10" i="34"/>
  <c r="S8" i="34"/>
  <c r="AK10" i="34"/>
  <c r="AK9" i="34"/>
  <c r="AD3" i="35"/>
  <c r="AB7" i="35"/>
  <c r="AB5" i="35"/>
  <c r="AB11" i="35"/>
  <c r="AB14" i="35" s="1"/>
  <c r="AC6" i="35"/>
  <c r="AO12" i="32" l="1"/>
  <c r="AG12" i="32"/>
  <c r="AO71" i="32"/>
  <c r="AG19" i="32"/>
  <c r="W6" i="32"/>
  <c r="W5" i="32" s="1"/>
  <c r="G32" i="56"/>
  <c r="I32" i="56" s="1"/>
  <c r="AT71" i="32"/>
  <c r="AQ10" i="34"/>
  <c r="AU20" i="32" s="1"/>
  <c r="G31" i="56"/>
  <c r="I31" i="56" s="1"/>
  <c r="AT67" i="32"/>
  <c r="T8" i="34"/>
  <c r="X6" i="32" s="1"/>
  <c r="AR5" i="34"/>
  <c r="AV173" i="32" s="1"/>
  <c r="AC7" i="35"/>
  <c r="AC11" i="35"/>
  <c r="AC14" i="35" s="1"/>
  <c r="AD6" i="35"/>
  <c r="AC5" i="35"/>
  <c r="AE3" i="35"/>
  <c r="AW172" i="32" l="1"/>
  <c r="AV174" i="32"/>
  <c r="AO67" i="32"/>
  <c r="AO19" i="32"/>
  <c r="X5" i="32"/>
  <c r="AQ9" i="34"/>
  <c r="AU13" i="32" s="1"/>
  <c r="U8" i="34"/>
  <c r="AR6" i="34"/>
  <c r="AR10" i="34" s="1"/>
  <c r="AV20" i="32" s="1"/>
  <c r="AV21" i="32" s="1"/>
  <c r="AR9" i="34"/>
  <c r="AV13" i="32" s="1"/>
  <c r="AV12" i="32" s="1"/>
  <c r="M31" i="56" s="1"/>
  <c r="O31" i="56" s="1"/>
  <c r="AS5" i="34"/>
  <c r="AT5" i="34" s="1"/>
  <c r="AD5" i="35"/>
  <c r="AD11" i="35"/>
  <c r="AD14" i="35" s="1"/>
  <c r="AE6" i="35"/>
  <c r="AD7" i="35"/>
  <c r="AT9" i="34" l="1"/>
  <c r="AX13" i="32" s="1"/>
  <c r="AX12" i="32" s="1"/>
  <c r="AU5" i="34"/>
  <c r="AU9" i="34" s="1"/>
  <c r="AY13" i="32" s="1"/>
  <c r="R12" i="33"/>
  <c r="AW173" i="32"/>
  <c r="AX172" i="32" s="1"/>
  <c r="J32" i="56"/>
  <c r="L32" i="56" s="1"/>
  <c r="AU21" i="32"/>
  <c r="AU71" i="32"/>
  <c r="AU14" i="32"/>
  <c r="Y6" i="32"/>
  <c r="Y5" i="32" s="1"/>
  <c r="AS9" i="34"/>
  <c r="AA8" i="34"/>
  <c r="V8" i="34"/>
  <c r="AV71" i="32"/>
  <c r="AV67" i="32"/>
  <c r="AS6" i="34"/>
  <c r="AS10" i="34" s="1"/>
  <c r="AE7" i="35"/>
  <c r="AE11" i="35"/>
  <c r="AE14" i="35" s="1"/>
  <c r="AE5" i="35"/>
  <c r="AX67" i="32" l="1"/>
  <c r="AX173" i="32"/>
  <c r="AY172" i="32" s="1"/>
  <c r="AY173" i="32" s="1"/>
  <c r="AY174" i="32" s="1"/>
  <c r="AY12" i="32"/>
  <c r="AY67" i="32"/>
  <c r="AW174" i="32"/>
  <c r="AU67" i="32"/>
  <c r="J31" i="56"/>
  <c r="L31" i="56" s="1"/>
  <c r="AW20" i="32"/>
  <c r="AW21" i="32" s="1"/>
  <c r="AW13" i="32"/>
  <c r="AW12" i="32" s="1"/>
  <c r="P31" i="56" s="1"/>
  <c r="R31" i="56" s="1"/>
  <c r="AE63" i="32"/>
  <c r="AE5" i="32"/>
  <c r="AF8" i="34"/>
  <c r="AT6" i="34"/>
  <c r="C17" i="31"/>
  <c r="R13" i="33" l="1"/>
  <c r="AT10" i="34"/>
  <c r="AX20" i="32" s="1"/>
  <c r="AX21" i="32" s="1"/>
  <c r="AU6" i="34"/>
  <c r="AU10" i="34" s="1"/>
  <c r="AY20" i="32" s="1"/>
  <c r="AX174" i="32"/>
  <c r="AW71" i="32"/>
  <c r="AW67" i="32"/>
  <c r="AA5" i="32"/>
  <c r="AK8" i="34"/>
  <c r="AO107" i="32"/>
  <c r="AT107" i="32" s="1"/>
  <c r="AU107" i="32" s="1"/>
  <c r="AV107" i="32" s="1"/>
  <c r="AW107" i="32" s="1"/>
  <c r="AX107" i="32" s="1"/>
  <c r="AY107" i="32" s="1"/>
  <c r="AO105" i="32"/>
  <c r="AO100" i="32"/>
  <c r="AT100" i="32" s="1"/>
  <c r="AU100" i="32" s="1"/>
  <c r="AV100" i="32" s="1"/>
  <c r="AW100" i="32" s="1"/>
  <c r="AX100" i="32" s="1"/>
  <c r="AY100" i="32" s="1"/>
  <c r="AO95" i="32"/>
  <c r="AT95" i="32" s="1"/>
  <c r="AU95" i="32" s="1"/>
  <c r="AV95" i="32" s="1"/>
  <c r="AW95" i="32" s="1"/>
  <c r="AX95" i="32" s="1"/>
  <c r="AY95" i="32" s="1"/>
  <c r="U107" i="32"/>
  <c r="Z107" i="32" s="1"/>
  <c r="AE107" i="32" s="1"/>
  <c r="AJ108" i="32" s="1"/>
  <c r="U105" i="32"/>
  <c r="U100" i="32"/>
  <c r="Z100" i="32" s="1"/>
  <c r="AE100" i="32" s="1"/>
  <c r="AJ101" i="32" s="1"/>
  <c r="AX71" i="32" l="1"/>
  <c r="AY21" i="32"/>
  <c r="AY24" i="32" s="1"/>
  <c r="AY71" i="32"/>
  <c r="AO5" i="32"/>
  <c r="AB5" i="32"/>
  <c r="AP8" i="34"/>
  <c r="G30" i="56" s="1"/>
  <c r="I30" i="56" s="1"/>
  <c r="AT105" i="32"/>
  <c r="AT104" i="32" s="1"/>
  <c r="AO110" i="32"/>
  <c r="AO111" i="32" s="1"/>
  <c r="Z105" i="32"/>
  <c r="AO104" i="32"/>
  <c r="U97" i="32"/>
  <c r="Z97" i="32" s="1"/>
  <c r="AE97" i="32" s="1"/>
  <c r="AJ98" i="32" s="1"/>
  <c r="U95" i="32"/>
  <c r="Z95" i="32" s="1"/>
  <c r="AE95" i="32" s="1"/>
  <c r="AJ96" i="32" s="1"/>
  <c r="N104" i="32"/>
  <c r="N69" i="32" s="1"/>
  <c r="AJ104" i="32"/>
  <c r="N99" i="32"/>
  <c r="N94" i="32"/>
  <c r="B66" i="31"/>
  <c r="L11" i="32"/>
  <c r="K11" i="32"/>
  <c r="I11" i="32"/>
  <c r="H11" i="32"/>
  <c r="F11" i="32"/>
  <c r="E11" i="32"/>
  <c r="D11" i="32"/>
  <c r="C11" i="32"/>
  <c r="D63" i="31"/>
  <c r="C63" i="31"/>
  <c r="E60" i="31"/>
  <c r="D60" i="31"/>
  <c r="C60" i="31"/>
  <c r="AY17" i="32"/>
  <c r="AY10" i="32"/>
  <c r="AO63" i="32" l="1"/>
  <c r="AG5" i="32"/>
  <c r="AT63" i="32"/>
  <c r="AQ8" i="34"/>
  <c r="R33" i="32"/>
  <c r="R133" i="32" s="1"/>
  <c r="S33" i="32"/>
  <c r="S55" i="32" s="1"/>
  <c r="M11" i="32"/>
  <c r="P33" i="32"/>
  <c r="P133" i="32" s="1"/>
  <c r="J11" i="32"/>
  <c r="N9" i="32"/>
  <c r="N61" i="32"/>
  <c r="AU105" i="32"/>
  <c r="AT110" i="32"/>
  <c r="AT111" i="32" s="1"/>
  <c r="N23" i="32"/>
  <c r="N109" i="32"/>
  <c r="N114" i="32" s="1"/>
  <c r="U110" i="32"/>
  <c r="U111" i="32" s="1"/>
  <c r="AE105" i="32"/>
  <c r="AE104" i="32" s="1"/>
  <c r="Z110" i="32"/>
  <c r="O33" i="32"/>
  <c r="Z104" i="32"/>
  <c r="U104" i="32"/>
  <c r="U94" i="32"/>
  <c r="G11" i="32"/>
  <c r="G8" i="35" s="1"/>
  <c r="Z242" i="32"/>
  <c r="AE242" i="32" s="1"/>
  <c r="AT242" i="32" s="1"/>
  <c r="AU242" i="32" s="1"/>
  <c r="AV242" i="32" s="1"/>
  <c r="AW242" i="32" s="1"/>
  <c r="AX242" i="32" s="1"/>
  <c r="AY242" i="32" s="1"/>
  <c r="AT244" i="32"/>
  <c r="AU244" i="32" s="1"/>
  <c r="AV244" i="32" s="1"/>
  <c r="AW244" i="32" s="1"/>
  <c r="AX244" i="32" s="1"/>
  <c r="AY244" i="32" s="1"/>
  <c r="AT239" i="32"/>
  <c r="AU239" i="32" s="1"/>
  <c r="AV239" i="32" s="1"/>
  <c r="AW239" i="32" s="1"/>
  <c r="AX239" i="32" s="1"/>
  <c r="AY239" i="32" s="1"/>
  <c r="AT237" i="32"/>
  <c r="AU237" i="32" s="1"/>
  <c r="AV237" i="32" s="1"/>
  <c r="AW237" i="32" s="1"/>
  <c r="AX237" i="32" s="1"/>
  <c r="AY237" i="32" s="1"/>
  <c r="N258" i="32"/>
  <c r="N260" i="32"/>
  <c r="G48" i="54"/>
  <c r="S80" i="32" l="1"/>
  <c r="S79" i="32" s="1"/>
  <c r="F109" i="54" s="1"/>
  <c r="S117" i="32"/>
  <c r="AU6" i="32"/>
  <c r="AR4" i="34"/>
  <c r="AR8" i="34" s="1"/>
  <c r="AV6" i="32" s="1"/>
  <c r="R55" i="32"/>
  <c r="P55" i="32"/>
  <c r="N11" i="32"/>
  <c r="U13" i="32" s="1"/>
  <c r="S133" i="32"/>
  <c r="T13" i="32"/>
  <c r="Q13" i="32"/>
  <c r="AU110" i="32"/>
  <c r="AU111" i="32" s="1"/>
  <c r="AU104" i="32"/>
  <c r="AV105" i="32"/>
  <c r="Z111" i="32"/>
  <c r="AJ106" i="32"/>
  <c r="AE110" i="32"/>
  <c r="N112" i="32"/>
  <c r="N113" i="32" s="1"/>
  <c r="O133" i="32"/>
  <c r="O55" i="32"/>
  <c r="N259" i="32"/>
  <c r="AE94" i="32"/>
  <c r="Z94" i="32"/>
  <c r="J30" i="56" l="1"/>
  <c r="L30" i="56" s="1"/>
  <c r="AU7" i="32"/>
  <c r="P80" i="32"/>
  <c r="P79" i="32" s="1"/>
  <c r="D109" i="54" s="1"/>
  <c r="P117" i="32"/>
  <c r="O117" i="32"/>
  <c r="O80" i="32"/>
  <c r="O79" i="32" s="1"/>
  <c r="C109" i="54" s="1"/>
  <c r="R117" i="32"/>
  <c r="R80" i="32"/>
  <c r="R79" i="32" s="1"/>
  <c r="E109" i="54" s="1"/>
  <c r="AU63" i="32"/>
  <c r="AV63" i="32"/>
  <c r="AS4" i="34"/>
  <c r="AS8" i="34" s="1"/>
  <c r="L8" i="35"/>
  <c r="N65" i="32"/>
  <c r="N16" i="32"/>
  <c r="AV110" i="32"/>
  <c r="AV111" i="32" s="1"/>
  <c r="AW105" i="32"/>
  <c r="AV104" i="32"/>
  <c r="U33" i="32"/>
  <c r="U67" i="32"/>
  <c r="AE111" i="32"/>
  <c r="AJ111" i="32"/>
  <c r="AW6" i="32" l="1"/>
  <c r="Z166" i="32"/>
  <c r="AT4" i="34"/>
  <c r="AW110" i="32"/>
  <c r="AW111" i="32" s="1"/>
  <c r="AX105" i="32"/>
  <c r="AW104" i="32"/>
  <c r="U133" i="32"/>
  <c r="C52" i="31" s="1"/>
  <c r="U55" i="32"/>
  <c r="Y83" i="32"/>
  <c r="X83" i="32"/>
  <c r="W83" i="32"/>
  <c r="V83" i="32"/>
  <c r="Y30" i="32"/>
  <c r="X30" i="32"/>
  <c r="W30" i="32"/>
  <c r="V30" i="32"/>
  <c r="AX24" i="32"/>
  <c r="AW24" i="32"/>
  <c r="AV24" i="32"/>
  <c r="AU24" i="32"/>
  <c r="AT24" i="32"/>
  <c r="AO24" i="32"/>
  <c r="AJ24" i="32"/>
  <c r="Y24" i="32"/>
  <c r="X24" i="32"/>
  <c r="W24" i="32"/>
  <c r="V24" i="32"/>
  <c r="AX17" i="32"/>
  <c r="AW17" i="32"/>
  <c r="AV17" i="32"/>
  <c r="AU17" i="32"/>
  <c r="AT17" i="32"/>
  <c r="AO17" i="32"/>
  <c r="AJ17" i="32"/>
  <c r="Y17" i="32"/>
  <c r="X17" i="32"/>
  <c r="W17" i="32"/>
  <c r="V17" i="32"/>
  <c r="AX10" i="32"/>
  <c r="AW10" i="32"/>
  <c r="AV10" i="32"/>
  <c r="AU10" i="32"/>
  <c r="AT10" i="32"/>
  <c r="Y10" i="32"/>
  <c r="X10" i="32"/>
  <c r="W10" i="32"/>
  <c r="V10" i="32"/>
  <c r="AT8" i="34" l="1"/>
  <c r="AX6" i="32" s="1"/>
  <c r="AX63" i="32" s="1"/>
  <c r="AU4" i="34"/>
  <c r="AU8" i="34" s="1"/>
  <c r="AY6" i="32" s="1"/>
  <c r="AY63" i="32" s="1"/>
  <c r="AW63" i="32"/>
  <c r="U80" i="32"/>
  <c r="U117" i="32"/>
  <c r="AX110" i="32"/>
  <c r="AX111" i="32" s="1"/>
  <c r="AY105" i="32"/>
  <c r="AX104" i="32"/>
  <c r="C16" i="31"/>
  <c r="AT233" i="32" l="1"/>
  <c r="AT226" i="32"/>
  <c r="AT236" i="32"/>
  <c r="AT227" i="32"/>
  <c r="AT231" i="32"/>
  <c r="AY104" i="32"/>
  <c r="AY110" i="32"/>
  <c r="AY111" i="32" s="1"/>
  <c r="P78" i="32"/>
  <c r="O84" i="32"/>
  <c r="P4" i="32"/>
  <c r="AU231" i="32" l="1"/>
  <c r="AU236" i="32"/>
  <c r="AU227" i="32"/>
  <c r="AU233" i="32"/>
  <c r="AU226" i="32"/>
  <c r="AT238" i="32"/>
  <c r="AO240" i="32"/>
  <c r="Z161" i="32"/>
  <c r="Q4" i="32"/>
  <c r="Q7" i="32" s="1"/>
  <c r="Q5" i="32" s="1"/>
  <c r="Q78" i="32"/>
  <c r="Q81" i="32" s="1"/>
  <c r="P84" i="32"/>
  <c r="Q84" i="32" s="1"/>
  <c r="AU238" i="32" l="1"/>
  <c r="AV231" i="32"/>
  <c r="AV236" i="32"/>
  <c r="AV227" i="32"/>
  <c r="AU240" i="32"/>
  <c r="AV226" i="32"/>
  <c r="AV233" i="32"/>
  <c r="D16" i="31"/>
  <c r="AT240" i="32"/>
  <c r="Q85" i="32"/>
  <c r="W78" i="32"/>
  <c r="V78" i="32"/>
  <c r="AA81" i="32" s="1"/>
  <c r="AV238" i="32" l="1"/>
  <c r="AW231" i="32"/>
  <c r="AW236" i="32"/>
  <c r="AW226" i="32"/>
  <c r="AW227" i="32"/>
  <c r="AW233" i="32"/>
  <c r="AB81" i="32"/>
  <c r="W4" i="32"/>
  <c r="V4" i="32"/>
  <c r="AA4" i="32" s="1"/>
  <c r="AX236" i="32" l="1"/>
  <c r="AV240" i="32"/>
  <c r="AX226" i="32"/>
  <c r="AY226" i="32" s="1"/>
  <c r="AX227" i="32"/>
  <c r="AY227" i="32" s="1"/>
  <c r="AX233" i="32"/>
  <c r="AY233" i="32" s="1"/>
  <c r="AX231" i="32"/>
  <c r="AX238" i="32" s="1"/>
  <c r="AW238" i="32"/>
  <c r="AF4" i="32"/>
  <c r="AB4" i="32"/>
  <c r="AG4" i="32" s="1"/>
  <c r="AY236" i="32"/>
  <c r="N126" i="32"/>
  <c r="U128" i="32" s="1"/>
  <c r="N84" i="32"/>
  <c r="R78" i="32"/>
  <c r="R84" i="32" s="1"/>
  <c r="Y58" i="32"/>
  <c r="Y130" i="32" s="1"/>
  <c r="X58" i="32"/>
  <c r="X130" i="32" s="1"/>
  <c r="W58" i="32"/>
  <c r="W130" i="32" s="1"/>
  <c r="V58" i="32"/>
  <c r="V130" i="32" s="1"/>
  <c r="S58" i="32"/>
  <c r="S130" i="32" s="1"/>
  <c r="R58" i="32"/>
  <c r="R130" i="32" s="1"/>
  <c r="P58" i="32"/>
  <c r="P130" i="32" s="1"/>
  <c r="O58" i="32"/>
  <c r="O130" i="32" s="1"/>
  <c r="N58" i="32"/>
  <c r="N130" i="32" s="1"/>
  <c r="L58" i="32"/>
  <c r="L130" i="32" s="1"/>
  <c r="K58" i="32"/>
  <c r="K130" i="32" s="1"/>
  <c r="I58" i="32"/>
  <c r="I130" i="32" s="1"/>
  <c r="H58" i="32"/>
  <c r="H130" i="32" s="1"/>
  <c r="G58" i="32"/>
  <c r="G130" i="32" s="1"/>
  <c r="F58" i="32"/>
  <c r="F130" i="32" s="1"/>
  <c r="E58" i="32"/>
  <c r="E130" i="32" s="1"/>
  <c r="D58" i="32"/>
  <c r="D130" i="32" s="1"/>
  <c r="C58" i="32"/>
  <c r="C130" i="32" s="1"/>
  <c r="S43" i="32"/>
  <c r="R43" i="32"/>
  <c r="X43" i="32" s="1"/>
  <c r="AC43" i="32" s="1"/>
  <c r="AH46" i="32" s="1"/>
  <c r="AH45" i="32" s="1"/>
  <c r="P43" i="32"/>
  <c r="O43" i="32"/>
  <c r="S38" i="32"/>
  <c r="R38" i="32"/>
  <c r="X38" i="32" s="1"/>
  <c r="AC38" i="32" s="1"/>
  <c r="AH41" i="32" s="1"/>
  <c r="AH40" i="32" s="1"/>
  <c r="O38" i="32"/>
  <c r="V38" i="32" s="1"/>
  <c r="AA38" i="32" s="1"/>
  <c r="AF38" i="32" s="1"/>
  <c r="AK41" i="32" s="1"/>
  <c r="AK39" i="32" s="1"/>
  <c r="S25" i="32"/>
  <c r="X25" i="32"/>
  <c r="P25" i="32"/>
  <c r="O25" i="32"/>
  <c r="S18" i="32"/>
  <c r="R18" i="32"/>
  <c r="X18" i="32" s="1"/>
  <c r="P18" i="32"/>
  <c r="O18" i="32"/>
  <c r="S11" i="32"/>
  <c r="R11" i="32"/>
  <c r="P11" i="32"/>
  <c r="O11" i="32"/>
  <c r="S4" i="32"/>
  <c r="R4" i="32"/>
  <c r="AX240" i="32" l="1"/>
  <c r="AY231" i="32"/>
  <c r="AY238" i="32" s="1"/>
  <c r="AY240" i="32" s="1"/>
  <c r="AW240" i="32"/>
  <c r="AL4" i="32"/>
  <c r="AK4" i="32"/>
  <c r="AC18" i="32"/>
  <c r="AH18" i="32" s="1"/>
  <c r="AM18" i="32" s="1"/>
  <c r="AR18" i="32" s="1"/>
  <c r="X33" i="32"/>
  <c r="Q43" i="32"/>
  <c r="Q46" i="32" s="1"/>
  <c r="Q18" i="32"/>
  <c r="Q21" i="32" s="1"/>
  <c r="Q19" i="32" s="1"/>
  <c r="T4" i="32"/>
  <c r="T11" i="32"/>
  <c r="Y18" i="32"/>
  <c r="D53" i="56" s="1"/>
  <c r="T18" i="32"/>
  <c r="Y25" i="32"/>
  <c r="T25" i="32"/>
  <c r="W25" i="32"/>
  <c r="Q25" i="32"/>
  <c r="Q28" i="32" s="1"/>
  <c r="Y43" i="32"/>
  <c r="AD43" i="32" s="1"/>
  <c r="T43" i="32"/>
  <c r="T78" i="32"/>
  <c r="Q11" i="32"/>
  <c r="Y38" i="32"/>
  <c r="AD38" i="32" s="1"/>
  <c r="T38" i="32"/>
  <c r="W18" i="32"/>
  <c r="W43" i="32"/>
  <c r="AB43" i="32" s="1"/>
  <c r="AG46" i="32" s="1"/>
  <c r="AG45" i="32" s="1"/>
  <c r="X4" i="32"/>
  <c r="X11" i="32"/>
  <c r="Y11" i="32"/>
  <c r="Y33" i="32"/>
  <c r="V33" i="32"/>
  <c r="W11" i="32"/>
  <c r="W33" i="32"/>
  <c r="Y78" i="32"/>
  <c r="S84" i="32"/>
  <c r="T84" i="32" s="1"/>
  <c r="X78" i="32"/>
  <c r="F147" i="32"/>
  <c r="K147" i="32"/>
  <c r="N121" i="32"/>
  <c r="G147" i="32"/>
  <c r="L147" i="32"/>
  <c r="C147" i="32"/>
  <c r="D147" i="32"/>
  <c r="H147" i="32"/>
  <c r="N147" i="32"/>
  <c r="N89" i="32" s="1"/>
  <c r="N90" i="32" s="1"/>
  <c r="D49" i="54" s="1"/>
  <c r="E147" i="32"/>
  <c r="I147" i="32"/>
  <c r="V11" i="32"/>
  <c r="V25" i="32"/>
  <c r="V43" i="32"/>
  <c r="AA43" i="32" s="1"/>
  <c r="AF43" i="32" s="1"/>
  <c r="AK43" i="32" s="1"/>
  <c r="AP43" i="32" s="1"/>
  <c r="Y4" i="32"/>
  <c r="V18" i="32"/>
  <c r="AA18" i="32" s="1"/>
  <c r="AJ240" i="32"/>
  <c r="G223" i="32"/>
  <c r="G228" i="32"/>
  <c r="G196" i="32"/>
  <c r="G235" i="32"/>
  <c r="G240" i="32"/>
  <c r="G246" i="32"/>
  <c r="U240" i="32"/>
  <c r="G201" i="32"/>
  <c r="G208" i="32"/>
  <c r="N196" i="32"/>
  <c r="AE201" i="32"/>
  <c r="AE208" i="32"/>
  <c r="N223" i="32"/>
  <c r="N228" i="32"/>
  <c r="N201" i="32"/>
  <c r="N208" i="32"/>
  <c r="N235" i="32"/>
  <c r="N240" i="32"/>
  <c r="N246" i="32"/>
  <c r="AE240" i="32"/>
  <c r="U201" i="32"/>
  <c r="U208" i="32"/>
  <c r="Z240" i="32"/>
  <c r="Z201" i="32"/>
  <c r="Z208" i="32"/>
  <c r="I158" i="32"/>
  <c r="I145" i="32"/>
  <c r="N142" i="32"/>
  <c r="I142" i="32"/>
  <c r="I151" i="32"/>
  <c r="H151" i="32"/>
  <c r="H158" i="32"/>
  <c r="N158" i="32"/>
  <c r="N145" i="32"/>
  <c r="K158" i="32"/>
  <c r="L158" i="32"/>
  <c r="N139" i="32"/>
  <c r="I139" i="32"/>
  <c r="C153" i="32"/>
  <c r="K139" i="32"/>
  <c r="K142" i="32"/>
  <c r="K145" i="32"/>
  <c r="K151" i="32"/>
  <c r="H81" i="32"/>
  <c r="O83" i="32" s="1"/>
  <c r="H139" i="32"/>
  <c r="L139" i="32"/>
  <c r="H142" i="32"/>
  <c r="L142" i="32"/>
  <c r="H145" i="32"/>
  <c r="L145" i="32"/>
  <c r="L151" i="32"/>
  <c r="I118" i="32"/>
  <c r="E131" i="32"/>
  <c r="N131" i="32"/>
  <c r="N146" i="32" s="1"/>
  <c r="I131" i="32"/>
  <c r="C131" i="32"/>
  <c r="G131" i="32"/>
  <c r="L81" i="32"/>
  <c r="S83" i="32" s="1"/>
  <c r="F131" i="32"/>
  <c r="K118" i="32"/>
  <c r="L131" i="32"/>
  <c r="L118" i="32"/>
  <c r="D131" i="32"/>
  <c r="H131" i="32"/>
  <c r="F153" i="32"/>
  <c r="K153" i="32"/>
  <c r="E153" i="32"/>
  <c r="I153" i="32"/>
  <c r="N118" i="32"/>
  <c r="G153" i="32"/>
  <c r="L153" i="32"/>
  <c r="K131" i="32"/>
  <c r="H118" i="32"/>
  <c r="N81" i="32"/>
  <c r="I81" i="32"/>
  <c r="P83" i="32" s="1"/>
  <c r="K81" i="32"/>
  <c r="R83" i="32" s="1"/>
  <c r="L51" i="32"/>
  <c r="K41" i="32"/>
  <c r="H46" i="32"/>
  <c r="N46" i="32"/>
  <c r="G53" i="32"/>
  <c r="G47" i="32" s="1"/>
  <c r="H51" i="32"/>
  <c r="E31" i="32"/>
  <c r="E29" i="32" s="1"/>
  <c r="O31" i="32"/>
  <c r="O115" i="32" s="1"/>
  <c r="C53" i="32"/>
  <c r="C47" i="32" s="1"/>
  <c r="F31" i="32"/>
  <c r="F29" i="32" s="1"/>
  <c r="G31" i="32"/>
  <c r="L31" i="32"/>
  <c r="R31" i="32"/>
  <c r="R115" i="32" s="1"/>
  <c r="I41" i="32"/>
  <c r="L46" i="32"/>
  <c r="E53" i="32"/>
  <c r="E42" i="32" s="1"/>
  <c r="I53" i="32"/>
  <c r="I31" i="32"/>
  <c r="N51" i="32"/>
  <c r="K31" i="32"/>
  <c r="P31" i="32"/>
  <c r="D31" i="32"/>
  <c r="D29" i="32" s="1"/>
  <c r="H31" i="32"/>
  <c r="H29" i="32" s="1"/>
  <c r="N31" i="32"/>
  <c r="S31" i="32"/>
  <c r="I46" i="32"/>
  <c r="F53" i="32"/>
  <c r="F42" i="32" s="1"/>
  <c r="K53" i="32"/>
  <c r="K47" i="32" s="1"/>
  <c r="L53" i="32"/>
  <c r="N7" i="32"/>
  <c r="D53" i="32"/>
  <c r="D42" i="32" s="1"/>
  <c r="H53" i="32"/>
  <c r="H47" i="32" s="1"/>
  <c r="N53" i="32"/>
  <c r="L41" i="32"/>
  <c r="K46" i="32"/>
  <c r="I51" i="32"/>
  <c r="H41" i="32"/>
  <c r="N41" i="32"/>
  <c r="K51" i="32"/>
  <c r="I14" i="32"/>
  <c r="P17" i="32" s="1"/>
  <c r="I7" i="32"/>
  <c r="P10" i="32" s="1"/>
  <c r="I21" i="32"/>
  <c r="P24" i="32" s="1"/>
  <c r="K14" i="32"/>
  <c r="R17" i="32" s="1"/>
  <c r="H21" i="32"/>
  <c r="O24" i="32" s="1"/>
  <c r="N21" i="32"/>
  <c r="L7" i="32"/>
  <c r="S10" i="32" s="1"/>
  <c r="H14" i="32"/>
  <c r="O17" i="32" s="1"/>
  <c r="N14" i="32"/>
  <c r="L14" i="32"/>
  <c r="S17" i="32" s="1"/>
  <c r="L28" i="32"/>
  <c r="S30" i="32" s="1"/>
  <c r="K21" i="32"/>
  <c r="R24" i="32" s="1"/>
  <c r="H28" i="32"/>
  <c r="O30" i="32" s="1"/>
  <c r="N28" i="32"/>
  <c r="K7" i="32"/>
  <c r="R10" i="32" s="1"/>
  <c r="H7" i="32"/>
  <c r="O10" i="32" s="1"/>
  <c r="C31" i="32"/>
  <c r="C8" i="32" s="1"/>
  <c r="L21" i="32"/>
  <c r="S24" i="32" s="1"/>
  <c r="K28" i="32"/>
  <c r="R30" i="32" s="1"/>
  <c r="I28" i="32"/>
  <c r="P30" i="32" s="1"/>
  <c r="C19" i="31"/>
  <c r="C20" i="31"/>
  <c r="E19" i="31"/>
  <c r="M48" i="31"/>
  <c r="L48" i="31"/>
  <c r="K48" i="31"/>
  <c r="AS2" i="34" s="1"/>
  <c r="J48" i="31"/>
  <c r="I48" i="31"/>
  <c r="H48" i="31"/>
  <c r="G48" i="31"/>
  <c r="AK2" i="34" s="1"/>
  <c r="F48" i="31"/>
  <c r="E48" i="31"/>
  <c r="D48" i="31"/>
  <c r="C48" i="31"/>
  <c r="D20" i="31"/>
  <c r="D19" i="31"/>
  <c r="AY2" i="32" l="1"/>
  <c r="AU2" i="34"/>
  <c r="AP4" i="32"/>
  <c r="AQ4" i="32"/>
  <c r="C146" i="32"/>
  <c r="F146" i="32"/>
  <c r="E146" i="32"/>
  <c r="L146" i="32"/>
  <c r="I146" i="32"/>
  <c r="H146" i="32"/>
  <c r="D146" i="32"/>
  <c r="G146" i="32"/>
  <c r="K146" i="32"/>
  <c r="AF18" i="32"/>
  <c r="AK18" i="32" s="1"/>
  <c r="AP18" i="32" s="1"/>
  <c r="D49" i="56"/>
  <c r="AC81" i="32"/>
  <c r="D52" i="56"/>
  <c r="AC4" i="32"/>
  <c r="AE43" i="32"/>
  <c r="AB18" i="32"/>
  <c r="AG18" i="32" s="1"/>
  <c r="AL18" i="32" s="1"/>
  <c r="AQ18" i="32" s="1"/>
  <c r="AB33" i="32"/>
  <c r="AB55" i="32" s="1"/>
  <c r="AA11" i="32"/>
  <c r="AA33" i="32"/>
  <c r="AA55" i="32" s="1"/>
  <c r="N256" i="32"/>
  <c r="AV168" i="32"/>
  <c r="AB11" i="32"/>
  <c r="T14" i="32"/>
  <c r="AC11" i="32"/>
  <c r="K15" i="32"/>
  <c r="Q2" i="34"/>
  <c r="U2" i="32"/>
  <c r="U58" i="32" s="1"/>
  <c r="U130" i="32" s="1"/>
  <c r="M153" i="32"/>
  <c r="F9" i="37"/>
  <c r="H9" i="37" s="1"/>
  <c r="I9" i="37"/>
  <c r="K9" i="37" s="1"/>
  <c r="T46" i="32"/>
  <c r="U43" i="32"/>
  <c r="U46" i="32" s="1"/>
  <c r="C119" i="32"/>
  <c r="D119" i="32"/>
  <c r="F119" i="32"/>
  <c r="E119" i="32"/>
  <c r="N159" i="32"/>
  <c r="Z25" i="32"/>
  <c r="Z18" i="32"/>
  <c r="V10" i="35" s="1"/>
  <c r="W31" i="32"/>
  <c r="U18" i="32"/>
  <c r="Q10" i="35" s="1"/>
  <c r="T21" i="32"/>
  <c r="J147" i="32"/>
  <c r="L47" i="32"/>
  <c r="M53" i="32"/>
  <c r="I47" i="32"/>
  <c r="J53" i="32"/>
  <c r="M131" i="32"/>
  <c r="U25" i="32"/>
  <c r="U28" i="32" s="1"/>
  <c r="T28" i="32"/>
  <c r="M147" i="32"/>
  <c r="U4" i="32"/>
  <c r="T7" i="32"/>
  <c r="J131" i="32"/>
  <c r="U84" i="32"/>
  <c r="T85" i="32"/>
  <c r="U78" i="32"/>
  <c r="U81" i="32" s="1"/>
  <c r="U79" i="32" s="1"/>
  <c r="T81" i="32"/>
  <c r="L22" i="32"/>
  <c r="M31" i="32"/>
  <c r="Q14" i="32"/>
  <c r="Q12" i="32" s="1"/>
  <c r="I29" i="32"/>
  <c r="J31" i="32"/>
  <c r="S115" i="32"/>
  <c r="T115" i="32" s="1"/>
  <c r="T31" i="32"/>
  <c r="Q31" i="32"/>
  <c r="Q15" i="32" s="1"/>
  <c r="U11" i="32"/>
  <c r="AW2" i="32"/>
  <c r="AW180" i="32" s="1"/>
  <c r="AT2" i="32"/>
  <c r="AT180" i="32" s="1"/>
  <c r="AP2" i="34"/>
  <c r="AX2" i="32"/>
  <c r="AX216" i="32" s="1"/>
  <c r="AT2" i="34"/>
  <c r="Z2" i="32"/>
  <c r="Z216" i="32" s="1"/>
  <c r="V2" i="34"/>
  <c r="AE2" i="32"/>
  <c r="AE216" i="32" s="1"/>
  <c r="AA2" i="34"/>
  <c r="AU2" i="32"/>
  <c r="AU180" i="32" s="1"/>
  <c r="AQ2" i="34"/>
  <c r="AY58" i="32"/>
  <c r="AY130" i="32" s="1"/>
  <c r="AY216" i="32"/>
  <c r="AY180" i="32"/>
  <c r="AJ2" i="32"/>
  <c r="AJ58" i="32" s="1"/>
  <c r="AJ130" i="32" s="1"/>
  <c r="AF2" i="34"/>
  <c r="AV2" i="32"/>
  <c r="AV216" i="32" s="1"/>
  <c r="AR2" i="34"/>
  <c r="AO2" i="32"/>
  <c r="AO58" i="32" s="1"/>
  <c r="AO130" i="32" s="1"/>
  <c r="Z4" i="32"/>
  <c r="N8" i="32"/>
  <c r="N15" i="32"/>
  <c r="Z43" i="32"/>
  <c r="P115" i="32"/>
  <c r="X31" i="32"/>
  <c r="X22" i="32" s="1"/>
  <c r="W133" i="32"/>
  <c r="W55" i="32"/>
  <c r="Y133" i="32"/>
  <c r="Y55" i="32"/>
  <c r="Z11" i="32"/>
  <c r="X55" i="32"/>
  <c r="X133" i="32"/>
  <c r="V133" i="32"/>
  <c r="V55" i="32"/>
  <c r="L12" i="35"/>
  <c r="L4" i="35"/>
  <c r="G4" i="35"/>
  <c r="G12" i="35"/>
  <c r="G29" i="32"/>
  <c r="Y31" i="32"/>
  <c r="Y115" i="32" s="1"/>
  <c r="L82" i="32"/>
  <c r="L119" i="32"/>
  <c r="G262" i="32"/>
  <c r="G254" i="32"/>
  <c r="G251" i="32"/>
  <c r="G119" i="32"/>
  <c r="I82" i="32"/>
  <c r="I119" i="32"/>
  <c r="K82" i="32"/>
  <c r="K119" i="32"/>
  <c r="H82" i="32"/>
  <c r="H119" i="32"/>
  <c r="N82" i="32"/>
  <c r="N262" i="32"/>
  <c r="N251" i="32"/>
  <c r="N254" i="32"/>
  <c r="N119" i="32"/>
  <c r="R118" i="32"/>
  <c r="R116" i="32" s="1"/>
  <c r="E110" i="54" s="1"/>
  <c r="O131" i="32"/>
  <c r="K148" i="32"/>
  <c r="N86" i="32"/>
  <c r="N87" i="32" s="1"/>
  <c r="G136" i="32"/>
  <c r="C32" i="54" s="1"/>
  <c r="G82" i="32"/>
  <c r="E143" i="32"/>
  <c r="E82" i="32"/>
  <c r="C159" i="32"/>
  <c r="C82" i="32"/>
  <c r="D82" i="32"/>
  <c r="F136" i="32"/>
  <c r="F82" i="32"/>
  <c r="H134" i="32"/>
  <c r="N134" i="32"/>
  <c r="O118" i="32"/>
  <c r="O116" i="32" s="1"/>
  <c r="C110" i="54" s="1"/>
  <c r="K134" i="32"/>
  <c r="N122" i="32"/>
  <c r="N123" i="32"/>
  <c r="N124" i="32" s="1"/>
  <c r="Z78" i="32"/>
  <c r="AE78" i="32" s="1"/>
  <c r="L136" i="32"/>
  <c r="L134" i="32"/>
  <c r="R131" i="32"/>
  <c r="I134" i="32"/>
  <c r="N148" i="32"/>
  <c r="N149" i="32"/>
  <c r="L148" i="32"/>
  <c r="L149" i="32"/>
  <c r="H148" i="32"/>
  <c r="H149" i="32"/>
  <c r="I148" i="32"/>
  <c r="I149" i="32"/>
  <c r="K149" i="32"/>
  <c r="P29" i="32"/>
  <c r="P53" i="32"/>
  <c r="P38" i="32" s="1"/>
  <c r="Q38" i="32" s="1"/>
  <c r="R22" i="32"/>
  <c r="R53" i="32"/>
  <c r="R48" i="32" s="1"/>
  <c r="R52" i="32" s="1"/>
  <c r="S8" i="32"/>
  <c r="S53" i="32"/>
  <c r="V31" i="32"/>
  <c r="V34" i="32" s="1"/>
  <c r="V32" i="32" s="1"/>
  <c r="O15" i="32"/>
  <c r="O53" i="32"/>
  <c r="O48" i="32" s="1"/>
  <c r="G241" i="32"/>
  <c r="H153" i="32"/>
  <c r="G229" i="32"/>
  <c r="N229" i="32"/>
  <c r="N241" i="32"/>
  <c r="G209" i="32"/>
  <c r="N209" i="32"/>
  <c r="J67" i="54"/>
  <c r="K143" i="32"/>
  <c r="E136" i="32"/>
  <c r="H162" i="32"/>
  <c r="G162" i="32"/>
  <c r="C162" i="32"/>
  <c r="F143" i="32"/>
  <c r="G159" i="32"/>
  <c r="D162" i="32"/>
  <c r="D153" i="32"/>
  <c r="C152" i="32"/>
  <c r="D159" i="32"/>
  <c r="G163" i="32"/>
  <c r="G155" i="32"/>
  <c r="I163" i="32"/>
  <c r="I155" i="32"/>
  <c r="F163" i="32"/>
  <c r="F155" i="32"/>
  <c r="I152" i="32"/>
  <c r="I162" i="32"/>
  <c r="I140" i="32"/>
  <c r="I136" i="32"/>
  <c r="I159" i="32"/>
  <c r="L162" i="32"/>
  <c r="K140" i="32"/>
  <c r="K162" i="32"/>
  <c r="E163" i="32"/>
  <c r="E155" i="32"/>
  <c r="H152" i="32"/>
  <c r="K136" i="32"/>
  <c r="L152" i="32"/>
  <c r="L159" i="32"/>
  <c r="N151" i="32"/>
  <c r="G152" i="32"/>
  <c r="C66" i="54" s="1"/>
  <c r="G143" i="32"/>
  <c r="C68" i="54" s="1"/>
  <c r="G140" i="32"/>
  <c r="C69" i="54" s="1"/>
  <c r="K159" i="32"/>
  <c r="N153" i="32"/>
  <c r="L163" i="32"/>
  <c r="L155" i="32"/>
  <c r="L154" i="32"/>
  <c r="K163" i="32"/>
  <c r="K155" i="32"/>
  <c r="K154" i="32"/>
  <c r="F152" i="32"/>
  <c r="F162" i="32"/>
  <c r="F159" i="32"/>
  <c r="E152" i="32"/>
  <c r="E162" i="32"/>
  <c r="E159" i="32"/>
  <c r="I143" i="32"/>
  <c r="H140" i="32"/>
  <c r="N162" i="32"/>
  <c r="H159" i="32"/>
  <c r="D67" i="54"/>
  <c r="N152" i="32"/>
  <c r="D66" i="54" s="1"/>
  <c r="N143" i="32"/>
  <c r="D68" i="54" s="1"/>
  <c r="C136" i="32"/>
  <c r="C143" i="32"/>
  <c r="K152" i="32"/>
  <c r="H143" i="32"/>
  <c r="E140" i="32"/>
  <c r="F140" i="32"/>
  <c r="D140" i="32"/>
  <c r="C140" i="32"/>
  <c r="N136" i="32"/>
  <c r="D32" i="54" s="1"/>
  <c r="C163" i="32"/>
  <c r="C155" i="32"/>
  <c r="D136" i="32"/>
  <c r="N140" i="32"/>
  <c r="D69" i="54" s="1"/>
  <c r="D152" i="32"/>
  <c r="C67" i="54"/>
  <c r="D143" i="32"/>
  <c r="L143" i="32"/>
  <c r="L140" i="32"/>
  <c r="H136" i="32"/>
  <c r="R29" i="32"/>
  <c r="R15" i="32"/>
  <c r="I42" i="32"/>
  <c r="D22" i="32"/>
  <c r="F47" i="32"/>
  <c r="L52" i="32"/>
  <c r="D47" i="32"/>
  <c r="H8" i="32"/>
  <c r="I52" i="32"/>
  <c r="N56" i="32"/>
  <c r="G8" i="32"/>
  <c r="E15" i="32"/>
  <c r="C52" i="32"/>
  <c r="H56" i="32"/>
  <c r="C42" i="32"/>
  <c r="O22" i="32"/>
  <c r="O29" i="32"/>
  <c r="N47" i="32"/>
  <c r="G52" i="32"/>
  <c r="G42" i="32"/>
  <c r="O8" i="32"/>
  <c r="L8" i="32"/>
  <c r="K22" i="32"/>
  <c r="H52" i="32"/>
  <c r="L15" i="32"/>
  <c r="K29" i="32"/>
  <c r="E52" i="32"/>
  <c r="E47" i="32"/>
  <c r="N34" i="32"/>
  <c r="L56" i="32"/>
  <c r="K52" i="32"/>
  <c r="F52" i="32"/>
  <c r="K42" i="32"/>
  <c r="K56" i="32"/>
  <c r="L42" i="32"/>
  <c r="C29" i="32"/>
  <c r="I56" i="32"/>
  <c r="D52" i="32"/>
  <c r="N42" i="32"/>
  <c r="H42" i="32"/>
  <c r="N52" i="32"/>
  <c r="S15" i="32"/>
  <c r="F8" i="32"/>
  <c r="S22" i="32"/>
  <c r="F15" i="32"/>
  <c r="I8" i="32"/>
  <c r="I15" i="32"/>
  <c r="S29" i="32"/>
  <c r="F22" i="32"/>
  <c r="I22" i="32"/>
  <c r="N22" i="32"/>
  <c r="E8" i="32"/>
  <c r="N29" i="32"/>
  <c r="H15" i="32"/>
  <c r="E22" i="32"/>
  <c r="G15" i="32"/>
  <c r="P8" i="32"/>
  <c r="H22" i="32"/>
  <c r="P15" i="32"/>
  <c r="G22" i="32"/>
  <c r="D8" i="32"/>
  <c r="R34" i="32"/>
  <c r="R32" i="32" s="1"/>
  <c r="R8" i="32"/>
  <c r="P22" i="32"/>
  <c r="D15" i="32"/>
  <c r="L29" i="32"/>
  <c r="C15" i="32"/>
  <c r="K8" i="32"/>
  <c r="C22" i="32"/>
  <c r="L34" i="32"/>
  <c r="I34" i="32"/>
  <c r="K34" i="32"/>
  <c r="H34" i="32"/>
  <c r="O34" i="32"/>
  <c r="O32" i="32" s="1"/>
  <c r="S34" i="32"/>
  <c r="S32" i="32" s="1"/>
  <c r="P34" i="32"/>
  <c r="P32" i="32" s="1"/>
  <c r="E20" i="31"/>
  <c r="E65" i="31"/>
  <c r="D62" i="31"/>
  <c r="J27" i="31"/>
  <c r="M27" i="31"/>
  <c r="I27" i="31"/>
  <c r="L27" i="31"/>
  <c r="K27" i="31"/>
  <c r="D65" i="31"/>
  <c r="E62" i="31"/>
  <c r="M152" i="32" l="1"/>
  <c r="M146" i="32"/>
  <c r="Q133" i="32"/>
  <c r="Q33" i="32" s="1"/>
  <c r="Q55" i="32" s="1"/>
  <c r="J146" i="32"/>
  <c r="AH4" i="32"/>
  <c r="X117" i="32"/>
  <c r="X80" i="32"/>
  <c r="X79" i="32" s="1"/>
  <c r="I109" i="54" s="1"/>
  <c r="AB80" i="32"/>
  <c r="AB79" i="32" s="1"/>
  <c r="L109" i="54" s="1"/>
  <c r="AB117" i="32"/>
  <c r="V80" i="32"/>
  <c r="V79" i="32" s="1"/>
  <c r="G109" i="54" s="1"/>
  <c r="V117" i="32"/>
  <c r="W117" i="32"/>
  <c r="W80" i="32"/>
  <c r="W79" i="32" s="1"/>
  <c r="H109" i="54" s="1"/>
  <c r="AA80" i="32"/>
  <c r="AA79" i="32" s="1"/>
  <c r="K109" i="54" s="1"/>
  <c r="AA117" i="32"/>
  <c r="Y117" i="32"/>
  <c r="Y80" i="32"/>
  <c r="Y79" i="32" s="1"/>
  <c r="J109" i="54" s="1"/>
  <c r="AW168" i="32"/>
  <c r="AH11" i="32"/>
  <c r="AM11" i="32" s="1"/>
  <c r="AG11" i="32"/>
  <c r="AA31" i="32"/>
  <c r="AA115" i="32" s="1"/>
  <c r="AF11" i="32"/>
  <c r="Y131" i="32"/>
  <c r="Y162" i="32" s="1"/>
  <c r="D48" i="56"/>
  <c r="M143" i="32"/>
  <c r="AJ78" i="32"/>
  <c r="AD78" i="32"/>
  <c r="AJ43" i="32"/>
  <c r="D51" i="56"/>
  <c r="AE46" i="32"/>
  <c r="AA133" i="32"/>
  <c r="U30" i="32"/>
  <c r="T19" i="32"/>
  <c r="AA24" i="32"/>
  <c r="T5" i="32"/>
  <c r="AA10" i="32"/>
  <c r="Q8" i="35"/>
  <c r="AB133" i="32"/>
  <c r="T12" i="32"/>
  <c r="AA17" i="32"/>
  <c r="AC31" i="32"/>
  <c r="AC53" i="32" s="1"/>
  <c r="AC115" i="32" s="1"/>
  <c r="AB31" i="32"/>
  <c r="AB53" i="32" s="1"/>
  <c r="AB115" i="32" s="1"/>
  <c r="U83" i="32"/>
  <c r="AE4" i="32"/>
  <c r="U61" i="32"/>
  <c r="U64" i="32" s="1"/>
  <c r="U62" i="32" s="1"/>
  <c r="C70" i="54"/>
  <c r="D70" i="54"/>
  <c r="W115" i="32"/>
  <c r="T133" i="32"/>
  <c r="T33" i="32" s="1"/>
  <c r="T55" i="32" s="1"/>
  <c r="M149" i="32"/>
  <c r="M155" i="32"/>
  <c r="O51" i="32"/>
  <c r="Q48" i="32"/>
  <c r="D163" i="32"/>
  <c r="H154" i="32"/>
  <c r="U85" i="32"/>
  <c r="Z7" i="32"/>
  <c r="Z28" i="32"/>
  <c r="Z23" i="32"/>
  <c r="Z69" i="32"/>
  <c r="AE18" i="32"/>
  <c r="M162" i="32"/>
  <c r="M163" i="32"/>
  <c r="M165" i="32" s="1"/>
  <c r="N212" i="32"/>
  <c r="G212" i="32"/>
  <c r="N247" i="32"/>
  <c r="G247" i="32"/>
  <c r="W8" i="32"/>
  <c r="W34" i="32"/>
  <c r="U9" i="32"/>
  <c r="Z9" i="32"/>
  <c r="Q9" i="35"/>
  <c r="V9" i="35"/>
  <c r="Z61" i="32"/>
  <c r="W53" i="32"/>
  <c r="W47" i="32" s="1"/>
  <c r="U7" i="32"/>
  <c r="M136" i="32"/>
  <c r="M140" i="32"/>
  <c r="M82" i="32"/>
  <c r="M159" i="32"/>
  <c r="M119" i="32"/>
  <c r="U69" i="32"/>
  <c r="U72" i="32" s="1"/>
  <c r="U70" i="32" s="1"/>
  <c r="W22" i="32"/>
  <c r="W29" i="32"/>
  <c r="W15" i="32"/>
  <c r="Z21" i="32"/>
  <c r="U21" i="32"/>
  <c r="Z6" i="32"/>
  <c r="Z63" i="32" s="1"/>
  <c r="U23" i="32"/>
  <c r="Z20" i="32"/>
  <c r="Z71" i="32" s="1"/>
  <c r="U31" i="32"/>
  <c r="N265" i="32"/>
  <c r="N266" i="32" s="1"/>
  <c r="AW58" i="32"/>
  <c r="AW130" i="32" s="1"/>
  <c r="Z180" i="32"/>
  <c r="AW216" i="32"/>
  <c r="AU58" i="32"/>
  <c r="AU130" i="32" s="1"/>
  <c r="AV180" i="32"/>
  <c r="AT216" i="32"/>
  <c r="S118" i="32"/>
  <c r="S116" i="32" s="1"/>
  <c r="F110" i="54" s="1"/>
  <c r="J153" i="32"/>
  <c r="J155" i="32" s="1"/>
  <c r="U180" i="32"/>
  <c r="AU216" i="32"/>
  <c r="U14" i="32"/>
  <c r="Z13" i="32"/>
  <c r="Z67" i="32" s="1"/>
  <c r="J119" i="32"/>
  <c r="J159" i="32"/>
  <c r="J143" i="32"/>
  <c r="J152" i="32"/>
  <c r="J140" i="32"/>
  <c r="J136" i="32"/>
  <c r="J162" i="32"/>
  <c r="J149" i="32"/>
  <c r="J82" i="32"/>
  <c r="AV58" i="32"/>
  <c r="AV130" i="32" s="1"/>
  <c r="T118" i="32"/>
  <c r="P131" i="32"/>
  <c r="Q115" i="32"/>
  <c r="T22" i="32"/>
  <c r="T29" i="32"/>
  <c r="T34" i="32"/>
  <c r="T8" i="32"/>
  <c r="T15" i="32"/>
  <c r="S42" i="32"/>
  <c r="T53" i="32"/>
  <c r="J8" i="32"/>
  <c r="J22" i="32"/>
  <c r="J29" i="32"/>
  <c r="J15" i="32"/>
  <c r="M29" i="32"/>
  <c r="M8" i="32"/>
  <c r="M22" i="32"/>
  <c r="M15" i="32"/>
  <c r="Q53" i="32"/>
  <c r="S131" i="32"/>
  <c r="Q22" i="32"/>
  <c r="Q8" i="32"/>
  <c r="Q29" i="32"/>
  <c r="Q34" i="32"/>
  <c r="U216" i="32"/>
  <c r="AX180" i="32"/>
  <c r="AE180" i="32"/>
  <c r="Z58" i="32"/>
  <c r="Z130" i="32" s="1"/>
  <c r="AT58" i="32"/>
  <c r="AT130" i="32" s="1"/>
  <c r="AJ180" i="32"/>
  <c r="AX58" i="32"/>
  <c r="AX130" i="32" s="1"/>
  <c r="AE58" i="32"/>
  <c r="AE130" i="32" s="1"/>
  <c r="AO216" i="32"/>
  <c r="AO180" i="32"/>
  <c r="AJ216" i="32"/>
  <c r="Z46" i="32"/>
  <c r="O119" i="32"/>
  <c r="O157" i="32"/>
  <c r="R134" i="32"/>
  <c r="R132" i="32" s="1"/>
  <c r="R157" i="32"/>
  <c r="P118" i="32"/>
  <c r="X34" i="32"/>
  <c r="X32" i="32" s="1"/>
  <c r="X53" i="32"/>
  <c r="X42" i="32" s="1"/>
  <c r="X15" i="32"/>
  <c r="X29" i="32"/>
  <c r="X8" i="32"/>
  <c r="X115" i="32"/>
  <c r="P56" i="32"/>
  <c r="P54" i="32" s="1"/>
  <c r="Z31" i="32"/>
  <c r="Z14" i="32"/>
  <c r="AE11" i="32"/>
  <c r="V8" i="35"/>
  <c r="Y34" i="32"/>
  <c r="Y53" i="32"/>
  <c r="Y48" i="32" s="1"/>
  <c r="Y52" i="32" s="1"/>
  <c r="Y29" i="32"/>
  <c r="Y118" i="32"/>
  <c r="Y15" i="32"/>
  <c r="Y22" i="32"/>
  <c r="Y8" i="32"/>
  <c r="N255" i="32"/>
  <c r="N253" i="32"/>
  <c r="N252" i="32"/>
  <c r="G255" i="32"/>
  <c r="G253" i="32"/>
  <c r="P35" i="32"/>
  <c r="R120" i="32"/>
  <c r="V35" i="32"/>
  <c r="O120" i="32"/>
  <c r="R35" i="32"/>
  <c r="O35" i="32"/>
  <c r="S35" i="32"/>
  <c r="V8" i="32"/>
  <c r="O162" i="32"/>
  <c r="O134" i="32"/>
  <c r="O132" i="32" s="1"/>
  <c r="O141" i="32"/>
  <c r="O142" i="32" s="1"/>
  <c r="O138" i="32"/>
  <c r="O144" i="32"/>
  <c r="O145" i="32" s="1"/>
  <c r="P47" i="32"/>
  <c r="O82" i="32"/>
  <c r="C111" i="54" s="1"/>
  <c r="O150" i="32"/>
  <c r="R82" i="32"/>
  <c r="E111" i="54" s="1"/>
  <c r="R119" i="32"/>
  <c r="R162" i="32"/>
  <c r="V29" i="32"/>
  <c r="V115" i="32"/>
  <c r="R144" i="32"/>
  <c r="R145" i="32" s="1"/>
  <c r="R138" i="32"/>
  <c r="R141" i="32"/>
  <c r="R142" i="32" s="1"/>
  <c r="Z81" i="32"/>
  <c r="V22" i="32"/>
  <c r="S48" i="32"/>
  <c r="S47" i="32"/>
  <c r="R47" i="32"/>
  <c r="O47" i="32"/>
  <c r="O56" i="32"/>
  <c r="O54" i="32" s="1"/>
  <c r="R42" i="32"/>
  <c r="P52" i="32"/>
  <c r="R56" i="32"/>
  <c r="R54" i="32" s="1"/>
  <c r="S56" i="32"/>
  <c r="S54" i="32" s="1"/>
  <c r="O42" i="32"/>
  <c r="V15" i="32"/>
  <c r="V53" i="32"/>
  <c r="H163" i="32"/>
  <c r="H155" i="32"/>
  <c r="I154" i="32"/>
  <c r="D155" i="32"/>
  <c r="C167" i="32"/>
  <c r="C165" i="32"/>
  <c r="I167" i="32"/>
  <c r="I165" i="32"/>
  <c r="F167" i="32"/>
  <c r="F165" i="32"/>
  <c r="N163" i="32"/>
  <c r="N155" i="32"/>
  <c r="N154" i="32"/>
  <c r="G167" i="32"/>
  <c r="G165" i="32"/>
  <c r="L167" i="32"/>
  <c r="L165" i="32"/>
  <c r="L164" i="32"/>
  <c r="K167" i="32"/>
  <c r="K165" i="32"/>
  <c r="K164" i="32"/>
  <c r="E167" i="32"/>
  <c r="E165" i="32"/>
  <c r="Q32" i="32" l="1"/>
  <c r="AR11" i="32"/>
  <c r="AI43" i="32"/>
  <c r="AI46" i="32" s="1"/>
  <c r="AI45" i="32" s="1"/>
  <c r="AO43" i="32"/>
  <c r="AX168" i="32"/>
  <c r="AY168" i="32" s="1"/>
  <c r="AM4" i="32"/>
  <c r="AR32" i="32" s="1"/>
  <c r="AM33" i="32"/>
  <c r="AL11" i="32"/>
  <c r="AQ32" i="32" s="1"/>
  <c r="AL133" i="32"/>
  <c r="AK11" i="32"/>
  <c r="AP32" i="32" s="1"/>
  <c r="AK133" i="32"/>
  <c r="AK117" i="32" s="1"/>
  <c r="Y119" i="32"/>
  <c r="Y141" i="32"/>
  <c r="Y150" i="32"/>
  <c r="Y144" i="32"/>
  <c r="Y82" i="32"/>
  <c r="J111" i="54" s="1"/>
  <c r="Y157" i="32"/>
  <c r="Y116" i="32"/>
  <c r="J110" i="54" s="1"/>
  <c r="Y138" i="32"/>
  <c r="P120" i="32"/>
  <c r="P116" i="32"/>
  <c r="D110" i="54" s="1"/>
  <c r="AI78" i="32"/>
  <c r="AI81" i="32" s="1"/>
  <c r="AI80" i="32" s="1"/>
  <c r="AA8" i="32"/>
  <c r="AG10" i="32"/>
  <c r="AG17" i="32"/>
  <c r="AF31" i="32"/>
  <c r="AG133" i="32"/>
  <c r="AG55" i="32"/>
  <c r="AA22" i="32"/>
  <c r="AA15" i="32"/>
  <c r="AG31" i="32"/>
  <c r="AG15" i="32" s="1"/>
  <c r="AA34" i="32"/>
  <c r="AA134" i="32" s="1"/>
  <c r="AA53" i="32"/>
  <c r="AA56" i="32" s="1"/>
  <c r="AA54" i="32" s="1"/>
  <c r="AH133" i="32"/>
  <c r="AH55" i="32"/>
  <c r="AA131" i="32"/>
  <c r="AF133" i="32"/>
  <c r="AF55" i="32"/>
  <c r="AH31" i="32"/>
  <c r="AH15" i="32" s="1"/>
  <c r="AD81" i="32"/>
  <c r="AC118" i="32"/>
  <c r="X118" i="32"/>
  <c r="X120" i="32" s="1"/>
  <c r="AA118" i="32"/>
  <c r="AB118" i="32"/>
  <c r="AB116" i="32" s="1"/>
  <c r="L110" i="54" s="1"/>
  <c r="AC56" i="32"/>
  <c r="AC47" i="32"/>
  <c r="AC42" i="32"/>
  <c r="AC48" i="32"/>
  <c r="AH51" i="32" s="1"/>
  <c r="AH50" i="32" s="1"/>
  <c r="AB56" i="32"/>
  <c r="AB54" i="32" s="1"/>
  <c r="AB47" i="32"/>
  <c r="N4" i="33"/>
  <c r="AC15" i="32"/>
  <c r="AD11" i="32"/>
  <c r="AE31" i="32"/>
  <c r="AD31" i="32" s="1"/>
  <c r="AD53" i="32" s="1"/>
  <c r="W9" i="35"/>
  <c r="AE61" i="32"/>
  <c r="AE64" i="32" s="1"/>
  <c r="AE62" i="32" s="1"/>
  <c r="W10" i="35"/>
  <c r="AD18" i="32"/>
  <c r="AB24" i="32"/>
  <c r="AB10" i="32"/>
  <c r="AB131" i="32"/>
  <c r="AB22" i="32"/>
  <c r="AB34" i="32"/>
  <c r="AB8" i="32"/>
  <c r="AC131" i="32"/>
  <c r="AC34" i="32"/>
  <c r="AC22" i="32"/>
  <c r="AC8" i="32"/>
  <c r="AB17" i="32"/>
  <c r="W32" i="32"/>
  <c r="AB15" i="32"/>
  <c r="AE9" i="32"/>
  <c r="AD4" i="32"/>
  <c r="U210" i="32"/>
  <c r="S120" i="32"/>
  <c r="U24" i="32"/>
  <c r="U5" i="32"/>
  <c r="U12" i="32"/>
  <c r="D165" i="32"/>
  <c r="D167" i="32"/>
  <c r="D168" i="32" s="1"/>
  <c r="AE24" i="32"/>
  <c r="AE83" i="32"/>
  <c r="AE17" i="32"/>
  <c r="AE10" i="32"/>
  <c r="I164" i="32"/>
  <c r="Z64" i="32"/>
  <c r="Z62" i="32" s="1"/>
  <c r="N248" i="32"/>
  <c r="G248" i="32"/>
  <c r="K67" i="54"/>
  <c r="W131" i="32"/>
  <c r="W121" i="32"/>
  <c r="W118" i="32"/>
  <c r="W116" i="32" s="1"/>
  <c r="H110" i="54" s="1"/>
  <c r="T32" i="32"/>
  <c r="Z30" i="32"/>
  <c r="AE23" i="32"/>
  <c r="AJ18" i="32"/>
  <c r="S141" i="32"/>
  <c r="T141" i="32" s="1"/>
  <c r="V4" i="35"/>
  <c r="E28" i="37"/>
  <c r="K28" i="37" s="1"/>
  <c r="Q12" i="35"/>
  <c r="D28" i="37"/>
  <c r="J28" i="37" s="1"/>
  <c r="Z72" i="32"/>
  <c r="Z70" i="32" s="1"/>
  <c r="R151" i="32"/>
  <c r="AE69" i="32"/>
  <c r="AE72" i="32" s="1"/>
  <c r="AE70" i="32" s="1"/>
  <c r="U19" i="32"/>
  <c r="C168" i="32"/>
  <c r="H167" i="32"/>
  <c r="W56" i="32"/>
  <c r="W54" i="32" s="1"/>
  <c r="W35" i="32"/>
  <c r="U34" i="32"/>
  <c r="Z10" i="32"/>
  <c r="Z24" i="32"/>
  <c r="U53" i="32"/>
  <c r="U47" i="32" s="1"/>
  <c r="Q4" i="35"/>
  <c r="U10" i="32"/>
  <c r="O158" i="32"/>
  <c r="U15" i="32"/>
  <c r="Y120" i="32"/>
  <c r="U8" i="32"/>
  <c r="U115" i="32"/>
  <c r="U127" i="32" s="1"/>
  <c r="E48" i="54" s="1"/>
  <c r="R139" i="32"/>
  <c r="O139" i="32"/>
  <c r="S144" i="32"/>
  <c r="T144" i="32" s="1"/>
  <c r="S150" i="32"/>
  <c r="S151" i="32" s="1"/>
  <c r="U22" i="32"/>
  <c r="U29" i="32"/>
  <c r="Z19" i="32"/>
  <c r="Z5" i="32"/>
  <c r="R158" i="32"/>
  <c r="P157" i="32"/>
  <c r="P138" i="32"/>
  <c r="P150" i="32"/>
  <c r="Q150" i="32" s="1"/>
  <c r="S162" i="32"/>
  <c r="S119" i="32"/>
  <c r="S82" i="32"/>
  <c r="F111" i="54" s="1"/>
  <c r="S138" i="32"/>
  <c r="Y134" i="32"/>
  <c r="S134" i="32"/>
  <c r="M167" i="32"/>
  <c r="M168" i="32" s="1"/>
  <c r="J163" i="32"/>
  <c r="J165" i="32" s="1"/>
  <c r="U17" i="32"/>
  <c r="Z33" i="32"/>
  <c r="Z133" i="32" s="1"/>
  <c r="D52" i="31" s="1"/>
  <c r="P119" i="32"/>
  <c r="P144" i="32"/>
  <c r="Q144" i="32" s="1"/>
  <c r="P82" i="32"/>
  <c r="D111" i="54" s="1"/>
  <c r="P134" i="32"/>
  <c r="P132" i="32" s="1"/>
  <c r="P141" i="32"/>
  <c r="Q141" i="32" s="1"/>
  <c r="Q56" i="32"/>
  <c r="Q54" i="32" s="1"/>
  <c r="Q47" i="32"/>
  <c r="Q118" i="32"/>
  <c r="T56" i="32"/>
  <c r="T54" i="32" s="1"/>
  <c r="T47" i="32"/>
  <c r="T42" i="32"/>
  <c r="Q131" i="32"/>
  <c r="P162" i="32"/>
  <c r="O52" i="32"/>
  <c r="P42" i="32"/>
  <c r="U38" i="32"/>
  <c r="S157" i="32"/>
  <c r="T131" i="32"/>
  <c r="S52" i="32"/>
  <c r="T48" i="32"/>
  <c r="X131" i="32"/>
  <c r="X35" i="32"/>
  <c r="X56" i="32"/>
  <c r="X54" i="32" s="1"/>
  <c r="X48" i="32"/>
  <c r="X52" i="32" s="1"/>
  <c r="X47" i="32"/>
  <c r="P41" i="32"/>
  <c r="W38" i="32"/>
  <c r="AB38" i="32" s="1"/>
  <c r="AG41" i="32" s="1"/>
  <c r="AG40" i="32" s="1"/>
  <c r="Z22" i="32"/>
  <c r="V12" i="35"/>
  <c r="Z34" i="32"/>
  <c r="Z115" i="32"/>
  <c r="D8" i="31" s="1"/>
  <c r="D9" i="31" s="1"/>
  <c r="D10" i="31" s="1"/>
  <c r="Z15" i="32"/>
  <c r="Z53" i="32"/>
  <c r="Z8" i="32"/>
  <c r="Z17" i="32"/>
  <c r="Z12" i="32"/>
  <c r="Z29" i="32"/>
  <c r="AJ11" i="32"/>
  <c r="AO11" i="32" s="1"/>
  <c r="W8" i="35"/>
  <c r="Y56" i="32"/>
  <c r="Y54" i="32" s="1"/>
  <c r="Y35" i="32"/>
  <c r="Y32" i="32"/>
  <c r="Z83" i="32"/>
  <c r="Y47" i="32"/>
  <c r="Y42" i="32"/>
  <c r="O151" i="32"/>
  <c r="H165" i="32"/>
  <c r="H164" i="32"/>
  <c r="V118" i="32"/>
  <c r="V116" i="32" s="1"/>
  <c r="G110" i="54" s="1"/>
  <c r="V131" i="32"/>
  <c r="V47" i="32"/>
  <c r="V48" i="32"/>
  <c r="V52" i="32" s="1"/>
  <c r="V56" i="32"/>
  <c r="V54" i="32" s="1"/>
  <c r="V42" i="32"/>
  <c r="C170" i="32"/>
  <c r="E170" i="32"/>
  <c r="E168" i="32"/>
  <c r="L168" i="32"/>
  <c r="L170" i="32"/>
  <c r="F170" i="32"/>
  <c r="F168" i="32"/>
  <c r="I168" i="32"/>
  <c r="I170" i="32"/>
  <c r="K170" i="32"/>
  <c r="K168" i="32"/>
  <c r="G168" i="32"/>
  <c r="G170" i="32"/>
  <c r="N167" i="32"/>
  <c r="N164" i="32"/>
  <c r="N165" i="32"/>
  <c r="T146" i="32" l="1"/>
  <c r="Q146" i="32"/>
  <c r="AM31" i="32"/>
  <c r="AM15" i="32" s="1"/>
  <c r="AR4" i="32"/>
  <c r="AR31" i="32" s="1"/>
  <c r="AR34" i="32" s="1"/>
  <c r="AR33" i="32" s="1"/>
  <c r="AL31" i="32"/>
  <c r="AL15" i="32" s="1"/>
  <c r="AQ11" i="32"/>
  <c r="AM133" i="32"/>
  <c r="AM55" i="32"/>
  <c r="AK31" i="32"/>
  <c r="AK53" i="32" s="1"/>
  <c r="AL79" i="32"/>
  <c r="AK79" i="32"/>
  <c r="F10" i="56"/>
  <c r="AC119" i="32"/>
  <c r="AD21" i="32"/>
  <c r="AJ63" i="32"/>
  <c r="AH117" i="32"/>
  <c r="AH79" i="32"/>
  <c r="Q109" i="54" s="1"/>
  <c r="AD14" i="32"/>
  <c r="AG79" i="32"/>
  <c r="P109" i="54" s="1"/>
  <c r="AA47" i="32"/>
  <c r="AA116" i="32"/>
  <c r="K110" i="54" s="1"/>
  <c r="X116" i="32"/>
  <c r="I110" i="54" s="1"/>
  <c r="AF15" i="32"/>
  <c r="AF53" i="32"/>
  <c r="AF56" i="32" s="1"/>
  <c r="AF54" i="32" s="1"/>
  <c r="AA48" i="32"/>
  <c r="AA51" i="32" s="1"/>
  <c r="AA150" i="32"/>
  <c r="AA157" i="32"/>
  <c r="AA82" i="32"/>
  <c r="K111" i="54" s="1"/>
  <c r="AA138" i="32"/>
  <c r="D45" i="56"/>
  <c r="AA141" i="32"/>
  <c r="AA144" i="32"/>
  <c r="AA135" i="32"/>
  <c r="AA162" i="32"/>
  <c r="AA119" i="32"/>
  <c r="AA35" i="32"/>
  <c r="AA32" i="32"/>
  <c r="AA132" i="32" s="1"/>
  <c r="AA42" i="32"/>
  <c r="AG34" i="32"/>
  <c r="AG32" i="32" s="1"/>
  <c r="AG53" i="32"/>
  <c r="AG131" i="32"/>
  <c r="AG8" i="32"/>
  <c r="AG22" i="32"/>
  <c r="AF8" i="32"/>
  <c r="AF115" i="32"/>
  <c r="AF131" i="32"/>
  <c r="AF34" i="32"/>
  <c r="AF22" i="32"/>
  <c r="AH34" i="32"/>
  <c r="AH53" i="32"/>
  <c r="AH131" i="32"/>
  <c r="AH22" i="32"/>
  <c r="AH8" i="32"/>
  <c r="AI14" i="32"/>
  <c r="AI33" i="32"/>
  <c r="X10" i="35"/>
  <c r="AI21" i="32"/>
  <c r="AI19" i="32" s="1"/>
  <c r="AC82" i="32"/>
  <c r="M111" i="54" s="1"/>
  <c r="J167" i="32"/>
  <c r="J168" i="32" s="1"/>
  <c r="AC52" i="32"/>
  <c r="AC51" i="32"/>
  <c r="AE38" i="32"/>
  <c r="AB42" i="32"/>
  <c r="AD56" i="32"/>
  <c r="AD42" i="32"/>
  <c r="AD48" i="32"/>
  <c r="AD47" i="32"/>
  <c r="AB48" i="32"/>
  <c r="AB119" i="32"/>
  <c r="AB82" i="32"/>
  <c r="L111" i="54" s="1"/>
  <c r="D170" i="32"/>
  <c r="AC35" i="32"/>
  <c r="AC162" i="32"/>
  <c r="AB162" i="32"/>
  <c r="U32" i="32"/>
  <c r="AB35" i="32"/>
  <c r="AB134" i="32"/>
  <c r="AB32" i="32"/>
  <c r="AB132" i="32" s="1"/>
  <c r="AC134" i="32"/>
  <c r="AC157" i="32"/>
  <c r="AC150" i="32"/>
  <c r="AC138" i="32"/>
  <c r="AC144" i="32"/>
  <c r="AC135" i="32"/>
  <c r="AC141" i="32"/>
  <c r="AB150" i="32"/>
  <c r="AB157" i="32"/>
  <c r="AB135" i="32"/>
  <c r="AB138" i="32"/>
  <c r="AB144" i="32"/>
  <c r="AB141" i="32"/>
  <c r="AD131" i="32"/>
  <c r="AD34" i="32"/>
  <c r="AD33" i="32" s="1"/>
  <c r="AD15" i="32"/>
  <c r="AD22" i="32"/>
  <c r="AD7" i="32"/>
  <c r="AD8" i="32"/>
  <c r="S132" i="32"/>
  <c r="AE53" i="32"/>
  <c r="AE56" i="32" s="1"/>
  <c r="V120" i="32"/>
  <c r="H168" i="32"/>
  <c r="Y132" i="32"/>
  <c r="H170" i="32"/>
  <c r="W120" i="32"/>
  <c r="W157" i="32"/>
  <c r="C94" i="54"/>
  <c r="W134" i="32"/>
  <c r="W119" i="32"/>
  <c r="W162" i="32"/>
  <c r="W150" i="32"/>
  <c r="W151" i="32" s="1"/>
  <c r="W82" i="32"/>
  <c r="H111" i="54" s="1"/>
  <c r="L67" i="54"/>
  <c r="C97" i="54"/>
  <c r="C95" i="54"/>
  <c r="C96" i="54"/>
  <c r="W141" i="32"/>
  <c r="W138" i="32"/>
  <c r="W144" i="32"/>
  <c r="W145" i="32" s="1"/>
  <c r="AJ23" i="32"/>
  <c r="Q157" i="32"/>
  <c r="Q159" i="32" s="1"/>
  <c r="AO18" i="32"/>
  <c r="AN18" i="32" s="1"/>
  <c r="AJ69" i="32"/>
  <c r="AJ72" i="32" s="1"/>
  <c r="T157" i="32"/>
  <c r="Y142" i="32"/>
  <c r="S142" i="32"/>
  <c r="P139" i="32"/>
  <c r="AE15" i="32"/>
  <c r="F28" i="37"/>
  <c r="L28" i="37" s="1"/>
  <c r="Y151" i="32"/>
  <c r="R152" i="32"/>
  <c r="O126" i="32"/>
  <c r="C8" i="31"/>
  <c r="C9" i="31" s="1"/>
  <c r="C10" i="31" s="1"/>
  <c r="U121" i="32"/>
  <c r="U131" i="32"/>
  <c r="P151" i="32"/>
  <c r="U102" i="32"/>
  <c r="U99" i="32" s="1"/>
  <c r="U65" i="32" s="1"/>
  <c r="U68" i="32" s="1"/>
  <c r="U66" i="32" s="1"/>
  <c r="Q138" i="32"/>
  <c r="Q140" i="32" s="1"/>
  <c r="U35" i="32"/>
  <c r="S145" i="32"/>
  <c r="Y145" i="32"/>
  <c r="U56" i="32"/>
  <c r="U54" i="32" s="1"/>
  <c r="U118" i="32"/>
  <c r="U116" i="32" s="1"/>
  <c r="T150" i="32"/>
  <c r="U150" i="32" s="1"/>
  <c r="U151" i="32" s="1"/>
  <c r="X157" i="32"/>
  <c r="P158" i="32"/>
  <c r="S139" i="32"/>
  <c r="T138" i="32"/>
  <c r="T140" i="32" s="1"/>
  <c r="X138" i="32"/>
  <c r="Y139" i="32"/>
  <c r="V157" i="32"/>
  <c r="P145" i="32"/>
  <c r="M170" i="32"/>
  <c r="Z55" i="32"/>
  <c r="X82" i="32"/>
  <c r="I111" i="54" s="1"/>
  <c r="Z32" i="32"/>
  <c r="P142" i="32"/>
  <c r="Q143" i="32"/>
  <c r="X162" i="32"/>
  <c r="X134" i="32"/>
  <c r="X132" i="32" s="1"/>
  <c r="X119" i="32"/>
  <c r="X141" i="32"/>
  <c r="X142" i="32" s="1"/>
  <c r="X144" i="32"/>
  <c r="X145" i="32" s="1"/>
  <c r="X150" i="32"/>
  <c r="X151" i="32" s="1"/>
  <c r="T82" i="32"/>
  <c r="T162" i="32"/>
  <c r="T134" i="32"/>
  <c r="T132" i="32" s="1"/>
  <c r="T119" i="32"/>
  <c r="S158" i="32"/>
  <c r="U144" i="32"/>
  <c r="Q134" i="32"/>
  <c r="Q132" i="32" s="1"/>
  <c r="Q82" i="32"/>
  <c r="Q162" i="32"/>
  <c r="Y158" i="32"/>
  <c r="T52" i="32"/>
  <c r="T51" i="32"/>
  <c r="Q51" i="32"/>
  <c r="Q52" i="32"/>
  <c r="Q119" i="32"/>
  <c r="Q152" i="32"/>
  <c r="Q42" i="32"/>
  <c r="Q41" i="32"/>
  <c r="Z118" i="32"/>
  <c r="Z131" i="32"/>
  <c r="U41" i="32"/>
  <c r="U141" i="32"/>
  <c r="T143" i="32"/>
  <c r="AE34" i="32"/>
  <c r="AE33" i="32" s="1"/>
  <c r="Z38" i="32"/>
  <c r="Z42" i="32" s="1"/>
  <c r="W48" i="32"/>
  <c r="W52" i="32" s="1"/>
  <c r="W42" i="32"/>
  <c r="Z35" i="32"/>
  <c r="Z126" i="32"/>
  <c r="Z128" i="32" s="1"/>
  <c r="Z102" i="32"/>
  <c r="Z99" i="32" s="1"/>
  <c r="Z65" i="32" s="1"/>
  <c r="Z56" i="32"/>
  <c r="Z47" i="32"/>
  <c r="W12" i="35"/>
  <c r="AE115" i="32"/>
  <c r="AD115" i="32" s="1"/>
  <c r="X8" i="35"/>
  <c r="W4" i="35"/>
  <c r="AE8" i="32"/>
  <c r="V82" i="32"/>
  <c r="G111" i="54" s="1"/>
  <c r="V150" i="32"/>
  <c r="V119" i="32"/>
  <c r="V138" i="32"/>
  <c r="V144" i="32"/>
  <c r="V141" i="32"/>
  <c r="V134" i="32"/>
  <c r="V162" i="32"/>
  <c r="N170" i="32"/>
  <c r="N168" i="32"/>
  <c r="U145" i="32" l="1"/>
  <c r="U146" i="32"/>
  <c r="AM22" i="32"/>
  <c r="AM8" i="32"/>
  <c r="AM34" i="32"/>
  <c r="AM32" i="32" s="1"/>
  <c r="AM132" i="32" s="1"/>
  <c r="AM53" i="32"/>
  <c r="AM56" i="32" s="1"/>
  <c r="AM54" i="32" s="1"/>
  <c r="AM131" i="32"/>
  <c r="AM144" i="32" s="1"/>
  <c r="AL34" i="32"/>
  <c r="AL32" i="32" s="1"/>
  <c r="AL132" i="32" s="1"/>
  <c r="AL22" i="32"/>
  <c r="AL53" i="32"/>
  <c r="AL47" i="32" s="1"/>
  <c r="AR53" i="32"/>
  <c r="AR131" i="32"/>
  <c r="AR22" i="32"/>
  <c r="AR8" i="32"/>
  <c r="AL8" i="32"/>
  <c r="AQ31" i="32"/>
  <c r="AQ15" i="32" s="1"/>
  <c r="AL131" i="32"/>
  <c r="AL115" i="32"/>
  <c r="AR15" i="32"/>
  <c r="E6" i="56"/>
  <c r="AK56" i="32"/>
  <c r="AK54" i="32" s="1"/>
  <c r="AK42" i="32"/>
  <c r="AK47" i="32"/>
  <c r="AK48" i="32"/>
  <c r="AK10" i="32"/>
  <c r="AK8" i="32"/>
  <c r="AK131" i="32"/>
  <c r="AK115" i="32"/>
  <c r="AK34" i="32"/>
  <c r="AK22" i="32"/>
  <c r="AK17" i="32"/>
  <c r="AK15" i="32"/>
  <c r="AN11" i="32"/>
  <c r="AN14" i="32" s="1"/>
  <c r="AN21" i="32"/>
  <c r="AN19" i="32" s="1"/>
  <c r="F53" i="56" s="1"/>
  <c r="AI17" i="32"/>
  <c r="AI12" i="32"/>
  <c r="AJ38" i="32"/>
  <c r="AD12" i="32"/>
  <c r="AD17" i="32"/>
  <c r="AH52" i="32"/>
  <c r="AH42" i="32"/>
  <c r="AH47" i="32"/>
  <c r="AD19" i="32"/>
  <c r="AJ19" i="32"/>
  <c r="AJ71" i="32"/>
  <c r="AJ70" i="32" s="1"/>
  <c r="AJ67" i="32"/>
  <c r="AJ12" i="32"/>
  <c r="AG47" i="32"/>
  <c r="AG48" i="32"/>
  <c r="AL51" i="32" s="1"/>
  <c r="AL49" i="32" s="1"/>
  <c r="AG42" i="32"/>
  <c r="AA52" i="32"/>
  <c r="AO26" i="32"/>
  <c r="AB145" i="32"/>
  <c r="AC142" i="32"/>
  <c r="AB142" i="32"/>
  <c r="AA139" i="32"/>
  <c r="AB139" i="32"/>
  <c r="AC139" i="32"/>
  <c r="AA145" i="32"/>
  <c r="AA158" i="32"/>
  <c r="AC145" i="32"/>
  <c r="Z117" i="32"/>
  <c r="Z116" i="32" s="1"/>
  <c r="Z80" i="32"/>
  <c r="Z79" i="32" s="1"/>
  <c r="AB158" i="32"/>
  <c r="AC151" i="32"/>
  <c r="AA151" i="32"/>
  <c r="AB151" i="32"/>
  <c r="AC158" i="32"/>
  <c r="AA142" i="32"/>
  <c r="AF47" i="32"/>
  <c r="AF48" i="32"/>
  <c r="AF42" i="32"/>
  <c r="AA153" i="32"/>
  <c r="AA147" i="32"/>
  <c r="AA149" i="32" s="1"/>
  <c r="AI55" i="32"/>
  <c r="AI133" i="32"/>
  <c r="AH32" i="32"/>
  <c r="AH132" i="32" s="1"/>
  <c r="AH134" i="32"/>
  <c r="AF134" i="32"/>
  <c r="AF32" i="32"/>
  <c r="AF132" i="32" s="1"/>
  <c r="AF82" i="32"/>
  <c r="O111" i="54" s="1"/>
  <c r="AF150" i="32"/>
  <c r="AF151" i="32" s="1"/>
  <c r="AF144" i="32"/>
  <c r="AF145" i="32" s="1"/>
  <c r="AF138" i="32"/>
  <c r="AF139" i="32" s="1"/>
  <c r="AF135" i="32"/>
  <c r="AF141" i="32"/>
  <c r="AF142" i="32" s="1"/>
  <c r="AF161" i="32"/>
  <c r="AF157" i="32"/>
  <c r="AF158" i="32" s="1"/>
  <c r="AG144" i="32"/>
  <c r="AG145" i="32" s="1"/>
  <c r="AG138" i="32"/>
  <c r="AG139" i="32" s="1"/>
  <c r="AG135" i="32"/>
  <c r="AG82" i="32"/>
  <c r="P111" i="54" s="1"/>
  <c r="AG161" i="32"/>
  <c r="AG157" i="32"/>
  <c r="AG158" i="32" s="1"/>
  <c r="AG141" i="32"/>
  <c r="AG142" i="32" s="1"/>
  <c r="AG150" i="32"/>
  <c r="AH144" i="32"/>
  <c r="AH135" i="32"/>
  <c r="AH82" i="32"/>
  <c r="Q111" i="54" s="1"/>
  <c r="AH161" i="32"/>
  <c r="AH157" i="32"/>
  <c r="AH158" i="32" s="1"/>
  <c r="AH141" i="32"/>
  <c r="AH138" i="32"/>
  <c r="AH150" i="32"/>
  <c r="AG56" i="32"/>
  <c r="AG54" i="32" s="1"/>
  <c r="AG115" i="32"/>
  <c r="AH56" i="32"/>
  <c r="AH54" i="32" s="1"/>
  <c r="AH115" i="32"/>
  <c r="AF118" i="32"/>
  <c r="AF119" i="32"/>
  <c r="AG134" i="32"/>
  <c r="AG132" i="32"/>
  <c r="AE133" i="32"/>
  <c r="E52" i="31" s="1"/>
  <c r="AE55" i="32"/>
  <c r="AE54" i="32" s="1"/>
  <c r="AD55" i="32"/>
  <c r="AD133" i="32"/>
  <c r="AI7" i="32"/>
  <c r="AD82" i="32"/>
  <c r="N111" i="54" s="1"/>
  <c r="AD119" i="32"/>
  <c r="AD118" i="32"/>
  <c r="AE41" i="32"/>
  <c r="AD52" i="32"/>
  <c r="AD51" i="32"/>
  <c r="AB52" i="32"/>
  <c r="AB51" i="32"/>
  <c r="W158" i="32"/>
  <c r="U256" i="32"/>
  <c r="Z256" i="32"/>
  <c r="J170" i="32"/>
  <c r="U254" i="32"/>
  <c r="Z254" i="32"/>
  <c r="AC153" i="32"/>
  <c r="AC147" i="32"/>
  <c r="AB147" i="32"/>
  <c r="AB153" i="32"/>
  <c r="AD134" i="32"/>
  <c r="AD132" i="32"/>
  <c r="AD35" i="32"/>
  <c r="AD10" i="32"/>
  <c r="AD5" i="32"/>
  <c r="V132" i="32"/>
  <c r="U120" i="32"/>
  <c r="W132" i="32"/>
  <c r="C11" i="55"/>
  <c r="C18" i="55" s="1"/>
  <c r="C40" i="55" s="1"/>
  <c r="R4" i="37"/>
  <c r="T4" i="37" s="1"/>
  <c r="Z157" i="32"/>
  <c r="W139" i="32"/>
  <c r="U157" i="32"/>
  <c r="W142" i="32"/>
  <c r="AO23" i="32"/>
  <c r="AT18" i="32"/>
  <c r="AS18" i="32" s="1"/>
  <c r="AS21" i="32" s="1"/>
  <c r="AS19" i="32" s="1"/>
  <c r="AO69" i="32"/>
  <c r="Y10" i="35"/>
  <c r="T159" i="32"/>
  <c r="U82" i="32"/>
  <c r="C90" i="54" s="1"/>
  <c r="C91" i="54" s="1"/>
  <c r="U103" i="32"/>
  <c r="T152" i="32"/>
  <c r="U262" i="32"/>
  <c r="C49" i="31"/>
  <c r="Q5" i="33" s="1"/>
  <c r="U134" i="32"/>
  <c r="U143" i="32"/>
  <c r="E68" i="54" s="1"/>
  <c r="U119" i="32"/>
  <c r="U162" i="32"/>
  <c r="AE102" i="32"/>
  <c r="AE99" i="32" s="1"/>
  <c r="AE65" i="32" s="1"/>
  <c r="AE68" i="32" s="1"/>
  <c r="AE66" i="32" s="1"/>
  <c r="E8" i="31"/>
  <c r="E9" i="31" s="1"/>
  <c r="E10" i="31" s="1"/>
  <c r="C3" i="37"/>
  <c r="E3" i="37" s="1"/>
  <c r="R126" i="32"/>
  <c r="P126" i="32"/>
  <c r="Q126" i="32" s="1"/>
  <c r="Q127" i="32" s="1"/>
  <c r="Z120" i="32"/>
  <c r="U138" i="32"/>
  <c r="X158" i="32"/>
  <c r="V158" i="32"/>
  <c r="Z54" i="32"/>
  <c r="X139" i="32"/>
  <c r="U142" i="32"/>
  <c r="U48" i="32"/>
  <c r="U51" i="32" s="1"/>
  <c r="O121" i="32"/>
  <c r="O135" i="32" s="1"/>
  <c r="U42" i="32"/>
  <c r="AE35" i="32"/>
  <c r="E67" i="54"/>
  <c r="U152" i="32"/>
  <c r="E66" i="54" s="1"/>
  <c r="D49" i="31"/>
  <c r="Q6" i="33" s="1"/>
  <c r="Z82" i="32"/>
  <c r="D90" i="54" s="1"/>
  <c r="D91" i="54" s="1"/>
  <c r="Z162" i="32"/>
  <c r="C216" i="54" s="1"/>
  <c r="Z119" i="32"/>
  <c r="C205" i="54" s="1"/>
  <c r="C204" i="54" s="1"/>
  <c r="Z263" i="32"/>
  <c r="Z134" i="32"/>
  <c r="Z262" i="32"/>
  <c r="F3" i="37"/>
  <c r="H3" i="37" s="1"/>
  <c r="Z41" i="32"/>
  <c r="Z48" i="32"/>
  <c r="U16" i="32"/>
  <c r="Z16" i="32"/>
  <c r="Z109" i="32"/>
  <c r="Z103" i="32"/>
  <c r="U109" i="32"/>
  <c r="U112" i="32" s="1"/>
  <c r="U113" i="32" s="1"/>
  <c r="Z68" i="32"/>
  <c r="Z66" i="32" s="1"/>
  <c r="AE131" i="32"/>
  <c r="AE118" i="32"/>
  <c r="Y8" i="35"/>
  <c r="AE47" i="32"/>
  <c r="AT11" i="32"/>
  <c r="Z150" i="32"/>
  <c r="V151" i="32"/>
  <c r="R121" i="32"/>
  <c r="R135" i="32" s="1"/>
  <c r="Z144" i="32"/>
  <c r="Z146" i="32" s="1"/>
  <c r="V145" i="32"/>
  <c r="Z138" i="32"/>
  <c r="V139" i="32"/>
  <c r="Z141" i="32"/>
  <c r="V142" i="32"/>
  <c r="X127" i="32"/>
  <c r="X126" i="32" s="1"/>
  <c r="W127" i="32"/>
  <c r="W126" i="32" s="1"/>
  <c r="D23" i="56" l="1"/>
  <c r="AQ46" i="32"/>
  <c r="AQ43" i="32" s="1"/>
  <c r="AQ41" i="32"/>
  <c r="AM134" i="32"/>
  <c r="AM52" i="32"/>
  <c r="AR52" i="32" s="1"/>
  <c r="AM47" i="32"/>
  <c r="AM42" i="32"/>
  <c r="AL134" i="32"/>
  <c r="D6" i="56" s="1"/>
  <c r="AM150" i="32"/>
  <c r="AM151" i="32" s="1"/>
  <c r="AM138" i="32"/>
  <c r="AM139" i="32" s="1"/>
  <c r="AM135" i="32"/>
  <c r="AM161" i="32"/>
  <c r="AL42" i="32"/>
  <c r="AM157" i="32"/>
  <c r="AM158" i="32" s="1"/>
  <c r="AM141" i="32"/>
  <c r="AM142" i="32" s="1"/>
  <c r="AL56" i="32"/>
  <c r="AL54" i="32" s="1"/>
  <c r="AL118" i="32"/>
  <c r="AL52" i="32"/>
  <c r="AQ52" i="32" s="1"/>
  <c r="AR56" i="32"/>
  <c r="AI5" i="32"/>
  <c r="AP10" i="32"/>
  <c r="D5" i="56"/>
  <c r="AL119" i="32"/>
  <c r="AL144" i="32"/>
  <c r="AL145" i="32" s="1"/>
  <c r="AR134" i="32"/>
  <c r="D24" i="56" s="1"/>
  <c r="AL157" i="32"/>
  <c r="AL158" i="32" s="1"/>
  <c r="AL138" i="32"/>
  <c r="AL139" i="32" s="1"/>
  <c r="AQ131" i="32"/>
  <c r="AQ157" i="32" s="1"/>
  <c r="AQ34" i="32"/>
  <c r="AQ33" i="32" s="1"/>
  <c r="AQ8" i="32"/>
  <c r="AQ53" i="32"/>
  <c r="AQ22" i="32"/>
  <c r="AL150" i="32"/>
  <c r="AL151" i="32" s="1"/>
  <c r="AL161" i="32"/>
  <c r="AR161" i="32"/>
  <c r="AR157" i="32"/>
  <c r="AR144" i="32"/>
  <c r="AR145" i="32" s="1"/>
  <c r="AR150" i="32"/>
  <c r="AR138" i="32"/>
  <c r="AR141" i="32"/>
  <c r="AR135" i="32"/>
  <c r="AL82" i="32"/>
  <c r="AL135" i="32"/>
  <c r="AQ81" i="32"/>
  <c r="AI38" i="32"/>
  <c r="AI41" i="32" s="1"/>
  <c r="AI40" i="32" s="1"/>
  <c r="AO38" i="32"/>
  <c r="E9" i="56"/>
  <c r="D7" i="56"/>
  <c r="AK52" i="32"/>
  <c r="AP52" i="32" s="1"/>
  <c r="AK51" i="32"/>
  <c r="AK49" i="32" s="1"/>
  <c r="AM145" i="32"/>
  <c r="AK32" i="32"/>
  <c r="AK132" i="32" s="1"/>
  <c r="AK134" i="32"/>
  <c r="AL142" i="32"/>
  <c r="AK157" i="32"/>
  <c r="AK158" i="32" s="1"/>
  <c r="AK150" i="32"/>
  <c r="AK141" i="32"/>
  <c r="AK142" i="32" s="1"/>
  <c r="AK138" i="32"/>
  <c r="AK139" i="32" s="1"/>
  <c r="AK135" i="32"/>
  <c r="AK161" i="32"/>
  <c r="AK144" i="32"/>
  <c r="AK145" i="32" s="1"/>
  <c r="AK82" i="32"/>
  <c r="AK118" i="32"/>
  <c r="AK119" i="32"/>
  <c r="AN17" i="32"/>
  <c r="AN12" i="32"/>
  <c r="AH151" i="32"/>
  <c r="AH139" i="32"/>
  <c r="AH145" i="32"/>
  <c r="AH142" i="32"/>
  <c r="AG52" i="32"/>
  <c r="AG51" i="32"/>
  <c r="AG50" i="32" s="1"/>
  <c r="AG151" i="32"/>
  <c r="AT69" i="32"/>
  <c r="AT72" i="32" s="1"/>
  <c r="AT70" i="32" s="1"/>
  <c r="AT26" i="32"/>
  <c r="AD54" i="32"/>
  <c r="AD80" i="32"/>
  <c r="AD79" i="32" s="1"/>
  <c r="N109" i="54" s="1"/>
  <c r="AD117" i="32"/>
  <c r="AD116" i="32" s="1"/>
  <c r="N110" i="54" s="1"/>
  <c r="AA155" i="32"/>
  <c r="AF147" i="32"/>
  <c r="AF148" i="32" s="1"/>
  <c r="AA163" i="32"/>
  <c r="AA165" i="32" s="1"/>
  <c r="S7" i="33"/>
  <c r="AF52" i="32"/>
  <c r="AF51" i="32"/>
  <c r="AF116" i="32"/>
  <c r="O110" i="54" s="1"/>
  <c r="AE117" i="32"/>
  <c r="AE254" i="32"/>
  <c r="AH153" i="32"/>
  <c r="AH147" i="32"/>
  <c r="AH148" i="32" s="1"/>
  <c r="AG147" i="32"/>
  <c r="AG148" i="32" s="1"/>
  <c r="AG153" i="32"/>
  <c r="AF153" i="32"/>
  <c r="AH119" i="32"/>
  <c r="AH118" i="32"/>
  <c r="AG119" i="32"/>
  <c r="AG118" i="32"/>
  <c r="AI10" i="32"/>
  <c r="S9" i="33"/>
  <c r="D11" i="55"/>
  <c r="D12" i="55" s="1"/>
  <c r="S8" i="33"/>
  <c r="Z10" i="35"/>
  <c r="U159" i="32"/>
  <c r="Z140" i="32"/>
  <c r="Z159" i="32"/>
  <c r="C215" i="54" s="1"/>
  <c r="AE135" i="32"/>
  <c r="AD135" i="32" s="1"/>
  <c r="AD136" i="32" s="1"/>
  <c r="AE162" i="32"/>
  <c r="D216" i="54" s="1"/>
  <c r="AB163" i="32"/>
  <c r="AB155" i="32"/>
  <c r="AB149" i="32"/>
  <c r="AC149" i="32"/>
  <c r="AC169" i="32"/>
  <c r="AC163" i="32"/>
  <c r="AC155" i="32"/>
  <c r="AE120" i="32"/>
  <c r="Z132" i="32"/>
  <c r="D51" i="31" s="1"/>
  <c r="F41" i="55"/>
  <c r="F40" i="55"/>
  <c r="U4" i="37"/>
  <c r="W4" i="37" s="1"/>
  <c r="AT23" i="32"/>
  <c r="AU18" i="32"/>
  <c r="AO72" i="32"/>
  <c r="AO70" i="32" s="1"/>
  <c r="R153" i="32"/>
  <c r="U185" i="32"/>
  <c r="O153" i="32"/>
  <c r="P121" i="32"/>
  <c r="Q121" i="32" s="1"/>
  <c r="W123" i="32"/>
  <c r="W124" i="32" s="1"/>
  <c r="U132" i="32"/>
  <c r="C51" i="31" s="1"/>
  <c r="AE103" i="32"/>
  <c r="C64" i="31"/>
  <c r="U140" i="32"/>
  <c r="E69" i="54" s="1"/>
  <c r="E70" i="54" s="1"/>
  <c r="U158" i="32"/>
  <c r="C61" i="31"/>
  <c r="C58" i="31"/>
  <c r="C59" i="31" s="1"/>
  <c r="S126" i="32"/>
  <c r="S127" i="32" s="1"/>
  <c r="C50" i="31"/>
  <c r="O123" i="32"/>
  <c r="O124" i="32" s="1"/>
  <c r="O147" i="32"/>
  <c r="Z158" i="32"/>
  <c r="O136" i="32"/>
  <c r="O137" i="32" s="1"/>
  <c r="AE157" i="32"/>
  <c r="U139" i="32"/>
  <c r="U52" i="32"/>
  <c r="V126" i="32"/>
  <c r="V128" i="32" s="1"/>
  <c r="D64" i="31"/>
  <c r="D61" i="31"/>
  <c r="D50" i="31"/>
  <c r="D58" i="31"/>
  <c r="AE48" i="32"/>
  <c r="AE42" i="32"/>
  <c r="Z51" i="32"/>
  <c r="Z52" i="32"/>
  <c r="U114" i="32"/>
  <c r="U73" i="32" s="1"/>
  <c r="Z114" i="32"/>
  <c r="Z73" i="32" s="1"/>
  <c r="Z112" i="32"/>
  <c r="Z113" i="32" s="1"/>
  <c r="AU11" i="32"/>
  <c r="Z8" i="35"/>
  <c r="E49" i="31"/>
  <c r="Q7" i="33" s="1"/>
  <c r="AE134" i="32"/>
  <c r="AE144" i="32"/>
  <c r="AE263" i="32"/>
  <c r="AE82" i="32"/>
  <c r="E90" i="54" s="1"/>
  <c r="E91" i="54" s="1"/>
  <c r="AE119" i="32"/>
  <c r="D205" i="54" s="1"/>
  <c r="D204" i="54" s="1"/>
  <c r="AE141" i="32"/>
  <c r="I3" i="37"/>
  <c r="K3" i="37" s="1"/>
  <c r="AE262" i="32"/>
  <c r="AE150" i="32"/>
  <c r="AE138" i="32"/>
  <c r="AE109" i="32"/>
  <c r="AE16" i="32"/>
  <c r="Z185" i="32"/>
  <c r="Z152" i="32"/>
  <c r="Z151" i="32"/>
  <c r="V84" i="32"/>
  <c r="X121" i="32"/>
  <c r="Z121" i="32"/>
  <c r="Z123" i="32" s="1"/>
  <c r="Z124" i="32" s="1"/>
  <c r="V121" i="32"/>
  <c r="R123" i="32"/>
  <c r="R124" i="32" s="1"/>
  <c r="X84" i="32"/>
  <c r="Z142" i="32"/>
  <c r="Z143" i="32"/>
  <c r="F68" i="54" s="1"/>
  <c r="Z139" i="32"/>
  <c r="Z145" i="32"/>
  <c r="F67" i="54"/>
  <c r="W128" i="32"/>
  <c r="X128" i="32"/>
  <c r="AQ55" i="32" l="1"/>
  <c r="AQ133" i="32"/>
  <c r="F23" i="56"/>
  <c r="AQ78" i="32"/>
  <c r="AQ115" i="32" s="1"/>
  <c r="AQ119" i="32" s="1"/>
  <c r="AR151" i="32"/>
  <c r="AM153" i="32"/>
  <c r="AM163" i="32" s="1"/>
  <c r="AM147" i="32"/>
  <c r="AM149" i="32" s="1"/>
  <c r="AR139" i="32"/>
  <c r="AR158" i="32"/>
  <c r="AR142" i="32"/>
  <c r="AL147" i="32"/>
  <c r="AL148" i="32" s="1"/>
  <c r="AL153" i="32"/>
  <c r="AL155" i="32" s="1"/>
  <c r="AQ141" i="32"/>
  <c r="AQ142" i="32" s="1"/>
  <c r="AQ158" i="32"/>
  <c r="AQ138" i="32"/>
  <c r="AQ139" i="32" s="1"/>
  <c r="AQ150" i="32"/>
  <c r="AQ151" i="32" s="1"/>
  <c r="AQ144" i="32"/>
  <c r="AQ145" i="32" s="1"/>
  <c r="AQ135" i="32"/>
  <c r="AQ161" i="32"/>
  <c r="AR147" i="32"/>
  <c r="AR153" i="32"/>
  <c r="D35" i="56" s="1"/>
  <c r="AQ47" i="32"/>
  <c r="AQ56" i="32"/>
  <c r="AQ54" i="32" s="1"/>
  <c r="AQ132" i="32"/>
  <c r="AQ134" i="32"/>
  <c r="F24" i="56" s="1"/>
  <c r="AN38" i="32"/>
  <c r="AL116" i="32"/>
  <c r="D9" i="56"/>
  <c r="AK151" i="32"/>
  <c r="AK116" i="32"/>
  <c r="AK153" i="32"/>
  <c r="AK147" i="32"/>
  <c r="AH116" i="32"/>
  <c r="Q110" i="54" s="1"/>
  <c r="AG116" i="32"/>
  <c r="P110" i="54" s="1"/>
  <c r="F66" i="54"/>
  <c r="C214" i="54"/>
  <c r="D222" i="54" s="1"/>
  <c r="AU26" i="32"/>
  <c r="AA167" i="32"/>
  <c r="AA168" i="32" s="1"/>
  <c r="AF154" i="32"/>
  <c r="AF155" i="32"/>
  <c r="AF163" i="32"/>
  <c r="AG163" i="32"/>
  <c r="AG155" i="32"/>
  <c r="AG154" i="32"/>
  <c r="AG149" i="32"/>
  <c r="AH149" i="32"/>
  <c r="AF149" i="32"/>
  <c r="AH163" i="32"/>
  <c r="AH155" i="32"/>
  <c r="AH154" i="32"/>
  <c r="D18" i="55"/>
  <c r="D40" i="55" s="1"/>
  <c r="AE52" i="32"/>
  <c r="AE51" i="32"/>
  <c r="C10" i="37"/>
  <c r="E10" i="37" s="1"/>
  <c r="AD138" i="32"/>
  <c r="AD139" i="32" s="1"/>
  <c r="AC167" i="32"/>
  <c r="AC165" i="32"/>
  <c r="AB167" i="32"/>
  <c r="AB168" i="32" s="1"/>
  <c r="AB165" i="32"/>
  <c r="E16" i="31"/>
  <c r="AD161" i="32"/>
  <c r="AD162" i="32" s="1"/>
  <c r="AD157" i="32"/>
  <c r="AD158" i="32" s="1"/>
  <c r="AE151" i="32"/>
  <c r="AD150" i="32"/>
  <c r="AD151" i="32" s="1"/>
  <c r="AE142" i="32"/>
  <c r="AD141" i="32"/>
  <c r="AE145" i="32"/>
  <c r="AD144" i="32"/>
  <c r="AE132" i="32"/>
  <c r="AU69" i="32"/>
  <c r="AU72" i="32" s="1"/>
  <c r="AU70" i="32" s="1"/>
  <c r="AA10" i="35"/>
  <c r="AU23" i="32"/>
  <c r="AV18" i="32"/>
  <c r="P135" i="32"/>
  <c r="P123" i="32"/>
  <c r="P124" i="32" s="1"/>
  <c r="U260" i="32"/>
  <c r="U258" i="32" s="1"/>
  <c r="O169" i="32"/>
  <c r="X123" i="32"/>
  <c r="X124" i="32" s="1"/>
  <c r="X135" i="32"/>
  <c r="O154" i="32"/>
  <c r="O148" i="32"/>
  <c r="O89" i="32"/>
  <c r="O90" i="32" s="1"/>
  <c r="O155" i="32"/>
  <c r="O163" i="32"/>
  <c r="O149" i="32"/>
  <c r="Q123" i="32"/>
  <c r="Q124" i="32" s="1"/>
  <c r="Q122" i="32"/>
  <c r="C68" i="31"/>
  <c r="C18" i="31"/>
  <c r="T126" i="32"/>
  <c r="T127" i="32" s="1"/>
  <c r="C21" i="31"/>
  <c r="Y126" i="32"/>
  <c r="Y127" i="32" s="1"/>
  <c r="AE158" i="32"/>
  <c r="R136" i="32"/>
  <c r="R137" i="32" s="1"/>
  <c r="AE139" i="32"/>
  <c r="R147" i="32"/>
  <c r="S121" i="32"/>
  <c r="V123" i="32"/>
  <c r="V124" i="32" s="1"/>
  <c r="V135" i="32"/>
  <c r="AV11" i="32"/>
  <c r="AA8" i="35"/>
  <c r="Z76" i="32"/>
  <c r="E58" i="31"/>
  <c r="AE185" i="32"/>
  <c r="E64" i="31"/>
  <c r="E50" i="31"/>
  <c r="E51" i="31" s="1"/>
  <c r="E61" i="31"/>
  <c r="AE112" i="32"/>
  <c r="AE113" i="32" s="1"/>
  <c r="AE114" i="32"/>
  <c r="AE73" i="32" s="1"/>
  <c r="AE76" i="32" s="1"/>
  <c r="Z260" i="32"/>
  <c r="Z258" i="32" s="1"/>
  <c r="F10" i="37"/>
  <c r="H10" i="37" s="1"/>
  <c r="D18" i="31"/>
  <c r="D68" i="31"/>
  <c r="D59" i="31"/>
  <c r="Y121" i="32"/>
  <c r="Y122" i="32" s="1"/>
  <c r="W84" i="32"/>
  <c r="W135" i="32" s="1"/>
  <c r="Y84" i="32"/>
  <c r="AD145" i="32" l="1"/>
  <c r="AD146" i="32"/>
  <c r="AQ82" i="32"/>
  <c r="AM154" i="32"/>
  <c r="AQ118" i="32"/>
  <c r="AM155" i="32"/>
  <c r="AM148" i="32"/>
  <c r="AL149" i="32"/>
  <c r="AL163" i="32"/>
  <c r="AL167" i="32" s="1"/>
  <c r="AL179" i="32" s="1"/>
  <c r="D17" i="56"/>
  <c r="AL154" i="32"/>
  <c r="AR155" i="32"/>
  <c r="D36" i="56" s="1"/>
  <c r="AR154" i="32"/>
  <c r="AR169" i="32"/>
  <c r="AR163" i="32"/>
  <c r="AR149" i="32"/>
  <c r="AR148" i="32"/>
  <c r="AQ153" i="32"/>
  <c r="AQ147" i="32"/>
  <c r="AN41" i="32"/>
  <c r="AN40" i="32" s="1"/>
  <c r="D18" i="56"/>
  <c r="AM167" i="32"/>
  <c r="AM165" i="32"/>
  <c r="AM164" i="32"/>
  <c r="AK149" i="32"/>
  <c r="AK148" i="32"/>
  <c r="AK163" i="32"/>
  <c r="AK155" i="32"/>
  <c r="AK154" i="32"/>
  <c r="AA170" i="32"/>
  <c r="AV69" i="32"/>
  <c r="AV72" i="32" s="1"/>
  <c r="AV70" i="32" s="1"/>
  <c r="AV26" i="32"/>
  <c r="AB8" i="35"/>
  <c r="AD143" i="32"/>
  <c r="AD142" i="32"/>
  <c r="AF164" i="32"/>
  <c r="AF167" i="32"/>
  <c r="AF168" i="32" s="1"/>
  <c r="AF165" i="32"/>
  <c r="AG165" i="32"/>
  <c r="AG164" i="32"/>
  <c r="AG167" i="32"/>
  <c r="AH164" i="32"/>
  <c r="AH167" i="32"/>
  <c r="AH165" i="32"/>
  <c r="AD140" i="32"/>
  <c r="AC170" i="32"/>
  <c r="AB170" i="32"/>
  <c r="AD159" i="32"/>
  <c r="AD152" i="32"/>
  <c r="P136" i="32"/>
  <c r="P137" i="32" s="1"/>
  <c r="AV23" i="32"/>
  <c r="AW18" i="32"/>
  <c r="AB10" i="35"/>
  <c r="P153" i="32"/>
  <c r="P147" i="32"/>
  <c r="Q147" i="32" s="1"/>
  <c r="Q149" i="32" s="1"/>
  <c r="V153" i="32"/>
  <c r="Q135" i="32"/>
  <c r="Q136" i="32" s="1"/>
  <c r="Q137" i="32" s="1"/>
  <c r="U228" i="32"/>
  <c r="Q169" i="32"/>
  <c r="O165" i="32"/>
  <c r="O164" i="32"/>
  <c r="O167" i="32"/>
  <c r="W136" i="32"/>
  <c r="R149" i="32"/>
  <c r="R89" i="32"/>
  <c r="R86" i="32" s="1"/>
  <c r="R87" i="32" s="1"/>
  <c r="D21" i="31"/>
  <c r="O86" i="32"/>
  <c r="O87" i="32" s="1"/>
  <c r="Y128" i="32"/>
  <c r="R155" i="32"/>
  <c r="R163" i="32"/>
  <c r="R154" i="32"/>
  <c r="V147" i="32"/>
  <c r="X147" i="32"/>
  <c r="R148" i="32"/>
  <c r="AW11" i="32"/>
  <c r="I10" i="37"/>
  <c r="K10" i="37" s="1"/>
  <c r="AE260" i="32"/>
  <c r="AE258" i="32" s="1"/>
  <c r="E59" i="31"/>
  <c r="E18" i="31"/>
  <c r="E68" i="31"/>
  <c r="X136" i="32"/>
  <c r="X153" i="32"/>
  <c r="W153" i="32"/>
  <c r="V136" i="32"/>
  <c r="AA137" i="32" s="1"/>
  <c r="Y123" i="32"/>
  <c r="Y124" i="32" s="1"/>
  <c r="W147" i="32"/>
  <c r="AB148" i="32" s="1"/>
  <c r="Y135" i="32"/>
  <c r="Z84" i="32"/>
  <c r="Z85" i="32" s="1"/>
  <c r="AQ169" i="32" l="1"/>
  <c r="F35" i="56"/>
  <c r="AQ116" i="32"/>
  <c r="AL164" i="32"/>
  <c r="AL165" i="32"/>
  <c r="AQ148" i="32"/>
  <c r="AQ149" i="32"/>
  <c r="AR164" i="32"/>
  <c r="AR165" i="32"/>
  <c r="AR167" i="32"/>
  <c r="AR179" i="32" s="1"/>
  <c r="AQ163" i="32"/>
  <c r="AQ155" i="32"/>
  <c r="F36" i="56" s="1"/>
  <c r="AQ154" i="32"/>
  <c r="AK164" i="32"/>
  <c r="AK167" i="32"/>
  <c r="AK179" i="32" s="1"/>
  <c r="AK165" i="32"/>
  <c r="AA177" i="32"/>
  <c r="AA176" i="32"/>
  <c r="AC10" i="35"/>
  <c r="AW26" i="32"/>
  <c r="V149" i="32"/>
  <c r="AA148" i="32"/>
  <c r="X89" i="32"/>
  <c r="X90" i="32" s="1"/>
  <c r="AC148" i="32"/>
  <c r="AH169" i="32"/>
  <c r="AG169" i="32"/>
  <c r="AF170" i="32"/>
  <c r="AB137" i="32"/>
  <c r="AB154" i="32"/>
  <c r="AA154" i="32"/>
  <c r="AC154" i="32"/>
  <c r="AB176" i="32"/>
  <c r="AB177" i="32"/>
  <c r="X137" i="32"/>
  <c r="AC137" i="32"/>
  <c r="AC177" i="32"/>
  <c r="AC176" i="32"/>
  <c r="W89" i="32"/>
  <c r="W86" i="32" s="1"/>
  <c r="W87" i="32" s="1"/>
  <c r="V137" i="32"/>
  <c r="W163" i="32"/>
  <c r="W137" i="32"/>
  <c r="O179" i="32"/>
  <c r="P155" i="32"/>
  <c r="Q153" i="32"/>
  <c r="Q155" i="32" s="1"/>
  <c r="P154" i="32"/>
  <c r="P163" i="32"/>
  <c r="AW23" i="32"/>
  <c r="AW69" i="32"/>
  <c r="AW72" i="32" s="1"/>
  <c r="AW70" i="32" s="1"/>
  <c r="AX18" i="32"/>
  <c r="D11" i="54"/>
  <c r="P89" i="32"/>
  <c r="P86" i="32" s="1"/>
  <c r="P87" i="32" s="1"/>
  <c r="P149" i="32"/>
  <c r="P148" i="32"/>
  <c r="Z228" i="32"/>
  <c r="O168" i="32"/>
  <c r="O170" i="32"/>
  <c r="E21" i="31"/>
  <c r="V89" i="32"/>
  <c r="V91" i="32" s="1"/>
  <c r="V148" i="32"/>
  <c r="R167" i="32"/>
  <c r="AC8" i="35"/>
  <c r="R90" i="32"/>
  <c r="R164" i="32"/>
  <c r="R165" i="32"/>
  <c r="AX11" i="32"/>
  <c r="X149" i="32"/>
  <c r="X148" i="32"/>
  <c r="W155" i="32"/>
  <c r="X163" i="32"/>
  <c r="X154" i="32"/>
  <c r="V155" i="32"/>
  <c r="V154" i="32"/>
  <c r="W154" i="32"/>
  <c r="V163" i="32"/>
  <c r="X155" i="32"/>
  <c r="W148" i="32"/>
  <c r="W149" i="32"/>
  <c r="Y153" i="32"/>
  <c r="Y147" i="32"/>
  <c r="Z135" i="32"/>
  <c r="Y136" i="32"/>
  <c r="AR170" i="32" l="1"/>
  <c r="AQ165" i="32"/>
  <c r="AQ167" i="32"/>
  <c r="AQ179" i="32" s="1"/>
  <c r="AQ164" i="32"/>
  <c r="AK170" i="32"/>
  <c r="AK168" i="32"/>
  <c r="X86" i="32"/>
  <c r="X87" i="32" s="1"/>
  <c r="X91" i="32"/>
  <c r="AX69" i="32"/>
  <c r="AX72" i="32" s="1"/>
  <c r="AX70" i="32" s="1"/>
  <c r="AX26" i="32"/>
  <c r="AD8" i="35"/>
  <c r="AH170" i="32"/>
  <c r="AG170" i="32"/>
  <c r="AF176" i="32"/>
  <c r="AF177" i="32"/>
  <c r="AF178" i="32" s="1"/>
  <c r="AD137" i="32"/>
  <c r="W90" i="32"/>
  <c r="Z251" i="32"/>
  <c r="Z255" i="32" s="1"/>
  <c r="AB164" i="32"/>
  <c r="AC164" i="32"/>
  <c r="AA164" i="32"/>
  <c r="AD10" i="35"/>
  <c r="Q154" i="32"/>
  <c r="AX23" i="32"/>
  <c r="AY18" i="32"/>
  <c r="R179" i="32"/>
  <c r="Q163" i="32"/>
  <c r="Q165" i="32" s="1"/>
  <c r="P167" i="32"/>
  <c r="P165" i="32"/>
  <c r="P164" i="32"/>
  <c r="W91" i="32"/>
  <c r="Q89" i="32"/>
  <c r="Q86" i="32" s="1"/>
  <c r="Q87" i="32" s="1"/>
  <c r="P90" i="32"/>
  <c r="D13" i="54"/>
  <c r="D20" i="54"/>
  <c r="D22" i="54" s="1"/>
  <c r="O177" i="32"/>
  <c r="O176" i="32"/>
  <c r="W167" i="32"/>
  <c r="AE228" i="32"/>
  <c r="F21" i="31"/>
  <c r="V90" i="32"/>
  <c r="V86" i="32"/>
  <c r="V87" i="32" s="1"/>
  <c r="R170" i="32"/>
  <c r="R168" i="32"/>
  <c r="AY11" i="32"/>
  <c r="X167" i="32"/>
  <c r="V167" i="32"/>
  <c r="W165" i="32"/>
  <c r="X165" i="32"/>
  <c r="X164" i="32"/>
  <c r="F4" i="37"/>
  <c r="H4" i="37" s="1"/>
  <c r="AE153" i="32"/>
  <c r="I4" i="37"/>
  <c r="K4" i="37" s="1"/>
  <c r="V165" i="32"/>
  <c r="V164" i="32"/>
  <c r="AE147" i="32"/>
  <c r="AD147" i="32" s="1"/>
  <c r="AD148" i="32" s="1"/>
  <c r="AE251" i="32"/>
  <c r="W164" i="32"/>
  <c r="Z136" i="32"/>
  <c r="C227" i="54" s="1"/>
  <c r="Z147" i="32"/>
  <c r="Z153" i="32"/>
  <c r="Y149" i="32"/>
  <c r="Y89" i="32"/>
  <c r="Y155" i="32"/>
  <c r="Y163" i="32"/>
  <c r="AQ170" i="32" l="1"/>
  <c r="AR177" i="32"/>
  <c r="AR176" i="32"/>
  <c r="AK177" i="32"/>
  <c r="AK178" i="32" s="1"/>
  <c r="AK176" i="32"/>
  <c r="AH177" i="32"/>
  <c r="AG177" i="32"/>
  <c r="AG176" i="32"/>
  <c r="AY69" i="32"/>
  <c r="AY72" i="32" s="1"/>
  <c r="AY70" i="32" s="1"/>
  <c r="AY26" i="32"/>
  <c r="AE8" i="35"/>
  <c r="AH176" i="32"/>
  <c r="AE253" i="32"/>
  <c r="AE255" i="32"/>
  <c r="AE137" i="32"/>
  <c r="V179" i="32"/>
  <c r="S6" i="33"/>
  <c r="Z253" i="32"/>
  <c r="W179" i="32"/>
  <c r="AD153" i="32"/>
  <c r="AE10" i="35"/>
  <c r="U5" i="37"/>
  <c r="W5" i="37" s="1"/>
  <c r="U7" i="37"/>
  <c r="W7" i="37" s="1"/>
  <c r="AY23" i="32"/>
  <c r="R7" i="37"/>
  <c r="R5" i="37"/>
  <c r="T5" i="37" s="1"/>
  <c r="X168" i="32"/>
  <c r="X179" i="32"/>
  <c r="P179" i="32"/>
  <c r="P168" i="32"/>
  <c r="P170" i="32"/>
  <c r="Q167" i="32"/>
  <c r="Q90" i="32"/>
  <c r="Z163" i="32"/>
  <c r="P6" i="33" s="1"/>
  <c r="E29" i="37"/>
  <c r="K29" i="37" s="1"/>
  <c r="F32" i="54"/>
  <c r="F29" i="37"/>
  <c r="L29" i="37" s="1"/>
  <c r="G32" i="54"/>
  <c r="W168" i="32"/>
  <c r="V168" i="32"/>
  <c r="AE163" i="32"/>
  <c r="P7" i="33" s="1"/>
  <c r="AE169" i="32"/>
  <c r="R176" i="32"/>
  <c r="R177" i="32"/>
  <c r="T6" i="33"/>
  <c r="E30" i="37"/>
  <c r="T7" i="33"/>
  <c r="F30" i="37"/>
  <c r="Z169" i="32"/>
  <c r="H48" i="54"/>
  <c r="V170" i="32"/>
  <c r="X170" i="32"/>
  <c r="I5" i="37"/>
  <c r="K5" i="37" s="1"/>
  <c r="F5" i="37"/>
  <c r="H5" i="37" s="1"/>
  <c r="W170" i="32"/>
  <c r="D53" i="31"/>
  <c r="D54" i="31" s="1"/>
  <c r="AE155" i="32"/>
  <c r="AE149" i="32"/>
  <c r="D211" i="54" s="1"/>
  <c r="D217" i="54" s="1"/>
  <c r="AE148" i="32"/>
  <c r="E53" i="31"/>
  <c r="E54" i="31" s="1"/>
  <c r="AE252" i="32"/>
  <c r="Y167" i="32"/>
  <c r="Y165" i="32"/>
  <c r="AE154" i="32"/>
  <c r="Z155" i="32"/>
  <c r="Z89" i="32"/>
  <c r="Y86" i="32"/>
  <c r="Y87" i="32" s="1"/>
  <c r="Y90" i="32"/>
  <c r="Z149" i="32"/>
  <c r="C211" i="54" s="1"/>
  <c r="C217" i="54" s="1"/>
  <c r="C229" i="54" s="1"/>
  <c r="G49" i="54"/>
  <c r="AQ176" i="32" l="1"/>
  <c r="AQ177" i="32"/>
  <c r="AG178" i="32"/>
  <c r="AH178" i="32"/>
  <c r="C228" i="54"/>
  <c r="D221" i="54"/>
  <c r="D228" i="54"/>
  <c r="AD163" i="32"/>
  <c r="AD164" i="32" s="1"/>
  <c r="Q170" i="32"/>
  <c r="Q177" i="32" s="1"/>
  <c r="AE256" i="32"/>
  <c r="AD154" i="32"/>
  <c r="AD169" i="32"/>
  <c r="J34" i="56"/>
  <c r="B7" i="33"/>
  <c r="B6" i="33"/>
  <c r="Y179" i="32"/>
  <c r="Q168" i="32"/>
  <c r="Q179" i="32"/>
  <c r="P176" i="32"/>
  <c r="P177" i="32"/>
  <c r="AX83" i="32"/>
  <c r="H32" i="54"/>
  <c r="X5" i="37"/>
  <c r="Z5" i="37" s="1"/>
  <c r="F69" i="54"/>
  <c r="F70" i="54" s="1"/>
  <c r="R6" i="37"/>
  <c r="T6" i="37" s="1"/>
  <c r="G69" i="54"/>
  <c r="G70" i="54" s="1"/>
  <c r="U6" i="37"/>
  <c r="W6" i="37" s="1"/>
  <c r="W177" i="32"/>
  <c r="AB178" i="32" s="1"/>
  <c r="W176" i="32"/>
  <c r="V177" i="32"/>
  <c r="AA178" i="32" s="1"/>
  <c r="V176" i="32"/>
  <c r="X177" i="32"/>
  <c r="AC178" i="32" s="1"/>
  <c r="X176" i="32"/>
  <c r="Z188" i="32"/>
  <c r="K30" i="37"/>
  <c r="E31" i="37"/>
  <c r="K31" i="37" s="1"/>
  <c r="L30" i="37"/>
  <c r="F31" i="37"/>
  <c r="L31" i="37" s="1"/>
  <c r="D17" i="31"/>
  <c r="L15" i="37"/>
  <c r="D66" i="31"/>
  <c r="D67" i="31" s="1"/>
  <c r="D55" i="31"/>
  <c r="I6" i="37"/>
  <c r="K6" i="37" s="1"/>
  <c r="F6" i="37"/>
  <c r="H6" i="37" s="1"/>
  <c r="AE235" i="32"/>
  <c r="E17" i="31"/>
  <c r="AE167" i="32"/>
  <c r="E55" i="31"/>
  <c r="E66" i="31"/>
  <c r="AE165" i="32"/>
  <c r="AE164" i="32"/>
  <c r="Z86" i="32"/>
  <c r="Z90" i="32"/>
  <c r="Z165" i="32"/>
  <c r="Z167" i="32"/>
  <c r="Y170" i="32"/>
  <c r="Y168" i="32"/>
  <c r="D229" i="54" l="1"/>
  <c r="D223" i="54"/>
  <c r="F49" i="54"/>
  <c r="C209" i="54"/>
  <c r="D209" i="54" s="1"/>
  <c r="AD167" i="32"/>
  <c r="AD165" i="32"/>
  <c r="Q176" i="32"/>
  <c r="U8" i="37"/>
  <c r="W8" i="37" s="1"/>
  <c r="U9" i="37"/>
  <c r="R8" i="37"/>
  <c r="Z179" i="32"/>
  <c r="R9" i="37" s="1"/>
  <c r="AY83" i="32"/>
  <c r="C11" i="54"/>
  <c r="Y176" i="32"/>
  <c r="Y177" i="32"/>
  <c r="AE241" i="32"/>
  <c r="Z241" i="32"/>
  <c r="F7" i="37"/>
  <c r="H7" i="37" s="1"/>
  <c r="E22" i="31"/>
  <c r="D15" i="31"/>
  <c r="D56" i="31"/>
  <c r="D70" i="31"/>
  <c r="D71" i="31" s="1"/>
  <c r="AE170" i="32"/>
  <c r="I7" i="37"/>
  <c r="K7" i="37" s="1"/>
  <c r="E67" i="31"/>
  <c r="E15" i="31"/>
  <c r="E70" i="31"/>
  <c r="E71" i="31" s="1"/>
  <c r="E56" i="31"/>
  <c r="E57" i="31"/>
  <c r="Z87" i="32"/>
  <c r="Z168" i="32"/>
  <c r="Z170" i="32"/>
  <c r="E209" i="54" l="1"/>
  <c r="F209" i="54" s="1"/>
  <c r="G209" i="54" s="1"/>
  <c r="D210" i="54"/>
  <c r="AD170" i="32"/>
  <c r="AD177" i="32" s="1"/>
  <c r="AD178" i="32" s="1"/>
  <c r="AD168" i="32"/>
  <c r="Z176" i="32"/>
  <c r="D6" i="33" s="1"/>
  <c r="C13" i="54"/>
  <c r="C20" i="54"/>
  <c r="C22" i="54" s="1"/>
  <c r="C7" i="33"/>
  <c r="S11" i="46" s="1"/>
  <c r="C6" i="33"/>
  <c r="R11" i="46" s="1"/>
  <c r="Z177" i="32"/>
  <c r="AE177" i="32"/>
  <c r="AE176" i="32"/>
  <c r="D7" i="33" s="1"/>
  <c r="H49" i="54"/>
  <c r="I8" i="37"/>
  <c r="K8" i="37" s="1"/>
  <c r="F8" i="37"/>
  <c r="H8" i="37" s="1"/>
  <c r="AE182" i="32"/>
  <c r="Z182" i="32"/>
  <c r="E23" i="31"/>
  <c r="AD176" i="32" l="1"/>
  <c r="H209" i="54"/>
  <c r="I209" i="54" s="1"/>
  <c r="J209" i="54" s="1"/>
  <c r="K209" i="54" s="1"/>
  <c r="L209" i="54" s="1"/>
  <c r="M209" i="54" s="1"/>
  <c r="W9" i="37"/>
  <c r="AE178" i="32"/>
  <c r="L6" i="33"/>
  <c r="L7" i="33"/>
  <c r="AE196" i="32"/>
  <c r="O7" i="33"/>
  <c r="E26" i="31"/>
  <c r="E24" i="31"/>
  <c r="AE268" i="32" l="1"/>
  <c r="AE269" i="32" s="1"/>
  <c r="AE209" i="32"/>
  <c r="U123" i="32" l="1"/>
  <c r="U124" i="32" s="1"/>
  <c r="S123" i="32" l="1"/>
  <c r="S124" i="32" s="1"/>
  <c r="T121" i="32"/>
  <c r="Z125" i="32"/>
  <c r="S122" i="32"/>
  <c r="S135" i="32"/>
  <c r="T123" i="32" l="1"/>
  <c r="T124" i="32" s="1"/>
  <c r="T122" i="32"/>
  <c r="S136" i="32"/>
  <c r="T135" i="32"/>
  <c r="S147" i="32"/>
  <c r="T147" i="32" s="1"/>
  <c r="S153" i="32"/>
  <c r="T149" i="32" l="1"/>
  <c r="S137" i="32"/>
  <c r="Y137" i="32"/>
  <c r="T153" i="32"/>
  <c r="T155" i="32" s="1"/>
  <c r="T136" i="32"/>
  <c r="T137" i="32" s="1"/>
  <c r="U135" i="32"/>
  <c r="S163" i="32"/>
  <c r="S149" i="32"/>
  <c r="Y148" i="32"/>
  <c r="S148" i="32"/>
  <c r="S155" i="32"/>
  <c r="S154" i="32"/>
  <c r="Y154" i="32"/>
  <c r="U251" i="32" l="1"/>
  <c r="U255" i="32" s="1"/>
  <c r="T154" i="32"/>
  <c r="T163" i="32"/>
  <c r="T165" i="32" s="1"/>
  <c r="U136" i="32"/>
  <c r="C4" i="37"/>
  <c r="E4" i="37" s="1"/>
  <c r="U147" i="32"/>
  <c r="U153" i="32"/>
  <c r="T169" i="32"/>
  <c r="U169" i="32" s="1"/>
  <c r="Y164" i="32"/>
  <c r="S167" i="32"/>
  <c r="S164" i="32"/>
  <c r="S165" i="32"/>
  <c r="Z252" i="32" l="1"/>
  <c r="U252" i="32"/>
  <c r="U253" i="32"/>
  <c r="S5" i="33"/>
  <c r="U89" i="32"/>
  <c r="S89" i="32" s="1"/>
  <c r="T89" i="32" s="1"/>
  <c r="E32" i="54"/>
  <c r="Q11" i="46"/>
  <c r="S179" i="32"/>
  <c r="T5" i="33"/>
  <c r="D30" i="37"/>
  <c r="Z137" i="32"/>
  <c r="D29" i="37"/>
  <c r="J29" i="37" s="1"/>
  <c r="U163" i="32"/>
  <c r="U188" i="32"/>
  <c r="T167" i="32"/>
  <c r="U148" i="32"/>
  <c r="U149" i="32"/>
  <c r="C53" i="31"/>
  <c r="C54" i="31" s="1"/>
  <c r="C5" i="37"/>
  <c r="E5" i="37" s="1"/>
  <c r="U155" i="32"/>
  <c r="Z154" i="32"/>
  <c r="U154" i="32"/>
  <c r="U235" i="32"/>
  <c r="Z148" i="32"/>
  <c r="S168" i="32"/>
  <c r="S170" i="32"/>
  <c r="U91" i="32" l="1"/>
  <c r="U86" i="32"/>
  <c r="Z88" i="32" s="1"/>
  <c r="Z91" i="32"/>
  <c r="U90" i="32"/>
  <c r="E49" i="54" s="1"/>
  <c r="T168" i="32"/>
  <c r="T179" i="32"/>
  <c r="S177" i="32"/>
  <c r="S176" i="32"/>
  <c r="T7" i="37"/>
  <c r="D31" i="37"/>
  <c r="J31" i="37" s="1"/>
  <c r="J30" i="37"/>
  <c r="U167" i="32"/>
  <c r="U165" i="32"/>
  <c r="C6" i="37"/>
  <c r="E6" i="37" s="1"/>
  <c r="U164" i="32"/>
  <c r="Z164" i="32"/>
  <c r="C55" i="31"/>
  <c r="C15" i="31" s="1"/>
  <c r="P5" i="33" s="1"/>
  <c r="T170" i="32"/>
  <c r="U241" i="32"/>
  <c r="C66" i="31"/>
  <c r="C22" i="31" s="1"/>
  <c r="T90" i="32"/>
  <c r="T86" i="32"/>
  <c r="T87" i="32" s="1"/>
  <c r="Y91" i="32"/>
  <c r="S90" i="32"/>
  <c r="S86" i="32"/>
  <c r="S87" i="32" s="1"/>
  <c r="U87" i="32" l="1"/>
  <c r="U179" i="32"/>
  <c r="T177" i="32"/>
  <c r="T176" i="32"/>
  <c r="T8" i="37"/>
  <c r="U168" i="32"/>
  <c r="C23" i="31"/>
  <c r="U170" i="32"/>
  <c r="C7" i="37"/>
  <c r="E7" i="37" s="1"/>
  <c r="D57" i="31"/>
  <c r="C70" i="31"/>
  <c r="C71" i="31" s="1"/>
  <c r="C56" i="31"/>
  <c r="D22" i="31"/>
  <c r="D23" i="31" s="1"/>
  <c r="Z196" i="32"/>
  <c r="C67" i="31"/>
  <c r="Z268" i="32" l="1"/>
  <c r="Z269" i="32" s="1"/>
  <c r="U177" i="32"/>
  <c r="U176" i="32"/>
  <c r="T9" i="37"/>
  <c r="C24" i="31"/>
  <c r="O5" i="33"/>
  <c r="U245" i="32"/>
  <c r="Z245" i="32" s="1"/>
  <c r="AE245" i="32" s="1"/>
  <c r="U182" i="32"/>
  <c r="C8" i="37"/>
  <c r="E8" i="37" s="1"/>
  <c r="E69" i="31"/>
  <c r="D24" i="31"/>
  <c r="O6" i="33"/>
  <c r="D69" i="31"/>
  <c r="Z209" i="32"/>
  <c r="U196" i="32" l="1"/>
  <c r="U268" i="32" l="1"/>
  <c r="U269" i="32" s="1"/>
  <c r="U209" i="32"/>
  <c r="L48" i="54"/>
  <c r="K48" i="54" l="1"/>
  <c r="U212" i="32"/>
  <c r="I48" i="54"/>
  <c r="U218" i="32" l="1"/>
  <c r="C11" i="37"/>
  <c r="E11" i="37" s="1"/>
  <c r="Z210" i="32"/>
  <c r="Z212" i="32" s="1"/>
  <c r="N5" i="33"/>
  <c r="J48" i="54"/>
  <c r="G21" i="31"/>
  <c r="L32" i="54"/>
  <c r="K32" i="54"/>
  <c r="U223" i="32" l="1"/>
  <c r="R10" i="37"/>
  <c r="T10" i="37" s="1"/>
  <c r="B15" i="33"/>
  <c r="F11" i="37"/>
  <c r="H11" i="37" s="1"/>
  <c r="Z218" i="32"/>
  <c r="N6" i="33"/>
  <c r="AE210" i="32"/>
  <c r="AE212" i="32" s="1"/>
  <c r="H21" i="31"/>
  <c r="J32" i="54"/>
  <c r="U229" i="32" l="1"/>
  <c r="I32" i="54"/>
  <c r="AA5" i="37"/>
  <c r="AC5" i="37" s="1"/>
  <c r="N7" i="33"/>
  <c r="U10" i="37"/>
  <c r="W10" i="37" s="1"/>
  <c r="I21" i="31"/>
  <c r="AE218" i="32"/>
  <c r="Z223" i="32"/>
  <c r="AJ210" i="32"/>
  <c r="I11" i="37"/>
  <c r="K11" i="37" s="1"/>
  <c r="L49" i="54"/>
  <c r="K49" i="54"/>
  <c r="U265" i="32" l="1"/>
  <c r="U266" i="32" s="1"/>
  <c r="U246" i="32"/>
  <c r="K7" i="33"/>
  <c r="I7" i="33"/>
  <c r="J7" i="33"/>
  <c r="AE223" i="32"/>
  <c r="Z229" i="32"/>
  <c r="J21" i="31"/>
  <c r="J49" i="54"/>
  <c r="I49" i="54"/>
  <c r="U247" i="32" l="1"/>
  <c r="U243" i="32"/>
  <c r="AE229" i="32"/>
  <c r="Z265" i="32"/>
  <c r="Z266" i="32" s="1"/>
  <c r="Z246" i="32"/>
  <c r="K21" i="31"/>
  <c r="U248" i="32" l="1"/>
  <c r="AE265" i="32"/>
  <c r="AE266" i="32" s="1"/>
  <c r="AE246" i="32"/>
  <c r="Z247" i="32"/>
  <c r="Z243" i="32"/>
  <c r="Z248" i="32" l="1"/>
  <c r="AE243" i="32"/>
  <c r="AE247" i="32"/>
  <c r="M21" i="31"/>
  <c r="L21" i="31"/>
  <c r="AE248" i="32" l="1"/>
  <c r="G7" i="33" l="1"/>
  <c r="U7" i="33" l="1"/>
  <c r="U6" i="33"/>
  <c r="U5" i="33" l="1"/>
  <c r="I68" i="54" l="1"/>
  <c r="J68" i="54"/>
  <c r="L68" i="54"/>
  <c r="K68" i="54"/>
  <c r="H68" i="54"/>
  <c r="K26" i="46" l="1"/>
  <c r="K32" i="46" s="1"/>
  <c r="K7" i="46" l="1"/>
  <c r="H26" i="46" s="1"/>
  <c r="H32" i="46" s="1"/>
  <c r="AD24" i="32" l="1"/>
  <c r="AD149" i="32"/>
  <c r="AD155" i="32"/>
  <c r="AW83" i="32" l="1"/>
  <c r="AV83" i="32"/>
  <c r="AC33" i="32" l="1"/>
  <c r="AC32" i="32" l="1"/>
  <c r="AC132" i="32" s="1"/>
  <c r="AC55" i="32"/>
  <c r="AC133" i="32"/>
  <c r="AC54" i="32" l="1"/>
  <c r="AC80" i="32"/>
  <c r="AC79" i="32" s="1"/>
  <c r="M109" i="54" s="1"/>
  <c r="AC117" i="32"/>
  <c r="AC116" i="32" s="1"/>
  <c r="M110" i="54" s="1"/>
  <c r="C112" i="54" l="1"/>
  <c r="D112" i="54" s="1"/>
  <c r="E112" i="54" s="1"/>
  <c r="F112" i="54" s="1"/>
  <c r="G112" i="54" s="1"/>
  <c r="H112" i="54" s="1"/>
  <c r="I112" i="54" s="1"/>
  <c r="J112" i="54" s="1"/>
  <c r="K112" i="54" s="1"/>
  <c r="L112" i="54" s="1"/>
  <c r="M112" i="54" s="1"/>
  <c r="N112" i="54" s="1"/>
  <c r="O112" i="54" s="1"/>
  <c r="P112" i="54" s="1"/>
  <c r="Q112" i="54" s="1"/>
  <c r="AO97" i="32" l="1"/>
  <c r="AT97" i="32" s="1"/>
  <c r="AJ94" i="32"/>
  <c r="AO94" i="32" l="1"/>
  <c r="AU97" i="32"/>
  <c r="AT94" i="32"/>
  <c r="AV97" i="32" l="1"/>
  <c r="AU94" i="32"/>
  <c r="AV94" i="32" l="1"/>
  <c r="AW97" i="32"/>
  <c r="AW94" i="32" l="1"/>
  <c r="AX97" i="32"/>
  <c r="AY97" i="32" l="1"/>
  <c r="AX94" i="32"/>
  <c r="AY94" i="32" l="1"/>
  <c r="AJ5" i="32" l="1"/>
  <c r="AO10" i="32"/>
  <c r="AJ10" i="32"/>
  <c r="AJ4" i="32"/>
  <c r="AJ31" i="32" l="1"/>
  <c r="AJ53" i="32" s="1"/>
  <c r="AJ47" i="32" s="1"/>
  <c r="AO33" i="32"/>
  <c r="AO133" i="32" s="1"/>
  <c r="AJ9" i="32"/>
  <c r="X9" i="35"/>
  <c r="AI31" i="32"/>
  <c r="AI34" i="32" s="1"/>
  <c r="X12" i="35"/>
  <c r="X4" i="35"/>
  <c r="AO4" i="32"/>
  <c r="AJ61" i="32"/>
  <c r="AJ64" i="32" s="1"/>
  <c r="AJ62" i="32" s="1"/>
  <c r="AJ8" i="32"/>
  <c r="AN4" i="32" l="1"/>
  <c r="AT32" i="32"/>
  <c r="AT132" i="32" s="1"/>
  <c r="AN7" i="32"/>
  <c r="AN5" i="32" s="1"/>
  <c r="AJ15" i="32"/>
  <c r="AJ34" i="32"/>
  <c r="AJ33" i="32" s="1"/>
  <c r="AJ133" i="32" s="1"/>
  <c r="F52" i="31" s="1"/>
  <c r="AJ22" i="32"/>
  <c r="AO9" i="32"/>
  <c r="AJ115" i="32"/>
  <c r="AJ102" i="32" s="1"/>
  <c r="AJ103" i="32" s="1"/>
  <c r="AO61" i="32"/>
  <c r="AO31" i="32"/>
  <c r="AN31" i="32" s="1"/>
  <c r="G52" i="31"/>
  <c r="Y9" i="35"/>
  <c r="AT4" i="32"/>
  <c r="AU32" i="32" s="1"/>
  <c r="AN10" i="32"/>
  <c r="AI22" i="32"/>
  <c r="AJ48" i="32"/>
  <c r="AJ52" i="32" s="1"/>
  <c r="AO55" i="32"/>
  <c r="AJ56" i="32"/>
  <c r="AJ42" i="32"/>
  <c r="AI8" i="32"/>
  <c r="AI15" i="32"/>
  <c r="AI53" i="32"/>
  <c r="AI131" i="32"/>
  <c r="F5" i="56" s="1"/>
  <c r="AI32" i="32"/>
  <c r="AI132" i="32" s="1"/>
  <c r="AI134" i="32"/>
  <c r="F51" i="56" l="1"/>
  <c r="Z9" i="35"/>
  <c r="AS4" i="32"/>
  <c r="AS7" i="32" s="1"/>
  <c r="AS5" i="32" s="1"/>
  <c r="AN131" i="32"/>
  <c r="AN53" i="32"/>
  <c r="AI115" i="32"/>
  <c r="AI118" i="32" s="1"/>
  <c r="AI117" i="32" s="1"/>
  <c r="AJ55" i="32"/>
  <c r="AJ54" i="32" s="1"/>
  <c r="F8" i="31"/>
  <c r="F9" i="31" s="1"/>
  <c r="F10" i="31" s="1"/>
  <c r="AJ131" i="32"/>
  <c r="AJ256" i="32" s="1"/>
  <c r="AJ35" i="32"/>
  <c r="AJ99" i="32"/>
  <c r="AJ65" i="32" s="1"/>
  <c r="AJ68" i="32" s="1"/>
  <c r="AJ66" i="32" s="1"/>
  <c r="AJ118" i="32"/>
  <c r="AJ117" i="32" s="1"/>
  <c r="AO64" i="32"/>
  <c r="AO62" i="32" s="1"/>
  <c r="Y4" i="35"/>
  <c r="AO53" i="32"/>
  <c r="AO15" i="32"/>
  <c r="Y12" i="35"/>
  <c r="AT31" i="32"/>
  <c r="AT15" i="32" s="1"/>
  <c r="AO22" i="32"/>
  <c r="AO8" i="32"/>
  <c r="AO34" i="32"/>
  <c r="AO35" i="32" s="1"/>
  <c r="AT9" i="32"/>
  <c r="AT61" i="32"/>
  <c r="AT64" i="32" s="1"/>
  <c r="AT62" i="32" s="1"/>
  <c r="AU4" i="32"/>
  <c r="AN15" i="32"/>
  <c r="AN34" i="32"/>
  <c r="AN8" i="32"/>
  <c r="AN22" i="32"/>
  <c r="AJ51" i="32"/>
  <c r="AJ50" i="32" s="1"/>
  <c r="AI48" i="32"/>
  <c r="AI51" i="32" s="1"/>
  <c r="AI50" i="32" s="1"/>
  <c r="F63" i="31"/>
  <c r="AI82" i="32"/>
  <c r="AI42" i="32"/>
  <c r="AI56" i="32"/>
  <c r="AI54" i="32" s="1"/>
  <c r="AI47" i="32"/>
  <c r="AJ201" i="32"/>
  <c r="F60" i="31"/>
  <c r="F6" i="56"/>
  <c r="F9" i="56"/>
  <c r="AV32" i="32" l="1"/>
  <c r="AI119" i="32"/>
  <c r="AJ141" i="32"/>
  <c r="AJ142" i="32" s="1"/>
  <c r="AN56" i="32"/>
  <c r="AN54" i="32" s="1"/>
  <c r="AN42" i="32"/>
  <c r="AO47" i="32"/>
  <c r="AO42" i="32"/>
  <c r="AJ144" i="32"/>
  <c r="AJ145" i="32" s="1"/>
  <c r="AJ157" i="32"/>
  <c r="AJ185" i="32" s="1"/>
  <c r="AJ260" i="32" s="1"/>
  <c r="AJ258" i="32" s="1"/>
  <c r="AJ135" i="32"/>
  <c r="AI135" i="32" s="1"/>
  <c r="AI136" i="32" s="1"/>
  <c r="AJ161" i="32"/>
  <c r="F16" i="31" s="1"/>
  <c r="AJ150" i="32"/>
  <c r="AI150" i="32" s="1"/>
  <c r="AI152" i="32" s="1"/>
  <c r="E11" i="55"/>
  <c r="E18" i="55" s="1"/>
  <c r="E40" i="55" s="1"/>
  <c r="X4" i="37"/>
  <c r="Z4" i="37" s="1"/>
  <c r="AJ262" i="32"/>
  <c r="AJ82" i="32"/>
  <c r="F90" i="54" s="1"/>
  <c r="F91" i="54" s="1"/>
  <c r="L3" i="37"/>
  <c r="N3" i="37" s="1"/>
  <c r="AJ263" i="32"/>
  <c r="AO263" i="32" s="1"/>
  <c r="AT263" i="32" s="1"/>
  <c r="AU263" i="32" s="1"/>
  <c r="AV263" i="32" s="1"/>
  <c r="AW263" i="32" s="1"/>
  <c r="AX263" i="32" s="1"/>
  <c r="AY263" i="32" s="1"/>
  <c r="AJ134" i="32"/>
  <c r="AJ132" i="32" s="1"/>
  <c r="L14" i="37" s="1"/>
  <c r="AJ119" i="32"/>
  <c r="E205" i="54" s="1"/>
  <c r="E204" i="54" s="1"/>
  <c r="AJ254" i="32"/>
  <c r="AO254" i="32" s="1"/>
  <c r="AT254" i="32" s="1"/>
  <c r="AU254" i="32" s="1"/>
  <c r="AV254" i="32" s="1"/>
  <c r="AW254" i="32" s="1"/>
  <c r="AX254" i="32" s="1"/>
  <c r="AY254" i="32" s="1"/>
  <c r="F49" i="31"/>
  <c r="Q8" i="33" s="1"/>
  <c r="AJ138" i="32"/>
  <c r="AI138" i="32" s="1"/>
  <c r="AI139" i="32" s="1"/>
  <c r="AJ120" i="32"/>
  <c r="AO32" i="32"/>
  <c r="AJ109" i="32"/>
  <c r="AJ112" i="32" s="1"/>
  <c r="AJ113" i="32" s="1"/>
  <c r="AJ16" i="32"/>
  <c r="AO56" i="32"/>
  <c r="AO54" i="32" s="1"/>
  <c r="AT22" i="32"/>
  <c r="AT53" i="32"/>
  <c r="AT56" i="32" s="1"/>
  <c r="AT8" i="32"/>
  <c r="AT34" i="32"/>
  <c r="AT33" i="32" s="1"/>
  <c r="Z4" i="35"/>
  <c r="Z12" i="35"/>
  <c r="AU9" i="32"/>
  <c r="AU31" i="32"/>
  <c r="AU8" i="32" s="1"/>
  <c r="AN32" i="32"/>
  <c r="AN134" i="32"/>
  <c r="AV4" i="32"/>
  <c r="AA9" i="35"/>
  <c r="AU61" i="32"/>
  <c r="AU64" i="32" s="1"/>
  <c r="AU62" i="32" s="1"/>
  <c r="AI52" i="32"/>
  <c r="AJ208" i="32"/>
  <c r="F15" i="56"/>
  <c r="F20" i="31"/>
  <c r="F62" i="31"/>
  <c r="F65" i="31"/>
  <c r="F19" i="31"/>
  <c r="L9" i="37"/>
  <c r="N9" i="37" s="1"/>
  <c r="AI141" i="32" l="1"/>
  <c r="AI142" i="32" s="1"/>
  <c r="F58" i="31"/>
  <c r="AW4" i="32"/>
  <c r="AX32" i="32" s="1"/>
  <c r="AW32" i="32"/>
  <c r="L10" i="37"/>
  <c r="N10" i="37" s="1"/>
  <c r="AI157" i="32"/>
  <c r="AI158" i="32" s="1"/>
  <c r="AJ251" i="32"/>
  <c r="AJ255" i="32" s="1"/>
  <c r="AO255" i="32" s="1"/>
  <c r="AT255" i="32" s="1"/>
  <c r="AU255" i="32" s="1"/>
  <c r="AV255" i="32" s="1"/>
  <c r="AW255" i="32" s="1"/>
  <c r="AX255" i="32" s="1"/>
  <c r="AY255" i="32" s="1"/>
  <c r="AT35" i="32"/>
  <c r="AT42" i="32"/>
  <c r="AU42" i="32" s="1"/>
  <c r="AI137" i="32"/>
  <c r="G55" i="56"/>
  <c r="D55" i="56" s="1"/>
  <c r="AS10" i="32"/>
  <c r="AI144" i="32"/>
  <c r="AI146" i="32" s="1"/>
  <c r="AJ158" i="32"/>
  <c r="AI151" i="32"/>
  <c r="AJ139" i="32"/>
  <c r="AN132" i="32"/>
  <c r="AJ153" i="32"/>
  <c r="AI153" i="32" s="1"/>
  <c r="AJ151" i="32"/>
  <c r="AI161" i="32"/>
  <c r="AI162" i="32" s="1"/>
  <c r="AI140" i="32"/>
  <c r="L4" i="37"/>
  <c r="N4" i="37" s="1"/>
  <c r="F61" i="31"/>
  <c r="F50" i="31"/>
  <c r="F51" i="31" s="1"/>
  <c r="F59" i="31"/>
  <c r="C173" i="54"/>
  <c r="F64" i="31"/>
  <c r="E12" i="55"/>
  <c r="C139" i="54"/>
  <c r="C140" i="54" s="1"/>
  <c r="C145" i="54" s="1"/>
  <c r="E227" i="54" s="1"/>
  <c r="AJ147" i="32"/>
  <c r="AI147" i="32" s="1"/>
  <c r="AI148" i="32" s="1"/>
  <c r="AJ114" i="32"/>
  <c r="AJ73" i="32" s="1"/>
  <c r="AJ76" i="32" s="1"/>
  <c r="AV9" i="32"/>
  <c r="AV61" i="32"/>
  <c r="AV64" i="32" s="1"/>
  <c r="AV62" i="32" s="1"/>
  <c r="AU15" i="32"/>
  <c r="AB9" i="35"/>
  <c r="AA4" i="35"/>
  <c r="AV31" i="32"/>
  <c r="AA12" i="35"/>
  <c r="AU53" i="32"/>
  <c r="AU56" i="32" s="1"/>
  <c r="AU22" i="32"/>
  <c r="AU34" i="32"/>
  <c r="AI143" i="32"/>
  <c r="F53" i="31"/>
  <c r="F54" i="31" s="1"/>
  <c r="F18" i="31"/>
  <c r="AI159" i="32"/>
  <c r="F68" i="31"/>
  <c r="AJ235" i="32"/>
  <c r="AW31" i="32"/>
  <c r="AJ228" i="32"/>
  <c r="AW61" i="32" l="1"/>
  <c r="AX4" i="32"/>
  <c r="AY32" i="32" s="1"/>
  <c r="AW9" i="32"/>
  <c r="AC9" i="35"/>
  <c r="AU35" i="32"/>
  <c r="AU33" i="32"/>
  <c r="AJ252" i="32"/>
  <c r="AJ253" i="32"/>
  <c r="AO253" i="32" s="1"/>
  <c r="AT253" i="32" s="1"/>
  <c r="AU253" i="32" s="1"/>
  <c r="AV253" i="32" s="1"/>
  <c r="AW253" i="32" s="1"/>
  <c r="AX253" i="32" s="1"/>
  <c r="AY253" i="32" s="1"/>
  <c r="AT133" i="32"/>
  <c r="AT55" i="32"/>
  <c r="AV42" i="32"/>
  <c r="AW42" i="32" s="1"/>
  <c r="AX42" i="32" s="1"/>
  <c r="AY42" i="32" s="1"/>
  <c r="AU38" i="32"/>
  <c r="AT38" i="32"/>
  <c r="AT41" i="32" s="1"/>
  <c r="AI145" i="32"/>
  <c r="AI163" i="32"/>
  <c r="AI167" i="32" s="1"/>
  <c r="L5" i="37"/>
  <c r="N5" i="37" s="1"/>
  <c r="AJ148" i="32"/>
  <c r="AJ155" i="32"/>
  <c r="L17" i="37" s="1"/>
  <c r="AJ169" i="32"/>
  <c r="X7" i="37"/>
  <c r="Z7" i="37" s="1"/>
  <c r="AJ163" i="32"/>
  <c r="T8" i="33"/>
  <c r="U8" i="33" s="1"/>
  <c r="AJ154" i="32"/>
  <c r="L16" i="37" s="1"/>
  <c r="AI149" i="32"/>
  <c r="C152" i="54"/>
  <c r="C151" i="54"/>
  <c r="AJ149" i="32"/>
  <c r="E211" i="54" s="1"/>
  <c r="E217" i="54" s="1"/>
  <c r="E229" i="54" s="1"/>
  <c r="C195" i="54" s="1"/>
  <c r="AW8" i="32"/>
  <c r="AW64" i="32"/>
  <c r="AW62" i="32" s="1"/>
  <c r="AB12" i="35"/>
  <c r="AV38" i="32"/>
  <c r="AV8" i="32"/>
  <c r="AV53" i="32"/>
  <c r="AV56" i="32" s="1"/>
  <c r="AB4" i="35"/>
  <c r="AV22" i="32"/>
  <c r="AV34" i="32"/>
  <c r="AV33" i="32" s="1"/>
  <c r="AV15" i="32"/>
  <c r="AI154" i="32"/>
  <c r="F66" i="31"/>
  <c r="F22" i="31" s="1"/>
  <c r="AI155" i="32"/>
  <c r="F18" i="56" s="1"/>
  <c r="F17" i="56"/>
  <c r="AJ241" i="32"/>
  <c r="AW53" i="32"/>
  <c r="AW15" i="32"/>
  <c r="AC12" i="35"/>
  <c r="AW34" i="32"/>
  <c r="AW33" i="32" s="1"/>
  <c r="AW133" i="32" s="1"/>
  <c r="AC4" i="35"/>
  <c r="AW22" i="32"/>
  <c r="AX31" i="32"/>
  <c r="AY4" i="32"/>
  <c r="AX61" i="32"/>
  <c r="AX64" i="32" s="1"/>
  <c r="AX62" i="32" s="1"/>
  <c r="AX9" i="32" l="1"/>
  <c r="AD9" i="35"/>
  <c r="AW38" i="32"/>
  <c r="AV55" i="32"/>
  <c r="AV54" i="32" s="1"/>
  <c r="AV133" i="32"/>
  <c r="AW55" i="32"/>
  <c r="AU55" i="32"/>
  <c r="AU54" i="32" s="1"/>
  <c r="AU133" i="32"/>
  <c r="AX38" i="32"/>
  <c r="AX41" i="32" s="1"/>
  <c r="H52" i="31"/>
  <c r="AT54" i="32"/>
  <c r="AT117" i="32"/>
  <c r="AT80" i="32"/>
  <c r="AT81" i="32" s="1"/>
  <c r="AU41" i="32"/>
  <c r="AV41" i="32"/>
  <c r="B8" i="33"/>
  <c r="P8" i="33"/>
  <c r="AI165" i="32"/>
  <c r="AI164" i="32"/>
  <c r="AJ167" i="32"/>
  <c r="H69" i="54"/>
  <c r="H70" i="54" s="1"/>
  <c r="E228" i="54"/>
  <c r="F55" i="31"/>
  <c r="F70" i="31" s="1"/>
  <c r="F71" i="31" s="1"/>
  <c r="L6" i="37"/>
  <c r="N6" i="37" s="1"/>
  <c r="X6" i="37"/>
  <c r="Z6" i="37" s="1"/>
  <c r="AI169" i="32"/>
  <c r="AI168" i="32" s="1"/>
  <c r="AJ188" i="32"/>
  <c r="E223" i="54"/>
  <c r="E221" i="54"/>
  <c r="AJ165" i="32"/>
  <c r="AJ164" i="32"/>
  <c r="E210" i="54"/>
  <c r="AW41" i="32"/>
  <c r="AV35" i="32"/>
  <c r="X8" i="37"/>
  <c r="Z8" i="37" s="1"/>
  <c r="X9" i="37"/>
  <c r="Z9" i="37" s="1"/>
  <c r="F67" i="31"/>
  <c r="AY61" i="32"/>
  <c r="AY64" i="32" s="1"/>
  <c r="AY62" i="32" s="1"/>
  <c r="AY9" i="32"/>
  <c r="AY31" i="32"/>
  <c r="AY8" i="32" s="1"/>
  <c r="AE9" i="35"/>
  <c r="AW35" i="32"/>
  <c r="AX15" i="32"/>
  <c r="AX22" i="32"/>
  <c r="AX53" i="32"/>
  <c r="AD12" i="35"/>
  <c r="AD4" i="35"/>
  <c r="AX34" i="32"/>
  <c r="AX33" i="32" s="1"/>
  <c r="AX8" i="32"/>
  <c r="AW56" i="32"/>
  <c r="AW54" i="32" l="1"/>
  <c r="AX55" i="32"/>
  <c r="AX133" i="32"/>
  <c r="G28" i="56"/>
  <c r="I28" i="56" s="1"/>
  <c r="AU83" i="32"/>
  <c r="F15" i="31"/>
  <c r="C8" i="33" s="1"/>
  <c r="T11" i="46" s="1"/>
  <c r="K30" i="46" s="1"/>
  <c r="AI170" i="32"/>
  <c r="AI176" i="32" s="1"/>
  <c r="L7" i="37"/>
  <c r="N7" i="37" s="1"/>
  <c r="F56" i="31"/>
  <c r="AJ170" i="32"/>
  <c r="L8" i="37" s="1"/>
  <c r="N8" i="37" s="1"/>
  <c r="F57" i="31"/>
  <c r="AY38" i="32"/>
  <c r="AY41" i="32" s="1"/>
  <c r="AX56" i="32"/>
  <c r="AX35" i="32"/>
  <c r="AE12" i="35"/>
  <c r="AY34" i="32"/>
  <c r="AY33" i="32" s="1"/>
  <c r="AY22" i="32"/>
  <c r="AE4" i="35"/>
  <c r="AY53" i="32"/>
  <c r="AY15" i="32"/>
  <c r="AX54" i="32" l="1"/>
  <c r="F17" i="31"/>
  <c r="F23" i="31" s="1"/>
  <c r="O8" i="33" s="1"/>
  <c r="AY55" i="32"/>
  <c r="AY133" i="32"/>
  <c r="J30" i="46"/>
  <c r="AI177" i="32"/>
  <c r="AI178" i="32" s="1"/>
  <c r="AJ171" i="32"/>
  <c r="AJ182" i="32"/>
  <c r="AJ196" i="32" s="1"/>
  <c r="AJ268" i="32" s="1"/>
  <c r="AJ269" i="32" s="1"/>
  <c r="AJ177" i="32"/>
  <c r="AJ178" i="32" s="1"/>
  <c r="AJ176" i="32"/>
  <c r="D8" i="33" s="1"/>
  <c r="G8" i="33" s="1"/>
  <c r="F24" i="31"/>
  <c r="AY35" i="32"/>
  <c r="AY56" i="32"/>
  <c r="AY54" i="32" l="1"/>
  <c r="F69" i="31"/>
  <c r="F26" i="31"/>
  <c r="F28" i="31" s="1"/>
  <c r="AJ209" i="32"/>
  <c r="AJ212" i="32" s="1"/>
  <c r="L8" i="33"/>
  <c r="N8" i="33" l="1"/>
  <c r="X10" i="37"/>
  <c r="Z10" i="37" s="1"/>
  <c r="J11" i="46"/>
  <c r="K11" i="46" s="1"/>
  <c r="H30" i="46" s="1"/>
  <c r="L11" i="37"/>
  <c r="N11" i="37" s="1"/>
  <c r="AJ218" i="32"/>
  <c r="AO210" i="32"/>
  <c r="I8" i="33" l="1"/>
  <c r="J8" i="33"/>
  <c r="K8" i="33"/>
  <c r="AJ223" i="32"/>
  <c r="AJ229" i="32" l="1"/>
  <c r="AJ265" i="32" s="1"/>
  <c r="AJ266" i="32" s="1"/>
  <c r="AJ246" i="32" l="1"/>
  <c r="AJ247" i="32" l="1"/>
  <c r="AJ243" i="32"/>
  <c r="AJ248" i="32" l="1"/>
  <c r="AT83" i="32"/>
  <c r="AO83" i="32"/>
  <c r="AO78" i="32"/>
  <c r="AT78" i="32" l="1"/>
  <c r="AO115" i="32"/>
  <c r="AO118" i="32" l="1"/>
  <c r="AO117" i="32" s="1"/>
  <c r="AO102" i="32"/>
  <c r="AO131" i="32"/>
  <c r="AT115" i="32"/>
  <c r="AU78" i="32"/>
  <c r="G8" i="31"/>
  <c r="G9" i="31" s="1"/>
  <c r="G10" i="31" s="1"/>
  <c r="AO262" i="32" l="1"/>
  <c r="AV78" i="32"/>
  <c r="AU115" i="32"/>
  <c r="AO150" i="32"/>
  <c r="AA4" i="37"/>
  <c r="AC4" i="37" s="1"/>
  <c r="AO144" i="32"/>
  <c r="G49" i="31"/>
  <c r="AO141" i="32"/>
  <c r="F11" i="55"/>
  <c r="AO161" i="32"/>
  <c r="AO138" i="32"/>
  <c r="AO157" i="32"/>
  <c r="AO185" i="32" s="1"/>
  <c r="AO134" i="32"/>
  <c r="AO135" i="32"/>
  <c r="AO82" i="32"/>
  <c r="D139" i="54" s="1"/>
  <c r="AO103" i="32"/>
  <c r="AO99" i="32"/>
  <c r="AO120" i="32"/>
  <c r="AT118" i="32"/>
  <c r="AT102" i="32"/>
  <c r="H8" i="31"/>
  <c r="H9" i="31" s="1"/>
  <c r="H10" i="31" s="1"/>
  <c r="AO119" i="32"/>
  <c r="F205" i="54" s="1"/>
  <c r="F204" i="54" s="1"/>
  <c r="G27" i="56" l="1"/>
  <c r="I27" i="56" s="1"/>
  <c r="AT116" i="32"/>
  <c r="AT120" i="32"/>
  <c r="G63" i="31"/>
  <c r="AO208" i="32"/>
  <c r="G16" i="31"/>
  <c r="AN161" i="32"/>
  <c r="AN162" i="32" s="1"/>
  <c r="AV115" i="32"/>
  <c r="AW78" i="32"/>
  <c r="D151" i="54"/>
  <c r="D173" i="54" s="1"/>
  <c r="D140" i="54"/>
  <c r="D145" i="54" s="1"/>
  <c r="G50" i="31"/>
  <c r="G51" i="31" s="1"/>
  <c r="Q9" i="33"/>
  <c r="AO151" i="32"/>
  <c r="AN150" i="32"/>
  <c r="AO201" i="32"/>
  <c r="G60" i="31"/>
  <c r="AO139" i="32"/>
  <c r="AN138" i="32"/>
  <c r="AN144" i="32"/>
  <c r="AN146" i="32" s="1"/>
  <c r="AO145" i="32"/>
  <c r="AO109" i="32"/>
  <c r="AO16" i="32"/>
  <c r="AO65" i="32"/>
  <c r="AO68" i="32" s="1"/>
  <c r="AO66" i="32" s="1"/>
  <c r="AO132" i="32"/>
  <c r="F18" i="55"/>
  <c r="F12" i="55"/>
  <c r="AU118" i="32"/>
  <c r="AU102" i="32"/>
  <c r="AU131" i="32"/>
  <c r="G58" i="31"/>
  <c r="AN157" i="32"/>
  <c r="AO158" i="32"/>
  <c r="AO142" i="32"/>
  <c r="AN141" i="32"/>
  <c r="AT99" i="32"/>
  <c r="AT103" i="32"/>
  <c r="AN135" i="32"/>
  <c r="AN136" i="32" s="1"/>
  <c r="AO147" i="32"/>
  <c r="AO153" i="32"/>
  <c r="AO251" i="32"/>
  <c r="I8" i="31"/>
  <c r="I9" i="31" s="1"/>
  <c r="I10" i="31" s="1"/>
  <c r="J23" i="56" l="1"/>
  <c r="L23" i="56" s="1"/>
  <c r="AU120" i="32"/>
  <c r="J27" i="56"/>
  <c r="L27" i="56" s="1"/>
  <c r="AN137" i="32"/>
  <c r="F55" i="56" s="1"/>
  <c r="AA7" i="37"/>
  <c r="AC7" i="37" s="1"/>
  <c r="T9" i="33"/>
  <c r="U9" i="33" s="1"/>
  <c r="AO169" i="32"/>
  <c r="AO155" i="32"/>
  <c r="AN153" i="32"/>
  <c r="AO154" i="32"/>
  <c r="AO163" i="32"/>
  <c r="P9" i="33" s="1"/>
  <c r="AU150" i="32"/>
  <c r="AU144" i="32"/>
  <c r="AU138" i="32"/>
  <c r="AU141" i="32"/>
  <c r="H11" i="55"/>
  <c r="AU161" i="32"/>
  <c r="AU157" i="32"/>
  <c r="AU197" i="32"/>
  <c r="AU219" i="32"/>
  <c r="AU204" i="32"/>
  <c r="I49" i="31"/>
  <c r="AU135" i="32"/>
  <c r="AU251" i="32" s="1"/>
  <c r="AU82" i="32"/>
  <c r="F139" i="54" s="1"/>
  <c r="AV118" i="32"/>
  <c r="AV102" i="32"/>
  <c r="AV131" i="32"/>
  <c r="AO228" i="32"/>
  <c r="J8" i="31"/>
  <c r="J9" i="31" s="1"/>
  <c r="J10" i="31" s="1"/>
  <c r="AU103" i="32"/>
  <c r="AU99" i="32"/>
  <c r="D152" i="54"/>
  <c r="D174" i="54" s="1"/>
  <c r="D146" i="54"/>
  <c r="F227" i="54"/>
  <c r="AU119" i="32"/>
  <c r="H205" i="54" s="1"/>
  <c r="H204" i="54" s="1"/>
  <c r="AN145" i="32"/>
  <c r="G62" i="31"/>
  <c r="G61" i="31"/>
  <c r="G20" i="31"/>
  <c r="G68" i="31"/>
  <c r="AO112" i="32"/>
  <c r="AO113" i="32" s="1"/>
  <c r="AO114" i="32"/>
  <c r="AO73" i="32" s="1"/>
  <c r="AO76" i="32" s="1"/>
  <c r="G65" i="31"/>
  <c r="G64" i="31"/>
  <c r="G19" i="31"/>
  <c r="AO148" i="32"/>
  <c r="AO149" i="32"/>
  <c r="F211" i="54" s="1"/>
  <c r="AN147" i="32"/>
  <c r="AN158" i="32"/>
  <c r="AN159" i="32"/>
  <c r="G59" i="31"/>
  <c r="G18" i="31"/>
  <c r="AT65" i="32"/>
  <c r="AT68" i="32" s="1"/>
  <c r="AT66" i="32" s="1"/>
  <c r="AT109" i="32"/>
  <c r="AT16" i="32"/>
  <c r="G53" i="31"/>
  <c r="G54" i="31" s="1"/>
  <c r="AO252" i="32"/>
  <c r="AN142" i="32"/>
  <c r="AN143" i="32"/>
  <c r="AN139" i="32"/>
  <c r="AN140" i="32"/>
  <c r="AN152" i="32"/>
  <c r="AN151" i="32"/>
  <c r="AW115" i="32"/>
  <c r="AX78" i="32"/>
  <c r="AV119" i="32" l="1"/>
  <c r="I205" i="54" s="1"/>
  <c r="I204" i="54" s="1"/>
  <c r="M23" i="56"/>
  <c r="O23" i="56" s="1"/>
  <c r="AV120" i="32"/>
  <c r="M27" i="56"/>
  <c r="O27" i="56" s="1"/>
  <c r="F54" i="56"/>
  <c r="I16" i="31"/>
  <c r="AY78" i="32"/>
  <c r="AX115" i="32"/>
  <c r="L8" i="31" s="1"/>
  <c r="L9" i="31" s="1"/>
  <c r="L10" i="31" s="1"/>
  <c r="AO235" i="32"/>
  <c r="I63" i="31"/>
  <c r="AU208" i="32"/>
  <c r="H18" i="55"/>
  <c r="AT112" i="32"/>
  <c r="AT113" i="32" s="1"/>
  <c r="AT114" i="32"/>
  <c r="AT73" i="32" s="1"/>
  <c r="AT76" i="32" s="1"/>
  <c r="AN148" i="32"/>
  <c r="AN149" i="32"/>
  <c r="AU16" i="32"/>
  <c r="AU65" i="32"/>
  <c r="AU68" i="32" s="1"/>
  <c r="AU66" i="32" s="1"/>
  <c r="AU109" i="32"/>
  <c r="AV103" i="32"/>
  <c r="AV99" i="32"/>
  <c r="AO164" i="32"/>
  <c r="AO165" i="32"/>
  <c r="B9" i="33"/>
  <c r="G55" i="31"/>
  <c r="AO167" i="32"/>
  <c r="AO256" i="32"/>
  <c r="G66" i="31"/>
  <c r="AV144" i="32"/>
  <c r="AV145" i="32" s="1"/>
  <c r="AV141" i="32"/>
  <c r="AV142" i="32" s="1"/>
  <c r="AV157" i="32"/>
  <c r="AV150" i="32"/>
  <c r="AV151" i="32" s="1"/>
  <c r="AV134" i="32"/>
  <c r="I11" i="55"/>
  <c r="AV161" i="32"/>
  <c r="AV197" i="32"/>
  <c r="AV138" i="32"/>
  <c r="AV219" i="32"/>
  <c r="AV191" i="32" s="1"/>
  <c r="AV135" i="32"/>
  <c r="AV251" i="32" s="1"/>
  <c r="AV204" i="32"/>
  <c r="J49" i="31"/>
  <c r="Q12" i="33" s="1"/>
  <c r="AV82" i="32"/>
  <c r="G139" i="54" s="1"/>
  <c r="F221" i="54"/>
  <c r="F210" i="54"/>
  <c r="F217" i="54"/>
  <c r="F228" i="54"/>
  <c r="F151" i="54"/>
  <c r="F140" i="54"/>
  <c r="F145" i="54" s="1"/>
  <c r="I60" i="31"/>
  <c r="AU201" i="32"/>
  <c r="AO188" i="32"/>
  <c r="Q11" i="33"/>
  <c r="I53" i="31"/>
  <c r="I54" i="31" s="1"/>
  <c r="AU220" i="32"/>
  <c r="AU230" i="32"/>
  <c r="AW118" i="32"/>
  <c r="P27" i="56" s="1"/>
  <c r="R27" i="56" s="1"/>
  <c r="AW102" i="32"/>
  <c r="AW131" i="32"/>
  <c r="I69" i="54"/>
  <c r="I70" i="54" s="1"/>
  <c r="AA6" i="37"/>
  <c r="AC6" i="37" s="1"/>
  <c r="K8" i="31"/>
  <c r="K9" i="31" s="1"/>
  <c r="K10" i="31" s="1"/>
  <c r="AU147" i="32"/>
  <c r="AU153" i="32"/>
  <c r="AU185" i="32"/>
  <c r="I58" i="31"/>
  <c r="AN163" i="32"/>
  <c r="AN155" i="32"/>
  <c r="AN154" i="32"/>
  <c r="P23" i="56" l="1"/>
  <c r="R23" i="56" s="1"/>
  <c r="AV132" i="32"/>
  <c r="M25" i="56" s="1"/>
  <c r="O25" i="56" s="1"/>
  <c r="M24" i="56"/>
  <c r="O24" i="56" s="1"/>
  <c r="J35" i="56"/>
  <c r="L35" i="56" s="1"/>
  <c r="AW119" i="32"/>
  <c r="J205" i="54" s="1"/>
  <c r="J204" i="54" s="1"/>
  <c r="I66" i="31"/>
  <c r="J50" i="31"/>
  <c r="J51" i="31" s="1"/>
  <c r="AA8" i="37"/>
  <c r="AC8" i="37" s="1"/>
  <c r="AA9" i="37"/>
  <c r="AC9" i="37" s="1"/>
  <c r="AO170" i="32"/>
  <c r="AU149" i="32"/>
  <c r="H211" i="54" s="1"/>
  <c r="J63" i="31"/>
  <c r="AV208" i="32"/>
  <c r="J16" i="31"/>
  <c r="G67" i="31"/>
  <c r="G22" i="31"/>
  <c r="G70" i="31"/>
  <c r="G71" i="31" s="1"/>
  <c r="G56" i="31"/>
  <c r="G57" i="31"/>
  <c r="G15" i="31"/>
  <c r="AO241" i="32"/>
  <c r="I61" i="31"/>
  <c r="I20" i="31"/>
  <c r="I68" i="31"/>
  <c r="AV139" i="32"/>
  <c r="AU169" i="32"/>
  <c r="AU155" i="32"/>
  <c r="AU163" i="32"/>
  <c r="I59" i="31"/>
  <c r="I18" i="31"/>
  <c r="AW150" i="32"/>
  <c r="AW151" i="32" s="1"/>
  <c r="J11" i="55"/>
  <c r="AW134" i="32"/>
  <c r="AW219" i="32"/>
  <c r="K49" i="31"/>
  <c r="Q13" i="33" s="1"/>
  <c r="AW144" i="32"/>
  <c r="AW145" i="32" s="1"/>
  <c r="AW161" i="32"/>
  <c r="AW138" i="32"/>
  <c r="AW157" i="32"/>
  <c r="AW141" i="32"/>
  <c r="AW142" i="32" s="1"/>
  <c r="AW197" i="32"/>
  <c r="AW204" i="32"/>
  <c r="AW135" i="32"/>
  <c r="AW251" i="32" s="1"/>
  <c r="AW82" i="32"/>
  <c r="H139" i="54" s="1"/>
  <c r="H227" i="54"/>
  <c r="F152" i="54"/>
  <c r="F229" i="54"/>
  <c r="D195" i="54" s="1"/>
  <c r="F223" i="54"/>
  <c r="AV147" i="32"/>
  <c r="AV153" i="32"/>
  <c r="M35" i="56" s="1"/>
  <c r="O35" i="56" s="1"/>
  <c r="I12" i="55"/>
  <c r="I18" i="55"/>
  <c r="I64" i="31"/>
  <c r="I19" i="31"/>
  <c r="G151" i="54"/>
  <c r="G173" i="54" s="1"/>
  <c r="G140" i="54"/>
  <c r="G145" i="54" s="1"/>
  <c r="AV201" i="32"/>
  <c r="J60" i="31"/>
  <c r="AW103" i="32"/>
  <c r="AW99" i="32"/>
  <c r="AU256" i="32"/>
  <c r="AV252" i="32"/>
  <c r="J53" i="31"/>
  <c r="J54" i="31" s="1"/>
  <c r="AV220" i="32"/>
  <c r="AV192" i="32" s="1"/>
  <c r="AV230" i="32"/>
  <c r="AU112" i="32"/>
  <c r="AU113" i="32" s="1"/>
  <c r="AU114" i="32"/>
  <c r="AU73" i="32" s="1"/>
  <c r="AU76" i="32" s="1"/>
  <c r="AX118" i="32"/>
  <c r="AX102" i="32"/>
  <c r="AX131" i="32"/>
  <c r="J58" i="31"/>
  <c r="AV185" i="32"/>
  <c r="AV158" i="32"/>
  <c r="AN165" i="32"/>
  <c r="AN164" i="32"/>
  <c r="AN167" i="32"/>
  <c r="AW120" i="32"/>
  <c r="AV16" i="32"/>
  <c r="AV109" i="32"/>
  <c r="AV65" i="32"/>
  <c r="AV68" i="32" s="1"/>
  <c r="AV66" i="32" s="1"/>
  <c r="AY115" i="32"/>
  <c r="AW132" i="32" l="1"/>
  <c r="P25" i="56" s="1"/>
  <c r="P24" i="56"/>
  <c r="AX82" i="32"/>
  <c r="I139" i="54" s="1"/>
  <c r="K69" i="54"/>
  <c r="K70" i="54" s="1"/>
  <c r="J36" i="56"/>
  <c r="L36" i="56" s="1"/>
  <c r="AW191" i="32"/>
  <c r="AW139" i="32"/>
  <c r="I67" i="31"/>
  <c r="J66" i="31"/>
  <c r="J22" i="31" s="1"/>
  <c r="AW220" i="32"/>
  <c r="K53" i="31"/>
  <c r="K54" i="31" s="1"/>
  <c r="AW252" i="32"/>
  <c r="AW230" i="32"/>
  <c r="K50" i="31"/>
  <c r="K51" i="31" s="1"/>
  <c r="AX150" i="32"/>
  <c r="AX151" i="32" s="1"/>
  <c r="AX138" i="32"/>
  <c r="AX139" i="32" s="1"/>
  <c r="AX134" i="32"/>
  <c r="AX132" i="32" s="1"/>
  <c r="K11" i="55"/>
  <c r="AX161" i="32"/>
  <c r="AX141" i="32"/>
  <c r="AX142" i="32" s="1"/>
  <c r="AX197" i="32"/>
  <c r="L49" i="31"/>
  <c r="AX157" i="32"/>
  <c r="AX219" i="32"/>
  <c r="AX191" i="32" s="1"/>
  <c r="AX144" i="32"/>
  <c r="AX145" i="32" s="1"/>
  <c r="AX204" i="32"/>
  <c r="AX135" i="32"/>
  <c r="J62" i="31"/>
  <c r="J61" i="31"/>
  <c r="J68" i="31"/>
  <c r="J20" i="31"/>
  <c r="G152" i="54"/>
  <c r="G174" i="54" s="1"/>
  <c r="I227" i="54"/>
  <c r="G146" i="54"/>
  <c r="AU195" i="32"/>
  <c r="AU188" i="32"/>
  <c r="AY118" i="32"/>
  <c r="AY120" i="32" s="1"/>
  <c r="AY102" i="32"/>
  <c r="AY131" i="32"/>
  <c r="AW201" i="32"/>
  <c r="K60" i="31"/>
  <c r="J59" i="31"/>
  <c r="J18" i="31"/>
  <c r="AX103" i="32"/>
  <c r="AX99" i="32"/>
  <c r="AV193" i="32"/>
  <c r="H140" i="54"/>
  <c r="H145" i="54" s="1"/>
  <c r="H151" i="54"/>
  <c r="H173" i="54" s="1"/>
  <c r="AW185" i="32"/>
  <c r="AW158" i="32"/>
  <c r="K58" i="31"/>
  <c r="H210" i="54"/>
  <c r="H217" i="54"/>
  <c r="H228" i="54"/>
  <c r="AX119" i="32"/>
  <c r="K205" i="54" s="1"/>
  <c r="K204" i="54" s="1"/>
  <c r="AV256" i="32"/>
  <c r="AW109" i="32"/>
  <c r="AW65" i="32"/>
  <c r="AW68" i="32" s="1"/>
  <c r="AW66" i="32" s="1"/>
  <c r="AW16" i="32"/>
  <c r="AV169" i="32"/>
  <c r="AV155" i="32"/>
  <c r="AV163" i="32"/>
  <c r="AV154" i="32"/>
  <c r="AW147" i="32"/>
  <c r="AW153" i="32"/>
  <c r="P35" i="56" s="1"/>
  <c r="R35" i="56" s="1"/>
  <c r="J12" i="55"/>
  <c r="J18" i="55"/>
  <c r="G17" i="31"/>
  <c r="G23" i="31" s="1"/>
  <c r="C9" i="33"/>
  <c r="AO245" i="32"/>
  <c r="AO177" i="32"/>
  <c r="AO178" i="32" s="1"/>
  <c r="AO182" i="32"/>
  <c r="AO176" i="32"/>
  <c r="D9" i="33" s="1"/>
  <c r="AO171" i="32"/>
  <c r="AX120" i="32"/>
  <c r="B11" i="33"/>
  <c r="AU165" i="32"/>
  <c r="P11" i="33"/>
  <c r="I55" i="31"/>
  <c r="AU167" i="32"/>
  <c r="AU179" i="32" s="1"/>
  <c r="M8" i="31"/>
  <c r="AV112" i="32"/>
  <c r="AV113" i="32" s="1"/>
  <c r="AV114" i="32"/>
  <c r="AV73" i="32" s="1"/>
  <c r="AV76" i="32" s="1"/>
  <c r="AV148" i="32"/>
  <c r="AV149" i="32"/>
  <c r="I211" i="54" s="1"/>
  <c r="AW208" i="32"/>
  <c r="K63" i="31"/>
  <c r="K16" i="31"/>
  <c r="J19" i="31"/>
  <c r="J64" i="31"/>
  <c r="J65" i="31"/>
  <c r="L69" i="54" l="1"/>
  <c r="L70" i="54" s="1"/>
  <c r="M36" i="56"/>
  <c r="O36" i="56" s="1"/>
  <c r="P12" i="33"/>
  <c r="B12" i="33"/>
  <c r="AY119" i="32"/>
  <c r="L205" i="54" s="1"/>
  <c r="L204" i="54" s="1"/>
  <c r="AY82" i="32"/>
  <c r="J139" i="54" s="1"/>
  <c r="AW192" i="32"/>
  <c r="J67" i="31"/>
  <c r="K66" i="31"/>
  <c r="K22" i="31" s="1"/>
  <c r="O9" i="33"/>
  <c r="G24" i="31"/>
  <c r="G69" i="31"/>
  <c r="G26" i="31"/>
  <c r="AO196" i="32"/>
  <c r="K18" i="31"/>
  <c r="K59" i="31"/>
  <c r="K20" i="31"/>
  <c r="K68" i="31"/>
  <c r="K61" i="31"/>
  <c r="K62" i="31"/>
  <c r="I151" i="54"/>
  <c r="I173" i="54" s="1"/>
  <c r="I140" i="54"/>
  <c r="I145" i="54" s="1"/>
  <c r="AX153" i="32"/>
  <c r="AX147" i="32"/>
  <c r="L50" i="31"/>
  <c r="L51" i="31" s="1"/>
  <c r="AV165" i="32"/>
  <c r="AV164" i="32"/>
  <c r="J55" i="31"/>
  <c r="AV167" i="32"/>
  <c r="AV179" i="32" s="1"/>
  <c r="AW112" i="32"/>
  <c r="AW113" i="32" s="1"/>
  <c r="AW114" i="32"/>
  <c r="AW73" i="32" s="1"/>
  <c r="AW76" i="32" s="1"/>
  <c r="H229" i="54"/>
  <c r="F195" i="54" s="1"/>
  <c r="AY138" i="32"/>
  <c r="AY139" i="32" s="1"/>
  <c r="AY134" i="32"/>
  <c r="AY132" i="32" s="1"/>
  <c r="AY144" i="32"/>
  <c r="AY145" i="32" s="1"/>
  <c r="AY141" i="32"/>
  <c r="AY142" i="32" s="1"/>
  <c r="AY161" i="32"/>
  <c r="AY150" i="32"/>
  <c r="AY151" i="32" s="1"/>
  <c r="AY157" i="32"/>
  <c r="L11" i="55"/>
  <c r="AY197" i="32"/>
  <c r="AY204" i="32"/>
  <c r="AY219" i="32"/>
  <c r="AY191" i="32" s="1"/>
  <c r="AY135" i="32"/>
  <c r="AY251" i="32" s="1"/>
  <c r="M49" i="31"/>
  <c r="L63" i="31"/>
  <c r="AX208" i="32"/>
  <c r="L60" i="31"/>
  <c r="AX201" i="32"/>
  <c r="AW193" i="32"/>
  <c r="AX185" i="32"/>
  <c r="AX158" i="32"/>
  <c r="L58" i="31"/>
  <c r="M9" i="31"/>
  <c r="M10" i="31" s="1"/>
  <c r="N8" i="31"/>
  <c r="H152" i="54"/>
  <c r="H174" i="54" s="1"/>
  <c r="J227" i="54"/>
  <c r="H146" i="54"/>
  <c r="AX16" i="32"/>
  <c r="AX109" i="32"/>
  <c r="AX65" i="32"/>
  <c r="AX68" i="32" s="1"/>
  <c r="AX66" i="32" s="1"/>
  <c r="AY99" i="32"/>
  <c r="AY103" i="32"/>
  <c r="AU170" i="32"/>
  <c r="K64" i="31"/>
  <c r="K19" i="31"/>
  <c r="K65" i="31"/>
  <c r="AW169" i="32"/>
  <c r="AW163" i="32"/>
  <c r="AW154" i="32"/>
  <c r="AW155" i="32"/>
  <c r="P36" i="56" s="1"/>
  <c r="R36" i="56" s="1"/>
  <c r="L16" i="31"/>
  <c r="I70" i="31"/>
  <c r="I71" i="31" s="1"/>
  <c r="I56" i="31"/>
  <c r="I15" i="31"/>
  <c r="I228" i="54"/>
  <c r="I221" i="54"/>
  <c r="I210" i="54"/>
  <c r="I217" i="54"/>
  <c r="L9" i="33"/>
  <c r="G9" i="33"/>
  <c r="AW149" i="32"/>
  <c r="J211" i="54" s="1"/>
  <c r="AW148" i="32"/>
  <c r="AV188" i="32"/>
  <c r="AV195" i="32"/>
  <c r="AX251" i="32"/>
  <c r="K12" i="55"/>
  <c r="K18" i="55"/>
  <c r="AW256" i="32"/>
  <c r="P37" i="56" l="1"/>
  <c r="P38" i="56" s="1"/>
  <c r="B13" i="33"/>
  <c r="P13" i="33"/>
  <c r="K67" i="31"/>
  <c r="I152" i="54"/>
  <c r="I174" i="54" s="1"/>
  <c r="I146" i="54"/>
  <c r="K227" i="54"/>
  <c r="AY220" i="32"/>
  <c r="AY230" i="32"/>
  <c r="M53" i="31"/>
  <c r="M54" i="31" s="1"/>
  <c r="N54" i="31" s="1"/>
  <c r="AY252" i="32"/>
  <c r="L59" i="31"/>
  <c r="L18" i="31"/>
  <c r="M50" i="31"/>
  <c r="M51" i="31" s="1"/>
  <c r="N49" i="31"/>
  <c r="N16" i="31" s="1"/>
  <c r="AX148" i="32"/>
  <c r="AX149" i="32"/>
  <c r="K211" i="54" s="1"/>
  <c r="I223" i="54"/>
  <c r="I229" i="54"/>
  <c r="G195" i="54" s="1"/>
  <c r="AU177" i="32"/>
  <c r="AU176" i="32"/>
  <c r="D11" i="33" s="1"/>
  <c r="AU182" i="32"/>
  <c r="L19" i="31"/>
  <c r="L64" i="31"/>
  <c r="L65" i="31"/>
  <c r="AX154" i="32"/>
  <c r="AX155" i="32"/>
  <c r="AX169" i="32"/>
  <c r="AX163" i="32"/>
  <c r="L20" i="31"/>
  <c r="L68" i="31"/>
  <c r="L61" i="31"/>
  <c r="L62" i="31"/>
  <c r="L12" i="55"/>
  <c r="L18" i="55"/>
  <c r="AX112" i="32"/>
  <c r="AX113" i="32" s="1"/>
  <c r="AX114" i="32"/>
  <c r="AX73" i="32" s="1"/>
  <c r="AX76" i="32" s="1"/>
  <c r="AY147" i="32"/>
  <c r="AY153" i="32"/>
  <c r="AY158" i="32"/>
  <c r="AY185" i="32"/>
  <c r="M58" i="31"/>
  <c r="AW164" i="32"/>
  <c r="AW165" i="32"/>
  <c r="AW167" i="32"/>
  <c r="K55" i="31"/>
  <c r="M16" i="31"/>
  <c r="AO268" i="32"/>
  <c r="AO269" i="32" s="1"/>
  <c r="AO209" i="32"/>
  <c r="AX220" i="32"/>
  <c r="L53" i="31"/>
  <c r="L54" i="31" s="1"/>
  <c r="AX252" i="32"/>
  <c r="AX230" i="32"/>
  <c r="AW195" i="32"/>
  <c r="AW188" i="32"/>
  <c r="AY65" i="32"/>
  <c r="AY68" i="32" s="1"/>
  <c r="AY66" i="32" s="1"/>
  <c r="AY109" i="32"/>
  <c r="AY16" i="32"/>
  <c r="N9" i="31"/>
  <c r="N10" i="31" s="1"/>
  <c r="O8" i="31"/>
  <c r="AY208" i="32"/>
  <c r="M63" i="31"/>
  <c r="AV170" i="32"/>
  <c r="I17" i="31"/>
  <c r="C11" i="33"/>
  <c r="J228" i="54"/>
  <c r="J217" i="54"/>
  <c r="J210" i="54"/>
  <c r="J221" i="54"/>
  <c r="J151" i="54"/>
  <c r="J173" i="54" s="1"/>
  <c r="J140" i="54"/>
  <c r="J145" i="54" s="1"/>
  <c r="AY201" i="32"/>
  <c r="M60" i="31"/>
  <c r="J70" i="31"/>
  <c r="J71" i="31" s="1"/>
  <c r="J57" i="31"/>
  <c r="J56" i="31"/>
  <c r="J15" i="31"/>
  <c r="C12" i="33" s="1"/>
  <c r="AW179" i="32" l="1"/>
  <c r="N53" i="31"/>
  <c r="O54" i="31"/>
  <c r="J229" i="54"/>
  <c r="H195" i="54" s="1"/>
  <c r="J223" i="54"/>
  <c r="AY154" i="32"/>
  <c r="AY169" i="32"/>
  <c r="AY155" i="32"/>
  <c r="AY163" i="32"/>
  <c r="G11" i="33"/>
  <c r="L11" i="33"/>
  <c r="M61" i="31"/>
  <c r="N61" i="31" s="1"/>
  <c r="M20" i="31"/>
  <c r="M62" i="31"/>
  <c r="M68" i="31"/>
  <c r="AV176" i="32"/>
  <c r="D12" i="33" s="1"/>
  <c r="AV177" i="32"/>
  <c r="AV178" i="32" s="1"/>
  <c r="AV171" i="32"/>
  <c r="AV182" i="32"/>
  <c r="AX256" i="32"/>
  <c r="AY192" i="32"/>
  <c r="AX192" i="32"/>
  <c r="L66" i="31"/>
  <c r="AY148" i="32"/>
  <c r="AY149" i="32"/>
  <c r="L211" i="54" s="1"/>
  <c r="AY256" i="32"/>
  <c r="M11" i="55"/>
  <c r="O49" i="31"/>
  <c r="O16" i="31" s="1"/>
  <c r="AX165" i="32"/>
  <c r="L55" i="31"/>
  <c r="AX164" i="32"/>
  <c r="AX167" i="32"/>
  <c r="AX179" i="32" s="1"/>
  <c r="AW170" i="32"/>
  <c r="AO212" i="32"/>
  <c r="M18" i="31"/>
  <c r="M59" i="31"/>
  <c r="N59" i="31" s="1"/>
  <c r="AX195" i="32"/>
  <c r="AX188" i="32"/>
  <c r="K70" i="31"/>
  <c r="K71" i="31" s="1"/>
  <c r="K57" i="31"/>
  <c r="K15" i="31"/>
  <c r="C13" i="33" s="1"/>
  <c r="K56" i="31"/>
  <c r="O9" i="31"/>
  <c r="O10" i="31" s="1"/>
  <c r="P8" i="31"/>
  <c r="AY193" i="32"/>
  <c r="J17" i="31"/>
  <c r="J23" i="31" s="1"/>
  <c r="O12" i="33" s="1"/>
  <c r="L227" i="54"/>
  <c r="J146" i="54"/>
  <c r="J152" i="54"/>
  <c r="J174" i="54" s="1"/>
  <c r="M65" i="31"/>
  <c r="M19" i="31"/>
  <c r="M64" i="31"/>
  <c r="N64" i="31" s="1"/>
  <c r="AY112" i="32"/>
  <c r="AY113" i="32" s="1"/>
  <c r="AY114" i="32"/>
  <c r="AY73" i="32" s="1"/>
  <c r="AY76" i="32" s="1"/>
  <c r="AX193" i="32"/>
  <c r="M66" i="31"/>
  <c r="K221" i="54"/>
  <c r="K228" i="54"/>
  <c r="K217" i="54"/>
  <c r="K210" i="54"/>
  <c r="L12" i="33" l="1"/>
  <c r="G12" i="33"/>
  <c r="L70" i="31"/>
  <c r="L71" i="31" s="1"/>
  <c r="L56" i="31"/>
  <c r="L57" i="31"/>
  <c r="L15" i="31"/>
  <c r="M55" i="31"/>
  <c r="AY165" i="32"/>
  <c r="AY167" i="32"/>
  <c r="AY179" i="32" s="1"/>
  <c r="AY164" i="32"/>
  <c r="O64" i="31"/>
  <c r="N63" i="31"/>
  <c r="P9" i="31"/>
  <c r="P10" i="31" s="1"/>
  <c r="Q8" i="31"/>
  <c r="AY195" i="32"/>
  <c r="AY188" i="32"/>
  <c r="AW171" i="32"/>
  <c r="AW176" i="32"/>
  <c r="D13" i="33" s="1"/>
  <c r="AW177" i="32"/>
  <c r="AW178" i="32" s="1"/>
  <c r="AW182" i="32"/>
  <c r="M18" i="55"/>
  <c r="M12" i="55"/>
  <c r="N60" i="31"/>
  <c r="O61" i="31"/>
  <c r="M22" i="31"/>
  <c r="L67" i="31"/>
  <c r="L22" i="31"/>
  <c r="AO218" i="32"/>
  <c r="N9" i="33"/>
  <c r="AA10" i="37"/>
  <c r="AC10" i="37" s="1"/>
  <c r="AT210" i="32"/>
  <c r="M67" i="31"/>
  <c r="N67" i="31" s="1"/>
  <c r="K223" i="54"/>
  <c r="K229" i="54"/>
  <c r="I195" i="54" s="1"/>
  <c r="O53" i="31"/>
  <c r="P54" i="31"/>
  <c r="K17" i="31"/>
  <c r="K23" i="31" s="1"/>
  <c r="O13" i="33" s="1"/>
  <c r="L228" i="54"/>
  <c r="L217" i="54"/>
  <c r="L221" i="54"/>
  <c r="L210" i="54"/>
  <c r="J26" i="31"/>
  <c r="J28" i="31" s="1"/>
  <c r="J24" i="31"/>
  <c r="AX170" i="32"/>
  <c r="O59" i="31"/>
  <c r="N58" i="31"/>
  <c r="N18" i="31" s="1"/>
  <c r="N11" i="55"/>
  <c r="P49" i="31"/>
  <c r="P16" i="31" s="1"/>
  <c r="G13" i="33" l="1"/>
  <c r="O67" i="31"/>
  <c r="P67" i="31" s="1"/>
  <c r="N66" i="31"/>
  <c r="K26" i="31"/>
  <c r="K28" i="31" s="1"/>
  <c r="K24" i="31"/>
  <c r="K69" i="31"/>
  <c r="N68" i="31"/>
  <c r="N20" i="31"/>
  <c r="N62" i="31"/>
  <c r="I9" i="33"/>
  <c r="J9" i="33"/>
  <c r="K9" i="33"/>
  <c r="L17" i="31"/>
  <c r="L23" i="31" s="1"/>
  <c r="AX182" i="32"/>
  <c r="AX176" i="32"/>
  <c r="AX171" i="32"/>
  <c r="AX177" i="32"/>
  <c r="AX178" i="32" s="1"/>
  <c r="AO223" i="32"/>
  <c r="R8" i="31"/>
  <c r="Q9" i="31"/>
  <c r="Q10" i="31" s="1"/>
  <c r="N18" i="55"/>
  <c r="N12" i="55"/>
  <c r="O63" i="31"/>
  <c r="P64" i="31"/>
  <c r="M57" i="31"/>
  <c r="M70" i="31"/>
  <c r="M71" i="31" s="1"/>
  <c r="M56" i="31"/>
  <c r="N56" i="31" s="1"/>
  <c r="M15" i="31"/>
  <c r="O58" i="31"/>
  <c r="O18" i="31" s="1"/>
  <c r="P59" i="31"/>
  <c r="Q49" i="31"/>
  <c r="Q16" i="31" s="1"/>
  <c r="O11" i="55"/>
  <c r="L223" i="54"/>
  <c r="L229" i="54"/>
  <c r="J195" i="54" s="1"/>
  <c r="Q54" i="31"/>
  <c r="P53" i="31"/>
  <c r="O60" i="31"/>
  <c r="P61" i="31"/>
  <c r="N65" i="31"/>
  <c r="N19" i="31"/>
  <c r="AY170" i="32"/>
  <c r="O56" i="31" l="1"/>
  <c r="P56" i="31" s="1"/>
  <c r="L26" i="31"/>
  <c r="L28" i="31" s="1"/>
  <c r="L69" i="31"/>
  <c r="L24" i="31"/>
  <c r="O18" i="55"/>
  <c r="O12" i="55"/>
  <c r="M17" i="31"/>
  <c r="M23" i="31" s="1"/>
  <c r="AY177" i="32"/>
  <c r="AY178" i="32" s="1"/>
  <c r="AY182" i="32"/>
  <c r="AY176" i="32"/>
  <c r="AY171" i="32"/>
  <c r="S8" i="31"/>
  <c r="R9" i="31"/>
  <c r="R10" i="31" s="1"/>
  <c r="Q61" i="31"/>
  <c r="P60" i="31"/>
  <c r="O62" i="31"/>
  <c r="O68" i="31"/>
  <c r="O20" i="31"/>
  <c r="Q64" i="31"/>
  <c r="P63" i="31"/>
  <c r="AO229" i="32"/>
  <c r="P11" i="55"/>
  <c r="R49" i="31"/>
  <c r="R16" i="31" s="1"/>
  <c r="O66" i="31"/>
  <c r="O22" i="31" s="1"/>
  <c r="N22" i="31"/>
  <c r="P58" i="31"/>
  <c r="P18" i="31" s="1"/>
  <c r="Q59" i="31"/>
  <c r="R54" i="31"/>
  <c r="Q53" i="31"/>
  <c r="O19" i="31"/>
  <c r="O65" i="31"/>
  <c r="M69" i="31" l="1"/>
  <c r="M26" i="31"/>
  <c r="M28" i="31" s="1"/>
  <c r="M24" i="31"/>
  <c r="Q67" i="31"/>
  <c r="P66" i="31"/>
  <c r="P22" i="31" s="1"/>
  <c r="R64" i="31"/>
  <c r="Q63" i="31"/>
  <c r="R53" i="31"/>
  <c r="S54" i="31"/>
  <c r="Q58" i="31"/>
  <c r="Q18" i="31" s="1"/>
  <c r="R59" i="31"/>
  <c r="P20" i="31"/>
  <c r="P68" i="31"/>
  <c r="P62" i="31"/>
  <c r="AO246" i="32"/>
  <c r="AO265" i="32"/>
  <c r="AO266" i="32" s="1"/>
  <c r="S9" i="31"/>
  <c r="S10" i="31" s="1"/>
  <c r="T8" i="31"/>
  <c r="T9" i="31" s="1"/>
  <c r="T10" i="31" s="1"/>
  <c r="S49" i="31"/>
  <c r="S16" i="31" s="1"/>
  <c r="Q11" i="55"/>
  <c r="P18" i="55"/>
  <c r="P12" i="55"/>
  <c r="P65" i="31"/>
  <c r="P19" i="31"/>
  <c r="Q60" i="31"/>
  <c r="R61" i="31"/>
  <c r="R63" i="31" l="1"/>
  <c r="S64" i="31"/>
  <c r="Q66" i="31"/>
  <c r="Q22" i="31" s="1"/>
  <c r="R67" i="31"/>
  <c r="Q19" i="31"/>
  <c r="Q65" i="31"/>
  <c r="S61" i="31"/>
  <c r="R60" i="31"/>
  <c r="AO247" i="32"/>
  <c r="AO243" i="32"/>
  <c r="Q18" i="55"/>
  <c r="Q12" i="55"/>
  <c r="R58" i="31"/>
  <c r="R18" i="31" s="1"/>
  <c r="S59" i="31"/>
  <c r="Q68" i="31"/>
  <c r="Q20" i="31"/>
  <c r="Q62" i="31"/>
  <c r="T49" i="31"/>
  <c r="T16" i="31" s="1"/>
  <c r="R11" i="55"/>
  <c r="T54" i="31"/>
  <c r="S53" i="31"/>
  <c r="T61" i="31" l="1"/>
  <c r="T60" i="31" s="1"/>
  <c r="S60" i="31"/>
  <c r="R66" i="31"/>
  <c r="R22" i="31" s="1"/>
  <c r="S67" i="31"/>
  <c r="AO248" i="32"/>
  <c r="R18" i="55"/>
  <c r="R12" i="55"/>
  <c r="T59" i="31"/>
  <c r="T58" i="31" s="1"/>
  <c r="T18" i="31" s="1"/>
  <c r="S58" i="31"/>
  <c r="S18" i="31" s="1"/>
  <c r="R65" i="31"/>
  <c r="R19" i="31"/>
  <c r="R62" i="31"/>
  <c r="R20" i="31"/>
  <c r="R68" i="31"/>
  <c r="T53" i="31"/>
  <c r="F252" i="54"/>
  <c r="T64" i="31"/>
  <c r="T63" i="31" s="1"/>
  <c r="S63" i="31"/>
  <c r="T20" i="31" l="1"/>
  <c r="T68" i="31"/>
  <c r="T62" i="31"/>
  <c r="T65" i="31"/>
  <c r="T19" i="31"/>
  <c r="S66" i="31"/>
  <c r="T67" i="31"/>
  <c r="T66" i="31" s="1"/>
  <c r="S19" i="31"/>
  <c r="S65" i="31"/>
  <c r="S62" i="31"/>
  <c r="S20" i="31"/>
  <c r="S68" i="31"/>
  <c r="T22" i="31" l="1"/>
  <c r="S22" i="31"/>
  <c r="AL170" i="32" l="1"/>
  <c r="AL177" i="32" s="1"/>
  <c r="AL168" i="32"/>
  <c r="AM169" i="32" s="1"/>
  <c r="AM179" i="32" s="1"/>
  <c r="AL178" i="32" l="1"/>
  <c r="AQ178" i="32"/>
  <c r="AL176" i="32"/>
  <c r="AM170" i="32"/>
  <c r="AN169" i="32"/>
  <c r="AN179" i="32" s="1"/>
  <c r="AN170" i="32" l="1"/>
  <c r="AN168" i="32"/>
  <c r="AM177" i="32"/>
  <c r="AM176" i="32"/>
  <c r="AM178" i="32" l="1"/>
  <c r="AR178" i="32"/>
  <c r="AN177" i="32"/>
  <c r="AN176" i="32"/>
  <c r="AN178" i="32" l="1"/>
  <c r="AN43" i="32" l="1"/>
  <c r="AN47" i="32" s="1"/>
  <c r="AO48" i="32"/>
  <c r="AO52" i="32" s="1"/>
  <c r="AT52" i="32" s="1"/>
  <c r="AU52" i="32" l="1"/>
  <c r="AN48" i="32"/>
  <c r="AO51" i="32"/>
  <c r="AO50" i="32" s="1"/>
  <c r="AN46" i="32"/>
  <c r="AN51" i="32" l="1"/>
  <c r="AN52" i="32"/>
  <c r="AV52" i="32"/>
  <c r="AU48" i="32"/>
  <c r="AU43" i="32" l="1"/>
  <c r="AV48" i="32"/>
  <c r="AW52" i="32"/>
  <c r="AN50" i="32"/>
  <c r="AW48" i="32" l="1"/>
  <c r="AX52" i="32"/>
  <c r="AV43" i="32"/>
  <c r="AV51" i="32"/>
  <c r="AU47" i="32"/>
  <c r="AV47" i="32" l="1"/>
  <c r="AV46" i="32"/>
  <c r="AY52" i="32"/>
  <c r="AY48" i="32" s="1"/>
  <c r="AX48" i="32"/>
  <c r="AW43" i="32"/>
  <c r="AW51" i="32"/>
  <c r="AW46" i="32" l="1"/>
  <c r="AW47" i="32"/>
  <c r="AX43" i="32"/>
  <c r="AX51" i="32"/>
  <c r="AY51" i="32"/>
  <c r="AY43" i="32"/>
  <c r="AY47" i="32" l="1"/>
  <c r="AY46" i="32"/>
  <c r="AX46" i="32"/>
  <c r="AX47" i="32"/>
  <c r="AP38" i="32" l="1"/>
  <c r="AQ38" i="32" l="1"/>
  <c r="AQ42" i="32" l="1"/>
  <c r="AQ48" i="32"/>
  <c r="AQ51" i="32" s="1"/>
  <c r="AQ49" i="32" s="1"/>
  <c r="AT43" i="32"/>
  <c r="AU46" i="32" l="1"/>
  <c r="AT48" i="32"/>
  <c r="AT47" i="32"/>
  <c r="AT51" i="32" l="1"/>
  <c r="AU51" i="32"/>
  <c r="C198" i="54" l="1"/>
  <c r="D198" i="54" l="1"/>
  <c r="E198" i="54" l="1"/>
  <c r="C254" i="54"/>
  <c r="C253" i="54" s="1"/>
  <c r="F198" i="54"/>
  <c r="G198" i="54" l="1"/>
  <c r="AN45" i="32" l="1"/>
  <c r="AM115" i="32"/>
  <c r="AN115" i="32" s="1"/>
  <c r="AN78" i="32"/>
  <c r="AN82" i="32" s="1"/>
  <c r="AM81" i="32"/>
  <c r="AM82" i="32"/>
  <c r="AN81" i="32" l="1"/>
  <c r="AM118" i="32"/>
  <c r="AM116" i="32" s="1"/>
  <c r="AM119" i="32"/>
  <c r="AN119" i="32"/>
  <c r="AN118" i="32"/>
  <c r="AN80" i="32" l="1"/>
  <c r="AN117" i="32"/>
  <c r="AM80" i="32" l="1"/>
  <c r="F52" i="56" l="1"/>
  <c r="AP14" i="32"/>
  <c r="AP17" i="32" s="1"/>
  <c r="AP11" i="32" l="1"/>
  <c r="AP31" i="32" s="1"/>
  <c r="AS11" i="32" l="1"/>
  <c r="AS14" i="32" s="1"/>
  <c r="AP8" i="32"/>
  <c r="AP53" i="32"/>
  <c r="AS31" i="32"/>
  <c r="AS131" i="32" s="1"/>
  <c r="AP131" i="32"/>
  <c r="AP150" i="32" s="1"/>
  <c r="AP151" i="32" s="1"/>
  <c r="AP34" i="32"/>
  <c r="AP115" i="32"/>
  <c r="AP22" i="32"/>
  <c r="AP15" i="32"/>
  <c r="AP134" i="32" l="1"/>
  <c r="AP33" i="32"/>
  <c r="AP56" i="32"/>
  <c r="AP48" i="32"/>
  <c r="AP51" i="32" s="1"/>
  <c r="AP49" i="32" s="1"/>
  <c r="AP118" i="32"/>
  <c r="AP116" i="32" s="1"/>
  <c r="AP119" i="32"/>
  <c r="AP42" i="32"/>
  <c r="AP47" i="32"/>
  <c r="AS15" i="32"/>
  <c r="AP161" i="32"/>
  <c r="AS22" i="32"/>
  <c r="AS34" i="32"/>
  <c r="AP135" i="32"/>
  <c r="AP144" i="32"/>
  <c r="AP145" i="32" s="1"/>
  <c r="AS53" i="32"/>
  <c r="AP157" i="32"/>
  <c r="AP158" i="32" s="1"/>
  <c r="AP82" i="32"/>
  <c r="AS8" i="32"/>
  <c r="AP138" i="32"/>
  <c r="AP139" i="32" s="1"/>
  <c r="AP141" i="32"/>
  <c r="AP142" i="32" s="1"/>
  <c r="AT131" i="32"/>
  <c r="G23" i="56" s="1"/>
  <c r="I23" i="56" s="1"/>
  <c r="F45" i="56"/>
  <c r="AS17" i="32"/>
  <c r="AS12" i="32"/>
  <c r="AS32" i="32" s="1"/>
  <c r="F44" i="56"/>
  <c r="AS33" i="32" l="1"/>
  <c r="AS134" i="32"/>
  <c r="AS56" i="32"/>
  <c r="AP147" i="32"/>
  <c r="AP148" i="32" s="1"/>
  <c r="AT82" i="32"/>
  <c r="E139" i="54" s="1"/>
  <c r="E140" i="54" s="1"/>
  <c r="E145" i="54" s="1"/>
  <c r="AT161" i="32"/>
  <c r="AT183" i="32" s="1"/>
  <c r="AT138" i="32"/>
  <c r="AS138" i="32" s="1"/>
  <c r="AT135" i="32"/>
  <c r="AT251" i="32" s="1"/>
  <c r="AU252" i="32" s="1"/>
  <c r="H49" i="31"/>
  <c r="I50" i="31" s="1"/>
  <c r="I51" i="31" s="1"/>
  <c r="AT141" i="32"/>
  <c r="AU142" i="32" s="1"/>
  <c r="AT144" i="32"/>
  <c r="AS144" i="32" s="1"/>
  <c r="AS146" i="32" s="1"/>
  <c r="AT204" i="32"/>
  <c r="AT197" i="32"/>
  <c r="AT150" i="32"/>
  <c r="G11" i="55"/>
  <c r="H12" i="55" s="1"/>
  <c r="AU134" i="32"/>
  <c r="AS132" i="32"/>
  <c r="AT219" i="32"/>
  <c r="AT191" i="32" s="1"/>
  <c r="AT157" i="32"/>
  <c r="AT158" i="32" s="1"/>
  <c r="AT119" i="32"/>
  <c r="G205" i="54" s="1"/>
  <c r="G204" i="54" s="1"/>
  <c r="AT134" i="32"/>
  <c r="AT222" i="32" s="1"/>
  <c r="AP153" i="32"/>
  <c r="J24" i="56" l="1"/>
  <c r="L24" i="56" s="1"/>
  <c r="R24" i="56"/>
  <c r="AS55" i="32"/>
  <c r="AS54" i="32" s="1"/>
  <c r="AS133" i="32"/>
  <c r="AT252" i="32"/>
  <c r="AT201" i="32"/>
  <c r="AS135" i="32"/>
  <c r="AS136" i="32" s="1"/>
  <c r="AS137" i="32" s="1"/>
  <c r="H53" i="31"/>
  <c r="H54" i="31" s="1"/>
  <c r="E151" i="54"/>
  <c r="F173" i="54" s="1"/>
  <c r="AP149" i="32"/>
  <c r="H58" i="31"/>
  <c r="H59" i="31" s="1"/>
  <c r="AS157" i="32"/>
  <c r="AS158" i="32" s="1"/>
  <c r="G18" i="55"/>
  <c r="G12" i="55"/>
  <c r="AP169" i="32"/>
  <c r="AT221" i="32"/>
  <c r="AU221" i="32" s="1"/>
  <c r="AP155" i="32"/>
  <c r="H16" i="31"/>
  <c r="AU139" i="32"/>
  <c r="AU145" i="32"/>
  <c r="AT147" i="32"/>
  <c r="AS147" i="32" s="1"/>
  <c r="AT208" i="32"/>
  <c r="AS161" i="32"/>
  <c r="AS162" i="32" s="1"/>
  <c r="AS141" i="32"/>
  <c r="AS142" i="32" s="1"/>
  <c r="AP154" i="32"/>
  <c r="AU132" i="32"/>
  <c r="AT145" i="32"/>
  <c r="H60" i="31"/>
  <c r="I62" i="31" s="1"/>
  <c r="AU158" i="32"/>
  <c r="AT224" i="32"/>
  <c r="AT228" i="32" s="1"/>
  <c r="AT220" i="32"/>
  <c r="AU222" i="32"/>
  <c r="AV222" i="32" s="1"/>
  <c r="AW222" i="32" s="1"/>
  <c r="AX222" i="32" s="1"/>
  <c r="AY222" i="32" s="1"/>
  <c r="AU151" i="32"/>
  <c r="Q10" i="33"/>
  <c r="G24" i="56"/>
  <c r="I24" i="56" s="1"/>
  <c r="H63" i="31"/>
  <c r="H19" i="31" s="1"/>
  <c r="AT142" i="32"/>
  <c r="AS150" i="32"/>
  <c r="AS151" i="32" s="1"/>
  <c r="AT185" i="32"/>
  <c r="G25" i="56"/>
  <c r="I25" i="56" s="1"/>
  <c r="AU191" i="32"/>
  <c r="H50" i="31"/>
  <c r="H51" i="31" s="1"/>
  <c r="AT139" i="32"/>
  <c r="AT230" i="32"/>
  <c r="AT151" i="32"/>
  <c r="AT232" i="32"/>
  <c r="AP163" i="32"/>
  <c r="AP164" i="32" s="1"/>
  <c r="AT153" i="32"/>
  <c r="E152" i="54"/>
  <c r="E146" i="54"/>
  <c r="G227" i="54"/>
  <c r="F146" i="54"/>
  <c r="AU183" i="32"/>
  <c r="AS140" i="32"/>
  <c r="AS139" i="32"/>
  <c r="F56" i="56"/>
  <c r="AS145" i="32"/>
  <c r="J25" i="56" l="1"/>
  <c r="L25" i="56" s="1"/>
  <c r="R25" i="56"/>
  <c r="AT155" i="32"/>
  <c r="G36" i="56" s="1"/>
  <c r="I36" i="56" s="1"/>
  <c r="AS80" i="32"/>
  <c r="AS117" i="32"/>
  <c r="F57" i="56"/>
  <c r="E173" i="54"/>
  <c r="AS159" i="32"/>
  <c r="H18" i="31"/>
  <c r="AS143" i="32"/>
  <c r="AT149" i="32"/>
  <c r="G211" i="54" s="1"/>
  <c r="G221" i="54" s="1"/>
  <c r="AS152" i="32"/>
  <c r="H20" i="31"/>
  <c r="H61" i="31"/>
  <c r="H68" i="31"/>
  <c r="H62" i="31"/>
  <c r="AU193" i="32"/>
  <c r="AT235" i="32"/>
  <c r="AT241" i="32" s="1"/>
  <c r="AT193" i="32"/>
  <c r="AT148" i="32"/>
  <c r="AU148" i="32"/>
  <c r="AT256" i="32"/>
  <c r="AP167" i="32"/>
  <c r="AT192" i="32"/>
  <c r="AP165" i="32"/>
  <c r="AU192" i="32"/>
  <c r="H65" i="31"/>
  <c r="H66" i="31"/>
  <c r="H22" i="31" s="1"/>
  <c r="H64" i="31"/>
  <c r="AU154" i="32"/>
  <c r="AU224" i="32"/>
  <c r="AV224" i="32" s="1"/>
  <c r="I65" i="31"/>
  <c r="AT169" i="32"/>
  <c r="AS169" i="32" s="1"/>
  <c r="AU232" i="32"/>
  <c r="AS153" i="32"/>
  <c r="AS154" i="32" s="1"/>
  <c r="AT154" i="32"/>
  <c r="AT163" i="32"/>
  <c r="AU164" i="32" s="1"/>
  <c r="G35" i="56"/>
  <c r="I35" i="56" s="1"/>
  <c r="F174" i="54"/>
  <c r="E174" i="54"/>
  <c r="AV183" i="32"/>
  <c r="AV221" i="32"/>
  <c r="E252" i="54"/>
  <c r="AS149" i="32"/>
  <c r="AS148" i="32"/>
  <c r="J69" i="54" l="1"/>
  <c r="J70" i="54" s="1"/>
  <c r="G210" i="54"/>
  <c r="M210" i="54" s="1"/>
  <c r="AP170" i="32"/>
  <c r="AP179" i="32"/>
  <c r="G228" i="54"/>
  <c r="I22" i="31"/>
  <c r="I23" i="31" s="1"/>
  <c r="I26" i="31" s="1"/>
  <c r="I28" i="31" s="1"/>
  <c r="H221" i="54"/>
  <c r="G217" i="54"/>
  <c r="G229" i="54" s="1"/>
  <c r="M211" i="54"/>
  <c r="H67" i="31"/>
  <c r="AU196" i="32"/>
  <c r="AU209" i="32" s="1"/>
  <c r="AS163" i="32"/>
  <c r="AS167" i="32" s="1"/>
  <c r="AU235" i="32"/>
  <c r="AU241" i="32" s="1"/>
  <c r="AP177" i="32"/>
  <c r="AP178" i="32" s="1"/>
  <c r="AT195" i="32"/>
  <c r="AV232" i="32"/>
  <c r="AS155" i="32"/>
  <c r="AU228" i="32"/>
  <c r="AT188" i="32"/>
  <c r="H55" i="31"/>
  <c r="H70" i="31" s="1"/>
  <c r="H71" i="31" s="1"/>
  <c r="AT164" i="32"/>
  <c r="AT167" i="32"/>
  <c r="AT165" i="32"/>
  <c r="P10" i="33"/>
  <c r="B10" i="33"/>
  <c r="AW221" i="32"/>
  <c r="AW224" i="32"/>
  <c r="AV228" i="32"/>
  <c r="AV196" i="32"/>
  <c r="AW183" i="32"/>
  <c r="AP176" i="32" l="1"/>
  <c r="AS168" i="32"/>
  <c r="AS179" i="32"/>
  <c r="AT179" i="32"/>
  <c r="J69" i="31"/>
  <c r="I24" i="31"/>
  <c r="O11" i="33"/>
  <c r="G223" i="54"/>
  <c r="H223" i="54"/>
  <c r="AU268" i="32"/>
  <c r="AU269" i="32" s="1"/>
  <c r="AS165" i="32"/>
  <c r="AS164" i="32"/>
  <c r="M217" i="54"/>
  <c r="H57" i="31"/>
  <c r="AW232" i="32"/>
  <c r="AX232" i="32" s="1"/>
  <c r="AV235" i="32"/>
  <c r="AV241" i="32" s="1"/>
  <c r="H15" i="31"/>
  <c r="H17" i="31" s="1"/>
  <c r="H23" i="31" s="1"/>
  <c r="H56" i="31"/>
  <c r="I57" i="31"/>
  <c r="AT170" i="32"/>
  <c r="AT176" i="32" s="1"/>
  <c r="D10" i="33" s="1"/>
  <c r="AS170" i="32"/>
  <c r="E254" i="54"/>
  <c r="E253" i="54" s="1"/>
  <c r="E195" i="54"/>
  <c r="AW228" i="32"/>
  <c r="AX224" i="32"/>
  <c r="AX183" i="32"/>
  <c r="AW196" i="32"/>
  <c r="AX221" i="32"/>
  <c r="AY221" i="32" s="1"/>
  <c r="AV209" i="32"/>
  <c r="AV268" i="32"/>
  <c r="AV269" i="32" s="1"/>
  <c r="AW235" i="32" l="1"/>
  <c r="AW241" i="32" s="1"/>
  <c r="C10" i="33"/>
  <c r="AT171" i="32"/>
  <c r="AT177" i="32"/>
  <c r="AT178" i="32" s="1"/>
  <c r="AU171" i="32"/>
  <c r="AT245" i="32"/>
  <c r="AU245" i="32" s="1"/>
  <c r="AV245" i="32" s="1"/>
  <c r="AW245" i="32" s="1"/>
  <c r="AX245" i="32" s="1"/>
  <c r="AY245" i="32" s="1"/>
  <c r="AT182" i="32"/>
  <c r="H26" i="31"/>
  <c r="O10" i="33"/>
  <c r="H24" i="31"/>
  <c r="H69" i="31"/>
  <c r="I69" i="31"/>
  <c r="AY183" i="32"/>
  <c r="AY196" i="32" s="1"/>
  <c r="AX196" i="32"/>
  <c r="AS177" i="32"/>
  <c r="AS178" i="32" s="1"/>
  <c r="AS176" i="32"/>
  <c r="G10" i="33"/>
  <c r="L10" i="33"/>
  <c r="AX235" i="32"/>
  <c r="AX241" i="32" s="1"/>
  <c r="AY232" i="32"/>
  <c r="AY235" i="32" s="1"/>
  <c r="AY241" i="32" s="1"/>
  <c r="AW209" i="32"/>
  <c r="AW268" i="32"/>
  <c r="AW269" i="32" s="1"/>
  <c r="AX228" i="32"/>
  <c r="AY224" i="32"/>
  <c r="AY228" i="32" s="1"/>
  <c r="AU178" i="32" l="1"/>
  <c r="AT196" i="32"/>
  <c r="AT268" i="32" s="1"/>
  <c r="AT269" i="32" s="1"/>
  <c r="AY209" i="32"/>
  <c r="AY268" i="32"/>
  <c r="AY269" i="32" s="1"/>
  <c r="AX268" i="32"/>
  <c r="AX269" i="32" s="1"/>
  <c r="AX209" i="32"/>
  <c r="AT209" i="32" l="1"/>
  <c r="AT212" i="32" l="1"/>
  <c r="AT218" i="32" s="1"/>
  <c r="H32" i="31" l="1"/>
  <c r="N10" i="33"/>
  <c r="I10" i="33" s="1"/>
  <c r="AU210" i="32"/>
  <c r="AU212" i="32" s="1"/>
  <c r="N11" i="33" s="1"/>
  <c r="I11" i="33" s="1"/>
  <c r="AT223" i="32"/>
  <c r="J10" i="33" l="1"/>
  <c r="K10" i="33"/>
  <c r="AU218" i="32"/>
  <c r="AU223" i="32" s="1"/>
  <c r="AV210" i="32"/>
  <c r="AV212" i="32" s="1"/>
  <c r="K11" i="33"/>
  <c r="J11" i="33"/>
  <c r="AT229" i="32"/>
  <c r="AW210" i="32" l="1"/>
  <c r="AW212" i="32" s="1"/>
  <c r="N12" i="33"/>
  <c r="I12" i="33" s="1"/>
  <c r="AV218" i="32"/>
  <c r="AU229" i="32"/>
  <c r="AT246" i="32"/>
  <c r="AX210" i="32" l="1"/>
  <c r="AX212" i="32" s="1"/>
  <c r="AY210" i="32" s="1"/>
  <c r="AY212" i="32" s="1"/>
  <c r="AY218" i="32" s="1"/>
  <c r="AY223" i="32" s="1"/>
  <c r="AY229" i="32" s="1"/>
  <c r="AY246" i="32" s="1"/>
  <c r="N13" i="33"/>
  <c r="AW218" i="32"/>
  <c r="J12" i="33"/>
  <c r="K12" i="33"/>
  <c r="AV223" i="32"/>
  <c r="AT247" i="32"/>
  <c r="AT243" i="32"/>
  <c r="AU246" i="32"/>
  <c r="AX218" i="32" l="1"/>
  <c r="AX223" i="32" s="1"/>
  <c r="AX229" i="32" s="1"/>
  <c r="AX246" i="32" s="1"/>
  <c r="AX247" i="32" s="1"/>
  <c r="AX248" i="32" s="1"/>
  <c r="I13" i="33"/>
  <c r="K13" i="33"/>
  <c r="J13" i="33"/>
  <c r="AW223" i="32"/>
  <c r="AW229" i="32" s="1"/>
  <c r="AV229" i="32"/>
  <c r="AV246" i="32" s="1"/>
  <c r="AU243" i="32"/>
  <c r="AU247" i="32"/>
  <c r="AY243" i="32"/>
  <c r="AY247" i="32"/>
  <c r="AY248" i="32" s="1"/>
  <c r="AT248" i="32"/>
  <c r="AX243" i="32" l="1"/>
  <c r="AW246" i="32"/>
  <c r="AV243" i="32"/>
  <c r="AV247" i="32"/>
  <c r="AU248" i="32"/>
  <c r="AW243" i="32" l="1"/>
  <c r="AW247" i="32"/>
  <c r="AV248" i="32"/>
  <c r="AW248" i="32" l="1"/>
  <c r="N55" i="31"/>
  <c r="N15" i="31" s="1"/>
  <c r="N57" i="31" l="1"/>
  <c r="N70" i="31"/>
  <c r="N71" i="31" s="1"/>
  <c r="P55" i="31"/>
  <c r="Q56" i="31"/>
  <c r="N17" i="31"/>
  <c r="N23" i="31" s="1"/>
  <c r="O55" i="31"/>
  <c r="N24" i="31" l="1"/>
  <c r="N26" i="31"/>
  <c r="N28" i="31" s="1"/>
  <c r="N69" i="31"/>
  <c r="O57" i="31"/>
  <c r="O15" i="31"/>
  <c r="O70" i="31"/>
  <c r="O71" i="31" s="1"/>
  <c r="R56" i="31"/>
  <c r="Q55" i="31"/>
  <c r="P15" i="31"/>
  <c r="P57" i="31"/>
  <c r="P70" i="31"/>
  <c r="P71" i="31" s="1"/>
  <c r="O17" i="31" l="1"/>
  <c r="O23" i="31" s="1"/>
  <c r="P17" i="31"/>
  <c r="P23" i="31" s="1"/>
  <c r="Q15" i="31"/>
  <c r="Q57" i="31"/>
  <c r="Q70" i="31"/>
  <c r="Q71" i="31" s="1"/>
  <c r="S56" i="31"/>
  <c r="R55" i="31"/>
  <c r="P24" i="31" l="1"/>
  <c r="P26" i="31"/>
  <c r="P28" i="31" s="1"/>
  <c r="P69" i="31"/>
  <c r="Q17" i="31"/>
  <c r="Q23" i="31" s="1"/>
  <c r="R70" i="31"/>
  <c r="R71" i="31" s="1"/>
  <c r="R57" i="31"/>
  <c r="R15" i="31"/>
  <c r="T56" i="31"/>
  <c r="S55" i="31"/>
  <c r="O26" i="31"/>
  <c r="O28" i="31" s="1"/>
  <c r="O24" i="31"/>
  <c r="O69" i="31"/>
  <c r="Q26" i="31" l="1"/>
  <c r="Q28" i="31" s="1"/>
  <c r="Q69" i="31"/>
  <c r="Q24" i="31"/>
  <c r="S70" i="31"/>
  <c r="S71" i="31" s="1"/>
  <c r="S15" i="31"/>
  <c r="S57" i="31"/>
  <c r="T55" i="31"/>
  <c r="F254" i="54"/>
  <c r="F253" i="54" s="1"/>
  <c r="R17" i="31"/>
  <c r="R23" i="31" s="1"/>
  <c r="R26" i="31" l="1"/>
  <c r="R28" i="31" s="1"/>
  <c r="R24" i="31"/>
  <c r="R69" i="31"/>
  <c r="S17" i="31"/>
  <c r="S23" i="31" s="1"/>
  <c r="T57" i="31"/>
  <c r="T15" i="31"/>
  <c r="T70" i="31"/>
  <c r="T71" i="31" s="1"/>
  <c r="S26" i="31" l="1"/>
  <c r="S28" i="31" s="1"/>
  <c r="S69" i="31"/>
  <c r="S24" i="31"/>
  <c r="T17" i="31"/>
  <c r="T23" i="31" s="1"/>
  <c r="T25" i="31" l="1"/>
  <c r="T26" i="31" s="1"/>
  <c r="T28" i="31" s="1"/>
  <c r="H31" i="31" s="1"/>
  <c r="H33" i="31" s="1"/>
  <c r="H38" i="31" s="1"/>
  <c r="T24" i="31"/>
  <c r="T69" i="31"/>
  <c r="H40" i="31" l="1"/>
  <c r="V81" i="31"/>
  <c r="C18" i="33" l="1"/>
  <c r="C19" i="33" s="1"/>
  <c r="C21" i="33" s="1"/>
  <c r="AR55" i="32"/>
  <c r="AR54" i="32" s="1"/>
  <c r="AR133" i="32"/>
  <c r="AR80" i="32" s="1"/>
  <c r="AR132" i="32"/>
  <c r="D25" i="56" s="1"/>
  <c r="F25" i="56" l="1"/>
  <c r="F46" i="56"/>
  <c r="AR81" i="32"/>
  <c r="AR40" i="32"/>
  <c r="AR45" i="32" s="1"/>
  <c r="AR46" i="32" s="1"/>
  <c r="AR43" i="32" s="1"/>
  <c r="AS43" i="32" s="1"/>
  <c r="AR117" i="32"/>
  <c r="AR78" i="32" l="1"/>
  <c r="D28" i="56"/>
  <c r="AR115" i="32"/>
  <c r="AR118" i="32" s="1"/>
  <c r="AR82" i="32"/>
  <c r="AS78" i="32"/>
  <c r="AS81" i="32" s="1"/>
  <c r="AR50" i="32"/>
  <c r="AR41" i="32"/>
  <c r="AR38" i="32" s="1"/>
  <c r="AR48" i="32" s="1"/>
  <c r="AR47" i="32"/>
  <c r="AS47" i="32"/>
  <c r="AS46" i="32"/>
  <c r="F28" i="56" l="1"/>
  <c r="F49" i="56"/>
  <c r="AR116" i="32"/>
  <c r="D27" i="56"/>
  <c r="AR119" i="32"/>
  <c r="AS38" i="32"/>
  <c r="AS41" i="32" s="1"/>
  <c r="AS82" i="32"/>
  <c r="AS115" i="32"/>
  <c r="AS119" i="32" s="1"/>
  <c r="AR42" i="32"/>
  <c r="AR51" i="32"/>
  <c r="AR49" i="32" s="1"/>
  <c r="AS48" i="32"/>
  <c r="AS44" i="32"/>
  <c r="AS45" i="32" s="1"/>
  <c r="F27" i="56" l="1"/>
  <c r="F48" i="56"/>
  <c r="AS118" i="32"/>
  <c r="AS116" i="32" s="1"/>
  <c r="AS42" i="32"/>
  <c r="AS39" i="32"/>
  <c r="AS40" i="32" s="1"/>
  <c r="AS51" i="32"/>
  <c r="AS52" i="32"/>
  <c r="AS49" i="32" l="1"/>
  <c r="AS50" i="32" s="1"/>
  <c r="AS79" i="32"/>
  <c r="AP133" i="32" l="1"/>
  <c r="AP132" i="32"/>
  <c r="AP55" i="32"/>
  <c r="AP54" i="32" s="1"/>
  <c r="AU1" i="32" l="1"/>
  <c r="AV1" i="32"/>
  <c r="AW1" i="32" l="1"/>
  <c r="AX1" i="32"/>
  <c r="AY1" i="32" l="1"/>
  <c r="E13" i="33" l="1"/>
  <c r="L13" i="33" s="1"/>
  <c r="AT1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Seedat, Haris S [GIR]</author>
    <author>Edwards, Richard D F [GIR]</author>
  </authors>
  <commentList>
    <comment ref="W12" authorId="0" shapeId="0" xr:uid="{5A10A603-B128-4DB9-9A3C-B2854E952E2E}">
      <text>
        <r>
          <rPr>
            <b/>
            <sz val="9"/>
            <color indexed="81"/>
            <rFont val="Tahoma"/>
            <family val="2"/>
          </rPr>
          <t>Qube Query:
Last update - 08/05/2024 13:25
Environment - WIP
Table area - 3:6
Query data - YQIAAB+LCAAAAAAABAB9kttOAjEQhl+l6b0WuDCadGsMB9lIyIKn69llwMZuu/Yg1qe37IIaA161M98/M38P/PqjVuQdrZNGZ7R/3qMEdWVWUm8yGvz6rH9BifOgV6CMxoxGdPRa8EUocRHQRgJNo+I81CXaibE1eJfRNSiHlLwF0D7U9ybYKpXeaFDReUpM8E3wD7FJyV1NUOAoUVCimoHeBNgkMJ7fUsFnEJOa+FY7NVZ+Gu1BtSTJxR3GrbGrNuCsy+1RgVaaP4R1/QR/kk6WUkkfyc82o895QQkT/FHL3aXgfvDQ1A3oOJM791JXKqywQN3dUndYwfeifOQEz0di0LvsDXpXgwFnKeLsN2aH/oKPwEPusR4apbDy6RlSdYpdt5DXbUaLZT4cU1JldImNsT6NbV0eEQynk1NohGsIyp/ChZXVP42LUCrpXg4KtvfIjvln379DfAF0bdE8YQIAAA==</t>
        </r>
      </text>
    </comment>
    <comment ref="AP18" authorId="0" shapeId="0" xr:uid="{48DBCB75-D29D-44F1-8B82-613FBE718818}">
      <text>
        <r>
          <rPr>
            <b/>
            <sz val="9"/>
            <color indexed="81"/>
            <rFont val="Tahoma"/>
            <family val="2"/>
          </rPr>
          <t>Qube Query:
Last update - 08/05/2024 13:25
Environment - WIP
Table area - 19:3
Query data - 0QQAAB+LCAAAAAAABACVlNtuEzEQhl/FmnvwJpRAJa+rqmmrFVGbdku5RJPNJLLw2osPFL89zqHQ5bBir+yZ+cYe/b9scfa91ewbOa+sKWHyugBGprFrZbYlxLB5NZkB8wHNGrU1VEIiD2dS3MUV3UVyiWHX6XQT2xW5K+taDL6E4CIB+xrRhNjWNromd54b1MkHYDaGLoaH1OXkriVq9MA0rkgv0GwjbnPh8uYapFhgyjQLe/aRXFAN6n0+w/IDpSfr1vtA8EPuWFqSU/a3Cj+cJsWj8mqltAqJ/dqW8KlaAuNSfDRqpwgdr72wbYcmLdRudmUaHde0JHOQaIPaUx7oCFVzL0U1l9PifVEUs9MTwXMk+Msyfz5fijkGrAK1F1ZrakL2IHfn2B8W9uWphOv727r+vLy/vaoegHUlTIvJKbCmhDltMOqwn3kInxbj8Mk4fDoOfzMOPxmHvx2Hz8bh7/6N1+eLy/o//HnJDRnT4wYc6XEDVvS4AQ963ID4PW5A9R43IHeP+1NnfnwW/G9Phv/8jeQPdkbOUtEEAAA=</t>
        </r>
      </text>
    </comment>
    <comment ref="C51" authorId="1" shapeId="0" xr:uid="{E99CD839-57AB-4AB3-A815-E8F056D54FB0}">
      <text>
        <r>
          <rPr>
            <b/>
            <sz val="9"/>
            <color indexed="81"/>
            <rFont val="Tahoma"/>
            <charset val="1"/>
          </rPr>
          <t>=Thomson.Reuters.AFOSpreadSheetFormulas.DSGRID("EUDOLLR,BRECBSP,POEURSP,RCNYEUR,TSEURSP,JPEURSP,CHHKDSP"," ","Latest Value","","","RowHeader=true;ColHeader=true;DispSeriesDescription=true;DispDatatypeDescription=true","")</t>
        </r>
      </text>
    </comment>
  </commentList>
</comments>
</file>

<file path=xl/sharedStrings.xml><?xml version="1.0" encoding="utf-8"?>
<sst xmlns="http://schemas.openxmlformats.org/spreadsheetml/2006/main" count="1151" uniqueCount="573">
  <si>
    <t>Apparel</t>
  </si>
  <si>
    <t>Europe</t>
  </si>
  <si>
    <t>North America</t>
  </si>
  <si>
    <t>APAC</t>
  </si>
  <si>
    <t>Shoes</t>
  </si>
  <si>
    <t>Accessories</t>
  </si>
  <si>
    <t>Income Taxes</t>
  </si>
  <si>
    <t>Inventories</t>
  </si>
  <si>
    <t>1Q19</t>
  </si>
  <si>
    <t>2Q19</t>
  </si>
  <si>
    <t>3Q19</t>
  </si>
  <si>
    <t>4Q19</t>
  </si>
  <si>
    <t>1Q20</t>
  </si>
  <si>
    <t>2Q20</t>
  </si>
  <si>
    <t>3Q20</t>
  </si>
  <si>
    <t>4Q20</t>
  </si>
  <si>
    <t>Share-based Compensation</t>
  </si>
  <si>
    <t>Net Income / (Loss)</t>
  </si>
  <si>
    <t>Cash and Cash Equivalents</t>
  </si>
  <si>
    <t>Trade Receivables</t>
  </si>
  <si>
    <t>Other Current Financial Assets</t>
  </si>
  <si>
    <t>Other Current Operating Assets</t>
  </si>
  <si>
    <t>Current Assets</t>
  </si>
  <si>
    <t>Property, Plant and Equipment</t>
  </si>
  <si>
    <t>Right-of-use Assets</t>
  </si>
  <si>
    <t>Intangible Assets</t>
  </si>
  <si>
    <t>Net Deferred Tax Assets</t>
  </si>
  <si>
    <t>Non-Current Assets</t>
  </si>
  <si>
    <t>Total Assets</t>
  </si>
  <si>
    <t>Trade Payables</t>
  </si>
  <si>
    <t>Other Current Financial Liabilities</t>
  </si>
  <si>
    <t>Other Current Operating Liabilities</t>
  </si>
  <si>
    <t>Current Provisions</t>
  </si>
  <si>
    <t>Income Tax liabilities</t>
  </si>
  <si>
    <t>Current Liabilities</t>
  </si>
  <si>
    <t>Employee Benefit Obligations</t>
  </si>
  <si>
    <t>Non-current Provisions</t>
  </si>
  <si>
    <t>Other non-current Financial Liabilities</t>
  </si>
  <si>
    <t>Net Deferred Tax Liabilities</t>
  </si>
  <si>
    <t>Non-Current Liabilities</t>
  </si>
  <si>
    <t>Total Liabilities</t>
  </si>
  <si>
    <t>Share Capital</t>
  </si>
  <si>
    <t>Capital Reserves</t>
  </si>
  <si>
    <t>Other Reserves</t>
  </si>
  <si>
    <t>Accumulated Gain/ loss</t>
  </si>
  <si>
    <t>Total Shareholder Equity</t>
  </si>
  <si>
    <t>Total Liabilities &amp; Shareholder Equity</t>
  </si>
  <si>
    <t>Employee Benefit Expenses</t>
  </si>
  <si>
    <t>Interest Income / Expenses</t>
  </si>
  <si>
    <t>Net Exchange Differences</t>
  </si>
  <si>
    <t>Change in Provisions</t>
  </si>
  <si>
    <t>Change in Working Capital</t>
  </si>
  <si>
    <t>Change in Other Current Operating Assets/ Liabilities</t>
  </si>
  <si>
    <t>Income Taxes Paid</t>
  </si>
  <si>
    <t>Cash From Operating Activities</t>
  </si>
  <si>
    <t>Purchase of Tangible Assets</t>
  </si>
  <si>
    <t>Purchase of Intangible Assets</t>
  </si>
  <si>
    <t>Investment in Subsidiary, Net of Cash Acquired</t>
  </si>
  <si>
    <t>Payment of Contingent Considerations</t>
  </si>
  <si>
    <t>Cash From Investing Activities</t>
  </si>
  <si>
    <t>Proceeds from Financial Liabilities</t>
  </si>
  <si>
    <t>Repayment of Financial Liabilities</t>
  </si>
  <si>
    <t>Payments of Lease Liabilities</t>
  </si>
  <si>
    <t>Proceeds from Issue of Shares</t>
  </si>
  <si>
    <t>Equity Transaction Costs</t>
  </si>
  <si>
    <t>Cash From Financing Activities</t>
  </si>
  <si>
    <t>Change in Net Cash and Cash Equivalents</t>
  </si>
  <si>
    <t>Net Impact of Foreign Exchange Rate Differences</t>
  </si>
  <si>
    <t>Net Cash and Cash Equivalents at Start</t>
  </si>
  <si>
    <t>Net Cash and Cash Equivalents at End</t>
  </si>
  <si>
    <t>2021E</t>
  </si>
  <si>
    <t>2022E</t>
  </si>
  <si>
    <t>2023E</t>
  </si>
  <si>
    <t>2024E</t>
  </si>
  <si>
    <t>2025E</t>
  </si>
  <si>
    <t>2026E</t>
  </si>
  <si>
    <t>2027E</t>
  </si>
  <si>
    <t>2028E</t>
  </si>
  <si>
    <t>2029E</t>
  </si>
  <si>
    <t>2030E</t>
  </si>
  <si>
    <t>2031E</t>
  </si>
  <si>
    <t>Tax</t>
  </si>
  <si>
    <t>Depreciation</t>
  </si>
  <si>
    <t>Rent</t>
  </si>
  <si>
    <t>Capex</t>
  </si>
  <si>
    <t>Delta Working Capital</t>
  </si>
  <si>
    <t>Free Cashflow</t>
  </si>
  <si>
    <t>Free Cashflow/Sales</t>
  </si>
  <si>
    <t>Residual Value</t>
  </si>
  <si>
    <t>Total Free Cashflow</t>
  </si>
  <si>
    <t>Discount Factor</t>
  </si>
  <si>
    <t>Discounted Free Cashflow</t>
  </si>
  <si>
    <t>Cash (Debt)</t>
  </si>
  <si>
    <t>Rf</t>
  </si>
  <si>
    <t>Rm</t>
  </si>
  <si>
    <t>Beta</t>
  </si>
  <si>
    <t>WACC</t>
  </si>
  <si>
    <t>Inputs</t>
  </si>
  <si>
    <t>Growth rate</t>
  </si>
  <si>
    <t>Sales</t>
  </si>
  <si>
    <t>- growth</t>
  </si>
  <si>
    <t>- cFX</t>
  </si>
  <si>
    <t>- Ccy</t>
  </si>
  <si>
    <t>COGS</t>
  </si>
  <si>
    <t>- depn/sales</t>
  </si>
  <si>
    <t>- capex/sales</t>
  </si>
  <si>
    <t>- rent/sales</t>
  </si>
  <si>
    <t>Working Capital</t>
  </si>
  <si>
    <t>- working capital/sales</t>
  </si>
  <si>
    <t>Capex/depreciation</t>
  </si>
  <si>
    <t>FCF growth</t>
  </si>
  <si>
    <t>GM%</t>
  </si>
  <si>
    <t>adj EBIT</t>
  </si>
  <si>
    <t>adj EBITDA/sales</t>
  </si>
  <si>
    <t>SBC dilution</t>
  </si>
  <si>
    <t>DTC sales</t>
  </si>
  <si>
    <t>DTC gross margin</t>
  </si>
  <si>
    <t>Group sales</t>
  </si>
  <si>
    <t>Group gross profit</t>
  </si>
  <si>
    <t>Group gross margin</t>
  </si>
  <si>
    <t>Group EBITDA</t>
  </si>
  <si>
    <t>Group EBITDA margin</t>
  </si>
  <si>
    <t>Wholesale gross margin</t>
  </si>
  <si>
    <t>CHF/$</t>
  </si>
  <si>
    <t>STAT AB</t>
  </si>
  <si>
    <t>PRICE</t>
  </si>
  <si>
    <t>Yr to Dec</t>
  </si>
  <si>
    <t>P/E</t>
  </si>
  <si>
    <t>Div Yld (%)</t>
  </si>
  <si>
    <t>EV/EBIT</t>
  </si>
  <si>
    <t>EV/EBITDA</t>
  </si>
  <si>
    <t>2020A</t>
  </si>
  <si>
    <t>Gearing</t>
  </si>
  <si>
    <t>Shares</t>
  </si>
  <si>
    <t>EV (m)</t>
  </si>
  <si>
    <t>Target price</t>
  </si>
  <si>
    <t>Capital delta</t>
  </si>
  <si>
    <t>DY</t>
  </si>
  <si>
    <t>TSR</t>
  </si>
  <si>
    <t>Change to price target</t>
  </si>
  <si>
    <t>EBITDA (CHFm)</t>
  </si>
  <si>
    <t>EBIT (CHFm)</t>
  </si>
  <si>
    <t>EPS, CHF (Old)</t>
  </si>
  <si>
    <t>DPS, CHF</t>
  </si>
  <si>
    <t>adj EBITDA</t>
  </si>
  <si>
    <t>Net cash(Debt)</t>
  </si>
  <si>
    <t>FCF</t>
  </si>
  <si>
    <t>FY19</t>
  </si>
  <si>
    <t>FY20</t>
  </si>
  <si>
    <t>2Q21E</t>
  </si>
  <si>
    <t>3Q21E</t>
  </si>
  <si>
    <t>4Q21E</t>
  </si>
  <si>
    <t>Rest of the World</t>
  </si>
  <si>
    <t>Total</t>
  </si>
  <si>
    <t>Sales by region</t>
  </si>
  <si>
    <t>Dec year end (CHFmn)</t>
  </si>
  <si>
    <t xml:space="preserve"> - cFX growth</t>
  </si>
  <si>
    <t xml:space="preserve"> - ccy</t>
  </si>
  <si>
    <t xml:space="preserve"> - total growth</t>
  </si>
  <si>
    <t>1Q22E</t>
  </si>
  <si>
    <t>2Q22E</t>
  </si>
  <si>
    <t>3Q22E</t>
  </si>
  <si>
    <t>4Q22E</t>
  </si>
  <si>
    <t xml:space="preserve"> Sales mix</t>
  </si>
  <si>
    <t>Sales by Product</t>
  </si>
  <si>
    <t>Group</t>
  </si>
  <si>
    <t>SALES BY CHANNEL</t>
  </si>
  <si>
    <t xml:space="preserve"> - growth</t>
  </si>
  <si>
    <t>Distribution costs</t>
  </si>
  <si>
    <t xml:space="preserve"> - % sales</t>
  </si>
  <si>
    <t xml:space="preserve"> - growth%</t>
  </si>
  <si>
    <t>Selling costs</t>
  </si>
  <si>
    <t>Marketing costs</t>
  </si>
  <si>
    <t>Admin costs (ex depn)</t>
  </si>
  <si>
    <t>EBIT</t>
  </si>
  <si>
    <t>PBT</t>
  </si>
  <si>
    <t>Finance items</t>
  </si>
  <si>
    <t>Tax rate</t>
  </si>
  <si>
    <t>PAT</t>
  </si>
  <si>
    <t>FX</t>
  </si>
  <si>
    <t>CHF/Euro</t>
  </si>
  <si>
    <t>1Q21E</t>
  </si>
  <si>
    <t>CASHFLOW</t>
  </si>
  <si>
    <t>BALANCE SHEET</t>
  </si>
  <si>
    <t>CHECK</t>
  </si>
  <si>
    <t>Depreciation and Amortisation</t>
  </si>
  <si>
    <t>Group Profit Contribution</t>
  </si>
  <si>
    <t>Group Contribution margin</t>
  </si>
  <si>
    <t>Wholesale Contribution margin</t>
  </si>
  <si>
    <t>DTC Contribution margin</t>
  </si>
  <si>
    <t>SG&amp;A pre overhead</t>
  </si>
  <si>
    <t>IPO costs</t>
  </si>
  <si>
    <t xml:space="preserve"> - total growth yo2y</t>
  </si>
  <si>
    <t xml:space="preserve"> - Contribution</t>
  </si>
  <si>
    <t xml:space="preserve"> - Gross profit</t>
  </si>
  <si>
    <t>Inventory days</t>
  </si>
  <si>
    <t>Receivable days</t>
  </si>
  <si>
    <t>Payable days</t>
  </si>
  <si>
    <t>Amortisation</t>
  </si>
  <si>
    <t>Depreciation and amortisation</t>
  </si>
  <si>
    <t>Rent/sales</t>
  </si>
  <si>
    <t>On Holding</t>
  </si>
  <si>
    <t>On Holding - DCF Valuation Summary (CHF m)</t>
  </si>
  <si>
    <t>Dec y/end</t>
  </si>
  <si>
    <t>Implied PE (12/23)</t>
  </si>
  <si>
    <t>NOPAT</t>
  </si>
  <si>
    <t>EV/NOPAT</t>
  </si>
  <si>
    <t>WHOLESALE:</t>
  </si>
  <si>
    <t>DTC:</t>
  </si>
  <si>
    <t xml:space="preserve"> - doors</t>
  </si>
  <si>
    <t xml:space="preserve"> - revenue/door</t>
  </si>
  <si>
    <t xml:space="preserve">  - growth%</t>
  </si>
  <si>
    <t xml:space="preserve"> Group sales mix</t>
  </si>
  <si>
    <t xml:space="preserve"> North America DTC %</t>
  </si>
  <si>
    <t xml:space="preserve"> Europe DTC %</t>
  </si>
  <si>
    <t xml:space="preserve"> APAC DTC %</t>
  </si>
  <si>
    <t>Europe - revenue (CHF mn)</t>
  </si>
  <si>
    <t>North America - revenue (CHF mn)</t>
  </si>
  <si>
    <t>APAC - revenue (CHF mn)</t>
  </si>
  <si>
    <t>Group Wholesale sales</t>
  </si>
  <si>
    <t>Valuation</t>
  </si>
  <si>
    <t>Total Valuation</t>
  </si>
  <si>
    <t>Change in other operating assets</t>
  </si>
  <si>
    <t>On market share</t>
  </si>
  <si>
    <t>Global sportswear &amp; apparel market size</t>
  </si>
  <si>
    <t>Global sportswear market size</t>
  </si>
  <si>
    <t>US sportswear market size</t>
  </si>
  <si>
    <t>China sportswear market size</t>
  </si>
  <si>
    <t>On market share - US</t>
  </si>
  <si>
    <t>On market share - W Europe</t>
  </si>
  <si>
    <t>On market share - China</t>
  </si>
  <si>
    <t>W Europe sportswear market size</t>
  </si>
  <si>
    <t>Global sportswaer/apparel and sportswear mkt</t>
  </si>
  <si>
    <t>CHF/Euro growth</t>
  </si>
  <si>
    <t>Gross profit</t>
  </si>
  <si>
    <t>EBITDA</t>
  </si>
  <si>
    <t>Net cash</t>
  </si>
  <si>
    <t>Guidance</t>
  </si>
  <si>
    <t>GSe/Guidance</t>
  </si>
  <si>
    <t>GSe</t>
  </si>
  <si>
    <t>TOTAL - revenue (CHF mn)</t>
  </si>
  <si>
    <t>Other</t>
  </si>
  <si>
    <t xml:space="preserve"> +20-25% pa</t>
  </si>
  <si>
    <t xml:space="preserve">Gross margin </t>
  </si>
  <si>
    <t xml:space="preserve"> 60%+</t>
  </si>
  <si>
    <t>Long term guide</t>
  </si>
  <si>
    <t>Adj EBITDA growth</t>
  </si>
  <si>
    <t>Adj EBITDA margin</t>
  </si>
  <si>
    <t>High teens</t>
  </si>
  <si>
    <t xml:space="preserve"> +25-30% pa</t>
  </si>
  <si>
    <t>CY 2021</t>
  </si>
  <si>
    <t>CY 2022</t>
  </si>
  <si>
    <t>Nike</t>
  </si>
  <si>
    <t>LULU</t>
  </si>
  <si>
    <t>ADSGn.DE</t>
  </si>
  <si>
    <t>adidas</t>
  </si>
  <si>
    <t>PUMG.DE</t>
  </si>
  <si>
    <t>Puma</t>
  </si>
  <si>
    <t>2331.HK</t>
  </si>
  <si>
    <t>Li Ning Co.</t>
  </si>
  <si>
    <t>2020.HK</t>
  </si>
  <si>
    <t>NKE</t>
  </si>
  <si>
    <t>lululemon</t>
  </si>
  <si>
    <t>CY 2023</t>
  </si>
  <si>
    <t>7936.T</t>
  </si>
  <si>
    <t>Asics</t>
  </si>
  <si>
    <t>X</t>
  </si>
  <si>
    <t>CHF</t>
  </si>
  <si>
    <t>US$</t>
  </si>
  <si>
    <t>Capital employed</t>
  </si>
  <si>
    <t>adj EBIT/Cap Emp</t>
  </si>
  <si>
    <t>Tg</t>
  </si>
  <si>
    <t>Market Cap US$mn</t>
  </si>
  <si>
    <t>1H20</t>
  </si>
  <si>
    <t>2H20</t>
  </si>
  <si>
    <t>SG&amp;A/Sales</t>
  </si>
  <si>
    <t>2032E</t>
  </si>
  <si>
    <t>2033E</t>
  </si>
  <si>
    <t>2034E</t>
  </si>
  <si>
    <t>2035E</t>
  </si>
  <si>
    <t>2036E</t>
  </si>
  <si>
    <t>2037E</t>
  </si>
  <si>
    <t>On DCF Assumptions</t>
  </si>
  <si>
    <t>EPS (basic)</t>
  </si>
  <si>
    <t>EPS (diluted)</t>
  </si>
  <si>
    <t>EPS, CHF (New)</t>
  </si>
  <si>
    <t>ON Holding</t>
  </si>
  <si>
    <t>SALES</t>
  </si>
  <si>
    <t>Ticker</t>
  </si>
  <si>
    <t>ONON</t>
  </si>
  <si>
    <t>Pricing Currency</t>
  </si>
  <si>
    <t>Actual</t>
  </si>
  <si>
    <t>% diff</t>
  </si>
  <si>
    <t>Peer Average</t>
  </si>
  <si>
    <t>Name</t>
  </si>
  <si>
    <t>Year end</t>
  </si>
  <si>
    <t>-</t>
  </si>
  <si>
    <t>- Use datastream for exchange rates</t>
  </si>
  <si>
    <t>- Use Net Debt before leases</t>
  </si>
  <si>
    <t>- Use EBITDA ex SBC ie EBITDA which adds back SBC</t>
  </si>
  <si>
    <t>- Use EBITDA less rent for IFRS16 companies</t>
  </si>
  <si>
    <t>- For EU co's EBITDA is actally EBITDAR, so to make it comparable with US co's we must minus rent (from cashflow), making EBITDA lower</t>
  </si>
  <si>
    <t>EUDOLLR</t>
  </si>
  <si>
    <t>BRECBSP</t>
  </si>
  <si>
    <t>POEURSP</t>
  </si>
  <si>
    <t>X PLN = 1 EUR</t>
  </si>
  <si>
    <t>RCNYEUR</t>
  </si>
  <si>
    <t>TSEURSP</t>
  </si>
  <si>
    <t>End Month</t>
  </si>
  <si>
    <t>FY 2021</t>
  </si>
  <si>
    <t>FY 2022</t>
  </si>
  <si>
    <t>FY 2023</t>
  </si>
  <si>
    <t>FY 2024</t>
  </si>
  <si>
    <t>Source: Thomson Reuters Datastream</t>
  </si>
  <si>
    <t>1 CNY = X EUR</t>
  </si>
  <si>
    <t>1 GBP = X EUR</t>
  </si>
  <si>
    <t>1 USD = X EUR</t>
  </si>
  <si>
    <t>JPEURSP</t>
  </si>
  <si>
    <t>X YEN = 1 EUR</t>
  </si>
  <si>
    <t>CHHKDSP</t>
  </si>
  <si>
    <t>1HKD = X CNY</t>
  </si>
  <si>
    <t>FY22E</t>
  </si>
  <si>
    <t>FY23E</t>
  </si>
  <si>
    <t xml:space="preserve">EBITDA growth </t>
  </si>
  <si>
    <t>Anta Sports</t>
  </si>
  <si>
    <t>MV (CHFm)</t>
  </si>
  <si>
    <t>MV $mn</t>
  </si>
  <si>
    <t>Target Price, US$</t>
  </si>
  <si>
    <t>On Holding Model</t>
  </si>
  <si>
    <t>European General Retail</t>
  </si>
  <si>
    <t>Team:</t>
  </si>
  <si>
    <t>Richard Edwards</t>
  </si>
  <si>
    <t>Managing Director</t>
  </si>
  <si>
    <t>Richard.Edwards@gs.com</t>
  </si>
  <si>
    <t>Analyst</t>
  </si>
  <si>
    <t>On Sales</t>
  </si>
  <si>
    <t>- growth yoy</t>
  </si>
  <si>
    <t>USA</t>
  </si>
  <si>
    <t>On Holding market share</t>
  </si>
  <si>
    <t>Total (EUR bn)</t>
  </si>
  <si>
    <t>On Holding brand sales, at retail (Eur mn)</t>
  </si>
  <si>
    <t>3Q21</t>
  </si>
  <si>
    <t>1Q21</t>
  </si>
  <si>
    <t>2Q21</t>
  </si>
  <si>
    <t>1H21</t>
  </si>
  <si>
    <t>- delta</t>
  </si>
  <si>
    <t>FY21</t>
  </si>
  <si>
    <t>FY22</t>
  </si>
  <si>
    <t>FY23</t>
  </si>
  <si>
    <t>New</t>
  </si>
  <si>
    <t>Old</t>
  </si>
  <si>
    <t>Group Sales</t>
  </si>
  <si>
    <t>Gross Margins</t>
  </si>
  <si>
    <t>Adj EBITDA</t>
  </si>
  <si>
    <t>Change</t>
  </si>
  <si>
    <t>New vs Old Estimates</t>
  </si>
  <si>
    <t>EBITDA Margin</t>
  </si>
  <si>
    <t>Straight EBITDA</t>
  </si>
  <si>
    <t>OLD</t>
  </si>
  <si>
    <t>NEW</t>
  </si>
  <si>
    <t>Delta</t>
  </si>
  <si>
    <t>EURCHF</t>
  </si>
  <si>
    <t>1EUR = X CHF</t>
  </si>
  <si>
    <t>+44 (20) 7051-6016</t>
  </si>
  <si>
    <t>Ref Model</t>
  </si>
  <si>
    <t>4Q21</t>
  </si>
  <si>
    <t>2H21</t>
  </si>
  <si>
    <t>1Q22</t>
  </si>
  <si>
    <t>2Q22</t>
  </si>
  <si>
    <t>2021A</t>
  </si>
  <si>
    <t xml:space="preserve"> # diluted A shares</t>
  </si>
  <si>
    <t>SBC charge</t>
  </si>
  <si>
    <t>NPV A shares</t>
  </si>
  <si>
    <t>Valuation US$ A shares</t>
  </si>
  <si>
    <t xml:space="preserve"> # A shares</t>
  </si>
  <si>
    <t>31-May-2023</t>
  </si>
  <si>
    <t>31-Jan-2023</t>
  </si>
  <si>
    <t>31-Dec-2022</t>
  </si>
  <si>
    <t>DTC</t>
  </si>
  <si>
    <t>Wholesale</t>
  </si>
  <si>
    <t>Retail Price</t>
  </si>
  <si>
    <t>Gross Profit</t>
  </si>
  <si>
    <t>GM</t>
  </si>
  <si>
    <t>Wholesale Price</t>
  </si>
  <si>
    <t>Selling and Dist</t>
  </si>
  <si>
    <t>Retailer Commision</t>
  </si>
  <si>
    <t>Selling and Distribution</t>
  </si>
  <si>
    <t>Admin and D&amp;A</t>
  </si>
  <si>
    <t>Adidas</t>
  </si>
  <si>
    <t>On</t>
  </si>
  <si>
    <t>GROSS_PROFIT</t>
  </si>
  <si>
    <t>Lululemon</t>
  </si>
  <si>
    <t>Notes:</t>
  </si>
  <si>
    <t>Last refreshed: 08/11/2022</t>
  </si>
  <si>
    <t>EBITDA - (lcl ccy mn)</t>
  </si>
  <si>
    <t>FY 2025</t>
  </si>
  <si>
    <t>CY 2024</t>
  </si>
  <si>
    <t>FY24E</t>
  </si>
  <si>
    <t>FY22-24 CAGR</t>
  </si>
  <si>
    <t>Reporting currency</t>
  </si>
  <si>
    <t>$</t>
  </si>
  <si>
    <t>€</t>
  </si>
  <si>
    <t>Price</t>
  </si>
  <si>
    <t>Last close (in reporting ccy)</t>
  </si>
  <si>
    <t>JPY</t>
  </si>
  <si>
    <t>HKD</t>
  </si>
  <si>
    <t>RMb</t>
  </si>
  <si>
    <t>Net Debt (Cash), local ccy</t>
  </si>
  <si>
    <t>Market cap, local ccy</t>
  </si>
  <si>
    <t>Diluted WASO, mns</t>
  </si>
  <si>
    <t>EV, local ccy</t>
  </si>
  <si>
    <t>Sales context:</t>
  </si>
  <si>
    <t>Lulu</t>
  </si>
  <si>
    <t>LuluLemon index to 2011</t>
  </si>
  <si>
    <t>Puma index to 2011</t>
  </si>
  <si>
    <t>LuluLemon</t>
  </si>
  <si>
    <t>Nike index to 1988</t>
  </si>
  <si>
    <t>N</t>
  </si>
  <si>
    <t>U</t>
  </si>
  <si>
    <t>Z</t>
  </si>
  <si>
    <t>AA</t>
  </si>
  <si>
    <t>Wholesale contribution margin</t>
  </si>
  <si>
    <t>DTC contribution margin</t>
  </si>
  <si>
    <t>contribution margin = EBITDA before central admin costs</t>
  </si>
  <si>
    <t>Operating Cashflow/Sales</t>
  </si>
  <si>
    <t>FCF/Sales</t>
  </si>
  <si>
    <t>Capex/Sales</t>
  </si>
  <si>
    <t>Opex breakdown</t>
  </si>
  <si>
    <t>G&amp;A</t>
  </si>
  <si>
    <t>Marketing</t>
  </si>
  <si>
    <t>Selling</t>
  </si>
  <si>
    <t>G</t>
  </si>
  <si>
    <t>ROW</t>
  </si>
  <si>
    <t>Cons</t>
  </si>
  <si>
    <t>adj. EBITDA</t>
  </si>
  <si>
    <t>adj. EBITDA margin</t>
  </si>
  <si>
    <t>3Q22</t>
  </si>
  <si>
    <t>US$/CHF</t>
  </si>
  <si>
    <t>Yuan/CHF</t>
  </si>
  <si>
    <t>US$/CHF growth</t>
  </si>
  <si>
    <t>Yuan/CHF growth</t>
  </si>
  <si>
    <t>$mn</t>
  </si>
  <si>
    <t>Distribution</t>
  </si>
  <si>
    <t>GSe vs VA Consensus</t>
  </si>
  <si>
    <t>adj EPS (basic)</t>
  </si>
  <si>
    <t>adj. EPS*</t>
  </si>
  <si>
    <t>FY23E growth</t>
  </si>
  <si>
    <t>VA Keyword</t>
  </si>
  <si>
    <t>GSe vs. Consensus</t>
  </si>
  <si>
    <t>Consensus</t>
  </si>
  <si>
    <t>Gross Margin</t>
  </si>
  <si>
    <t>Gross profit/(loss)</t>
  </si>
  <si>
    <t>EBITDA - Operating</t>
  </si>
  <si>
    <t>Source: Visible Alpha</t>
  </si>
  <si>
    <t>CHF, mn</t>
  </si>
  <si>
    <t>Source: FactSet</t>
  </si>
  <si>
    <t>-Wholesale</t>
  </si>
  <si>
    <t>-DTC</t>
  </si>
  <si>
    <t>ONON_CH</t>
  </si>
  <si>
    <t>Net Sales</t>
  </si>
  <si>
    <t>Total Revenue</t>
  </si>
  <si>
    <t>Total revenue - DTC</t>
  </si>
  <si>
    <t>Total revenue - Wholesale</t>
  </si>
  <si>
    <r>
      <t>-</t>
    </r>
    <r>
      <rPr>
        <sz val="11"/>
        <color theme="1"/>
        <rFont val="Arial"/>
        <family val="2"/>
      </rPr>
      <t xml:space="preserve">∆ </t>
    </r>
    <r>
      <rPr>
        <sz val="11"/>
        <color theme="1"/>
        <rFont val="Calibri"/>
        <family val="2"/>
        <scheme val="minor"/>
      </rPr>
      <t>yoy %</t>
    </r>
  </si>
  <si>
    <t>4Q22</t>
  </si>
  <si>
    <t>4Q23E</t>
  </si>
  <si>
    <t>Treasury share sales related to SBC</t>
  </si>
  <si>
    <t>NWC/sales</t>
  </si>
  <si>
    <t>JD Sports</t>
  </si>
  <si>
    <t>JD.L</t>
  </si>
  <si>
    <t>p</t>
  </si>
  <si>
    <t>1Q23</t>
  </si>
  <si>
    <t>North America/Americas (from FY22)</t>
  </si>
  <si>
    <t>2Q23</t>
  </si>
  <si>
    <t>2022A</t>
  </si>
  <si>
    <t>3Q23</t>
  </si>
  <si>
    <t>Beat/Miss</t>
  </si>
  <si>
    <t>By Region</t>
  </si>
  <si>
    <t>By Channel</t>
  </si>
  <si>
    <t>4Q23</t>
  </si>
  <si>
    <r>
      <t>-</t>
    </r>
    <r>
      <rPr>
        <sz val="11"/>
        <color theme="1"/>
        <rFont val="Arial"/>
        <family val="2"/>
      </rPr>
      <t xml:space="preserve">∆ </t>
    </r>
    <r>
      <rPr>
        <sz val="11"/>
        <color theme="1"/>
        <rFont val="Calibri"/>
        <family val="2"/>
        <scheme val="minor"/>
      </rPr>
      <t>bps</t>
    </r>
  </si>
  <si>
    <t>4Q24E</t>
  </si>
  <si>
    <t xml:space="preserve"> - ccy/other</t>
  </si>
  <si>
    <t>Interest Paid (lease)</t>
  </si>
  <si>
    <t>2023A</t>
  </si>
  <si>
    <t>2Q24</t>
  </si>
  <si>
    <t>1Q24</t>
  </si>
  <si>
    <r>
      <t>-</t>
    </r>
    <r>
      <rPr>
        <sz val="11"/>
        <color theme="1"/>
        <rFont val="Arial"/>
        <family val="2"/>
      </rPr>
      <t xml:space="preserve">∆ cFX </t>
    </r>
    <r>
      <rPr>
        <sz val="11"/>
        <color theme="1"/>
        <rFont val="Calibri"/>
        <family val="2"/>
        <scheme val="minor"/>
      </rPr>
      <t>yoy %</t>
    </r>
  </si>
  <si>
    <t>Constant currency impact</t>
  </si>
  <si>
    <t>-EMEA cFX</t>
  </si>
  <si>
    <t>-Americas cFX</t>
  </si>
  <si>
    <t>-APAC cFX</t>
  </si>
  <si>
    <t>EMEA - Constant currency impact</t>
  </si>
  <si>
    <t>Americas - constant currency impact</t>
  </si>
  <si>
    <t>Asia Pacific - constant currency impact</t>
  </si>
  <si>
    <t>Channel growth trends</t>
  </si>
  <si>
    <t>cFX</t>
  </si>
  <si>
    <t>Average</t>
  </si>
  <si>
    <t>Global sportswear market</t>
  </si>
  <si>
    <t>LatAm</t>
  </si>
  <si>
    <t>On Holding performance market share</t>
  </si>
  <si>
    <t>Gross margin mix shift</t>
  </si>
  <si>
    <t>Sales mix</t>
  </si>
  <si>
    <t>Graphic:</t>
  </si>
  <si>
    <t>DTC sales mix</t>
  </si>
  <si>
    <t>Group GM% (RHS)</t>
  </si>
  <si>
    <t>DTC sales mix delta</t>
  </si>
  <si>
    <t>Group GM% delta (RHS)</t>
  </si>
  <si>
    <t>PE FY27E</t>
  </si>
  <si>
    <t>EV/NOPAT FY27E</t>
  </si>
  <si>
    <t>Lulu opex/sales</t>
  </si>
  <si>
    <t>On opex/sales</t>
  </si>
  <si>
    <t>Nike opex/sales</t>
  </si>
  <si>
    <t>Puma opex/sales</t>
  </si>
  <si>
    <t>Adidas opex/sales</t>
  </si>
  <si>
    <t>Contribution margin</t>
  </si>
  <si>
    <t>Fixed costs</t>
  </si>
  <si>
    <t>Change in Contribution margin</t>
  </si>
  <si>
    <t>Change in Admin costs</t>
  </si>
  <si>
    <t>adj EBIT margin</t>
  </si>
  <si>
    <t>Change in adj EBIT margin</t>
  </si>
  <si>
    <t>Gross margin</t>
  </si>
  <si>
    <t>EV/EBITDA FY27E</t>
  </si>
  <si>
    <t>2038E</t>
  </si>
  <si>
    <t>Margin drivers FY26E</t>
  </si>
  <si>
    <t>Opex/sales</t>
  </si>
  <si>
    <t>EBIT margin</t>
  </si>
  <si>
    <t>SBC/sales</t>
  </si>
  <si>
    <t>Admin/sales</t>
  </si>
  <si>
    <t>Depreciation/sales</t>
  </si>
  <si>
    <t>On Holding long term</t>
  </si>
  <si>
    <t>EBIT margin (RHS)</t>
  </si>
  <si>
    <t>adj EBIT/Sales</t>
  </si>
  <si>
    <t>Ben Williams</t>
  </si>
  <si>
    <t>ben.williams@gs.com</t>
  </si>
  <si>
    <t>+44 (20) 7051-0661</t>
  </si>
  <si>
    <t>DTC mix (RHS)</t>
  </si>
  <si>
    <t>3Q24</t>
  </si>
  <si>
    <t>4Q24</t>
  </si>
  <si>
    <t>Americas</t>
  </si>
  <si>
    <t>United States</t>
  </si>
  <si>
    <t>EMEA</t>
  </si>
  <si>
    <t>Switzerland</t>
  </si>
  <si>
    <t>yoy</t>
  </si>
  <si>
    <t>2Q25E</t>
  </si>
  <si>
    <t>4Q25E</t>
  </si>
  <si>
    <t>Hamish Bogdan</t>
  </si>
  <si>
    <t>hamish.bogdan@gs.com</t>
  </si>
  <si>
    <t>+44 (20) 7552-2214</t>
  </si>
  <si>
    <t>FY26E</t>
  </si>
  <si>
    <t>1Q25</t>
  </si>
  <si>
    <t>2Q25</t>
  </si>
  <si>
    <t>3Q25</t>
  </si>
  <si>
    <t>3Q26E</t>
  </si>
  <si>
    <t>4Q26E</t>
  </si>
  <si>
    <t>4Q25</t>
  </si>
  <si>
    <t>2025A</t>
  </si>
  <si>
    <t>2024A</t>
  </si>
  <si>
    <t>FY27E</t>
  </si>
  <si>
    <t>1Q26</t>
  </si>
  <si>
    <t>2Q26</t>
  </si>
  <si>
    <t>\</t>
  </si>
  <si>
    <t>US tariff refund</t>
  </si>
  <si>
    <t xml:space="preserve"> # basic A shares (avg)</t>
  </si>
  <si>
    <t xml:space="preserve"> # basic A shares (open)</t>
  </si>
  <si>
    <t xml:space="preserve"> # basic A shares (close)</t>
  </si>
  <si>
    <t># shares</t>
  </si>
  <si>
    <t>27x</t>
  </si>
  <si>
    <t>23x</t>
  </si>
  <si>
    <t>16.5x</t>
  </si>
  <si>
    <t>FY28E</t>
  </si>
  <si>
    <t>FY29E</t>
  </si>
  <si>
    <t>GSe vs.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</si>
</sst>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_ * #,##0.00_ ;_ * \-#,##0.00_ ;_ * &quot;-&quot;??_ ;_ @_ "/>
    <numFmt numFmtId="167" formatCode="_(* #,##0_);_(* \(#,##0\);_(* &quot;-&quot;??_);_(@_)"/>
    <numFmt numFmtId="168" formatCode="_(* #,##0.0_);_(* \(#,##0.0\);_(* &quot;-&quot;??_);_(@_)"/>
    <numFmt numFmtId="169" formatCode="_-[$€-2]\ * #,##0.00_-;\-[$€-2]\ * #,##0.00_-;_-[$€-2]\ * &quot;-&quot;??_-"/>
    <numFmt numFmtId="170" formatCode="0.0"/>
    <numFmt numFmtId="171" formatCode="#,##0.000"/>
    <numFmt numFmtId="172" formatCode="#,##0.0"/>
    <numFmt numFmtId="173" formatCode="_-* #,##0.0_-;\-* #,##0.0_-;_-* &quot;-&quot;??_-;_-@_-"/>
    <numFmt numFmtId="174" formatCode="_-* #,##0_-;\-* #,##0_-;_-* &quot;-&quot;??_-;_-@_-"/>
    <numFmt numFmtId="175" formatCode="0.000"/>
    <numFmt numFmtId="177" formatCode="_-* #,##0.000_-;\-* #,##0.000_-;_-* &quot;-&quot;??_-;_-@_-"/>
    <numFmt numFmtId="178" formatCode="_-* #,##0.00000_-;\-* #,##0.00000_-;_-* &quot;-&quot;??_-;_-@_-"/>
    <numFmt numFmtId="179" formatCode="0.0\x"/>
    <numFmt numFmtId="180" formatCode="0.00\x"/>
    <numFmt numFmtId="181" formatCode="#,##0.0_);[Red]\(#,##0.0\)"/>
    <numFmt numFmtId="182" formatCode="[$-409]d\-mmm\-yy;@"/>
    <numFmt numFmtId="183" formatCode="mm/dd/yy;@"/>
    <numFmt numFmtId="184" formatCode="[$$-409]#,##0.00"/>
    <numFmt numFmtId="185" formatCode="[$$-409]#,##0"/>
    <numFmt numFmtId="186" formatCode="0&quot;bps&quot;"/>
    <numFmt numFmtId="187" formatCode="#,##0.0_);\(#,##0.0\)"/>
    <numFmt numFmtId="188" formatCode="0.000000"/>
    <numFmt numFmtId="189" formatCode="_-* #,##0.0_-;\-* #,##0.0_-;_-* &quot;-&quot;?_-;_-@_-"/>
  </numFmts>
  <fonts count="6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0"/>
      <name val="Calibri"/>
      <family val="2"/>
    </font>
    <font>
      <sz val="10"/>
      <name val="Times New Roman"/>
      <family val="1"/>
    </font>
    <font>
      <b/>
      <sz val="10"/>
      <color theme="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</font>
    <font>
      <b/>
      <sz val="9"/>
      <name val="Calibri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color theme="0"/>
      <name val="Calibri"/>
      <family val="2"/>
      <scheme val="minor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u/>
      <sz val="9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sz val="8"/>
      <name val="Helv"/>
    </font>
    <font>
      <sz val="8"/>
      <name val="Calibri"/>
      <family val="2"/>
      <scheme val="minor"/>
    </font>
    <font>
      <sz val="9"/>
      <color rgb="FFFF0000"/>
      <name val="Calibri"/>
      <family val="2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355F"/>
        <bgColor rgb="FF000000"/>
      </patternFill>
    </fill>
    <fill>
      <patternFill patternType="solid">
        <fgColor theme="6" tint="0.79998168889431442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medium">
        <color indexed="64"/>
      </top>
      <bottom/>
      <diagonal/>
    </border>
    <border>
      <left/>
      <right style="thin">
        <color rgb="FFFFFFFF"/>
      </right>
      <top style="thin">
        <color indexed="64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theme="0"/>
      </bottom>
      <diagonal/>
    </border>
  </borders>
  <cellStyleXfs count="18">
    <xf numFmtId="0" fontId="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11" fillId="0" borderId="0" applyNumberFormat="0" applyFont="0" applyFill="0" applyBorder="0" applyAlignment="0" applyProtection="0"/>
    <xf numFmtId="166" fontId="10" fillId="0" borderId="0" applyFont="0" applyFill="0" applyBorder="0" applyAlignment="0" applyProtection="0"/>
    <xf numFmtId="169" fontId="12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44" fillId="0" borderId="0"/>
    <xf numFmtId="0" fontId="57" fillId="0" borderId="0" applyNumberFormat="0" applyFill="0" applyBorder="0" applyAlignment="0" applyProtection="0"/>
  </cellStyleXfs>
  <cellXfs count="637">
    <xf numFmtId="0" fontId="0" fillId="0" borderId="0" xfId="0"/>
    <xf numFmtId="0" fontId="13" fillId="0" borderId="0" xfId="7" applyFont="1"/>
    <xf numFmtId="0" fontId="13" fillId="0" borderId="1" xfId="7" applyFont="1" applyBorder="1"/>
    <xf numFmtId="3" fontId="13" fillId="0" borderId="0" xfId="7" applyNumberFormat="1" applyFont="1"/>
    <xf numFmtId="0" fontId="15" fillId="2" borderId="0" xfId="7" applyFont="1" applyFill="1"/>
    <xf numFmtId="0" fontId="15" fillId="2" borderId="0" xfId="7" applyFont="1" applyFill="1" applyAlignment="1">
      <alignment horizontal="right"/>
    </xf>
    <xf numFmtId="0" fontId="15" fillId="2" borderId="15" xfId="7" applyFont="1" applyFill="1" applyBorder="1" applyAlignment="1">
      <alignment horizontal="right"/>
    </xf>
    <xf numFmtId="0" fontId="16" fillId="0" borderId="0" xfId="0" applyFont="1"/>
    <xf numFmtId="165" fontId="16" fillId="0" borderId="0" xfId="1" applyNumberFormat="1" applyFont="1"/>
    <xf numFmtId="165" fontId="16" fillId="0" borderId="15" xfId="1" applyNumberFormat="1" applyFont="1" applyBorder="1"/>
    <xf numFmtId="165" fontId="16" fillId="0" borderId="0" xfId="1" applyNumberFormat="1" applyFont="1" applyBorder="1"/>
    <xf numFmtId="165" fontId="16" fillId="0" borderId="21" xfId="1" applyNumberFormat="1" applyFont="1" applyBorder="1"/>
    <xf numFmtId="167" fontId="16" fillId="0" borderId="0" xfId="2" applyNumberFormat="1" applyFont="1" applyBorder="1"/>
    <xf numFmtId="167" fontId="16" fillId="0" borderId="15" xfId="2" applyNumberFormat="1" applyFont="1" applyBorder="1"/>
    <xf numFmtId="0" fontId="16" fillId="0" borderId="1" xfId="0" applyFont="1" applyBorder="1"/>
    <xf numFmtId="0" fontId="18" fillId="0" borderId="0" xfId="0" applyFont="1"/>
    <xf numFmtId="167" fontId="18" fillId="0" borderId="0" xfId="2" applyNumberFormat="1" applyFont="1"/>
    <xf numFmtId="0" fontId="19" fillId="0" borderId="0" xfId="7" applyFont="1"/>
    <xf numFmtId="0" fontId="19" fillId="0" borderId="13" xfId="7" applyFont="1" applyBorder="1"/>
    <xf numFmtId="0" fontId="19" fillId="0" borderId="12" xfId="7" applyFont="1" applyBorder="1" applyAlignment="1">
      <alignment horizontal="right" wrapText="1"/>
    </xf>
    <xf numFmtId="0" fontId="19" fillId="0" borderId="14" xfId="7" applyFont="1" applyBorder="1" applyAlignment="1">
      <alignment horizontal="right"/>
    </xf>
    <xf numFmtId="0" fontId="19" fillId="0" borderId="12" xfId="7" applyFont="1" applyBorder="1" applyAlignment="1">
      <alignment horizontal="right"/>
    </xf>
    <xf numFmtId="0" fontId="19" fillId="0" borderId="0" xfId="7" applyFont="1" applyAlignment="1">
      <alignment horizontal="right" wrapText="1"/>
    </xf>
    <xf numFmtId="0" fontId="19" fillId="0" borderId="0" xfId="7" applyFont="1" applyAlignment="1">
      <alignment horizontal="right"/>
    </xf>
    <xf numFmtId="0" fontId="19" fillId="0" borderId="15" xfId="7" applyFont="1" applyBorder="1"/>
    <xf numFmtId="1" fontId="19" fillId="0" borderId="0" xfId="7" applyNumberFormat="1" applyFont="1"/>
    <xf numFmtId="2" fontId="19" fillId="0" borderId="0" xfId="7" applyNumberFormat="1" applyFont="1"/>
    <xf numFmtId="170" fontId="19" fillId="0" borderId="16" xfId="7" applyNumberFormat="1" applyFont="1" applyBorder="1"/>
    <xf numFmtId="170" fontId="19" fillId="0" borderId="0" xfId="7" applyNumberFormat="1" applyFont="1"/>
    <xf numFmtId="165" fontId="19" fillId="0" borderId="0" xfId="8" applyNumberFormat="1" applyFont="1" applyBorder="1"/>
    <xf numFmtId="173" fontId="19" fillId="0" borderId="16" xfId="7" applyNumberFormat="1" applyFont="1" applyBorder="1"/>
    <xf numFmtId="168" fontId="19" fillId="0" borderId="0" xfId="2" applyNumberFormat="1" applyFont="1" applyBorder="1"/>
    <xf numFmtId="3" fontId="18" fillId="0" borderId="0" xfId="0" applyNumberFormat="1" applyFont="1"/>
    <xf numFmtId="0" fontId="19" fillId="0" borderId="17" xfId="7" applyFont="1" applyBorder="1"/>
    <xf numFmtId="9" fontId="19" fillId="0" borderId="10" xfId="7" applyNumberFormat="1" applyFont="1" applyBorder="1"/>
    <xf numFmtId="1" fontId="19" fillId="0" borderId="18" xfId="7" applyNumberFormat="1" applyFont="1" applyBorder="1"/>
    <xf numFmtId="0" fontId="19" fillId="0" borderId="10" xfId="7" applyFont="1" applyBorder="1"/>
    <xf numFmtId="0" fontId="19" fillId="0" borderId="18" xfId="7" applyFont="1" applyBorder="1"/>
    <xf numFmtId="0" fontId="19" fillId="0" borderId="19" xfId="7" applyFont="1" applyBorder="1"/>
    <xf numFmtId="174" fontId="19" fillId="0" borderId="1" xfId="7" applyNumberFormat="1" applyFont="1" applyBorder="1"/>
    <xf numFmtId="174" fontId="19" fillId="0" borderId="20" xfId="9" applyNumberFormat="1" applyFont="1" applyBorder="1"/>
    <xf numFmtId="0" fontId="19" fillId="0" borderId="1" xfId="7" applyFont="1" applyBorder="1"/>
    <xf numFmtId="0" fontId="19" fillId="0" borderId="20" xfId="7" applyFont="1" applyBorder="1"/>
    <xf numFmtId="167" fontId="19" fillId="0" borderId="0" xfId="9" applyNumberFormat="1" applyFont="1"/>
    <xf numFmtId="165" fontId="19" fillId="0" borderId="0" xfId="8" applyNumberFormat="1" applyFont="1"/>
    <xf numFmtId="0" fontId="19" fillId="0" borderId="0" xfId="0" applyFont="1"/>
    <xf numFmtId="0" fontId="20" fillId="0" borderId="0" xfId="7" applyFont="1"/>
    <xf numFmtId="170" fontId="13" fillId="0" borderId="0" xfId="7" applyNumberFormat="1" applyFont="1"/>
    <xf numFmtId="170" fontId="13" fillId="0" borderId="1" xfId="7" applyNumberFormat="1" applyFont="1" applyBorder="1"/>
    <xf numFmtId="3" fontId="13" fillId="0" borderId="1" xfId="7" applyNumberFormat="1" applyFont="1" applyBorder="1"/>
    <xf numFmtId="170" fontId="20" fillId="0" borderId="0" xfId="7" applyNumberFormat="1" applyFont="1"/>
    <xf numFmtId="3" fontId="20" fillId="0" borderId="0" xfId="7" applyNumberFormat="1" applyFont="1"/>
    <xf numFmtId="165" fontId="13" fillId="0" borderId="0" xfId="1" applyNumberFormat="1" applyFont="1"/>
    <xf numFmtId="171" fontId="13" fillId="0" borderId="0" xfId="7" applyNumberFormat="1" applyFont="1"/>
    <xf numFmtId="9" fontId="13" fillId="0" borderId="0" xfId="1" applyFont="1"/>
    <xf numFmtId="0" fontId="20" fillId="0" borderId="2" xfId="7" applyFont="1" applyBorder="1"/>
    <xf numFmtId="0" fontId="20" fillId="0" borderId="22" xfId="7" applyFont="1" applyBorder="1"/>
    <xf numFmtId="0" fontId="13" fillId="0" borderId="3" xfId="7" applyFont="1" applyBorder="1"/>
    <xf numFmtId="0" fontId="13" fillId="0" borderId="4" xfId="7" applyFont="1" applyBorder="1"/>
    <xf numFmtId="3" fontId="13" fillId="0" borderId="5" xfId="7" applyNumberFormat="1" applyFont="1" applyBorder="1"/>
    <xf numFmtId="1" fontId="13" fillId="0" borderId="5" xfId="7" applyNumberFormat="1" applyFont="1" applyBorder="1"/>
    <xf numFmtId="165" fontId="13" fillId="0" borderId="5" xfId="1" applyNumberFormat="1" applyFont="1" applyBorder="1"/>
    <xf numFmtId="0" fontId="21" fillId="0" borderId="0" xfId="7" applyFont="1"/>
    <xf numFmtId="0" fontId="13" fillId="0" borderId="6" xfId="7" applyFont="1" applyBorder="1"/>
    <xf numFmtId="3" fontId="13" fillId="0" borderId="7" xfId="7" applyNumberFormat="1" applyFont="1" applyBorder="1"/>
    <xf numFmtId="0" fontId="13" fillId="0" borderId="8" xfId="7" applyFont="1" applyBorder="1"/>
    <xf numFmtId="0" fontId="13" fillId="0" borderId="23" xfId="7" applyFont="1" applyBorder="1"/>
    <xf numFmtId="170" fontId="13" fillId="0" borderId="9" xfId="7" applyNumberFormat="1" applyFont="1" applyBorder="1"/>
    <xf numFmtId="0" fontId="13" fillId="0" borderId="0" xfId="7" quotePrefix="1" applyFont="1"/>
    <xf numFmtId="175" fontId="13" fillId="0" borderId="0" xfId="7" applyNumberFormat="1" applyFont="1"/>
    <xf numFmtId="3" fontId="22" fillId="0" borderId="10" xfId="7" applyNumberFormat="1" applyFont="1" applyBorder="1"/>
    <xf numFmtId="3" fontId="13" fillId="0" borderId="10" xfId="7" applyNumberFormat="1" applyFont="1" applyBorder="1"/>
    <xf numFmtId="3" fontId="22" fillId="0" borderId="0" xfId="7" applyNumberFormat="1" applyFont="1"/>
    <xf numFmtId="165" fontId="13" fillId="0" borderId="0" xfId="1" applyNumberFormat="1" applyFont="1" applyFill="1" applyBorder="1"/>
    <xf numFmtId="0" fontId="22" fillId="0" borderId="0" xfId="7" quotePrefix="1" applyFont="1"/>
    <xf numFmtId="3" fontId="22" fillId="0" borderId="11" xfId="7" applyNumberFormat="1" applyFont="1" applyBorder="1"/>
    <xf numFmtId="3" fontId="13" fillId="0" borderId="11" xfId="7" applyNumberFormat="1" applyFont="1" applyBorder="1"/>
    <xf numFmtId="167" fontId="16" fillId="0" borderId="0" xfId="2" applyNumberFormat="1" applyFont="1"/>
    <xf numFmtId="0" fontId="23" fillId="0" borderId="0" xfId="0" applyFont="1"/>
    <xf numFmtId="0" fontId="0" fillId="0" borderId="17" xfId="0" applyBorder="1"/>
    <xf numFmtId="167" fontId="0" fillId="0" borderId="10" xfId="2" applyNumberFormat="1" applyFont="1" applyBorder="1"/>
    <xf numFmtId="9" fontId="0" fillId="0" borderId="18" xfId="1" applyFont="1" applyBorder="1"/>
    <xf numFmtId="0" fontId="0" fillId="0" borderId="21" xfId="0" applyBorder="1"/>
    <xf numFmtId="167" fontId="0" fillId="0" borderId="0" xfId="2" applyNumberFormat="1" applyFont="1" applyBorder="1"/>
    <xf numFmtId="9" fontId="0" fillId="0" borderId="16" xfId="1" applyFont="1" applyBorder="1"/>
    <xf numFmtId="0" fontId="23" fillId="0" borderId="21" xfId="0" applyFont="1" applyBorder="1"/>
    <xf numFmtId="167" fontId="23" fillId="0" borderId="0" xfId="2" applyNumberFormat="1" applyFont="1" applyBorder="1"/>
    <xf numFmtId="9" fontId="23" fillId="0" borderId="16" xfId="1" applyFont="1" applyBorder="1"/>
    <xf numFmtId="0" fontId="0" fillId="0" borderId="19" xfId="0" applyBorder="1"/>
    <xf numFmtId="167" fontId="0" fillId="0" borderId="1" xfId="2" applyNumberFormat="1" applyFont="1" applyBorder="1"/>
    <xf numFmtId="9" fontId="0" fillId="0" borderId="20" xfId="1" applyFont="1" applyBorder="1"/>
    <xf numFmtId="0" fontId="23" fillId="0" borderId="19" xfId="0" applyFont="1" applyBorder="1" applyAlignment="1">
      <alignment horizontal="right"/>
    </xf>
    <xf numFmtId="0" fontId="23" fillId="0" borderId="1" xfId="0" applyFont="1" applyBorder="1" applyAlignment="1">
      <alignment horizontal="right"/>
    </xf>
    <xf numFmtId="0" fontId="23" fillId="0" borderId="20" xfId="0" applyFont="1" applyBorder="1" applyAlignment="1">
      <alignment horizontal="right"/>
    </xf>
    <xf numFmtId="167" fontId="0" fillId="0" borderId="17" xfId="2" applyNumberFormat="1" applyFont="1" applyBorder="1"/>
    <xf numFmtId="167" fontId="0" fillId="0" borderId="21" xfId="2" applyNumberFormat="1" applyFont="1" applyBorder="1"/>
    <xf numFmtId="167" fontId="23" fillId="0" borderId="21" xfId="2" applyNumberFormat="1" applyFont="1" applyBorder="1"/>
    <xf numFmtId="167" fontId="0" fillId="0" borderId="19" xfId="2" applyNumberFormat="1" applyFont="1" applyBorder="1"/>
    <xf numFmtId="10" fontId="16" fillId="0" borderId="0" xfId="1" applyNumberFormat="1" applyFont="1"/>
    <xf numFmtId="10" fontId="16" fillId="0" borderId="15" xfId="1" applyNumberFormat="1" applyFont="1" applyBorder="1"/>
    <xf numFmtId="10" fontId="16" fillId="0" borderId="0" xfId="1" applyNumberFormat="1" applyFont="1" applyBorder="1"/>
    <xf numFmtId="165" fontId="0" fillId="0" borderId="0" xfId="1" applyNumberFormat="1" applyFont="1"/>
    <xf numFmtId="0" fontId="24" fillId="3" borderId="0" xfId="0" applyFont="1" applyFill="1"/>
    <xf numFmtId="0" fontId="16" fillId="0" borderId="21" xfId="0" applyFont="1" applyBorder="1"/>
    <xf numFmtId="0" fontId="16" fillId="0" borderId="19" xfId="0" applyFont="1" applyBorder="1"/>
    <xf numFmtId="0" fontId="18" fillId="0" borderId="0" xfId="0" applyFont="1" applyAlignment="1">
      <alignment horizontal="right"/>
    </xf>
    <xf numFmtId="174" fontId="18" fillId="0" borderId="0" xfId="2" applyNumberFormat="1" applyFont="1"/>
    <xf numFmtId="165" fontId="18" fillId="0" borderId="0" xfId="1" applyNumberFormat="1" applyFont="1"/>
    <xf numFmtId="1" fontId="16" fillId="0" borderId="0" xfId="0" applyNumberFormat="1" applyFont="1"/>
    <xf numFmtId="167" fontId="0" fillId="0" borderId="0" xfId="0" applyNumberFormat="1"/>
    <xf numFmtId="0" fontId="27" fillId="0" borderId="0" xfId="0" applyFont="1"/>
    <xf numFmtId="174" fontId="27" fillId="0" borderId="0" xfId="2" applyNumberFormat="1" applyFont="1"/>
    <xf numFmtId="165" fontId="27" fillId="0" borderId="0" xfId="1" applyNumberFormat="1" applyFont="1"/>
    <xf numFmtId="167" fontId="18" fillId="0" borderId="0" xfId="2" applyNumberFormat="1" applyFont="1" applyAlignment="1">
      <alignment horizontal="right"/>
    </xf>
    <xf numFmtId="167" fontId="27" fillId="0" borderId="0" xfId="2" applyNumberFormat="1" applyFont="1" applyAlignment="1">
      <alignment horizontal="right"/>
    </xf>
    <xf numFmtId="10" fontId="16" fillId="0" borderId="1" xfId="1" applyNumberFormat="1" applyFont="1" applyBorder="1"/>
    <xf numFmtId="1" fontId="16" fillId="0" borderId="16" xfId="0" applyNumberFormat="1" applyFont="1" applyBorder="1"/>
    <xf numFmtId="1" fontId="16" fillId="0" borderId="1" xfId="0" applyNumberFormat="1" applyFont="1" applyBorder="1"/>
    <xf numFmtId="1" fontId="16" fillId="0" borderId="20" xfId="0" applyNumberFormat="1" applyFont="1" applyBorder="1"/>
    <xf numFmtId="43" fontId="27" fillId="0" borderId="0" xfId="0" applyNumberFormat="1" applyFont="1"/>
    <xf numFmtId="0" fontId="28" fillId="2" borderId="16" xfId="7" applyFont="1" applyFill="1" applyBorder="1"/>
    <xf numFmtId="0" fontId="28" fillId="2" borderId="0" xfId="7" applyFont="1" applyFill="1" applyAlignment="1">
      <alignment horizontal="right"/>
    </xf>
    <xf numFmtId="0" fontId="28" fillId="2" borderId="16" xfId="7" applyFont="1" applyFill="1" applyBorder="1" applyAlignment="1">
      <alignment horizontal="right"/>
    </xf>
    <xf numFmtId="0" fontId="27" fillId="0" borderId="16" xfId="0" applyFont="1" applyBorder="1"/>
    <xf numFmtId="0" fontId="18" fillId="0" borderId="16" xfId="0" applyFont="1" applyBorder="1"/>
    <xf numFmtId="168" fontId="27" fillId="0" borderId="0" xfId="2" applyNumberFormat="1" applyFont="1" applyBorder="1"/>
    <xf numFmtId="168" fontId="27" fillId="0" borderId="16" xfId="2" applyNumberFormat="1" applyFont="1" applyBorder="1"/>
    <xf numFmtId="165" fontId="18" fillId="0" borderId="0" xfId="0" applyNumberFormat="1" applyFont="1"/>
    <xf numFmtId="165" fontId="18" fillId="0" borderId="0" xfId="1" applyNumberFormat="1" applyFont="1" applyBorder="1"/>
    <xf numFmtId="165" fontId="18" fillId="0" borderId="16" xfId="1" applyNumberFormat="1" applyFont="1" applyBorder="1"/>
    <xf numFmtId="165" fontId="18" fillId="0" borderId="0" xfId="1" applyNumberFormat="1" applyFont="1" applyFill="1" applyBorder="1"/>
    <xf numFmtId="165" fontId="18" fillId="0" borderId="21" xfId="1" applyNumberFormat="1" applyFont="1" applyBorder="1"/>
    <xf numFmtId="0" fontId="27" fillId="0" borderId="10" xfId="0" applyFont="1" applyBorder="1"/>
    <xf numFmtId="0" fontId="27" fillId="0" borderId="18" xfId="0" applyFont="1" applyBorder="1"/>
    <xf numFmtId="173" fontId="27" fillId="0" borderId="10" xfId="0" applyNumberFormat="1" applyFont="1" applyBorder="1"/>
    <xf numFmtId="168" fontId="27" fillId="0" borderId="10" xfId="2" applyNumberFormat="1" applyFont="1" applyBorder="1"/>
    <xf numFmtId="173" fontId="27" fillId="0" borderId="18" xfId="0" applyNumberFormat="1" applyFont="1" applyBorder="1"/>
    <xf numFmtId="0" fontId="18" fillId="0" borderId="10" xfId="0" applyFont="1" applyBorder="1"/>
    <xf numFmtId="0" fontId="18" fillId="0" borderId="18" xfId="0" applyFont="1" applyBorder="1"/>
    <xf numFmtId="173" fontId="27" fillId="0" borderId="0" xfId="0" applyNumberFormat="1" applyFont="1"/>
    <xf numFmtId="0" fontId="29" fillId="0" borderId="0" xfId="7" applyFont="1" applyAlignment="1">
      <alignment horizontal="right"/>
    </xf>
    <xf numFmtId="173" fontId="29" fillId="0" borderId="16" xfId="7" applyNumberFormat="1" applyFont="1" applyBorder="1" applyAlignment="1">
      <alignment horizontal="right"/>
    </xf>
    <xf numFmtId="173" fontId="29" fillId="0" borderId="0" xfId="7" applyNumberFormat="1" applyFont="1" applyAlignment="1">
      <alignment horizontal="right"/>
    </xf>
    <xf numFmtId="0" fontId="29" fillId="0" borderId="16" xfId="7" applyFont="1" applyBorder="1" applyAlignment="1">
      <alignment horizontal="right"/>
    </xf>
    <xf numFmtId="165" fontId="19" fillId="0" borderId="0" xfId="1" applyNumberFormat="1" applyFont="1" applyFill="1" applyBorder="1" applyAlignment="1">
      <alignment horizontal="right"/>
    </xf>
    <xf numFmtId="165" fontId="19" fillId="0" borderId="0" xfId="7" applyNumberFormat="1" applyFont="1" applyAlignment="1">
      <alignment horizontal="right"/>
    </xf>
    <xf numFmtId="43" fontId="29" fillId="0" borderId="16" xfId="7" applyNumberFormat="1" applyFont="1" applyBorder="1" applyAlignment="1">
      <alignment horizontal="right"/>
    </xf>
    <xf numFmtId="0" fontId="30" fillId="0" borderId="0" xfId="0" applyFont="1"/>
    <xf numFmtId="0" fontId="30" fillId="0" borderId="16" xfId="0" applyFont="1" applyBorder="1"/>
    <xf numFmtId="165" fontId="30" fillId="0" borderId="0" xfId="1" applyNumberFormat="1" applyFont="1" applyBorder="1"/>
    <xf numFmtId="170" fontId="27" fillId="0" borderId="0" xfId="0" applyNumberFormat="1" applyFont="1"/>
    <xf numFmtId="173" fontId="27" fillId="0" borderId="16" xfId="2" applyNumberFormat="1" applyFont="1" applyBorder="1"/>
    <xf numFmtId="173" fontId="27" fillId="0" borderId="0" xfId="2" applyNumberFormat="1" applyFont="1" applyBorder="1"/>
    <xf numFmtId="168" fontId="18" fillId="0" borderId="16" xfId="2" applyNumberFormat="1" applyFont="1" applyBorder="1"/>
    <xf numFmtId="168" fontId="18" fillId="0" borderId="0" xfId="2" applyNumberFormat="1" applyFont="1" applyBorder="1"/>
    <xf numFmtId="173" fontId="27" fillId="0" borderId="16" xfId="0" applyNumberFormat="1" applyFont="1" applyBorder="1"/>
    <xf numFmtId="0" fontId="18" fillId="0" borderId="1" xfId="0" applyFont="1" applyBorder="1"/>
    <xf numFmtId="0" fontId="18" fillId="0" borderId="20" xfId="0" applyFont="1" applyBorder="1"/>
    <xf numFmtId="170" fontId="27" fillId="0" borderId="16" xfId="0" applyNumberFormat="1" applyFont="1" applyBorder="1"/>
    <xf numFmtId="167" fontId="18" fillId="0" borderId="0" xfId="2" applyNumberFormat="1" applyFont="1" applyBorder="1"/>
    <xf numFmtId="167" fontId="18" fillId="0" borderId="16" xfId="2" applyNumberFormat="1" applyFont="1" applyFill="1" applyBorder="1"/>
    <xf numFmtId="167" fontId="18" fillId="0" borderId="16" xfId="2" applyNumberFormat="1" applyFont="1" applyBorder="1"/>
    <xf numFmtId="167" fontId="18" fillId="0" borderId="0" xfId="2" applyNumberFormat="1" applyFont="1" applyFill="1" applyBorder="1"/>
    <xf numFmtId="174" fontId="18" fillId="0" borderId="0" xfId="2" applyNumberFormat="1" applyFont="1" applyBorder="1"/>
    <xf numFmtId="167" fontId="27" fillId="0" borderId="0" xfId="2" applyNumberFormat="1" applyFont="1" applyBorder="1"/>
    <xf numFmtId="167" fontId="27" fillId="0" borderId="0" xfId="2" applyNumberFormat="1" applyFont="1" applyFill="1" applyBorder="1"/>
    <xf numFmtId="43" fontId="18" fillId="0" borderId="16" xfId="0" applyNumberFormat="1" applyFont="1" applyBorder="1"/>
    <xf numFmtId="43" fontId="18" fillId="0" borderId="0" xfId="0" applyNumberFormat="1" applyFont="1"/>
    <xf numFmtId="43" fontId="18" fillId="0" borderId="1" xfId="0" applyNumberFormat="1" applyFont="1" applyBorder="1"/>
    <xf numFmtId="168" fontId="27" fillId="0" borderId="18" xfId="2" applyNumberFormat="1" applyFont="1" applyBorder="1"/>
    <xf numFmtId="168" fontId="18" fillId="0" borderId="10" xfId="2" applyNumberFormat="1" applyFont="1" applyBorder="1"/>
    <xf numFmtId="168" fontId="18" fillId="0" borderId="18" xfId="2" applyNumberFormat="1" applyFont="1" applyBorder="1"/>
    <xf numFmtId="164" fontId="18" fillId="0" borderId="0" xfId="2" applyFont="1" applyBorder="1"/>
    <xf numFmtId="0" fontId="31" fillId="0" borderId="16" xfId="0" applyFont="1" applyBorder="1" applyAlignment="1">
      <alignment horizontal="left"/>
    </xf>
    <xf numFmtId="0" fontId="32" fillId="0" borderId="16" xfId="0" applyFont="1" applyBorder="1" applyAlignment="1">
      <alignment horizontal="left" indent="1"/>
    </xf>
    <xf numFmtId="173" fontId="18" fillId="0" borderId="0" xfId="0" applyNumberFormat="1" applyFont="1"/>
    <xf numFmtId="0" fontId="33" fillId="0" borderId="16" xfId="0" applyFont="1" applyBorder="1" applyAlignment="1">
      <alignment horizontal="left" indent="2"/>
    </xf>
    <xf numFmtId="0" fontId="31" fillId="0" borderId="18" xfId="0" applyFont="1" applyBorder="1" applyAlignment="1">
      <alignment horizontal="left"/>
    </xf>
    <xf numFmtId="168" fontId="27" fillId="0" borderId="18" xfId="0" applyNumberFormat="1" applyFont="1" applyBorder="1"/>
    <xf numFmtId="168" fontId="27" fillId="0" borderId="10" xfId="0" applyNumberFormat="1" applyFont="1" applyBorder="1"/>
    <xf numFmtId="168" fontId="18" fillId="0" borderId="0" xfId="2" applyNumberFormat="1" applyFont="1" applyFill="1" applyBorder="1"/>
    <xf numFmtId="168" fontId="27" fillId="0" borderId="16" xfId="0" applyNumberFormat="1" applyFont="1" applyBorder="1"/>
    <xf numFmtId="168" fontId="27" fillId="0" borderId="0" xfId="0" applyNumberFormat="1" applyFont="1"/>
    <xf numFmtId="0" fontId="32" fillId="0" borderId="16" xfId="0" applyFont="1" applyBorder="1" applyAlignment="1">
      <alignment horizontal="left"/>
    </xf>
    <xf numFmtId="0" fontId="31" fillId="0" borderId="16" xfId="0" applyFont="1" applyBorder="1"/>
    <xf numFmtId="173" fontId="18" fillId="0" borderId="16" xfId="0" applyNumberFormat="1" applyFont="1" applyBorder="1"/>
    <xf numFmtId="168" fontId="18" fillId="0" borderId="0" xfId="0" applyNumberFormat="1" applyFont="1"/>
    <xf numFmtId="0" fontId="33" fillId="0" borderId="16" xfId="0" applyFont="1" applyBorder="1" applyAlignment="1">
      <alignment horizontal="left" indent="1"/>
    </xf>
    <xf numFmtId="1" fontId="18" fillId="0" borderId="0" xfId="0" applyNumberFormat="1" applyFont="1"/>
    <xf numFmtId="168" fontId="18" fillId="0" borderId="16" xfId="0" applyNumberFormat="1" applyFont="1" applyBorder="1"/>
    <xf numFmtId="0" fontId="16" fillId="0" borderId="16" xfId="0" applyFont="1" applyBorder="1"/>
    <xf numFmtId="165" fontId="16" fillId="0" borderId="16" xfId="1" applyNumberFormat="1" applyFont="1" applyBorder="1"/>
    <xf numFmtId="165" fontId="16" fillId="0" borderId="20" xfId="1" applyNumberFormat="1" applyFont="1" applyBorder="1"/>
    <xf numFmtId="0" fontId="17" fillId="0" borderId="19" xfId="0" applyFont="1" applyBorder="1" applyAlignment="1">
      <alignment vertical="center"/>
    </xf>
    <xf numFmtId="1" fontId="25" fillId="0" borderId="20" xfId="0" applyNumberFormat="1" applyFont="1" applyBorder="1" applyAlignment="1">
      <alignment vertical="center"/>
    </xf>
    <xf numFmtId="9" fontId="18" fillId="0" borderId="0" xfId="1" applyFont="1" applyBorder="1"/>
    <xf numFmtId="9" fontId="27" fillId="0" borderId="0" xfId="1" applyFont="1" applyBorder="1"/>
    <xf numFmtId="0" fontId="31" fillId="0" borderId="14" xfId="0" applyFont="1" applyBorder="1" applyAlignment="1">
      <alignment horizontal="left"/>
    </xf>
    <xf numFmtId="0" fontId="27" fillId="0" borderId="12" xfId="0" applyFont="1" applyBorder="1"/>
    <xf numFmtId="168" fontId="27" fillId="0" borderId="14" xfId="0" applyNumberFormat="1" applyFont="1" applyBorder="1"/>
    <xf numFmtId="168" fontId="27" fillId="0" borderId="12" xfId="0" applyNumberFormat="1" applyFont="1" applyBorder="1"/>
    <xf numFmtId="0" fontId="31" fillId="4" borderId="14" xfId="0" applyFont="1" applyFill="1" applyBorder="1" applyAlignment="1">
      <alignment horizontal="left"/>
    </xf>
    <xf numFmtId="173" fontId="27" fillId="4" borderId="12" xfId="0" applyNumberFormat="1" applyFont="1" applyFill="1" applyBorder="1"/>
    <xf numFmtId="173" fontId="27" fillId="4" borderId="14" xfId="0" applyNumberFormat="1" applyFont="1" applyFill="1" applyBorder="1"/>
    <xf numFmtId="0" fontId="27" fillId="4" borderId="16" xfId="0" applyFont="1" applyFill="1" applyBorder="1"/>
    <xf numFmtId="0" fontId="18" fillId="4" borderId="0" xfId="0" applyFont="1" applyFill="1"/>
    <xf numFmtId="0" fontId="18" fillId="4" borderId="16" xfId="0" applyFont="1" applyFill="1" applyBorder="1"/>
    <xf numFmtId="10" fontId="16" fillId="0" borderId="20" xfId="1" applyNumberFormat="1" applyFont="1" applyBorder="1"/>
    <xf numFmtId="0" fontId="13" fillId="4" borderId="12" xfId="7" applyFont="1" applyFill="1" applyBorder="1"/>
    <xf numFmtId="1" fontId="13" fillId="4" borderId="14" xfId="7" applyNumberFormat="1" applyFont="1" applyFill="1" applyBorder="1"/>
    <xf numFmtId="0" fontId="27" fillId="0" borderId="14" xfId="0" applyFont="1" applyBorder="1"/>
    <xf numFmtId="168" fontId="27" fillId="0" borderId="12" xfId="2" applyNumberFormat="1" applyFont="1" applyBorder="1"/>
    <xf numFmtId="168" fontId="27" fillId="0" borderId="14" xfId="2" applyNumberFormat="1" applyFont="1" applyBorder="1"/>
    <xf numFmtId="168" fontId="27" fillId="0" borderId="0" xfId="2" applyNumberFormat="1" applyFont="1" applyFill="1" applyBorder="1"/>
    <xf numFmtId="168" fontId="27" fillId="0" borderId="16" xfId="2" applyNumberFormat="1" applyFont="1" applyFill="1" applyBorder="1"/>
    <xf numFmtId="0" fontId="28" fillId="4" borderId="0" xfId="7" applyFont="1" applyFill="1" applyAlignment="1">
      <alignment horizontal="right"/>
    </xf>
    <xf numFmtId="0" fontId="28" fillId="4" borderId="16" xfId="7" applyFont="1" applyFill="1" applyBorder="1" applyAlignment="1">
      <alignment horizontal="right"/>
    </xf>
    <xf numFmtId="0" fontId="34" fillId="2" borderId="16" xfId="0" applyFont="1" applyFill="1" applyBorder="1"/>
    <xf numFmtId="0" fontId="35" fillId="2" borderId="24" xfId="0" applyFont="1" applyFill="1" applyBorder="1" applyAlignment="1">
      <alignment horizontal="left"/>
    </xf>
    <xf numFmtId="0" fontId="35" fillId="2" borderId="12" xfId="0" applyFont="1" applyFill="1" applyBorder="1" applyAlignment="1">
      <alignment horizontal="right"/>
    </xf>
    <xf numFmtId="0" fontId="35" fillId="2" borderId="14" xfId="0" applyFont="1" applyFill="1" applyBorder="1" applyAlignment="1">
      <alignment horizontal="right"/>
    </xf>
    <xf numFmtId="0" fontId="13" fillId="0" borderId="21" xfId="7" applyFont="1" applyBorder="1"/>
    <xf numFmtId="165" fontId="13" fillId="0" borderId="0" xfId="1" applyNumberFormat="1" applyFont="1" applyBorder="1"/>
    <xf numFmtId="165" fontId="13" fillId="0" borderId="16" xfId="1" applyNumberFormat="1" applyFont="1" applyBorder="1"/>
    <xf numFmtId="0" fontId="13" fillId="0" borderId="19" xfId="7" applyFont="1" applyBorder="1"/>
    <xf numFmtId="0" fontId="15" fillId="2" borderId="17" xfId="7" applyFont="1" applyFill="1" applyBorder="1"/>
    <xf numFmtId="0" fontId="15" fillId="2" borderId="10" xfId="7" applyFont="1" applyFill="1" applyBorder="1" applyAlignment="1">
      <alignment horizontal="right"/>
    </xf>
    <xf numFmtId="3" fontId="22" fillId="0" borderId="21" xfId="7" applyNumberFormat="1" applyFont="1" applyBorder="1"/>
    <xf numFmtId="0" fontId="22" fillId="0" borderId="21" xfId="7" quotePrefix="1" applyFont="1" applyBorder="1"/>
    <xf numFmtId="165" fontId="22" fillId="0" borderId="0" xfId="7" applyNumberFormat="1" applyFont="1"/>
    <xf numFmtId="165" fontId="13" fillId="0" borderId="0" xfId="7" applyNumberFormat="1" applyFont="1"/>
    <xf numFmtId="3" fontId="22" fillId="0" borderId="17" xfId="7" applyNumberFormat="1" applyFont="1" applyBorder="1"/>
    <xf numFmtId="0" fontId="22" fillId="0" borderId="21" xfId="7" applyFont="1" applyBorder="1"/>
    <xf numFmtId="0" fontId="22" fillId="0" borderId="0" xfId="7" applyFont="1"/>
    <xf numFmtId="3" fontId="22" fillId="0" borderId="25" xfId="7" applyNumberFormat="1" applyFont="1" applyBorder="1"/>
    <xf numFmtId="172" fontId="13" fillId="0" borderId="0" xfId="7" applyNumberFormat="1" applyFont="1"/>
    <xf numFmtId="0" fontId="16" fillId="0" borderId="10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72" fontId="19" fillId="0" borderId="0" xfId="7" applyNumberFormat="1" applyFont="1"/>
    <xf numFmtId="167" fontId="13" fillId="0" borderId="0" xfId="2" applyNumberFormat="1" applyFont="1"/>
    <xf numFmtId="178" fontId="18" fillId="0" borderId="16" xfId="0" applyNumberFormat="1" applyFont="1" applyBorder="1"/>
    <xf numFmtId="0" fontId="27" fillId="4" borderId="18" xfId="0" applyFont="1" applyFill="1" applyBorder="1"/>
    <xf numFmtId="0" fontId="18" fillId="4" borderId="10" xfId="0" applyFont="1" applyFill="1" applyBorder="1"/>
    <xf numFmtId="0" fontId="18" fillId="4" borderId="18" xfId="0" applyFont="1" applyFill="1" applyBorder="1"/>
    <xf numFmtId="37" fontId="16" fillId="0" borderId="17" xfId="2" applyNumberFormat="1" applyFont="1" applyBorder="1" applyAlignment="1">
      <alignment horizontal="center"/>
    </xf>
    <xf numFmtId="37" fontId="16" fillId="0" borderId="10" xfId="2" applyNumberFormat="1" applyFont="1" applyBorder="1" applyAlignment="1">
      <alignment horizontal="center"/>
    </xf>
    <xf numFmtId="9" fontId="16" fillId="0" borderId="18" xfId="1" applyFont="1" applyBorder="1" applyAlignment="1">
      <alignment horizontal="center"/>
    </xf>
    <xf numFmtId="37" fontId="16" fillId="4" borderId="21" xfId="2" applyNumberFormat="1" applyFont="1" applyFill="1" applyBorder="1" applyAlignment="1">
      <alignment horizontal="center"/>
    </xf>
    <xf numFmtId="37" fontId="16" fillId="4" borderId="0" xfId="2" applyNumberFormat="1" applyFont="1" applyFill="1" applyBorder="1" applyAlignment="1">
      <alignment horizontal="center"/>
    </xf>
    <xf numFmtId="9" fontId="16" fillId="4" borderId="16" xfId="1" applyFont="1" applyFill="1" applyBorder="1" applyAlignment="1">
      <alignment horizontal="center"/>
    </xf>
    <xf numFmtId="37" fontId="16" fillId="0" borderId="21" xfId="2" applyNumberFormat="1" applyFont="1" applyBorder="1" applyAlignment="1">
      <alignment horizontal="center"/>
    </xf>
    <xf numFmtId="37" fontId="16" fillId="0" borderId="0" xfId="2" applyNumberFormat="1" applyFont="1" applyBorder="1" applyAlignment="1">
      <alignment horizontal="center"/>
    </xf>
    <xf numFmtId="9" fontId="16" fillId="0" borderId="16" xfId="1" applyFont="1" applyBorder="1" applyAlignment="1">
      <alignment horizontal="center"/>
    </xf>
    <xf numFmtId="0" fontId="36" fillId="0" borderId="0" xfId="11"/>
    <xf numFmtId="0" fontId="15" fillId="2" borderId="29" xfId="11" applyFont="1" applyFill="1" applyBorder="1" applyAlignment="1">
      <alignment horizontal="center" vertical="center" wrapText="1"/>
    </xf>
    <xf numFmtId="0" fontId="15" fillId="2" borderId="33" xfId="11" applyFont="1" applyFill="1" applyBorder="1" applyAlignment="1">
      <alignment horizontal="center" vertical="center" wrapText="1"/>
    </xf>
    <xf numFmtId="0" fontId="25" fillId="2" borderId="28" xfId="11" applyFont="1" applyFill="1" applyBorder="1" applyAlignment="1">
      <alignment horizontal="center" vertical="center"/>
    </xf>
    <xf numFmtId="0" fontId="25" fillId="2" borderId="32" xfId="11" applyFont="1" applyFill="1" applyBorder="1" applyAlignment="1">
      <alignment horizontal="center" vertical="center"/>
    </xf>
    <xf numFmtId="0" fontId="16" fillId="0" borderId="0" xfId="11" applyFont="1"/>
    <xf numFmtId="0" fontId="16" fillId="0" borderId="30" xfId="11" applyFont="1" applyBorder="1"/>
    <xf numFmtId="0" fontId="16" fillId="0" borderId="0" xfId="11" applyFont="1" applyAlignment="1">
      <alignment horizontal="center" vertical="center"/>
    </xf>
    <xf numFmtId="174" fontId="16" fillId="0" borderId="0" xfId="12" applyNumberFormat="1" applyFont="1" applyAlignment="1">
      <alignment vertical="center"/>
    </xf>
    <xf numFmtId="3" fontId="16" fillId="0" borderId="0" xfId="11" applyNumberFormat="1" applyFont="1"/>
    <xf numFmtId="37" fontId="16" fillId="0" borderId="0" xfId="11" applyNumberFormat="1" applyFont="1"/>
    <xf numFmtId="174" fontId="16" fillId="0" borderId="0" xfId="12" applyNumberFormat="1" applyFont="1" applyFill="1" applyAlignment="1">
      <alignment vertical="center"/>
    </xf>
    <xf numFmtId="0" fontId="25" fillId="2" borderId="35" xfId="11" applyFont="1" applyFill="1" applyBorder="1" applyAlignment="1">
      <alignment vertical="center"/>
    </xf>
    <xf numFmtId="0" fontId="16" fillId="0" borderId="0" xfId="11" applyFont="1" applyAlignment="1">
      <alignment wrapText="1"/>
    </xf>
    <xf numFmtId="179" fontId="16" fillId="5" borderId="0" xfId="12" applyNumberFormat="1" applyFont="1" applyFill="1" applyBorder="1" applyAlignment="1">
      <alignment horizontal="center" vertical="center"/>
    </xf>
    <xf numFmtId="165" fontId="16" fillId="5" borderId="0" xfId="13" applyNumberFormat="1" applyFont="1" applyFill="1" applyBorder="1" applyAlignment="1">
      <alignment horizontal="center" vertical="center"/>
    </xf>
    <xf numFmtId="179" fontId="17" fillId="5" borderId="12" xfId="12" applyNumberFormat="1" applyFont="1" applyFill="1" applyBorder="1" applyAlignment="1">
      <alignment horizontal="center" vertical="center"/>
    </xf>
    <xf numFmtId="0" fontId="17" fillId="5" borderId="0" xfId="11" applyFont="1" applyFill="1" applyAlignment="1">
      <alignment vertical="center"/>
    </xf>
    <xf numFmtId="180" fontId="17" fillId="5" borderId="0" xfId="12" applyNumberFormat="1" applyFont="1" applyFill="1" applyBorder="1" applyAlignment="1">
      <alignment horizontal="center" vertical="center"/>
    </xf>
    <xf numFmtId="165" fontId="17" fillId="5" borderId="0" xfId="13" applyNumberFormat="1" applyFont="1" applyFill="1" applyBorder="1" applyAlignment="1">
      <alignment horizontal="center" vertical="center"/>
    </xf>
    <xf numFmtId="0" fontId="17" fillId="0" borderId="0" xfId="11" applyFont="1"/>
    <xf numFmtId="0" fontId="36" fillId="0" borderId="0" xfId="11" quotePrefix="1"/>
    <xf numFmtId="10" fontId="36" fillId="0" borderId="0" xfId="11" applyNumberFormat="1"/>
    <xf numFmtId="0" fontId="37" fillId="0" borderId="0" xfId="14"/>
    <xf numFmtId="0" fontId="36" fillId="0" borderId="0" xfId="11" applyAlignment="1">
      <alignment horizontal="left"/>
    </xf>
    <xf numFmtId="181" fontId="36" fillId="0" borderId="0" xfId="11" applyNumberFormat="1"/>
    <xf numFmtId="0" fontId="38" fillId="0" borderId="0" xfId="11" applyFont="1"/>
    <xf numFmtId="0" fontId="36" fillId="0" borderId="0" xfId="11" applyAlignment="1">
      <alignment horizontal="left" indent="4"/>
    </xf>
    <xf numFmtId="0" fontId="38" fillId="0" borderId="0" xfId="11" applyFont="1" applyAlignment="1">
      <alignment horizontal="left" indent="2"/>
    </xf>
    <xf numFmtId="0" fontId="38" fillId="0" borderId="0" xfId="11" applyFont="1" applyAlignment="1">
      <alignment horizontal="left" indent="3"/>
    </xf>
    <xf numFmtId="0" fontId="36" fillId="0" borderId="0" xfId="0" applyFont="1"/>
    <xf numFmtId="0" fontId="16" fillId="0" borderId="0" xfId="11" applyFont="1" applyAlignment="1">
      <alignment horizontal="center"/>
    </xf>
    <xf numFmtId="0" fontId="25" fillId="2" borderId="28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3" fontId="16" fillId="0" borderId="0" xfId="11" applyNumberFormat="1" applyFont="1" applyAlignment="1">
      <alignment horizontal="center"/>
    </xf>
    <xf numFmtId="3" fontId="16" fillId="0" borderId="16" xfId="11" applyNumberFormat="1" applyFont="1" applyBorder="1" applyAlignment="1">
      <alignment horizontal="center"/>
    </xf>
    <xf numFmtId="0" fontId="36" fillId="0" borderId="0" xfId="0" quotePrefix="1" applyFont="1"/>
    <xf numFmtId="0" fontId="39" fillId="0" borderId="0" xfId="11" applyFont="1"/>
    <xf numFmtId="3" fontId="16" fillId="0" borderId="0" xfId="11" applyNumberFormat="1" applyFont="1" applyAlignment="1">
      <alignment horizontal="right"/>
    </xf>
    <xf numFmtId="0" fontId="25" fillId="2" borderId="36" xfId="11" applyFont="1" applyFill="1" applyBorder="1" applyAlignment="1">
      <alignment vertical="center"/>
    </xf>
    <xf numFmtId="0" fontId="25" fillId="2" borderId="37" xfId="11" applyFont="1" applyFill="1" applyBorder="1" applyAlignment="1">
      <alignment horizontal="center" vertical="center"/>
    </xf>
    <xf numFmtId="0" fontId="25" fillId="2" borderId="26" xfId="11" applyFont="1" applyFill="1" applyBorder="1" applyAlignment="1">
      <alignment horizontal="center" vertical="center"/>
    </xf>
    <xf numFmtId="0" fontId="25" fillId="2" borderId="34" xfId="11" applyFont="1" applyFill="1" applyBorder="1" applyAlignment="1">
      <alignment horizontal="center" vertical="center" wrapText="1"/>
    </xf>
    <xf numFmtId="165" fontId="16" fillId="5" borderId="0" xfId="12" applyNumberFormat="1" applyFont="1" applyFill="1" applyBorder="1" applyAlignment="1">
      <alignment horizontal="center" vertical="center"/>
    </xf>
    <xf numFmtId="165" fontId="16" fillId="5" borderId="16" xfId="1" applyNumberFormat="1" applyFont="1" applyFill="1" applyBorder="1" applyAlignment="1">
      <alignment horizontal="center" vertical="center"/>
    </xf>
    <xf numFmtId="165" fontId="17" fillId="5" borderId="12" xfId="1" applyNumberFormat="1" applyFont="1" applyFill="1" applyBorder="1" applyAlignment="1">
      <alignment horizontal="center" vertical="center"/>
    </xf>
    <xf numFmtId="179" fontId="16" fillId="5" borderId="16" xfId="12" applyNumberFormat="1" applyFont="1" applyFill="1" applyBorder="1" applyAlignment="1">
      <alignment horizontal="center" vertical="center"/>
    </xf>
    <xf numFmtId="179" fontId="16" fillId="5" borderId="15" xfId="12" applyNumberFormat="1" applyFont="1" applyFill="1" applyBorder="1" applyAlignment="1">
      <alignment horizontal="left" vertical="center"/>
    </xf>
    <xf numFmtId="179" fontId="16" fillId="4" borderId="15" xfId="12" applyNumberFormat="1" applyFont="1" applyFill="1" applyBorder="1" applyAlignment="1">
      <alignment horizontal="left" vertical="center"/>
    </xf>
    <xf numFmtId="179" fontId="17" fillId="5" borderId="24" xfId="12" applyNumberFormat="1" applyFont="1" applyFill="1" applyBorder="1" applyAlignment="1">
      <alignment horizontal="left" vertical="center"/>
    </xf>
    <xf numFmtId="165" fontId="17" fillId="5" borderId="14" xfId="1" applyNumberFormat="1" applyFont="1" applyFill="1" applyBorder="1" applyAlignment="1">
      <alignment horizontal="center" vertical="center"/>
    </xf>
    <xf numFmtId="179" fontId="17" fillId="5" borderId="24" xfId="12" applyNumberFormat="1" applyFont="1" applyFill="1" applyBorder="1" applyAlignment="1">
      <alignment horizontal="center" vertical="center"/>
    </xf>
    <xf numFmtId="179" fontId="17" fillId="5" borderId="14" xfId="12" applyNumberFormat="1" applyFont="1" applyFill="1" applyBorder="1" applyAlignment="1">
      <alignment horizontal="center" vertical="center"/>
    </xf>
    <xf numFmtId="179" fontId="16" fillId="4" borderId="0" xfId="12" applyNumberFormat="1" applyFont="1" applyFill="1" applyBorder="1" applyAlignment="1">
      <alignment horizontal="center" vertical="center"/>
    </xf>
    <xf numFmtId="179" fontId="16" fillId="4" borderId="16" xfId="12" applyNumberFormat="1" applyFont="1" applyFill="1" applyBorder="1" applyAlignment="1">
      <alignment horizontal="center" vertical="center"/>
    </xf>
    <xf numFmtId="165" fontId="16" fillId="4" borderId="0" xfId="12" applyNumberFormat="1" applyFont="1" applyFill="1" applyBorder="1" applyAlignment="1">
      <alignment horizontal="center" vertical="center"/>
    </xf>
    <xf numFmtId="165" fontId="19" fillId="0" borderId="0" xfId="1" applyNumberFormat="1" applyFont="1"/>
    <xf numFmtId="165" fontId="19" fillId="0" borderId="0" xfId="7" applyNumberFormat="1" applyFont="1"/>
    <xf numFmtId="43" fontId="19" fillId="0" borderId="0" xfId="7" applyNumberFormat="1" applyFont="1"/>
    <xf numFmtId="179" fontId="36" fillId="0" borderId="0" xfId="11" applyNumberFormat="1"/>
    <xf numFmtId="165" fontId="13" fillId="0" borderId="20" xfId="1" applyNumberFormat="1" applyFont="1" applyBorder="1"/>
    <xf numFmtId="0" fontId="40" fillId="0" borderId="0" xfId="0" applyFont="1" applyAlignment="1">
      <alignment horizontal="right"/>
    </xf>
    <xf numFmtId="182" fontId="41" fillId="5" borderId="0" xfId="15" applyNumberFormat="1" applyFont="1" applyFill="1" applyAlignment="1">
      <alignment horizontal="left"/>
    </xf>
    <xf numFmtId="183" fontId="31" fillId="5" borderId="0" xfId="15" applyNumberFormat="1" applyFont="1" applyFill="1" applyAlignment="1">
      <alignment horizontal="left"/>
    </xf>
    <xf numFmtId="0" fontId="32" fillId="5" borderId="0" xfId="15" applyFont="1" applyFill="1"/>
    <xf numFmtId="0" fontId="31" fillId="6" borderId="0" xfId="15" applyFont="1" applyFill="1"/>
    <xf numFmtId="0" fontId="42" fillId="6" borderId="0" xfId="15" applyFont="1" applyFill="1"/>
    <xf numFmtId="0" fontId="43" fillId="6" borderId="0" xfId="15" applyFont="1" applyFill="1"/>
    <xf numFmtId="0" fontId="31" fillId="7" borderId="0" xfId="15" applyFont="1" applyFill="1"/>
    <xf numFmtId="0" fontId="41" fillId="5" borderId="0" xfId="16" applyFont="1" applyFill="1"/>
    <xf numFmtId="0" fontId="31" fillId="5" borderId="0" xfId="16" applyFont="1" applyFill="1"/>
    <xf numFmtId="0" fontId="33" fillId="5" borderId="0" xfId="16" applyFont="1" applyFill="1"/>
    <xf numFmtId="0" fontId="37" fillId="5" borderId="0" xfId="14" applyFill="1" applyAlignment="1" applyProtection="1"/>
    <xf numFmtId="0" fontId="0" fillId="5" borderId="0" xfId="16" quotePrefix="1" applyFont="1" applyFill="1"/>
    <xf numFmtId="168" fontId="18" fillId="0" borderId="0" xfId="2" applyNumberFormat="1" applyFont="1"/>
    <xf numFmtId="0" fontId="16" fillId="0" borderId="0" xfId="0" quotePrefix="1" applyFont="1"/>
    <xf numFmtId="0" fontId="18" fillId="0" borderId="16" xfId="0" quotePrefix="1" applyFont="1" applyBorder="1"/>
    <xf numFmtId="0" fontId="27" fillId="0" borderId="5" xfId="0" applyFont="1" applyBorder="1"/>
    <xf numFmtId="0" fontId="18" fillId="0" borderId="5" xfId="0" applyFont="1" applyBorder="1"/>
    <xf numFmtId="173" fontId="18" fillId="0" borderId="5" xfId="0" applyNumberFormat="1" applyFont="1" applyBorder="1"/>
    <xf numFmtId="165" fontId="18" fillId="0" borderId="5" xfId="0" applyNumberFormat="1" applyFont="1" applyBorder="1"/>
    <xf numFmtId="1" fontId="18" fillId="0" borderId="5" xfId="0" applyNumberFormat="1" applyFont="1" applyBorder="1"/>
    <xf numFmtId="173" fontId="19" fillId="0" borderId="0" xfId="7" applyNumberFormat="1" applyFont="1"/>
    <xf numFmtId="165" fontId="19" fillId="0" borderId="0" xfId="1" applyNumberFormat="1" applyFont="1" applyBorder="1"/>
    <xf numFmtId="0" fontId="38" fillId="0" borderId="0" xfId="11" quotePrefix="1" applyFont="1"/>
    <xf numFmtId="0" fontId="18" fillId="0" borderId="43" xfId="0" applyFont="1" applyBorder="1"/>
    <xf numFmtId="0" fontId="28" fillId="2" borderId="44" xfId="7" applyFont="1" applyFill="1" applyBorder="1" applyAlignment="1">
      <alignment horizontal="right"/>
    </xf>
    <xf numFmtId="0" fontId="18" fillId="4" borderId="44" xfId="0" applyFont="1" applyFill="1" applyBorder="1"/>
    <xf numFmtId="168" fontId="27" fillId="0" borderId="45" xfId="2" applyNumberFormat="1" applyFont="1" applyBorder="1"/>
    <xf numFmtId="165" fontId="18" fillId="0" borderId="44" xfId="0" applyNumberFormat="1" applyFont="1" applyBorder="1"/>
    <xf numFmtId="165" fontId="18" fillId="0" borderId="44" xfId="1" applyNumberFormat="1" applyFont="1" applyBorder="1"/>
    <xf numFmtId="0" fontId="18" fillId="0" borderId="44" xfId="0" applyFont="1" applyBorder="1"/>
    <xf numFmtId="173" fontId="27" fillId="0" borderId="44" xfId="0" applyNumberFormat="1" applyFont="1" applyBorder="1"/>
    <xf numFmtId="0" fontId="18" fillId="4" borderId="45" xfId="0" applyFont="1" applyFill="1" applyBorder="1"/>
    <xf numFmtId="168" fontId="27" fillId="0" borderId="44" xfId="2" applyNumberFormat="1" applyFont="1" applyBorder="1"/>
    <xf numFmtId="173" fontId="27" fillId="0" borderId="45" xfId="0" applyNumberFormat="1" applyFont="1" applyBorder="1"/>
    <xf numFmtId="0" fontId="28" fillId="4" borderId="44" xfId="7" applyFont="1" applyFill="1" applyBorder="1" applyAlignment="1">
      <alignment horizontal="right"/>
    </xf>
    <xf numFmtId="173" fontId="29" fillId="0" borderId="44" xfId="7" applyNumberFormat="1" applyFont="1" applyBorder="1" applyAlignment="1">
      <alignment horizontal="right"/>
    </xf>
    <xf numFmtId="165" fontId="19" fillId="0" borderId="44" xfId="1" applyNumberFormat="1" applyFont="1" applyFill="1" applyBorder="1" applyAlignment="1">
      <alignment horizontal="right"/>
    </xf>
    <xf numFmtId="165" fontId="19" fillId="0" borderId="44" xfId="7" applyNumberFormat="1" applyFont="1" applyBorder="1" applyAlignment="1">
      <alignment horizontal="right"/>
    </xf>
    <xf numFmtId="0" fontId="29" fillId="0" borderId="44" xfId="7" applyFont="1" applyBorder="1" applyAlignment="1">
      <alignment horizontal="right"/>
    </xf>
    <xf numFmtId="0" fontId="30" fillId="0" borderId="44" xfId="0" applyFont="1" applyBorder="1"/>
    <xf numFmtId="0" fontId="18" fillId="0" borderId="45" xfId="0" applyFont="1" applyBorder="1"/>
    <xf numFmtId="173" fontId="27" fillId="0" borderId="44" xfId="2" applyNumberFormat="1" applyFont="1" applyBorder="1"/>
    <xf numFmtId="168" fontId="18" fillId="0" borderId="44" xfId="2" applyNumberFormat="1" applyFont="1" applyBorder="1"/>
    <xf numFmtId="165" fontId="18" fillId="0" borderId="46" xfId="0" applyNumberFormat="1" applyFont="1" applyBorder="1"/>
    <xf numFmtId="165" fontId="18" fillId="4" borderId="44" xfId="0" applyNumberFormat="1" applyFont="1" applyFill="1" applyBorder="1"/>
    <xf numFmtId="170" fontId="27" fillId="0" borderId="44" xfId="0" applyNumberFormat="1" applyFont="1" applyBorder="1"/>
    <xf numFmtId="167" fontId="18" fillId="0" borderId="44" xfId="2" applyNumberFormat="1" applyFont="1" applyBorder="1"/>
    <xf numFmtId="174" fontId="18" fillId="0" borderId="44" xfId="2" applyNumberFormat="1" applyFont="1" applyBorder="1"/>
    <xf numFmtId="43" fontId="18" fillId="0" borderId="44" xfId="0" applyNumberFormat="1" applyFont="1" applyBorder="1"/>
    <xf numFmtId="168" fontId="27" fillId="0" borderId="44" xfId="2" applyNumberFormat="1" applyFont="1" applyFill="1" applyBorder="1"/>
    <xf numFmtId="168" fontId="18" fillId="0" borderId="45" xfId="2" applyNumberFormat="1" applyFont="1" applyBorder="1"/>
    <xf numFmtId="168" fontId="27" fillId="0" borderId="47" xfId="2" applyNumberFormat="1" applyFont="1" applyBorder="1"/>
    <xf numFmtId="164" fontId="18" fillId="0" borderId="44" xfId="2" applyFont="1" applyBorder="1"/>
    <xf numFmtId="168" fontId="27" fillId="0" borderId="47" xfId="0" applyNumberFormat="1" applyFont="1" applyBorder="1"/>
    <xf numFmtId="168" fontId="27" fillId="0" borderId="44" xfId="0" applyNumberFormat="1" applyFont="1" applyBorder="1"/>
    <xf numFmtId="173" fontId="27" fillId="4" borderId="47" xfId="0" applyNumberFormat="1" applyFont="1" applyFill="1" applyBorder="1"/>
    <xf numFmtId="177" fontId="18" fillId="0" borderId="44" xfId="0" applyNumberFormat="1" applyFont="1" applyBorder="1"/>
    <xf numFmtId="168" fontId="27" fillId="0" borderId="45" xfId="0" applyNumberFormat="1" applyFont="1" applyBorder="1"/>
    <xf numFmtId="168" fontId="18" fillId="0" borderId="44" xfId="0" applyNumberFormat="1" applyFont="1" applyBorder="1"/>
    <xf numFmtId="173" fontId="18" fillId="0" borderId="44" xfId="0" applyNumberFormat="1" applyFont="1" applyBorder="1"/>
    <xf numFmtId="0" fontId="24" fillId="0" borderId="0" xfId="0" applyFont="1"/>
    <xf numFmtId="167" fontId="16" fillId="0" borderId="0" xfId="11" applyNumberFormat="1" applyFont="1"/>
    <xf numFmtId="0" fontId="36" fillId="0" borderId="0" xfId="11" applyAlignment="1">
      <alignment vertical="center"/>
    </xf>
    <xf numFmtId="1" fontId="16" fillId="0" borderId="0" xfId="11" applyNumberFormat="1" applyFont="1"/>
    <xf numFmtId="1" fontId="16" fillId="0" borderId="0" xfId="12" applyNumberFormat="1" applyFont="1" applyAlignment="1">
      <alignment vertical="center"/>
    </xf>
    <xf numFmtId="0" fontId="40" fillId="0" borderId="0" xfId="0" applyFont="1"/>
    <xf numFmtId="0" fontId="25" fillId="2" borderId="30" xfId="11" applyFont="1" applyFill="1" applyBorder="1" applyAlignment="1">
      <alignment horizontal="center" vertical="center"/>
    </xf>
    <xf numFmtId="9" fontId="0" fillId="0" borderId="0" xfId="0" applyNumberFormat="1"/>
    <xf numFmtId="184" fontId="0" fillId="0" borderId="0" xfId="0" applyNumberFormat="1"/>
    <xf numFmtId="185" fontId="0" fillId="0" borderId="0" xfId="0" applyNumberFormat="1"/>
    <xf numFmtId="165" fontId="0" fillId="0" borderId="0" xfId="0" applyNumberFormat="1"/>
    <xf numFmtId="172" fontId="36" fillId="0" borderId="0" xfId="11" applyNumberFormat="1"/>
    <xf numFmtId="3" fontId="36" fillId="0" borderId="0" xfId="11" applyNumberFormat="1"/>
    <xf numFmtId="165" fontId="16" fillId="0" borderId="0" xfId="11" applyNumberFormat="1" applyFont="1" applyAlignment="1">
      <alignment horizontal="center" vertical="center"/>
    </xf>
    <xf numFmtId="3" fontId="16" fillId="0" borderId="16" xfId="11" applyNumberFormat="1" applyFont="1" applyBorder="1" applyAlignment="1">
      <alignment horizontal="right"/>
    </xf>
    <xf numFmtId="0" fontId="36" fillId="0" borderId="0" xfId="11" applyAlignment="1">
      <alignment horizontal="center"/>
    </xf>
    <xf numFmtId="0" fontId="15" fillId="2" borderId="31" xfId="11" applyFont="1" applyFill="1" applyBorder="1" applyAlignment="1">
      <alignment horizontal="center" vertical="center" wrapText="1"/>
    </xf>
    <xf numFmtId="0" fontId="15" fillId="2" borderId="37" xfId="11" applyFont="1" applyFill="1" applyBorder="1" applyAlignment="1">
      <alignment horizontal="center" vertical="center" wrapText="1"/>
    </xf>
    <xf numFmtId="0" fontId="16" fillId="0" borderId="16" xfId="11" applyFont="1" applyBorder="1" applyAlignment="1">
      <alignment horizontal="center" vertical="center"/>
    </xf>
    <xf numFmtId="0" fontId="36" fillId="0" borderId="16" xfId="11" applyBorder="1" applyAlignment="1">
      <alignment horizontal="center"/>
    </xf>
    <xf numFmtId="0" fontId="36" fillId="0" borderId="16" xfId="11" applyBorder="1"/>
    <xf numFmtId="37" fontId="16" fillId="0" borderId="42" xfId="11" applyNumberFormat="1" applyFont="1" applyBorder="1"/>
    <xf numFmtId="37" fontId="16" fillId="0" borderId="16" xfId="11" applyNumberFormat="1" applyFont="1" applyBorder="1"/>
    <xf numFmtId="0" fontId="46" fillId="0" borderId="0" xfId="7" applyFont="1"/>
    <xf numFmtId="164" fontId="13" fillId="0" borderId="0" xfId="2" applyFont="1" applyBorder="1"/>
    <xf numFmtId="0" fontId="16" fillId="0" borderId="22" xfId="0" applyFont="1" applyBorder="1"/>
    <xf numFmtId="0" fontId="16" fillId="0" borderId="23" xfId="0" applyFont="1" applyBorder="1"/>
    <xf numFmtId="1" fontId="13" fillId="0" borderId="9" xfId="7" applyNumberFormat="1" applyFont="1" applyBorder="1"/>
    <xf numFmtId="3" fontId="0" fillId="0" borderId="0" xfId="0" applyNumberFormat="1"/>
    <xf numFmtId="167" fontId="0" fillId="0" borderId="0" xfId="2" applyNumberFormat="1" applyFont="1"/>
    <xf numFmtId="9" fontId="0" fillId="0" borderId="0" xfId="1" applyFont="1"/>
    <xf numFmtId="0" fontId="47" fillId="0" borderId="0" xfId="0" applyFont="1"/>
    <xf numFmtId="9" fontId="47" fillId="0" borderId="0" xfId="0" applyNumberFormat="1" applyFont="1"/>
    <xf numFmtId="0" fontId="25" fillId="2" borderId="1" xfId="0" applyFont="1" applyFill="1" applyBorder="1" applyAlignment="1">
      <alignment horizontal="center"/>
    </xf>
    <xf numFmtId="0" fontId="25" fillId="2" borderId="7" xfId="0" applyFont="1" applyFill="1" applyBorder="1" applyAlignment="1">
      <alignment horizontal="center"/>
    </xf>
    <xf numFmtId="0" fontId="16" fillId="0" borderId="49" xfId="0" applyFont="1" applyBorder="1"/>
    <xf numFmtId="0" fontId="16" fillId="4" borderId="4" xfId="0" applyFont="1" applyFill="1" applyBorder="1"/>
    <xf numFmtId="0" fontId="16" fillId="0" borderId="4" xfId="0" applyFont="1" applyBorder="1"/>
    <xf numFmtId="0" fontId="25" fillId="2" borderId="54" xfId="0" applyFont="1" applyFill="1" applyBorder="1" applyAlignment="1">
      <alignment horizontal="center"/>
    </xf>
    <xf numFmtId="1" fontId="16" fillId="4" borderId="16" xfId="1" applyNumberFormat="1" applyFont="1" applyFill="1" applyBorder="1" applyAlignment="1">
      <alignment horizontal="center"/>
    </xf>
    <xf numFmtId="1" fontId="16" fillId="0" borderId="16" xfId="1" applyNumberFormat="1" applyFont="1" applyBorder="1" applyAlignment="1">
      <alignment horizontal="center"/>
    </xf>
    <xf numFmtId="165" fontId="16" fillId="4" borderId="21" xfId="2" applyNumberFormat="1" applyFont="1" applyFill="1" applyBorder="1" applyAlignment="1">
      <alignment horizontal="center"/>
    </xf>
    <xf numFmtId="165" fontId="16" fillId="0" borderId="21" xfId="2" applyNumberFormat="1" applyFont="1" applyBorder="1" applyAlignment="1">
      <alignment horizontal="center"/>
    </xf>
    <xf numFmtId="0" fontId="16" fillId="5" borderId="4" xfId="0" applyFont="1" applyFill="1" applyBorder="1"/>
    <xf numFmtId="39" fontId="16" fillId="5" borderId="21" xfId="2" applyNumberFormat="1" applyFont="1" applyFill="1" applyBorder="1" applyAlignment="1">
      <alignment horizontal="center"/>
    </xf>
    <xf numFmtId="39" fontId="16" fillId="5" borderId="0" xfId="2" applyNumberFormat="1" applyFont="1" applyFill="1" applyBorder="1" applyAlignment="1">
      <alignment horizontal="center"/>
    </xf>
    <xf numFmtId="9" fontId="16" fillId="5" borderId="16" xfId="1" applyFont="1" applyFill="1" applyBorder="1" applyAlignment="1">
      <alignment horizontal="center"/>
    </xf>
    <xf numFmtId="0" fontId="16" fillId="4" borderId="8" xfId="0" applyFont="1" applyFill="1" applyBorder="1"/>
    <xf numFmtId="37" fontId="16" fillId="4" borderId="50" xfId="2" applyNumberFormat="1" applyFont="1" applyFill="1" applyBorder="1" applyAlignment="1">
      <alignment horizontal="center"/>
    </xf>
    <xf numFmtId="37" fontId="16" fillId="4" borderId="23" xfId="2" applyNumberFormat="1" applyFont="1" applyFill="1" applyBorder="1" applyAlignment="1">
      <alignment horizontal="center"/>
    </xf>
    <xf numFmtId="9" fontId="16" fillId="4" borderId="51" xfId="1" applyFont="1" applyFill="1" applyBorder="1" applyAlignment="1">
      <alignment horizontal="center"/>
    </xf>
    <xf numFmtId="165" fontId="16" fillId="4" borderId="0" xfId="2" applyNumberFormat="1" applyFont="1" applyFill="1" applyBorder="1" applyAlignment="1">
      <alignment horizontal="center"/>
    </xf>
    <xf numFmtId="165" fontId="16" fillId="0" borderId="0" xfId="2" applyNumberFormat="1" applyFont="1" applyBorder="1" applyAlignment="1">
      <alignment horizontal="center"/>
    </xf>
    <xf numFmtId="43" fontId="0" fillId="0" borderId="0" xfId="0" applyNumberFormat="1"/>
    <xf numFmtId="0" fontId="49" fillId="8" borderId="29" xfId="0" applyFont="1" applyFill="1" applyBorder="1" applyAlignment="1">
      <alignment horizontal="left"/>
    </xf>
    <xf numFmtId="0" fontId="49" fillId="8" borderId="56" xfId="0" applyFont="1" applyFill="1" applyBorder="1" applyAlignment="1">
      <alignment horizontal="center"/>
    </xf>
    <xf numFmtId="0" fontId="49" fillId="8" borderId="58" xfId="0" applyFont="1" applyFill="1" applyBorder="1" applyAlignment="1">
      <alignment horizontal="left"/>
    </xf>
    <xf numFmtId="0" fontId="50" fillId="8" borderId="59" xfId="0" applyFont="1" applyFill="1" applyBorder="1"/>
    <xf numFmtId="0" fontId="49" fillId="8" borderId="60" xfId="0" applyFont="1" applyFill="1" applyBorder="1" applyAlignment="1">
      <alignment horizontal="center"/>
    </xf>
    <xf numFmtId="0" fontId="49" fillId="8" borderId="59" xfId="0" applyFont="1" applyFill="1" applyBorder="1" applyAlignment="1">
      <alignment horizontal="center"/>
    </xf>
    <xf numFmtId="0" fontId="50" fillId="0" borderId="0" xfId="0" applyFont="1"/>
    <xf numFmtId="0" fontId="38" fillId="0" borderId="0" xfId="0" applyFont="1"/>
    <xf numFmtId="0" fontId="38" fillId="0" borderId="0" xfId="0" quotePrefix="1" applyFont="1" applyAlignment="1">
      <alignment horizontal="left"/>
    </xf>
    <xf numFmtId="165" fontId="38" fillId="4" borderId="63" xfId="0" applyNumberFormat="1" applyFont="1" applyFill="1" applyBorder="1" applyAlignment="1">
      <alignment horizontal="center"/>
    </xf>
    <xf numFmtId="165" fontId="38" fillId="9" borderId="64" xfId="0" applyNumberFormat="1" applyFont="1" applyFill="1" applyBorder="1" applyAlignment="1">
      <alignment horizontal="center"/>
    </xf>
    <xf numFmtId="186" fontId="50" fillId="4" borderId="63" xfId="0" applyNumberFormat="1" applyFont="1" applyFill="1" applyBorder="1" applyAlignment="1">
      <alignment horizontal="center"/>
    </xf>
    <xf numFmtId="186" fontId="52" fillId="0" borderId="64" xfId="0" applyNumberFormat="1" applyFont="1" applyBorder="1" applyAlignment="1">
      <alignment horizontal="center"/>
    </xf>
    <xf numFmtId="186" fontId="50" fillId="0" borderId="64" xfId="0" applyNumberFormat="1" applyFont="1" applyBorder="1" applyAlignment="1">
      <alignment horizontal="center"/>
    </xf>
    <xf numFmtId="165" fontId="52" fillId="0" borderId="64" xfId="0" applyNumberFormat="1" applyFont="1" applyBorder="1" applyAlignment="1">
      <alignment horizontal="center"/>
    </xf>
    <xf numFmtId="186" fontId="50" fillId="0" borderId="66" xfId="0" applyNumberFormat="1" applyFont="1" applyBorder="1" applyAlignment="1">
      <alignment horizontal="center"/>
    </xf>
    <xf numFmtId="186" fontId="50" fillId="9" borderId="64" xfId="0" applyNumberFormat="1" applyFont="1" applyFill="1" applyBorder="1" applyAlignment="1">
      <alignment horizontal="center"/>
    </xf>
    <xf numFmtId="1" fontId="38" fillId="4" borderId="0" xfId="0" applyNumberFormat="1" applyFont="1" applyFill="1" applyAlignment="1">
      <alignment horizontal="center"/>
    </xf>
    <xf numFmtId="165" fontId="38" fillId="4" borderId="0" xfId="0" applyNumberFormat="1" applyFont="1" applyFill="1" applyAlignment="1">
      <alignment horizontal="center"/>
    </xf>
    <xf numFmtId="165" fontId="50" fillId="0" borderId="64" xfId="0" applyNumberFormat="1" applyFont="1" applyBorder="1" applyAlignment="1">
      <alignment horizontal="center"/>
    </xf>
    <xf numFmtId="0" fontId="53" fillId="0" borderId="0" xfId="0" applyFont="1"/>
    <xf numFmtId="0" fontId="9" fillId="0" borderId="0" xfId="0" applyFont="1"/>
    <xf numFmtId="0" fontId="9" fillId="0" borderId="0" xfId="0" quotePrefix="1" applyFont="1" applyAlignment="1">
      <alignment horizontal="left" indent="1"/>
    </xf>
    <xf numFmtId="165" fontId="9" fillId="9" borderId="64" xfId="0" applyNumberFormat="1" applyFont="1" applyFill="1" applyBorder="1" applyAlignment="1">
      <alignment horizontal="center"/>
    </xf>
    <xf numFmtId="0" fontId="9" fillId="0" borderId="0" xfId="0" quotePrefix="1" applyFont="1" applyAlignment="1">
      <alignment horizontal="left"/>
    </xf>
    <xf numFmtId="165" fontId="9" fillId="4" borderId="63" xfId="0" applyNumberFormat="1" applyFont="1" applyFill="1" applyBorder="1" applyAlignment="1">
      <alignment horizontal="center"/>
    </xf>
    <xf numFmtId="165" fontId="9" fillId="4" borderId="0" xfId="0" applyNumberFormat="1" applyFont="1" applyFill="1" applyAlignment="1">
      <alignment horizontal="center"/>
    </xf>
    <xf numFmtId="165" fontId="9" fillId="4" borderId="65" xfId="0" applyNumberFormat="1" applyFont="1" applyFill="1" applyBorder="1" applyAlignment="1">
      <alignment horizontal="center"/>
    </xf>
    <xf numFmtId="165" fontId="9" fillId="9" borderId="66" xfId="0" applyNumberFormat="1" applyFont="1" applyFill="1" applyBorder="1" applyAlignment="1">
      <alignment horizontal="center"/>
    </xf>
    <xf numFmtId="165" fontId="18" fillId="0" borderId="16" xfId="0" applyNumberFormat="1" applyFont="1" applyBorder="1"/>
    <xf numFmtId="165" fontId="19" fillId="0" borderId="16" xfId="1" applyNumberFormat="1" applyFont="1" applyFill="1" applyBorder="1" applyAlignment="1">
      <alignment horizontal="right"/>
    </xf>
    <xf numFmtId="165" fontId="19" fillId="0" borderId="16" xfId="7" applyNumberFormat="1" applyFont="1" applyBorder="1" applyAlignment="1">
      <alignment horizontal="right"/>
    </xf>
    <xf numFmtId="165" fontId="30" fillId="0" borderId="16" xfId="1" applyNumberFormat="1" applyFont="1" applyBorder="1"/>
    <xf numFmtId="174" fontId="18" fillId="0" borderId="16" xfId="2" applyNumberFormat="1" applyFont="1" applyBorder="1"/>
    <xf numFmtId="43" fontId="48" fillId="0" borderId="16" xfId="0" applyNumberFormat="1" applyFont="1" applyBorder="1"/>
    <xf numFmtId="164" fontId="18" fillId="0" borderId="16" xfId="2" applyFont="1" applyBorder="1"/>
    <xf numFmtId="43" fontId="18" fillId="0" borderId="20" xfId="0" applyNumberFormat="1" applyFont="1" applyBorder="1"/>
    <xf numFmtId="9" fontId="18" fillId="0" borderId="16" xfId="1" applyFont="1" applyBorder="1"/>
    <xf numFmtId="165" fontId="36" fillId="0" borderId="0" xfId="1" applyNumberFormat="1" applyFont="1"/>
    <xf numFmtId="167" fontId="36" fillId="0" borderId="0" xfId="2" applyNumberFormat="1" applyFont="1"/>
    <xf numFmtId="9" fontId="8" fillId="0" borderId="0" xfId="1" applyFont="1"/>
    <xf numFmtId="1" fontId="36" fillId="0" borderId="0" xfId="11" applyNumberFormat="1"/>
    <xf numFmtId="0" fontId="55" fillId="0" borderId="0" xfId="0" applyFont="1"/>
    <xf numFmtId="187" fontId="18" fillId="0" borderId="16" xfId="2" applyNumberFormat="1" applyFont="1" applyBorder="1"/>
    <xf numFmtId="187" fontId="18" fillId="0" borderId="0" xfId="2" applyNumberFormat="1" applyFont="1" applyBorder="1"/>
    <xf numFmtId="0" fontId="7" fillId="0" borderId="0" xfId="0" quotePrefix="1" applyFont="1" applyAlignment="1">
      <alignment horizontal="left" indent="1"/>
    </xf>
    <xf numFmtId="0" fontId="50" fillId="8" borderId="67" xfId="0" applyFont="1" applyFill="1" applyBorder="1"/>
    <xf numFmtId="0" fontId="49" fillId="8" borderId="10" xfId="0" applyFont="1" applyFill="1" applyBorder="1" applyAlignment="1">
      <alignment horizontal="center"/>
    </xf>
    <xf numFmtId="165" fontId="38" fillId="9" borderId="0" xfId="0" applyNumberFormat="1" applyFont="1" applyFill="1" applyAlignment="1">
      <alignment horizontal="center"/>
    </xf>
    <xf numFmtId="165" fontId="9" fillId="9" borderId="0" xfId="0" applyNumberFormat="1" applyFont="1" applyFill="1" applyAlignment="1">
      <alignment horizontal="center"/>
    </xf>
    <xf numFmtId="38" fontId="38" fillId="9" borderId="0" xfId="0" applyNumberFormat="1" applyFont="1" applyFill="1" applyAlignment="1">
      <alignment horizontal="center"/>
    </xf>
    <xf numFmtId="0" fontId="9" fillId="0" borderId="26" xfId="0" applyFont="1" applyBorder="1"/>
    <xf numFmtId="165" fontId="38" fillId="9" borderId="68" xfId="0" applyNumberFormat="1" applyFont="1" applyFill="1" applyBorder="1" applyAlignment="1">
      <alignment horizontal="center"/>
    </xf>
    <xf numFmtId="165" fontId="9" fillId="9" borderId="68" xfId="0" applyNumberFormat="1" applyFont="1" applyFill="1" applyBorder="1" applyAlignment="1">
      <alignment horizontal="center"/>
    </xf>
    <xf numFmtId="0" fontId="9" fillId="0" borderId="27" xfId="0" applyFont="1" applyBorder="1"/>
    <xf numFmtId="165" fontId="9" fillId="4" borderId="26" xfId="0" applyNumberFormat="1" applyFont="1" applyFill="1" applyBorder="1" applyAlignment="1">
      <alignment horizontal="center"/>
    </xf>
    <xf numFmtId="165" fontId="9" fillId="9" borderId="37" xfId="0" applyNumberFormat="1" applyFont="1" applyFill="1" applyBorder="1" applyAlignment="1">
      <alignment horizontal="center"/>
    </xf>
    <xf numFmtId="165" fontId="9" fillId="9" borderId="26" xfId="0" applyNumberFormat="1" applyFont="1" applyFill="1" applyBorder="1" applyAlignment="1">
      <alignment horizontal="center"/>
    </xf>
    <xf numFmtId="1" fontId="38" fillId="9" borderId="68" xfId="0" applyNumberFormat="1" applyFont="1" applyFill="1" applyBorder="1" applyAlignment="1">
      <alignment horizontal="center"/>
    </xf>
    <xf numFmtId="0" fontId="49" fillId="8" borderId="0" xfId="0" applyFont="1" applyFill="1" applyAlignment="1">
      <alignment horizontal="center" vertical="center"/>
    </xf>
    <xf numFmtId="0" fontId="49" fillId="8" borderId="31" xfId="0" applyFont="1" applyFill="1" applyBorder="1" applyAlignment="1">
      <alignment horizontal="center" vertical="center"/>
    </xf>
    <xf numFmtId="1" fontId="38" fillId="9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165" fontId="6" fillId="9" borderId="68" xfId="0" applyNumberFormat="1" applyFont="1" applyFill="1" applyBorder="1" applyAlignment="1">
      <alignment horizontal="center"/>
    </xf>
    <xf numFmtId="0" fontId="6" fillId="0" borderId="0" xfId="0" quotePrefix="1" applyFont="1" applyAlignment="1">
      <alignment horizontal="left" indent="1"/>
    </xf>
    <xf numFmtId="165" fontId="52" fillId="0" borderId="62" xfId="0" applyNumberFormat="1" applyFont="1" applyBorder="1" applyAlignment="1">
      <alignment horizontal="center"/>
    </xf>
    <xf numFmtId="3" fontId="38" fillId="4" borderId="61" xfId="0" applyNumberFormat="1" applyFont="1" applyFill="1" applyBorder="1" applyAlignment="1">
      <alignment horizontal="center"/>
    </xf>
    <xf numFmtId="3" fontId="38" fillId="9" borderId="62" xfId="0" applyNumberFormat="1" applyFont="1" applyFill="1" applyBorder="1" applyAlignment="1">
      <alignment horizontal="center"/>
    </xf>
    <xf numFmtId="3" fontId="38" fillId="4" borderId="63" xfId="0" applyNumberFormat="1" applyFont="1" applyFill="1" applyBorder="1" applyAlignment="1">
      <alignment horizontal="center"/>
    </xf>
    <xf numFmtId="3" fontId="38" fillId="9" borderId="64" xfId="0" applyNumberFormat="1" applyFont="1" applyFill="1" applyBorder="1" applyAlignment="1">
      <alignment horizontal="center"/>
    </xf>
    <xf numFmtId="0" fontId="19" fillId="0" borderId="21" xfId="7" applyFont="1" applyBorder="1"/>
    <xf numFmtId="0" fontId="5" fillId="0" borderId="0" xfId="0" quotePrefix="1" applyFont="1" applyAlignment="1">
      <alignment horizontal="left" indent="1"/>
    </xf>
    <xf numFmtId="165" fontId="5" fillId="9" borderId="0" xfId="0" applyNumberFormat="1" applyFont="1" applyFill="1" applyAlignment="1">
      <alignment horizontal="center"/>
    </xf>
    <xf numFmtId="165" fontId="56" fillId="0" borderId="0" xfId="1" applyNumberFormat="1" applyFont="1" applyBorder="1"/>
    <xf numFmtId="0" fontId="56" fillId="0" borderId="0" xfId="0" applyFont="1"/>
    <xf numFmtId="165" fontId="56" fillId="0" borderId="0" xfId="0" applyNumberFormat="1" applyFont="1"/>
    <xf numFmtId="174" fontId="18" fillId="0" borderId="0" xfId="0" applyNumberFormat="1" applyFont="1"/>
    <xf numFmtId="0" fontId="28" fillId="2" borderId="15" xfId="7" applyFont="1" applyFill="1" applyBorder="1" applyAlignment="1">
      <alignment horizontal="right"/>
    </xf>
    <xf numFmtId="0" fontId="18" fillId="4" borderId="15" xfId="0" applyFont="1" applyFill="1" applyBorder="1"/>
    <xf numFmtId="168" fontId="27" fillId="0" borderId="70" xfId="2" applyNumberFormat="1" applyFont="1" applyBorder="1"/>
    <xf numFmtId="0" fontId="18" fillId="0" borderId="15" xfId="0" applyFont="1" applyBorder="1"/>
    <xf numFmtId="165" fontId="18" fillId="0" borderId="15" xfId="1" applyNumberFormat="1" applyFont="1" applyBorder="1"/>
    <xf numFmtId="0" fontId="18" fillId="4" borderId="70" xfId="0" applyFont="1" applyFill="1" applyBorder="1"/>
    <xf numFmtId="168" fontId="27" fillId="0" borderId="15" xfId="2" applyNumberFormat="1" applyFont="1" applyBorder="1"/>
    <xf numFmtId="173" fontId="27" fillId="0" borderId="70" xfId="0" applyNumberFormat="1" applyFont="1" applyBorder="1"/>
    <xf numFmtId="0" fontId="28" fillId="4" borderId="15" xfId="7" applyFont="1" applyFill="1" applyBorder="1" applyAlignment="1">
      <alignment horizontal="right"/>
    </xf>
    <xf numFmtId="0" fontId="29" fillId="0" borderId="15" xfId="7" applyFont="1" applyBorder="1" applyAlignment="1">
      <alignment horizontal="right"/>
    </xf>
    <xf numFmtId="0" fontId="30" fillId="0" borderId="15" xfId="0" applyFont="1" applyBorder="1"/>
    <xf numFmtId="0" fontId="18" fillId="0" borderId="70" xfId="0" applyFont="1" applyBorder="1"/>
    <xf numFmtId="0" fontId="27" fillId="0" borderId="15" xfId="0" applyFont="1" applyBorder="1"/>
    <xf numFmtId="0" fontId="18" fillId="0" borderId="71" xfId="0" applyFont="1" applyBorder="1"/>
    <xf numFmtId="167" fontId="18" fillId="0" borderId="15" xfId="2" applyNumberFormat="1" applyFont="1" applyBorder="1"/>
    <xf numFmtId="168" fontId="27" fillId="0" borderId="15" xfId="2" applyNumberFormat="1" applyFont="1" applyFill="1" applyBorder="1"/>
    <xf numFmtId="168" fontId="18" fillId="0" borderId="70" xfId="2" applyNumberFormat="1" applyFont="1" applyBorder="1"/>
    <xf numFmtId="168" fontId="18" fillId="0" borderId="15" xfId="2" applyNumberFormat="1" applyFont="1" applyBorder="1"/>
    <xf numFmtId="168" fontId="27" fillId="0" borderId="13" xfId="2" applyNumberFormat="1" applyFont="1" applyBorder="1"/>
    <xf numFmtId="168" fontId="27" fillId="0" borderId="13" xfId="0" applyNumberFormat="1" applyFont="1" applyBorder="1"/>
    <xf numFmtId="168" fontId="27" fillId="0" borderId="15" xfId="0" applyNumberFormat="1" applyFont="1" applyBorder="1"/>
    <xf numFmtId="173" fontId="27" fillId="4" borderId="13" xfId="0" applyNumberFormat="1" applyFont="1" applyFill="1" applyBorder="1"/>
    <xf numFmtId="173" fontId="18" fillId="0" borderId="15" xfId="0" applyNumberFormat="1" applyFont="1" applyBorder="1"/>
    <xf numFmtId="168" fontId="27" fillId="0" borderId="70" xfId="0" applyNumberFormat="1" applyFont="1" applyBorder="1"/>
    <xf numFmtId="43" fontId="18" fillId="0" borderId="15" xfId="0" applyNumberFormat="1" applyFont="1" applyBorder="1"/>
    <xf numFmtId="10" fontId="0" fillId="0" borderId="0" xfId="0" applyNumberFormat="1"/>
    <xf numFmtId="0" fontId="0" fillId="0" borderId="0" xfId="0" applyAlignment="1">
      <alignment horizontal="right"/>
    </xf>
    <xf numFmtId="10" fontId="0" fillId="0" borderId="0" xfId="1" applyNumberFormat="1" applyFont="1"/>
    <xf numFmtId="9" fontId="18" fillId="0" borderId="0" xfId="1" applyFont="1" applyFill="1" applyBorder="1"/>
    <xf numFmtId="0" fontId="48" fillId="0" borderId="0" xfId="0" applyFont="1"/>
    <xf numFmtId="9" fontId="40" fillId="0" borderId="0" xfId="1" applyFont="1" applyFill="1" applyBorder="1"/>
    <xf numFmtId="168" fontId="27" fillId="0" borderId="21" xfId="2" applyNumberFormat="1" applyFont="1" applyBorder="1"/>
    <xf numFmtId="0" fontId="18" fillId="0" borderId="21" xfId="0" applyFont="1" applyBorder="1"/>
    <xf numFmtId="165" fontId="48" fillId="0" borderId="0" xfId="0" applyNumberFormat="1" applyFont="1"/>
    <xf numFmtId="0" fontId="57" fillId="5" borderId="0" xfId="17" applyFill="1" applyAlignment="1" applyProtection="1"/>
    <xf numFmtId="165" fontId="27" fillId="0" borderId="0" xfId="1" applyNumberFormat="1" applyFont="1" applyBorder="1"/>
    <xf numFmtId="0" fontId="58" fillId="0" borderId="0" xfId="0" applyFont="1"/>
    <xf numFmtId="188" fontId="18" fillId="0" borderId="0" xfId="0" applyNumberFormat="1" applyFont="1"/>
    <xf numFmtId="189" fontId="18" fillId="0" borderId="0" xfId="0" applyNumberFormat="1" applyFont="1"/>
    <xf numFmtId="186" fontId="4" fillId="4" borderId="0" xfId="0" applyNumberFormat="1" applyFont="1" applyFill="1" applyAlignment="1">
      <alignment horizontal="center"/>
    </xf>
    <xf numFmtId="186" fontId="4" fillId="9" borderId="68" xfId="0" applyNumberFormat="1" applyFont="1" applyFill="1" applyBorder="1" applyAlignment="1">
      <alignment horizontal="center"/>
    </xf>
    <xf numFmtId="170" fontId="38" fillId="4" borderId="0" xfId="0" applyNumberFormat="1" applyFont="1" applyFill="1" applyAlignment="1">
      <alignment horizontal="center"/>
    </xf>
    <xf numFmtId="170" fontId="38" fillId="9" borderId="68" xfId="0" applyNumberFormat="1" applyFont="1" applyFill="1" applyBorder="1" applyAlignment="1">
      <alignment horizontal="center"/>
    </xf>
    <xf numFmtId="165" fontId="9" fillId="0" borderId="0" xfId="1" applyNumberFormat="1" applyFont="1"/>
    <xf numFmtId="175" fontId="16" fillId="0" borderId="0" xfId="0" applyNumberFormat="1" applyFont="1"/>
    <xf numFmtId="164" fontId="48" fillId="0" borderId="0" xfId="2" applyFont="1"/>
    <xf numFmtId="168" fontId="18" fillId="5" borderId="18" xfId="2" applyNumberFormat="1" applyFont="1" applyFill="1" applyBorder="1"/>
    <xf numFmtId="168" fontId="27" fillId="5" borderId="14" xfId="2" applyNumberFormat="1" applyFont="1" applyFill="1" applyBorder="1"/>
    <xf numFmtId="165" fontId="48" fillId="0" borderId="16" xfId="0" applyNumberFormat="1" applyFont="1" applyBorder="1"/>
    <xf numFmtId="168" fontId="18" fillId="0" borderId="16" xfId="2" applyNumberFormat="1" applyFont="1" applyFill="1" applyBorder="1"/>
    <xf numFmtId="174" fontId="18" fillId="0" borderId="16" xfId="0" applyNumberFormat="1" applyFont="1" applyBorder="1"/>
    <xf numFmtId="165" fontId="3" fillId="4" borderId="63" xfId="0" applyNumberFormat="1" applyFont="1" applyFill="1" applyBorder="1" applyAlignment="1">
      <alignment horizontal="center"/>
    </xf>
    <xf numFmtId="165" fontId="3" fillId="9" borderId="64" xfId="0" applyNumberFormat="1" applyFont="1" applyFill="1" applyBorder="1" applyAlignment="1">
      <alignment horizontal="center"/>
    </xf>
    <xf numFmtId="9" fontId="18" fillId="0" borderId="0" xfId="1" applyFont="1"/>
    <xf numFmtId="9" fontId="18" fillId="0" borderId="10" xfId="1" applyFont="1" applyBorder="1"/>
    <xf numFmtId="165" fontId="18" fillId="0" borderId="16" xfId="1" applyNumberFormat="1" applyFont="1" applyFill="1" applyBorder="1"/>
    <xf numFmtId="1" fontId="18" fillId="0" borderId="16" xfId="0" applyNumberFormat="1" applyFont="1" applyBorder="1"/>
    <xf numFmtId="168" fontId="13" fillId="0" borderId="0" xfId="2" applyNumberFormat="1" applyFont="1"/>
    <xf numFmtId="165" fontId="48" fillId="0" borderId="0" xfId="1" applyNumberFormat="1" applyFont="1"/>
    <xf numFmtId="165" fontId="48" fillId="0" borderId="16" xfId="1" applyNumberFormat="1" applyFont="1" applyBorder="1"/>
    <xf numFmtId="10" fontId="18" fillId="0" borderId="0" xfId="1" applyNumberFormat="1" applyFont="1"/>
    <xf numFmtId="0" fontId="49" fillId="8" borderId="57" xfId="0" applyFont="1" applyFill="1" applyBorder="1" applyAlignment="1">
      <alignment horizontal="center" vertical="center" wrapText="1"/>
    </xf>
    <xf numFmtId="0" fontId="49" fillId="8" borderId="57" xfId="0" applyFont="1" applyFill="1" applyBorder="1" applyAlignment="1">
      <alignment horizontal="center"/>
    </xf>
    <xf numFmtId="172" fontId="38" fillId="9" borderId="64" xfId="0" applyNumberFormat="1" applyFont="1" applyFill="1" applyBorder="1" applyAlignment="1">
      <alignment horizontal="center"/>
    </xf>
    <xf numFmtId="0" fontId="2" fillId="0" borderId="0" xfId="0" applyFont="1"/>
    <xf numFmtId="2" fontId="38" fillId="9" borderId="64" xfId="0" applyNumberFormat="1" applyFont="1" applyFill="1" applyBorder="1" applyAlignment="1">
      <alignment horizontal="center"/>
    </xf>
    <xf numFmtId="165" fontId="2" fillId="9" borderId="64" xfId="0" applyNumberFormat="1" applyFont="1" applyFill="1" applyBorder="1" applyAlignment="1">
      <alignment horizontal="center"/>
    </xf>
    <xf numFmtId="0" fontId="51" fillId="0" borderId="26" xfId="0" applyFont="1" applyBorder="1"/>
    <xf numFmtId="0" fontId="50" fillId="0" borderId="26" xfId="0" applyFont="1" applyBorder="1"/>
    <xf numFmtId="0" fontId="49" fillId="8" borderId="68" xfId="0" applyFont="1" applyFill="1" applyBorder="1" applyAlignment="1">
      <alignment horizontal="left"/>
    </xf>
    <xf numFmtId="0" fontId="50" fillId="0" borderId="68" xfId="0" applyFont="1" applyBorder="1"/>
    <xf numFmtId="0" fontId="38" fillId="0" borderId="68" xfId="0" applyFont="1" applyBorder="1"/>
    <xf numFmtId="0" fontId="2" fillId="0" borderId="68" xfId="0" applyFont="1" applyBorder="1"/>
    <xf numFmtId="0" fontId="2" fillId="0" borderId="26" xfId="0" applyFont="1" applyBorder="1"/>
    <xf numFmtId="165" fontId="2" fillId="9" borderId="72" xfId="0" applyNumberFormat="1" applyFont="1" applyFill="1" applyBorder="1" applyAlignment="1">
      <alignment horizontal="center"/>
    </xf>
    <xf numFmtId="186" fontId="50" fillId="0" borderId="72" xfId="0" applyNumberFormat="1" applyFont="1" applyBorder="1" applyAlignment="1">
      <alignment horizontal="center"/>
    </xf>
    <xf numFmtId="3" fontId="38" fillId="4" borderId="73" xfId="0" applyNumberFormat="1" applyFont="1" applyFill="1" applyBorder="1" applyAlignment="1">
      <alignment horizontal="center"/>
    </xf>
    <xf numFmtId="165" fontId="38" fillId="4" borderId="74" xfId="0" applyNumberFormat="1" applyFont="1" applyFill="1" applyBorder="1" applyAlignment="1">
      <alignment horizontal="center"/>
    </xf>
    <xf numFmtId="165" fontId="2" fillId="4" borderId="74" xfId="0" applyNumberFormat="1" applyFont="1" applyFill="1" applyBorder="1" applyAlignment="1">
      <alignment horizontal="center"/>
    </xf>
    <xf numFmtId="165" fontId="9" fillId="4" borderId="74" xfId="0" applyNumberFormat="1" applyFont="1" applyFill="1" applyBorder="1" applyAlignment="1">
      <alignment horizontal="center"/>
    </xf>
    <xf numFmtId="186" fontId="50" fillId="4" borderId="74" xfId="0" applyNumberFormat="1" applyFont="1" applyFill="1" applyBorder="1" applyAlignment="1">
      <alignment horizontal="center"/>
    </xf>
    <xf numFmtId="3" fontId="38" fillId="4" borderId="74" xfId="0" applyNumberFormat="1" applyFont="1" applyFill="1" applyBorder="1" applyAlignment="1">
      <alignment horizontal="center"/>
    </xf>
    <xf numFmtId="165" fontId="2" fillId="4" borderId="75" xfId="0" applyNumberFormat="1" applyFont="1" applyFill="1" applyBorder="1" applyAlignment="1">
      <alignment horizontal="center"/>
    </xf>
    <xf numFmtId="172" fontId="38" fillId="4" borderId="74" xfId="0" applyNumberFormat="1" applyFont="1" applyFill="1" applyBorder="1" applyAlignment="1">
      <alignment horizontal="center"/>
    </xf>
    <xf numFmtId="0" fontId="50" fillId="0" borderId="37" xfId="0" applyFont="1" applyBorder="1"/>
    <xf numFmtId="0" fontId="49" fillId="8" borderId="37" xfId="0" applyFont="1" applyFill="1" applyBorder="1" applyAlignment="1">
      <alignment horizontal="left"/>
    </xf>
    <xf numFmtId="0" fontId="50" fillId="8" borderId="76" xfId="0" applyFont="1" applyFill="1" applyBorder="1"/>
    <xf numFmtId="0" fontId="38" fillId="0" borderId="29" xfId="0" applyFont="1" applyBorder="1"/>
    <xf numFmtId="0" fontId="6" fillId="0" borderId="58" xfId="0" quotePrefix="1" applyFont="1" applyBorder="1" applyAlignment="1">
      <alignment horizontal="left" indent="1"/>
    </xf>
    <xf numFmtId="0" fontId="38" fillId="0" borderId="58" xfId="0" quotePrefix="1" applyFont="1" applyBorder="1" applyAlignment="1">
      <alignment horizontal="left"/>
    </xf>
    <xf numFmtId="0" fontId="2" fillId="0" borderId="58" xfId="0" quotePrefix="1" applyFont="1" applyBorder="1" applyAlignment="1">
      <alignment horizontal="left" indent="1"/>
    </xf>
    <xf numFmtId="0" fontId="38" fillId="0" borderId="58" xfId="0" applyFont="1" applyBorder="1"/>
    <xf numFmtId="0" fontId="2" fillId="0" borderId="33" xfId="0" quotePrefix="1" applyFont="1" applyBorder="1" applyAlignment="1">
      <alignment horizontal="left"/>
    </xf>
    <xf numFmtId="0" fontId="49" fillId="8" borderId="0" xfId="0" applyFont="1" applyFill="1" applyAlignment="1">
      <alignment horizontal="center"/>
    </xf>
    <xf numFmtId="0" fontId="49" fillId="8" borderId="57" xfId="0" applyFont="1" applyFill="1" applyBorder="1" applyAlignment="1">
      <alignment horizontal="center"/>
    </xf>
    <xf numFmtId="0" fontId="49" fillId="8" borderId="0" xfId="0" applyFont="1" applyFill="1" applyAlignment="1">
      <alignment horizontal="center" vertical="center"/>
    </xf>
    <xf numFmtId="0" fontId="49" fillId="8" borderId="68" xfId="0" applyFont="1" applyFill="1" applyBorder="1" applyAlignment="1">
      <alignment horizontal="center" vertical="center"/>
    </xf>
    <xf numFmtId="0" fontId="49" fillId="8" borderId="28" xfId="0" applyFont="1" applyFill="1" applyBorder="1" applyAlignment="1">
      <alignment horizontal="center" vertical="center"/>
    </xf>
    <xf numFmtId="0" fontId="49" fillId="8" borderId="32" xfId="0" applyFont="1" applyFill="1" applyBorder="1" applyAlignment="1">
      <alignment horizontal="center" vertical="center"/>
    </xf>
    <xf numFmtId="0" fontId="49" fillId="8" borderId="69" xfId="0" applyFont="1" applyFill="1" applyBorder="1" applyAlignment="1">
      <alignment horizontal="center" vertical="center"/>
    </xf>
    <xf numFmtId="0" fontId="49" fillId="8" borderId="57" xfId="0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/>
    </xf>
    <xf numFmtId="0" fontId="25" fillId="2" borderId="55" xfId="0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5" fillId="2" borderId="52" xfId="0" applyFont="1" applyFill="1" applyBorder="1" applyAlignment="1">
      <alignment horizontal="center" vertical="center" wrapText="1"/>
    </xf>
    <xf numFmtId="0" fontId="25" fillId="2" borderId="53" xfId="0" applyFont="1" applyFill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25" fillId="2" borderId="38" xfId="11" applyFont="1" applyFill="1" applyBorder="1" applyAlignment="1">
      <alignment horizontal="center" vertical="center"/>
    </xf>
    <xf numFmtId="0" fontId="25" fillId="2" borderId="39" xfId="11" applyFont="1" applyFill="1" applyBorder="1" applyAlignment="1">
      <alignment horizontal="center" vertical="center"/>
    </xf>
    <xf numFmtId="0" fontId="25" fillId="2" borderId="41" xfId="11" applyFont="1" applyFill="1" applyBorder="1" applyAlignment="1">
      <alignment horizontal="center" vertical="center"/>
    </xf>
    <xf numFmtId="0" fontId="25" fillId="2" borderId="38" xfId="11" applyFont="1" applyFill="1" applyBorder="1" applyAlignment="1">
      <alignment horizontal="center" vertical="center" wrapText="1"/>
    </xf>
    <xf numFmtId="0" fontId="25" fillId="2" borderId="39" xfId="11" applyFont="1" applyFill="1" applyBorder="1" applyAlignment="1">
      <alignment horizontal="center" vertical="center" wrapText="1"/>
    </xf>
    <xf numFmtId="0" fontId="25" fillId="2" borderId="40" xfId="11" applyFont="1" applyFill="1" applyBorder="1" applyAlignment="1">
      <alignment horizontal="center" vertical="center" wrapText="1"/>
    </xf>
    <xf numFmtId="0" fontId="15" fillId="2" borderId="29" xfId="11" applyFont="1" applyFill="1" applyBorder="1" applyAlignment="1">
      <alignment horizontal="center" vertical="center" wrapText="1"/>
    </xf>
    <xf numFmtId="0" fontId="15" fillId="2" borderId="33" xfId="11" applyFont="1" applyFill="1" applyBorder="1" applyAlignment="1">
      <alignment horizontal="center" vertical="center" wrapText="1"/>
    </xf>
    <xf numFmtId="0" fontId="25" fillId="2" borderId="28" xfId="11" applyFont="1" applyFill="1" applyBorder="1" applyAlignment="1">
      <alignment horizontal="center" vertical="center"/>
    </xf>
    <xf numFmtId="0" fontId="25" fillId="2" borderId="32" xfId="11" applyFont="1" applyFill="1" applyBorder="1" applyAlignment="1">
      <alignment horizontal="center" vertical="center"/>
    </xf>
    <xf numFmtId="0" fontId="25" fillId="2" borderId="27" xfId="11" applyFont="1" applyFill="1" applyBorder="1" applyAlignment="1">
      <alignment horizontal="center" vertical="center"/>
    </xf>
    <xf numFmtId="0" fontId="25" fillId="2" borderId="29" xfId="11" applyFont="1" applyFill="1" applyBorder="1" applyAlignment="1">
      <alignment horizontal="center" vertical="center"/>
    </xf>
    <xf numFmtId="0" fontId="25" fillId="2" borderId="33" xfId="11" applyFont="1" applyFill="1" applyBorder="1" applyAlignment="1">
      <alignment horizontal="center" vertical="center"/>
    </xf>
    <xf numFmtId="0" fontId="25" fillId="2" borderId="29" xfId="11" applyFont="1" applyFill="1" applyBorder="1" applyAlignment="1">
      <alignment horizontal="center" vertical="center" wrapText="1"/>
    </xf>
    <xf numFmtId="0" fontId="25" fillId="2" borderId="33" xfId="11" applyFont="1" applyFill="1" applyBorder="1" applyAlignment="1">
      <alignment horizontal="center" vertical="center" wrapText="1"/>
    </xf>
    <xf numFmtId="0" fontId="25" fillId="2" borderId="48" xfId="11" applyFont="1" applyFill="1" applyBorder="1" applyAlignment="1">
      <alignment horizontal="center" vertical="center"/>
    </xf>
    <xf numFmtId="0" fontId="25" fillId="2" borderId="26" xfId="11" applyFont="1" applyFill="1" applyBorder="1" applyAlignment="1">
      <alignment horizontal="center" vertical="center"/>
    </xf>
  </cellXfs>
  <cellStyles count="18">
    <cellStyle name="Comma" xfId="2" builtinId="3"/>
    <cellStyle name="Comma 2" xfId="12" xr:uid="{00000000-0005-0000-0000-000001000000}"/>
    <cellStyle name="Comma 3 2" xfId="9" xr:uid="{00000000-0005-0000-0000-000002000000}"/>
    <cellStyle name="Hyperlink" xfId="17" builtinId="8"/>
    <cellStyle name="Hyperlink 2" xfId="14" xr:uid="{00000000-0005-0000-0000-000003000000}"/>
    <cellStyle name="Komma 2" xfId="5" xr:uid="{00000000-0005-0000-0000-000004000000}"/>
    <cellStyle name="Normal" xfId="0" builtinId="0"/>
    <cellStyle name="Normal - Style1" xfId="7" xr:uid="{00000000-0005-0000-0000-000006000000}"/>
    <cellStyle name="Normal 2" xfId="11" xr:uid="{00000000-0005-0000-0000-000007000000}"/>
    <cellStyle name="Normal 2 2" xfId="15" xr:uid="{00000000-0005-0000-0000-000008000000}"/>
    <cellStyle name="Normal_JCP (cleared)" xfId="16" xr:uid="{00000000-0005-0000-0000-000009000000}"/>
    <cellStyle name="Percent" xfId="1" builtinId="5"/>
    <cellStyle name="Percent 2" xfId="10" xr:uid="{00000000-0005-0000-0000-00000B000000}"/>
    <cellStyle name="Percent 2 2" xfId="8" xr:uid="{00000000-0005-0000-0000-00000C000000}"/>
    <cellStyle name="Percent 3" xfId="13" xr:uid="{00000000-0005-0000-0000-00000D000000}"/>
    <cellStyle name="Prozent 2" xfId="4" xr:uid="{00000000-0005-0000-0000-00000E000000}"/>
    <cellStyle name="Standard 2" xfId="3" xr:uid="{00000000-0005-0000-0000-00000F000000}"/>
    <cellStyle name="Standard 8 2" xfId="6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querytool.functions">
      <tp t="b">
        <v>0</v>
        <stp/>
        <stp>Keyword</stp>
        <stp>a275f610-a2bd-4a74-9070-96d37e49bf8e</stp>
        <stp>NKE</stp>
        <stp>SALES</stp>
        <stp>2019</stp>
        <stp>DEFAULT</stp>
        <stp>ANALYST</stp>
        <stp/>
        <stp>WIP</stp>
        <stp>FALSE</stp>
        <stp>FALSE</stp>
        <stp>FALSE</stp>
        <stp>FALSE</stp>
        <stp/>
        <tr r="AG4" s="46"/>
      </tp>
      <tp t="b">
        <v>0</v>
        <stp/>
        <stp>Keyword</stp>
        <stp>a275f610-a2bd-4a74-9070-96d37e49bf8e</stp>
        <stp>ADSGn.DE</stp>
        <stp>LAST_UPDATE_DATE</stp>
        <stp/>
        <stp/>
        <stp>ANALYST</stp>
        <stp/>
        <stp>WIP</stp>
        <stp>FALSE</stp>
        <stp>FALSE</stp>
        <stp>FALSE</stp>
        <stp>FALSE</stp>
        <stp/>
        <tr r="V6" s="46"/>
      </tp>
      <tp t="b">
        <v>0</v>
        <stp/>
        <stp>Keyword</stp>
        <stp>a275f610-a2bd-4a74-9070-96d37e49bf8e</stp>
        <stp>LULU</stp>
        <stp>GROSS_PROFIT</stp>
        <stp>2019</stp>
        <stp>DEFAULT</stp>
        <stp>ANALYST</stp>
        <stp/>
        <stp>WIP</stp>
        <stp>FALSE</stp>
        <stp>FALSE</stp>
        <stp>FALSE</stp>
        <stp>FALSE</stp>
        <stp/>
        <tr r="AQ5" s="46"/>
      </tp>
      <tp t="b">
        <v>0</v>
        <stp/>
        <stp>Keyword</stp>
        <stp>a275f610-a2bd-4a74-9070-96d37e49bf8e</stp>
        <stp>LULU</stp>
        <stp>GROSS_PROFIT</stp>
        <stp>2026</stp>
        <stp>DEFAULT</stp>
        <stp>ANALYST</stp>
        <stp/>
        <stp>WIP</stp>
        <stp>FALSE</stp>
        <stp>FALSE</stp>
        <stp>FALSE</stp>
        <stp>FALSE</stp>
        <stp/>
        <tr r="AX5" s="46"/>
      </tp>
      <tp t="b">
        <v>0</v>
        <stp/>
        <stp>Keyword</stp>
        <stp>a275f610-a2bd-4a74-9070-96d37e49bf8e</stp>
        <stp>NKE</stp>
        <stp>SALES</stp>
        <stp>2022</stp>
        <stp>DEFAULT</stp>
        <stp>ANALYST</stp>
        <stp/>
        <stp>WIP</stp>
        <stp>FALSE</stp>
        <stp>FALSE</stp>
        <stp>FALSE</stp>
        <stp>FALSE</stp>
        <stp/>
        <tr r="AJ4" s="46"/>
      </tp>
      <tp t="b">
        <v>0</v>
        <stp/>
        <stp>Price</stp>
        <stp>a275f610-a2bd-4a74-9070-96d37e49bf8e</stp>
        <stp>ADSGn.DE</stp>
        <stp/>
        <stp/>
        <stp>REPORTING</stp>
        <stp>FALSE</stp>
        <stp>WIP</stp>
        <tr r="E6" s="46"/>
      </tp>
      <tp t="b">
        <v>0</v>
        <stp/>
        <stp>Keyword</stp>
        <stp>a275f610-a2bd-4a74-9070-96d37e49bf8e</stp>
        <stp>LULU</stp>
        <stp>GROSS_PROFIT</stp>
        <stp>2027</stp>
        <stp>DEFAULT</stp>
        <stp>ANALYST</stp>
        <stp/>
        <stp>WIP</stp>
        <stp>FALSE</stp>
        <stp>FALSE</stp>
        <stp>FALSE</stp>
        <stp>FALSE</stp>
        <stp/>
        <tr r="AY5" s="46"/>
      </tp>
      <tp t="b">
        <v>0</v>
        <stp/>
        <stp>Keyword</stp>
        <stp>a275f610-a2bd-4a74-9070-96d37e49bf8e</stp>
        <stp>NKE</stp>
        <stp>SALES</stp>
        <stp>2023</stp>
        <stp>DEFAULT</stp>
        <stp>ANALYST</stp>
        <stp/>
        <stp>WIP</stp>
        <stp>FALSE</stp>
        <stp>FALSE</stp>
        <stp>FALSE</stp>
        <stp>FALSE</stp>
        <stp/>
        <tr r="AK4" s="46"/>
      </tp>
      <tp t="b">
        <v>0</v>
        <stp/>
        <stp>Keyword</stp>
        <stp>a275f610-a2bd-4a74-9070-96d37e49bf8e</stp>
        <stp>LULU</stp>
        <stp>GROSS_PROFIT</stp>
        <stp>2024</stp>
        <stp>DEFAULT</stp>
        <stp>ANALYST</stp>
        <stp/>
        <stp>WIP</stp>
        <stp>FALSE</stp>
        <stp>FALSE</stp>
        <stp>FALSE</stp>
        <stp>FALSE</stp>
        <stp/>
        <tr r="AV5" s="46"/>
      </tp>
      <tp t="b">
        <v>0</v>
        <stp/>
        <stp>Keyword</stp>
        <stp>a275f610-a2bd-4a74-9070-96d37e49bf8e</stp>
        <stp>NKE</stp>
        <stp>SALES</stp>
        <stp>2020</stp>
        <stp>DEFAULT</stp>
        <stp>ANALYST</stp>
        <stp/>
        <stp>WIP</stp>
        <stp>FALSE</stp>
        <stp>FALSE</stp>
        <stp>FALSE</stp>
        <stp>FALSE</stp>
        <stp/>
        <tr r="AH4" s="46"/>
      </tp>
      <tp t="b">
        <v>0</v>
        <stp/>
        <stp>Keyword</stp>
        <stp>a275f610-a2bd-4a74-9070-96d37e49bf8e</stp>
        <stp>LULU</stp>
        <stp>GROSS_PROFIT</stp>
        <stp>2025</stp>
        <stp>DEFAULT</stp>
        <stp>ANALYST</stp>
        <stp/>
        <stp>WIP</stp>
        <stp>FALSE</stp>
        <stp>FALSE</stp>
        <stp>FALSE</stp>
        <stp>FALSE</stp>
        <stp/>
        <tr r="AW5" s="46"/>
      </tp>
      <tp t="b">
        <v>0</v>
        <stp/>
        <stp>Keyword</stp>
        <stp>a275f610-a2bd-4a74-9070-96d37e49bf8e</stp>
        <stp>NKE</stp>
        <stp>SALES</stp>
        <stp>2021</stp>
        <stp>DEFAULT</stp>
        <stp>ANALYST</stp>
        <stp/>
        <stp>WIP</stp>
        <stp>FALSE</stp>
        <stp>FALSE</stp>
        <stp>FALSE</stp>
        <stp>FALSE</stp>
        <stp/>
        <tr r="AI4" s="46"/>
      </tp>
      <tp t="b">
        <v>0</v>
        <stp/>
        <stp>Keyword</stp>
        <stp>a275f610-a2bd-4a74-9070-96d37e49bf8e</stp>
        <stp>LULU</stp>
        <stp>GROSS_PROFIT</stp>
        <stp>2022</stp>
        <stp>DEFAULT</stp>
        <stp>ANALYST</stp>
        <stp/>
        <stp>WIP</stp>
        <stp>FALSE</stp>
        <stp>FALSE</stp>
        <stp>FALSE</stp>
        <stp>FALSE</stp>
        <stp/>
        <tr r="AT5" s="46"/>
      </tp>
      <tp t="b">
        <v>0</v>
        <stp/>
        <stp>Keyword</stp>
        <stp>a275f610-a2bd-4a74-9070-96d37e49bf8e</stp>
        <stp>NKE</stp>
        <stp>SALES</stp>
        <stp>2026</stp>
        <stp>DEFAULT</stp>
        <stp>ANALYST</stp>
        <stp/>
        <stp>WIP</stp>
        <stp>FALSE</stp>
        <stp>FALSE</stp>
        <stp>FALSE</stp>
        <stp>FALSE</stp>
        <stp/>
        <tr r="AN4" s="46"/>
      </tp>
      <tp t="b">
        <v>0</v>
        <stp/>
        <stp>Keyword</stp>
        <stp>a275f610-a2bd-4a74-9070-96d37e49bf8e</stp>
        <stp>LULU</stp>
        <stp>GROSS_PROFIT</stp>
        <stp>2023</stp>
        <stp>DEFAULT</stp>
        <stp>ANALYST</stp>
        <stp/>
        <stp>WIP</stp>
        <stp>FALSE</stp>
        <stp>FALSE</stp>
        <stp>FALSE</stp>
        <stp>FALSE</stp>
        <stp/>
        <tr r="AU5" s="46"/>
      </tp>
      <tp t="b">
        <v>0</v>
        <stp/>
        <stp>Keyword</stp>
        <stp>a275f610-a2bd-4a74-9070-96d37e49bf8e</stp>
        <stp>NKE</stp>
        <stp>SALES</stp>
        <stp>2027</stp>
        <stp>DEFAULT</stp>
        <stp>ANALYST</stp>
        <stp/>
        <stp>WIP</stp>
        <stp>FALSE</stp>
        <stp>FALSE</stp>
        <stp>FALSE</stp>
        <stp>FALSE</stp>
        <stp/>
        <tr r="AO4" s="46"/>
      </tp>
      <tp t="b">
        <v>0</v>
        <stp/>
        <stp>Keyword</stp>
        <stp>a275f610-a2bd-4a74-9070-96d37e49bf8e</stp>
        <stp>LULU</stp>
        <stp>GROSS_PROFIT</stp>
        <stp>2020</stp>
        <stp>DEFAULT</stp>
        <stp>ANALYST</stp>
        <stp/>
        <stp>WIP</stp>
        <stp>FALSE</stp>
        <stp>FALSE</stp>
        <stp>FALSE</stp>
        <stp>FALSE</stp>
        <stp/>
        <tr r="AR5" s="46"/>
      </tp>
      <tp t="b">
        <v>0</v>
        <stp/>
        <stp>Keyword</stp>
        <stp>a275f610-a2bd-4a74-9070-96d37e49bf8e</stp>
        <stp>NKE</stp>
        <stp>SALES</stp>
        <stp>2024</stp>
        <stp>DEFAULT</stp>
        <stp>ANALYST</stp>
        <stp/>
        <stp>WIP</stp>
        <stp>FALSE</stp>
        <stp>FALSE</stp>
        <stp>FALSE</stp>
        <stp>FALSE</stp>
        <stp/>
        <tr r="AL4" s="46"/>
      </tp>
      <tp t="b">
        <v>0</v>
        <stp/>
        <stp>Keyword</stp>
        <stp>a275f610-a2bd-4a74-9070-96d37e49bf8e</stp>
        <stp>LULU</stp>
        <stp>GROSS_PROFIT</stp>
        <stp>2021</stp>
        <stp>DEFAULT</stp>
        <stp>ANALYST</stp>
        <stp/>
        <stp>WIP</stp>
        <stp>FALSE</stp>
        <stp>FALSE</stp>
        <stp>FALSE</stp>
        <stp>FALSE</stp>
        <stp/>
        <tr r="AS5" s="46"/>
      </tp>
      <tp t="b">
        <v>0</v>
        <stp/>
        <stp>Keyword</stp>
        <stp>a275f610-a2bd-4a74-9070-96d37e49bf8e</stp>
        <stp>NKE</stp>
        <stp>SALES</stp>
        <stp>2025</stp>
        <stp>DEFAULT</stp>
        <stp>ANALYST</stp>
        <stp/>
        <stp>WIP</stp>
        <stp>FALSE</stp>
        <stp>FALSE</stp>
        <stp>FALSE</stp>
        <stp>FALSE</stp>
        <stp/>
        <tr r="AM4" s="46"/>
      </tp>
      <tp t="b">
        <v>0</v>
        <stp/>
        <stp>Keyword</stp>
        <stp>a275f610-a2bd-4a74-9070-96d37e49bf8e</stp>
        <stp>ONON</stp>
        <stp>GROSS_PROFIT</stp>
        <stp>2025</stp>
        <stp>DEFAULT</stp>
        <stp>ANALYST</stp>
        <stp/>
        <stp>WIP</stp>
        <stp>FALSE</stp>
        <stp>FALSE</stp>
        <stp>FALSE</stp>
        <stp>FALSE</stp>
        <stp/>
        <tr r="AW11" s="46"/>
      </tp>
      <tp t="b">
        <v>0</v>
        <stp/>
        <stp>Keyword</stp>
        <stp>a275f610-a2bd-4a74-9070-96d37e49bf8e</stp>
        <stp>ONON</stp>
        <stp>GROSS_PROFIT</stp>
        <stp>2024</stp>
        <stp>DEFAULT</stp>
        <stp>ANALYST</stp>
        <stp/>
        <stp>WIP</stp>
        <stp>FALSE</stp>
        <stp>FALSE</stp>
        <stp>FALSE</stp>
        <stp>FALSE</stp>
        <stp/>
        <tr r="AV11" s="46"/>
      </tp>
      <tp t="b">
        <v>0</v>
        <stp/>
        <stp>Keyword</stp>
        <stp>a275f610-a2bd-4a74-9070-96d37e49bf8e</stp>
        <stp>ONON</stp>
        <stp>GROSS_PROFIT</stp>
        <stp>2027</stp>
        <stp>DEFAULT</stp>
        <stp>ANALYST</stp>
        <stp/>
        <stp>WIP</stp>
        <stp>FALSE</stp>
        <stp>FALSE</stp>
        <stp>FALSE</stp>
        <stp>FALSE</stp>
        <stp/>
        <tr r="AY11" s="46"/>
      </tp>
      <tp t="b">
        <v>0</v>
        <stp/>
        <stp>Keyword</stp>
        <stp>a275f610-a2bd-4a74-9070-96d37e49bf8e</stp>
        <stp>ONON</stp>
        <stp>GROSS_PROFIT</stp>
        <stp>2026</stp>
        <stp>DEFAULT</stp>
        <stp>ANALYST</stp>
        <stp/>
        <stp>WIP</stp>
        <stp>FALSE</stp>
        <stp>FALSE</stp>
        <stp>FALSE</stp>
        <stp>FALSE</stp>
        <stp/>
        <tr r="AX11" s="46"/>
      </tp>
      <tp t="b">
        <v>0</v>
        <stp/>
        <stp>Price</stp>
        <stp>a275f610-a2bd-4a74-9070-96d37e49bf8e</stp>
        <stp>PUMG.DE</stp>
        <stp/>
        <stp/>
        <stp>REPORTING</stp>
        <stp>FALSE</stp>
        <stp>WIP</stp>
        <tr r="E7" s="46"/>
      </tp>
      <tp t="b">
        <v>0</v>
        <stp/>
        <stp>Keyword</stp>
        <stp>a275f610-a2bd-4a74-9070-96d37e49bf8e</stp>
        <stp>ONON</stp>
        <stp>GROSS_PROFIT</stp>
        <stp>2021</stp>
        <stp>DEFAULT</stp>
        <stp>ANALYST</stp>
        <stp/>
        <stp>WIP</stp>
        <stp>FALSE</stp>
        <stp>FALSE</stp>
        <stp>FALSE</stp>
        <stp>FALSE</stp>
        <stp/>
        <tr r="AS11" s="46"/>
      </tp>
      <tp t="b">
        <v>0</v>
        <stp/>
        <stp>Keyword</stp>
        <stp>a275f610-a2bd-4a74-9070-96d37e49bf8e</stp>
        <stp>ONON</stp>
        <stp>GROSS_PROFIT</stp>
        <stp>2020</stp>
        <stp>DEFAULT</stp>
        <stp>ANALYST</stp>
        <stp/>
        <stp>WIP</stp>
        <stp>FALSE</stp>
        <stp>FALSE</stp>
        <stp>FALSE</stp>
        <stp>FALSE</stp>
        <stp/>
        <tr r="AR11" s="46"/>
      </tp>
      <tp t="b">
        <v>0</v>
        <stp/>
        <stp>Keyword</stp>
        <stp>a275f610-a2bd-4a74-9070-96d37e49bf8e</stp>
        <stp>ONON</stp>
        <stp>GROSS_PROFIT</stp>
        <stp>2023</stp>
        <stp>DEFAULT</stp>
        <stp>ANALYST</stp>
        <stp/>
        <stp>WIP</stp>
        <stp>FALSE</stp>
        <stp>FALSE</stp>
        <stp>FALSE</stp>
        <stp>FALSE</stp>
        <stp/>
        <tr r="AU11" s="46"/>
      </tp>
      <tp t="b">
        <v>0</v>
        <stp/>
        <stp>Keyword</stp>
        <stp>a275f610-a2bd-4a74-9070-96d37e49bf8e</stp>
        <stp>ONON</stp>
        <stp>GROSS_PROFIT</stp>
        <stp>2022</stp>
        <stp>DEFAULT</stp>
        <stp>ANALYST</stp>
        <stp/>
        <stp>WIP</stp>
        <stp>FALSE</stp>
        <stp>FALSE</stp>
        <stp>FALSE</stp>
        <stp>FALSE</stp>
        <stp/>
        <tr r="AT11" s="46"/>
      </tp>
      <tp t="b">
        <v>0</v>
        <stp/>
        <stp>Keyword</stp>
        <stp>a275f610-a2bd-4a74-9070-96d37e49bf8e</stp>
        <stp>ONON</stp>
        <stp>GROSS_PROFIT</stp>
        <stp>2019</stp>
        <stp>DEFAULT</stp>
        <stp>ANALYST</stp>
        <stp/>
        <stp>WIP</stp>
        <stp>FALSE</stp>
        <stp>FALSE</stp>
        <stp>FALSE</stp>
        <stp>FALSE</stp>
        <stp/>
        <tr r="AQ11" s="46"/>
      </tp>
    </main>
    <main first="querytool.functions">
      <tp t="b">
        <v>0</v>
        <stp/>
        <stp>Keyword</stp>
        <stp>a275f610-a2bd-4a74-9070-96d37e49bf8e</stp>
        <stp>7936.T</stp>
        <stp>SALES</stp>
        <stp>2020</stp>
        <stp>DEFAULT</stp>
        <stp>ANALYST</stp>
        <stp/>
        <stp>WIP</stp>
        <stp>FALSE</stp>
        <stp>FALSE</stp>
        <stp>FALSE</stp>
        <stp>FALSE</stp>
        <stp/>
        <tr r="AH10" s="46"/>
      </tp>
    </main>
    <main first="querytool.functions">
      <tp t="b">
        <v>0</v>
        <stp/>
        <stp>Keyword</stp>
        <stp>a275f610-a2bd-4a74-9070-96d37e49bf8e</stp>
        <stp>7936.T</stp>
        <stp>SALES</stp>
        <stp>2021</stp>
        <stp>DEFAULT</stp>
        <stp>ANALYST</stp>
        <stp/>
        <stp>WIP</stp>
        <stp>FALSE</stp>
        <stp>FALSE</stp>
        <stp>FALSE</stp>
        <stp>FALSE</stp>
        <stp/>
        <tr r="AI10" s="46"/>
      </tp>
    </main>
    <main first="querytool.functions">
      <tp t="b">
        <v>0</v>
        <stp/>
        <stp>Keyword</stp>
        <stp>a275f610-a2bd-4a74-9070-96d37e49bf8e</stp>
        <stp>7936.T</stp>
        <stp>SALES</stp>
        <stp>2022</stp>
        <stp>DEFAULT</stp>
        <stp>ANALYST</stp>
        <stp/>
        <stp>WIP</stp>
        <stp>FALSE</stp>
        <stp>FALSE</stp>
        <stp>FALSE</stp>
        <stp>FALSE</stp>
        <stp/>
        <tr r="AJ10" s="46"/>
      </tp>
    </main>
    <main first="refinitivshim.rtdserver.thomson.reuters.afospreadsheetformulas.dsgrid">
      <tp t="s">
        <v>Type</v>
        <stp/>
        <stp>43</stp>
        <stp>214648531</stp>
        <tr r="C51" s="46"/>
      </tp>
    </main>
    <main first="querytool.functions">
      <tp t="b">
        <v>0</v>
        <stp/>
        <stp>Keyword</stp>
        <stp>a275f610-a2bd-4a74-9070-96d37e49bf8e</stp>
        <stp>7936.T</stp>
        <stp>SALES</stp>
        <stp>2023</stp>
        <stp>DEFAULT</stp>
        <stp>ANALYST</stp>
        <stp/>
        <stp>WIP</stp>
        <stp>FALSE</stp>
        <stp>FALSE</stp>
        <stp>FALSE</stp>
        <stp>FALSE</stp>
        <stp/>
        <tr r="AK10" s="46"/>
      </tp>
    </main>
    <main first="querytool.functions">
      <tp t="b">
        <v>0</v>
        <stp/>
        <stp>Keyword</stp>
        <stp>a275f610-a2bd-4a74-9070-96d37e49bf8e</stp>
        <stp>7936.T</stp>
        <stp>SALES</stp>
        <stp>2024</stp>
        <stp>DEFAULT</stp>
        <stp>ANALYST</stp>
        <stp/>
        <stp>WIP</stp>
        <stp>FALSE</stp>
        <stp>FALSE</stp>
        <stp>FALSE</stp>
        <stp>FALSE</stp>
        <stp/>
        <tr r="AL10" s="46"/>
      </tp>
    </main>
    <main first="querytool.functions">
      <tp t="b">
        <v>0</v>
        <stp/>
        <stp>Keyword</stp>
        <stp>a275f610-a2bd-4a74-9070-96d37e49bf8e</stp>
        <stp>7936.T</stp>
        <stp>SALES</stp>
        <stp>2025</stp>
        <stp>DEFAULT</stp>
        <stp>ANALYST</stp>
        <stp/>
        <stp>WIP</stp>
        <stp>FALSE</stp>
        <stp>FALSE</stp>
        <stp>FALSE</stp>
        <stp>FALSE</stp>
        <stp/>
        <tr r="AM10" s="46"/>
      </tp>
      <tp t="b">
        <v>0</v>
        <stp/>
        <stp>Price</stp>
        <stp>a275f610-a2bd-4a74-9070-96d37e49bf8e</stp>
        <stp>ONON</stp>
        <stp/>
        <stp/>
        <stp>DEFAULT</stp>
        <stp>FALSE</stp>
        <stp>WIP</stp>
        <tr r="Z14" s="46"/>
      </tp>
    </main>
    <main first="querytool.functions">
      <tp t="b">
        <v>0</v>
        <stp/>
        <stp>Keyword</stp>
        <stp>a275f610-a2bd-4a74-9070-96d37e49bf8e</stp>
        <stp>7936.T</stp>
        <stp>SALES</stp>
        <stp>2026</stp>
        <stp>DEFAULT</stp>
        <stp>ANALYST</stp>
        <stp/>
        <stp>WIP</stp>
        <stp>FALSE</stp>
        <stp>FALSE</stp>
        <stp>FALSE</stp>
        <stp>FALSE</stp>
        <stp/>
        <tr r="AN10" s="46"/>
      </tp>
    </main>
    <main first="querytool.functions">
      <tp t="b">
        <v>0</v>
        <stp/>
        <stp>Keyword</stp>
        <stp>a275f610-a2bd-4a74-9070-96d37e49bf8e</stp>
        <stp>7936.T</stp>
        <stp>SALES</stp>
        <stp>2027</stp>
        <stp>DEFAULT</stp>
        <stp>ANALYST</stp>
        <stp/>
        <stp>WIP</stp>
        <stp>FALSE</stp>
        <stp>FALSE</stp>
        <stp>FALSE</stp>
        <stp>FALSE</stp>
        <stp/>
        <tr r="AO10" s="46"/>
      </tp>
    </main>
    <main first="querytool.functions">
      <tp t="b">
        <v>0</v>
        <stp/>
        <stp>Keyword</stp>
        <stp>a275f610-a2bd-4a74-9070-96d37e49bf8e</stp>
        <stp>7936.T</stp>
        <stp>SALES</stp>
        <stp>2019</stp>
        <stp>DEFAULT</stp>
        <stp>ANALYST</stp>
        <stp/>
        <stp>WIP</stp>
        <stp>FALSE</stp>
        <stp>FALSE</stp>
        <stp>FALSE</stp>
        <stp>FALSE</stp>
        <stp/>
        <tr r="AG10" s="46"/>
      </tp>
    </main>
    <main first="querytool.functions">
      <tp t="b">
        <v>0</v>
        <stp/>
        <stp>Keyword</stp>
        <stp>a275f610-a2bd-4a74-9070-96d37e49bf8e</stp>
        <stp>2020.HK</stp>
        <stp>SALES</stp>
        <stp>2019</stp>
        <stp>DEFAULT</stp>
        <stp>ANALYST</stp>
        <stp/>
        <stp>WIP</stp>
        <stp>FALSE</stp>
        <stp>FALSE</stp>
        <stp>FALSE</stp>
        <stp>FALSE</stp>
        <stp/>
        <tr r="AG9" s="46"/>
      </tp>
      <tp t="b">
        <v>0</v>
        <stp/>
        <stp>Keyword</stp>
        <stp>a275f610-a2bd-4a74-9070-96d37e49bf8e</stp>
        <stp>7936.T</stp>
        <stp>GROSS_PROFIT</stp>
        <stp>2022</stp>
        <stp>DEFAULT</stp>
        <stp>ANALYST</stp>
        <stp/>
        <stp>WIP</stp>
        <stp>FALSE</stp>
        <stp>FALSE</stp>
        <stp>FALSE</stp>
        <stp>FALSE</stp>
        <stp/>
        <tr r="AT10" s="46"/>
      </tp>
      <tp t="b">
        <v>0</v>
        <stp/>
        <stp>Keyword</stp>
        <stp>a275f610-a2bd-4a74-9070-96d37e49bf8e</stp>
        <stp>ADSGn.DE</stp>
        <stp>GROSS_PROFIT</stp>
        <stp>2021</stp>
        <stp>DEFAULT</stp>
        <stp>ANALYST</stp>
        <stp/>
        <stp>WIP</stp>
        <stp>FALSE</stp>
        <stp>FALSE</stp>
        <stp>FALSE</stp>
        <stp>FALSE</stp>
        <stp/>
        <tr r="AS6" s="46"/>
      </tp>
      <tp t="b">
        <v>0</v>
        <stp/>
        <stp>Keyword</stp>
        <stp>a275f610-a2bd-4a74-9070-96d37e49bf8e</stp>
        <stp>7936.T</stp>
        <stp>GROSS_PROFIT</stp>
        <stp>2023</stp>
        <stp>DEFAULT</stp>
        <stp>ANALYST</stp>
        <stp/>
        <stp>WIP</stp>
        <stp>FALSE</stp>
        <stp>FALSE</stp>
        <stp>FALSE</stp>
        <stp>FALSE</stp>
        <stp/>
        <tr r="AU10" s="46"/>
      </tp>
      <tp t="b">
        <v>0</v>
        <stp/>
        <stp>Keyword</stp>
        <stp>a275f610-a2bd-4a74-9070-96d37e49bf8e</stp>
        <stp>ONON</stp>
        <stp>SALES</stp>
        <stp>2019</stp>
        <stp>DEFAULT</stp>
        <stp>ANALYST</stp>
        <stp/>
        <stp>WIP</stp>
        <stp>FALSE</stp>
        <stp>FALSE</stp>
        <stp>FALSE</stp>
        <stp>FALSE</stp>
        <stp/>
        <tr r="AG11" s="46"/>
      </tp>
      <tp t="b">
        <v>0</v>
        <stp/>
        <stp>Keyword</stp>
        <stp>a275f610-a2bd-4a74-9070-96d37e49bf8e</stp>
        <stp>ADSGn.DE</stp>
        <stp>GROSS_PROFIT</stp>
        <stp>2020</stp>
        <stp>DEFAULT</stp>
        <stp>ANALYST</stp>
        <stp/>
        <stp>WIP</stp>
        <stp>FALSE</stp>
        <stp>FALSE</stp>
        <stp>FALSE</stp>
        <stp>FALSE</stp>
        <stp/>
        <tr r="AR6" s="46"/>
      </tp>
      <tp t="b">
        <v>0</v>
        <stp/>
        <stp>Keyword</stp>
        <stp>a275f610-a2bd-4a74-9070-96d37e49bf8e</stp>
        <stp>7936.T</stp>
        <stp>GROSS_PROFIT</stp>
        <stp>2020</stp>
        <stp>DEFAULT</stp>
        <stp>ANALYST</stp>
        <stp/>
        <stp>WIP</stp>
        <stp>FALSE</stp>
        <stp>FALSE</stp>
        <stp>FALSE</stp>
        <stp>FALSE</stp>
        <stp/>
        <tr r="AR10" s="46"/>
      </tp>
      <tp t="b">
        <v>0</v>
        <stp/>
        <stp>Keyword</stp>
        <stp>a275f610-a2bd-4a74-9070-96d37e49bf8e</stp>
        <stp>LULU</stp>
        <stp>SALES</stp>
        <stp>2019</stp>
        <stp>DEFAULT</stp>
        <stp>ANALYST</stp>
        <stp/>
        <stp>WIP</stp>
        <stp>FALSE</stp>
        <stp>FALSE</stp>
        <stp>FALSE</stp>
        <stp>FALSE</stp>
        <stp/>
        <tr r="AG5" s="46"/>
      </tp>
      <tp t="b">
        <v>0</v>
        <stp/>
        <stp>Keyword</stp>
        <stp>a275f610-a2bd-4a74-9070-96d37e49bf8e</stp>
        <stp>ADSGn.DE</stp>
        <stp>GROSS_PROFIT</stp>
        <stp>2023</stp>
        <stp>DEFAULT</stp>
        <stp>ANALYST</stp>
        <stp/>
        <stp>WIP</stp>
        <stp>FALSE</stp>
        <stp>FALSE</stp>
        <stp>FALSE</stp>
        <stp>FALSE</stp>
        <stp/>
        <tr r="AU6" s="46"/>
      </tp>
      <tp t="b">
        <v>0</v>
        <stp/>
        <stp>Keyword</stp>
        <stp>a275f610-a2bd-4a74-9070-96d37e49bf8e</stp>
        <stp>2331.HK</stp>
        <stp>SALES</stp>
        <stp>2019</stp>
        <stp>DEFAULT</stp>
        <stp>ANALYST</stp>
        <stp/>
        <stp>WIP</stp>
        <stp>FALSE</stp>
        <stp>FALSE</stp>
        <stp>FALSE</stp>
        <stp>FALSE</stp>
        <stp/>
        <tr r="AG8" s="46"/>
      </tp>
      <tp t="b">
        <v>0</v>
        <stp/>
        <stp>Keyword</stp>
        <stp>a275f610-a2bd-4a74-9070-96d37e49bf8e</stp>
        <stp>7936.T</stp>
        <stp>GROSS_PROFIT</stp>
        <stp>2021</stp>
        <stp>DEFAULT</stp>
        <stp>ANALYST</stp>
        <stp/>
        <stp>WIP</stp>
        <stp>FALSE</stp>
        <stp>FALSE</stp>
        <stp>FALSE</stp>
        <stp>FALSE</stp>
        <stp/>
        <tr r="AS10" s="46"/>
      </tp>
      <tp t="b">
        <v>0</v>
        <stp/>
        <stp>Keyword</stp>
        <stp>a275f610-a2bd-4a74-9070-96d37e49bf8e</stp>
        <stp>ADSGn.DE</stp>
        <stp>GROSS_PROFIT</stp>
        <stp>2022</stp>
        <stp>DEFAULT</stp>
        <stp>ANALYST</stp>
        <stp/>
        <stp>WIP</stp>
        <stp>FALSE</stp>
        <stp>FALSE</stp>
        <stp>FALSE</stp>
        <stp>FALSE</stp>
        <stp/>
        <tr r="AT6" s="46"/>
      </tp>
      <tp t="b">
        <v>0</v>
        <stp/>
        <stp>Keyword</stp>
        <stp>a275f610-a2bd-4a74-9070-96d37e49bf8e</stp>
        <stp>7936.T</stp>
        <stp>GROSS_PROFIT</stp>
        <stp>2026</stp>
        <stp>DEFAULT</stp>
        <stp>ANALYST</stp>
        <stp/>
        <stp>WIP</stp>
        <stp>FALSE</stp>
        <stp>FALSE</stp>
        <stp>FALSE</stp>
        <stp>FALSE</stp>
        <stp/>
        <tr r="AX10" s="46"/>
      </tp>
      <tp t="b">
        <v>0</v>
        <stp/>
        <stp>Keyword</stp>
        <stp>a275f610-a2bd-4a74-9070-96d37e49bf8e</stp>
        <stp>ADSGn.DE</stp>
        <stp>GROSS_PROFIT</stp>
        <stp>2025</stp>
        <stp>DEFAULT</stp>
        <stp>ANALYST</stp>
        <stp/>
        <stp>WIP</stp>
        <stp>FALSE</stp>
        <stp>FALSE</stp>
        <stp>FALSE</stp>
        <stp>FALSE</stp>
        <stp/>
        <tr r="AW6" s="46"/>
      </tp>
      <tp t="b">
        <v>0</v>
        <stp/>
        <stp>Keyword</stp>
        <stp>a275f610-a2bd-4a74-9070-96d37e49bf8e</stp>
        <stp>7936.T</stp>
        <stp>GROSS_PROFIT</stp>
        <stp>2027</stp>
        <stp>DEFAULT</stp>
        <stp>ANALYST</stp>
        <stp/>
        <stp>WIP</stp>
        <stp>FALSE</stp>
        <stp>FALSE</stp>
        <stp>FALSE</stp>
        <stp>FALSE</stp>
        <stp/>
        <tr r="AY10" s="46"/>
      </tp>
      <tp t="b">
        <v>0</v>
        <stp/>
        <stp>Keyword</stp>
        <stp>a275f610-a2bd-4a74-9070-96d37e49bf8e</stp>
        <stp>ADSGn.DE</stp>
        <stp>GROSS_PROFIT</stp>
        <stp>2024</stp>
        <stp>DEFAULT</stp>
        <stp>ANALYST</stp>
        <stp/>
        <stp>WIP</stp>
        <stp>FALSE</stp>
        <stp>FALSE</stp>
        <stp>FALSE</stp>
        <stp>FALSE</stp>
        <stp/>
        <tr r="AV6" s="46"/>
      </tp>
      <tp t="b">
        <v>0</v>
        <stp/>
        <stp>Keyword</stp>
        <stp>a275f610-a2bd-4a74-9070-96d37e49bf8e</stp>
        <stp>2331.HK</stp>
        <stp>GROSS_PROFIT</stp>
        <stp>2019</stp>
        <stp>DEFAULT</stp>
        <stp>ANALYST</stp>
        <stp/>
        <stp>WIP</stp>
        <stp>FALSE</stp>
        <stp>FALSE</stp>
        <stp>FALSE</stp>
        <stp>FALSE</stp>
        <stp/>
        <tr r="AQ8" s="46"/>
      </tp>
      <tp t="b">
        <v>0</v>
        <stp/>
        <stp>Keyword</stp>
        <stp>a275f610-a2bd-4a74-9070-96d37e49bf8e</stp>
        <stp>2020.HK</stp>
        <stp>GROSS_PROFIT</stp>
        <stp>2019</stp>
        <stp>DEFAULT</stp>
        <stp>ANALYST</stp>
        <stp/>
        <stp>WIP</stp>
        <stp>FALSE</stp>
        <stp>FALSE</stp>
        <stp>FALSE</stp>
        <stp>FALSE</stp>
        <stp/>
        <tr r="AQ9" s="46"/>
      </tp>
      <tp t="b">
        <v>0</v>
        <stp/>
        <stp>Keyword</stp>
        <stp>a275f610-a2bd-4a74-9070-96d37e49bf8e</stp>
        <stp>7936.T</stp>
        <stp>GROSS_PROFIT</stp>
        <stp>2024</stp>
        <stp>DEFAULT</stp>
        <stp>ANALYST</stp>
        <stp/>
        <stp>WIP</stp>
        <stp>FALSE</stp>
        <stp>FALSE</stp>
        <stp>FALSE</stp>
        <stp>FALSE</stp>
        <stp/>
        <tr r="AV10" s="46"/>
      </tp>
      <tp t="b">
        <v>0</v>
        <stp/>
        <stp>Keyword</stp>
        <stp>a275f610-a2bd-4a74-9070-96d37e49bf8e</stp>
        <stp>PUMG.DE</stp>
        <stp>LAST_UPDATE_DATE</stp>
        <stp/>
        <stp/>
        <stp>ANALYST</stp>
        <stp/>
        <stp>WIP</stp>
        <stp>FALSE</stp>
        <stp>FALSE</stp>
        <stp>FALSE</stp>
        <stp>FALSE</stp>
        <stp/>
        <tr r="V7" s="46"/>
      </tp>
      <tp t="b">
        <v>0</v>
        <stp/>
        <stp>Keyword</stp>
        <stp>a275f610-a2bd-4a74-9070-96d37e49bf8e</stp>
        <stp>ADSGn.DE</stp>
        <stp>GROSS_PROFIT</stp>
        <stp>2027</stp>
        <stp>DEFAULT</stp>
        <stp>ANALYST</stp>
        <stp/>
        <stp>WIP</stp>
        <stp>FALSE</stp>
        <stp>FALSE</stp>
        <stp>FALSE</stp>
        <stp>FALSE</stp>
        <stp/>
        <tr r="AY6" s="46"/>
      </tp>
      <tp t="b">
        <v>0</v>
        <stp/>
        <stp>Keyword</stp>
        <stp>a275f610-a2bd-4a74-9070-96d37e49bf8e</stp>
        <stp>7936.T</stp>
        <stp>GROSS_PROFIT</stp>
        <stp>2025</stp>
        <stp>DEFAULT</stp>
        <stp>ANALYST</stp>
        <stp/>
        <stp>WIP</stp>
        <stp>FALSE</stp>
        <stp>FALSE</stp>
        <stp>FALSE</stp>
        <stp>FALSE</stp>
        <stp/>
        <tr r="AW10" s="46"/>
      </tp>
      <tp t="b">
        <v>0</v>
        <stp/>
        <stp>Keyword</stp>
        <stp>a275f610-a2bd-4a74-9070-96d37e49bf8e</stp>
        <stp>ADSGn.DE</stp>
        <stp>GROSS_PROFIT</stp>
        <stp>2026</stp>
        <stp>DEFAULT</stp>
        <stp>ANALYST</stp>
        <stp/>
        <stp>WIP</stp>
        <stp>FALSE</stp>
        <stp>FALSE</stp>
        <stp>FALSE</stp>
        <stp>FALSE</stp>
        <stp/>
        <tr r="AX6" s="46"/>
      </tp>
      <tp t="b">
        <v>0</v>
        <stp/>
        <stp>Keyword</stp>
        <stp>a275f610-a2bd-4a74-9070-96d37e49bf8e</stp>
        <stp>2020.HK</stp>
        <stp>SALES</stp>
        <stp>2021</stp>
        <stp>DEFAULT</stp>
        <stp>ANALYST</stp>
        <stp/>
        <stp>WIP</stp>
        <stp>FALSE</stp>
        <stp>FALSE</stp>
        <stp>FALSE</stp>
        <stp>FALSE</stp>
        <stp/>
        <tr r="AI9" s="46"/>
      </tp>
      <tp t="b">
        <v>0</v>
        <stp/>
        <stp>Keyword</stp>
        <stp>a275f610-a2bd-4a74-9070-96d37e49bf8e</stp>
        <stp>2331.HK</stp>
        <stp>SALES</stp>
        <stp>2022</stp>
        <stp>DEFAULT</stp>
        <stp>ANALYST</stp>
        <stp/>
        <stp>WIP</stp>
        <stp>FALSE</stp>
        <stp>FALSE</stp>
        <stp>FALSE</stp>
        <stp>FALSE</stp>
        <stp/>
        <tr r="AJ8" s="46"/>
      </tp>
      <tp t="b">
        <v>0</v>
        <stp/>
        <stp>Keyword</stp>
        <stp>a275f610-a2bd-4a74-9070-96d37e49bf8e</stp>
        <stp>2331.HK</stp>
        <stp>GROSS_PROFIT</stp>
        <stp>2027</stp>
        <stp>DEFAULT</stp>
        <stp>ANALYST</stp>
        <stp/>
        <stp>WIP</stp>
        <stp>FALSE</stp>
        <stp>FALSE</stp>
        <stp>FALSE</stp>
        <stp>FALSE</stp>
        <stp/>
        <tr r="AY8" s="46"/>
      </tp>
      <tp t="b">
        <v>0</v>
        <stp/>
        <stp>Keyword</stp>
        <stp>a275f610-a2bd-4a74-9070-96d37e49bf8e</stp>
        <stp>2020.HK</stp>
        <stp>GROSS_PROFIT</stp>
        <stp>2027</stp>
        <stp>DEFAULT</stp>
        <stp>ANALYST</stp>
        <stp/>
        <stp>WIP</stp>
        <stp>FALSE</stp>
        <stp>FALSE</stp>
        <stp>FALSE</stp>
        <stp>FALSE</stp>
        <stp/>
        <tr r="AY9" s="46"/>
      </tp>
      <tp t="b">
        <v>0</v>
        <stp/>
        <stp>Keyword</stp>
        <stp>a275f610-a2bd-4a74-9070-96d37e49bf8e</stp>
        <stp>ONON</stp>
        <stp>SALES</stp>
        <stp>2020</stp>
        <stp>DEFAULT</stp>
        <stp>ANALYST</stp>
        <stp/>
        <stp>WIP</stp>
        <stp>FALSE</stp>
        <stp>FALSE</stp>
        <stp>FALSE</stp>
        <stp>FALSE</stp>
        <stp/>
        <tr r="AH11" s="46"/>
      </tp>
      <tp t="b">
        <v>0</v>
        <stp/>
        <stp>Keyword</stp>
        <stp>a275f610-a2bd-4a74-9070-96d37e49bf8e</stp>
        <stp>LULU</stp>
        <stp>SALES</stp>
        <stp>2023</stp>
        <stp>DEFAULT</stp>
        <stp>ANALYST</stp>
        <stp/>
        <stp>WIP</stp>
        <stp>FALSE</stp>
        <stp>FALSE</stp>
        <stp>FALSE</stp>
        <stp>FALSE</stp>
        <stp/>
        <tr r="AK5" s="46"/>
      </tp>
      <tp t="b">
        <v>0</v>
        <stp/>
        <stp>Keyword</stp>
        <stp>a275f610-a2bd-4a74-9070-96d37e49bf8e</stp>
        <stp>ADSGn.DE</stp>
        <stp>GROSS_PROFIT</stp>
        <stp>2019</stp>
        <stp>DEFAULT</stp>
        <stp>ANALYST</stp>
        <stp/>
        <stp>WIP</stp>
        <stp>FALSE</stp>
        <stp>FALSE</stp>
        <stp>FALSE</stp>
        <stp>FALSE</stp>
        <stp/>
        <tr r="AQ6" s="46"/>
      </tp>
      <tp t="b">
        <v>0</v>
        <stp/>
        <stp>Keyword</stp>
        <stp>a275f610-a2bd-4a74-9070-96d37e49bf8e</stp>
        <stp>2020.HK</stp>
        <stp>SALES</stp>
        <stp>2020</stp>
        <stp>DEFAULT</stp>
        <stp>ANALYST</stp>
        <stp/>
        <stp>WIP</stp>
        <stp>FALSE</stp>
        <stp>FALSE</stp>
        <stp>FALSE</stp>
        <stp>FALSE</stp>
        <stp/>
        <tr r="AH9" s="46"/>
      </tp>
      <tp t="b">
        <v>0</v>
        <stp/>
        <stp>Keyword</stp>
        <stp>a275f610-a2bd-4a74-9070-96d37e49bf8e</stp>
        <stp>2331.HK</stp>
        <stp>SALES</stp>
        <stp>2023</stp>
        <stp>DEFAULT</stp>
        <stp>ANALYST</stp>
        <stp/>
        <stp>WIP</stp>
        <stp>FALSE</stp>
        <stp>FALSE</stp>
        <stp>FALSE</stp>
        <stp>FALSE</stp>
        <stp/>
        <tr r="AK8" s="46"/>
      </tp>
      <tp t="b">
        <v>0</v>
        <stp/>
        <stp>Keyword</stp>
        <stp>a275f610-a2bd-4a74-9070-96d37e49bf8e</stp>
        <stp>2331.HK</stp>
        <stp>GROSS_PROFIT</stp>
        <stp>2026</stp>
        <stp>DEFAULT</stp>
        <stp>ANALYST</stp>
        <stp/>
        <stp>WIP</stp>
        <stp>FALSE</stp>
        <stp>FALSE</stp>
        <stp>FALSE</stp>
        <stp>FALSE</stp>
        <stp/>
        <tr r="AX8" s="46"/>
      </tp>
      <tp t="b">
        <v>0</v>
        <stp/>
        <stp>Keyword</stp>
        <stp>a275f610-a2bd-4a74-9070-96d37e49bf8e</stp>
        <stp>2020.HK</stp>
        <stp>GROSS_PROFIT</stp>
        <stp>2026</stp>
        <stp>DEFAULT</stp>
        <stp>ANALYST</stp>
        <stp/>
        <stp>WIP</stp>
        <stp>FALSE</stp>
        <stp>FALSE</stp>
        <stp>FALSE</stp>
        <stp>FALSE</stp>
        <stp/>
        <tr r="AX9" s="46"/>
      </tp>
      <tp t="b">
        <v>0</v>
        <stp/>
        <stp>Keyword</stp>
        <stp>a275f610-a2bd-4a74-9070-96d37e49bf8e</stp>
        <stp>ONON</stp>
        <stp>SALES</stp>
        <stp>2021</stp>
        <stp>DEFAULT</stp>
        <stp>ANALYST</stp>
        <stp/>
        <stp>WIP</stp>
        <stp>FALSE</stp>
        <stp>FALSE</stp>
        <stp>FALSE</stp>
        <stp>FALSE</stp>
        <stp/>
        <tr r="AI11" s="46"/>
      </tp>
      <tp t="b">
        <v>0</v>
        <stp/>
        <stp>Keyword</stp>
        <stp>a275f610-a2bd-4a74-9070-96d37e49bf8e</stp>
        <stp>LULU</stp>
        <stp>SALES</stp>
        <stp>2022</stp>
        <stp>DEFAULT</stp>
        <stp>ANALYST</stp>
        <stp/>
        <stp>WIP</stp>
        <stp>FALSE</stp>
        <stp>FALSE</stp>
        <stp>FALSE</stp>
        <stp>FALSE</stp>
        <stp/>
        <tr r="AJ5" s="46"/>
      </tp>
      <tp t="b">
        <v>0</v>
        <stp/>
        <stp>Price</stp>
        <stp>a275f610-a2bd-4a74-9070-96d37e49bf8e</stp>
        <stp>ONON</stp>
        <stp/>
        <stp/>
        <stp>PRICING</stp>
        <stp>FALSE</stp>
        <stp>WIP</stp>
        <tr r="AA14" s="46"/>
      </tp>
      <tp t="b">
        <v>0</v>
        <stp/>
        <stp>Keyword</stp>
        <stp>a275f610-a2bd-4a74-9070-96d37e49bf8e</stp>
        <stp>2020.HK</stp>
        <stp>SALES</stp>
        <stp>2023</stp>
        <stp>DEFAULT</stp>
        <stp>ANALYST</stp>
        <stp/>
        <stp>WIP</stp>
        <stp>FALSE</stp>
        <stp>FALSE</stp>
        <stp>FALSE</stp>
        <stp>FALSE</stp>
        <stp/>
        <tr r="AK9" s="46"/>
      </tp>
      <tp t="b">
        <v>0</v>
        <stp/>
        <stp>Keyword</stp>
        <stp>a275f610-a2bd-4a74-9070-96d37e49bf8e</stp>
        <stp>2331.HK</stp>
        <stp>SALES</stp>
        <stp>2020</stp>
        <stp>DEFAULT</stp>
        <stp>ANALYST</stp>
        <stp/>
        <stp>WIP</stp>
        <stp>FALSE</stp>
        <stp>FALSE</stp>
        <stp>FALSE</stp>
        <stp>FALSE</stp>
        <stp/>
        <tr r="AH8" s="46"/>
      </tp>
      <tp t="b">
        <v>0</v>
        <stp/>
        <stp>Keyword</stp>
        <stp>a275f610-a2bd-4a74-9070-96d37e49bf8e</stp>
        <stp>2331.HK</stp>
        <stp>GROSS_PROFIT</stp>
        <stp>2025</stp>
        <stp>DEFAULT</stp>
        <stp>ANALYST</stp>
        <stp/>
        <stp>WIP</stp>
        <stp>FALSE</stp>
        <stp>FALSE</stp>
        <stp>FALSE</stp>
        <stp>FALSE</stp>
        <stp/>
        <tr r="AW8" s="46"/>
      </tp>
      <tp t="b">
        <v>0</v>
        <stp/>
        <stp>Keyword</stp>
        <stp>a275f610-a2bd-4a74-9070-96d37e49bf8e</stp>
        <stp>2020.HK</stp>
        <stp>GROSS_PROFIT</stp>
        <stp>2025</stp>
        <stp>DEFAULT</stp>
        <stp>ANALYST</stp>
        <stp/>
        <stp>WIP</stp>
        <stp>FALSE</stp>
        <stp>FALSE</stp>
        <stp>FALSE</stp>
        <stp>FALSE</stp>
        <stp/>
        <tr r="AW9" s="46"/>
      </tp>
      <tp t="b">
        <v>0</v>
        <stp/>
        <stp>Keyword</stp>
        <stp>a275f610-a2bd-4a74-9070-96d37e49bf8e</stp>
        <stp>ONON</stp>
        <stp>SALES</stp>
        <stp>2022</stp>
        <stp>DEFAULT</stp>
        <stp>ANALYST</stp>
        <stp/>
        <stp>WIP</stp>
        <stp>FALSE</stp>
        <stp>FALSE</stp>
        <stp>FALSE</stp>
        <stp>FALSE</stp>
        <stp/>
        <tr r="AJ11" s="46"/>
      </tp>
      <tp t="b">
        <v>0</v>
        <stp/>
        <stp>Keyword</stp>
        <stp>a275f610-a2bd-4a74-9070-96d37e49bf8e</stp>
        <stp>LULU</stp>
        <stp>SALES</stp>
        <stp>2021</stp>
        <stp>DEFAULT</stp>
        <stp>ANALYST</stp>
        <stp/>
        <stp>WIP</stp>
        <stp>FALSE</stp>
        <stp>FALSE</stp>
        <stp>FALSE</stp>
        <stp>FALSE</stp>
        <stp/>
        <tr r="AI5" s="46"/>
      </tp>
      <tp t="b">
        <v>0</v>
        <stp/>
        <stp>Keyword</stp>
        <stp>a275f610-a2bd-4a74-9070-96d37e49bf8e</stp>
        <stp>2020.HK</stp>
        <stp>SALES</stp>
        <stp>2022</stp>
        <stp>DEFAULT</stp>
        <stp>ANALYST</stp>
        <stp/>
        <stp>WIP</stp>
        <stp>FALSE</stp>
        <stp>FALSE</stp>
        <stp>FALSE</stp>
        <stp>FALSE</stp>
        <stp/>
        <tr r="AJ9" s="46"/>
      </tp>
      <tp t="b">
        <v>0</v>
        <stp/>
        <stp>Keyword</stp>
        <stp>a275f610-a2bd-4a74-9070-96d37e49bf8e</stp>
        <stp>2331.HK</stp>
        <stp>SALES</stp>
        <stp>2021</stp>
        <stp>DEFAULT</stp>
        <stp>ANALYST</stp>
        <stp/>
        <stp>WIP</stp>
        <stp>FALSE</stp>
        <stp>FALSE</stp>
        <stp>FALSE</stp>
        <stp>FALSE</stp>
        <stp/>
        <tr r="AI8" s="46"/>
      </tp>
      <tp t="b">
        <v>0</v>
        <stp/>
        <stp>Keyword</stp>
        <stp>a275f610-a2bd-4a74-9070-96d37e49bf8e</stp>
        <stp>2331.HK</stp>
        <stp>GROSS_PROFIT</stp>
        <stp>2024</stp>
        <stp>DEFAULT</stp>
        <stp>ANALYST</stp>
        <stp/>
        <stp>WIP</stp>
        <stp>FALSE</stp>
        <stp>FALSE</stp>
        <stp>FALSE</stp>
        <stp>FALSE</stp>
        <stp/>
        <tr r="AV8" s="46"/>
      </tp>
      <tp t="b">
        <v>0</v>
        <stp/>
        <stp>Keyword</stp>
        <stp>a275f610-a2bd-4a74-9070-96d37e49bf8e</stp>
        <stp>2020.HK</stp>
        <stp>GROSS_PROFIT</stp>
        <stp>2024</stp>
        <stp>DEFAULT</stp>
        <stp>ANALYST</stp>
        <stp/>
        <stp>WIP</stp>
        <stp>FALSE</stp>
        <stp>FALSE</stp>
        <stp>FALSE</stp>
        <stp>FALSE</stp>
        <stp/>
        <tr r="AV9" s="46"/>
      </tp>
      <tp t="b">
        <v>0</v>
        <stp/>
        <stp>Keyword</stp>
        <stp>a275f610-a2bd-4a74-9070-96d37e49bf8e</stp>
        <stp>7936.T</stp>
        <stp>GROSS_PROFIT</stp>
        <stp>2019</stp>
        <stp>DEFAULT</stp>
        <stp>ANALYST</stp>
        <stp/>
        <stp>WIP</stp>
        <stp>FALSE</stp>
        <stp>FALSE</stp>
        <stp>FALSE</stp>
        <stp>FALSE</stp>
        <stp/>
        <tr r="AQ10" s="46"/>
      </tp>
      <tp t="b">
        <v>0</v>
        <stp/>
        <stp>Keyword</stp>
        <stp>a275f610-a2bd-4a74-9070-96d37e49bf8e</stp>
        <stp>ONON</stp>
        <stp>SALES</stp>
        <stp>2023</stp>
        <stp>DEFAULT</stp>
        <stp>ANALYST</stp>
        <stp/>
        <stp>WIP</stp>
        <stp>FALSE</stp>
        <stp>FALSE</stp>
        <stp>FALSE</stp>
        <stp>FALSE</stp>
        <stp/>
        <tr r="AK11" s="46"/>
      </tp>
      <tp t="b">
        <v>0</v>
        <stp/>
        <stp>Keyword</stp>
        <stp>a275f610-a2bd-4a74-9070-96d37e49bf8e</stp>
        <stp>LULU</stp>
        <stp>SALES</stp>
        <stp>2020</stp>
        <stp>DEFAULT</stp>
        <stp>ANALYST</stp>
        <stp/>
        <stp>WIP</stp>
        <stp>FALSE</stp>
        <stp>FALSE</stp>
        <stp>FALSE</stp>
        <stp>FALSE</stp>
        <stp/>
        <tr r="AH5" s="46"/>
      </tp>
      <tp t="b">
        <v>0</v>
        <stp/>
        <stp>Keyword</stp>
        <stp>a275f610-a2bd-4a74-9070-96d37e49bf8e</stp>
        <stp>2020.HK</stp>
        <stp>SALES</stp>
        <stp>2025</stp>
        <stp>DEFAULT</stp>
        <stp>ANALYST</stp>
        <stp/>
        <stp>WIP</stp>
        <stp>FALSE</stp>
        <stp>FALSE</stp>
        <stp>FALSE</stp>
        <stp>FALSE</stp>
        <stp/>
        <tr r="AM9" s="46"/>
      </tp>
      <tp t="b">
        <v>0</v>
        <stp/>
        <stp>Keyword</stp>
        <stp>a275f610-a2bd-4a74-9070-96d37e49bf8e</stp>
        <stp>2331.HK</stp>
        <stp>SALES</stp>
        <stp>2026</stp>
        <stp>DEFAULT</stp>
        <stp>ANALYST</stp>
        <stp/>
        <stp>WIP</stp>
        <stp>FALSE</stp>
        <stp>FALSE</stp>
        <stp>FALSE</stp>
        <stp>FALSE</stp>
        <stp/>
        <tr r="AN8" s="46"/>
      </tp>
      <tp t="b">
        <v>0</v>
        <stp/>
        <stp>Keyword</stp>
        <stp>a275f610-a2bd-4a74-9070-96d37e49bf8e</stp>
        <stp>2331.HK</stp>
        <stp>GROSS_PROFIT</stp>
        <stp>2023</stp>
        <stp>DEFAULT</stp>
        <stp>ANALYST</stp>
        <stp/>
        <stp>WIP</stp>
        <stp>FALSE</stp>
        <stp>FALSE</stp>
        <stp>FALSE</stp>
        <stp>FALSE</stp>
        <stp/>
        <tr r="AU8" s="46"/>
      </tp>
      <tp t="b">
        <v>0</v>
        <stp/>
        <stp>Keyword</stp>
        <stp>a275f610-a2bd-4a74-9070-96d37e49bf8e</stp>
        <stp>2020.HK</stp>
        <stp>GROSS_PROFIT</stp>
        <stp>2023</stp>
        <stp>DEFAULT</stp>
        <stp>ANALYST</stp>
        <stp/>
        <stp>WIP</stp>
        <stp>FALSE</stp>
        <stp>FALSE</stp>
        <stp>FALSE</stp>
        <stp>FALSE</stp>
        <stp/>
        <tr r="AU9" s="46"/>
      </tp>
      <tp t="b">
        <v>0</v>
        <stp/>
        <stp>Keyword</stp>
        <stp>a275f610-a2bd-4a74-9070-96d37e49bf8e</stp>
        <stp>ONON</stp>
        <stp>SALES</stp>
        <stp>2024</stp>
        <stp>DEFAULT</stp>
        <stp>ANALYST</stp>
        <stp/>
        <stp>WIP</stp>
        <stp>FALSE</stp>
        <stp>FALSE</stp>
        <stp>FALSE</stp>
        <stp>FALSE</stp>
        <stp/>
        <tr r="AL11" s="46"/>
      </tp>
      <tp t="b">
        <v>0</v>
        <stp/>
        <stp>Keyword</stp>
        <stp>a275f610-a2bd-4a74-9070-96d37e49bf8e</stp>
        <stp>LULU</stp>
        <stp>SALES</stp>
        <stp>2027</stp>
        <stp>DEFAULT</stp>
        <stp>ANALYST</stp>
        <stp/>
        <stp>WIP</stp>
        <stp>FALSE</stp>
        <stp>FALSE</stp>
        <stp>FALSE</stp>
        <stp>FALSE</stp>
        <stp/>
        <tr r="AO5" s="46"/>
      </tp>
      <tp t="b">
        <v>0</v>
        <stp/>
        <stp>Keyword</stp>
        <stp>a275f610-a2bd-4a74-9070-96d37e49bf8e</stp>
        <stp>2020.HK</stp>
        <stp>SALES</stp>
        <stp>2024</stp>
        <stp>DEFAULT</stp>
        <stp>ANALYST</stp>
        <stp/>
        <stp>WIP</stp>
        <stp>FALSE</stp>
        <stp>FALSE</stp>
        <stp>FALSE</stp>
        <stp>FALSE</stp>
        <stp/>
        <tr r="AL9" s="46"/>
      </tp>
      <tp t="b">
        <v>0</v>
        <stp/>
        <stp>Keyword</stp>
        <stp>a275f610-a2bd-4a74-9070-96d37e49bf8e</stp>
        <stp>2331.HK</stp>
        <stp>SALES</stp>
        <stp>2027</stp>
        <stp>DEFAULT</stp>
        <stp>ANALYST</stp>
        <stp/>
        <stp>WIP</stp>
        <stp>FALSE</stp>
        <stp>FALSE</stp>
        <stp>FALSE</stp>
        <stp>FALSE</stp>
        <stp/>
        <tr r="AO8" s="46"/>
      </tp>
      <tp t="b">
        <v>0</v>
        <stp/>
        <stp>Keyword</stp>
        <stp>a275f610-a2bd-4a74-9070-96d37e49bf8e</stp>
        <stp>2331.HK</stp>
        <stp>GROSS_PROFIT</stp>
        <stp>2022</stp>
        <stp>DEFAULT</stp>
        <stp>ANALYST</stp>
        <stp/>
        <stp>WIP</stp>
        <stp>FALSE</stp>
        <stp>FALSE</stp>
        <stp>FALSE</stp>
        <stp>FALSE</stp>
        <stp/>
        <tr r="AT8" s="46"/>
      </tp>
      <tp t="b">
        <v>0</v>
        <stp/>
        <stp>Keyword</stp>
        <stp>a275f610-a2bd-4a74-9070-96d37e49bf8e</stp>
        <stp>2020.HK</stp>
        <stp>GROSS_PROFIT</stp>
        <stp>2022</stp>
        <stp>DEFAULT</stp>
        <stp>ANALYST</stp>
        <stp/>
        <stp>WIP</stp>
        <stp>FALSE</stp>
        <stp>FALSE</stp>
        <stp>FALSE</stp>
        <stp>FALSE</stp>
        <stp/>
        <tr r="AT9" s="46"/>
      </tp>
      <tp t="b">
        <v>0</v>
        <stp/>
        <stp>Keyword</stp>
        <stp>a275f610-a2bd-4a74-9070-96d37e49bf8e</stp>
        <stp>ONON</stp>
        <stp>SALES</stp>
        <stp>2025</stp>
        <stp>DEFAULT</stp>
        <stp>ANALYST</stp>
        <stp/>
        <stp>WIP</stp>
        <stp>FALSE</stp>
        <stp>FALSE</stp>
        <stp>FALSE</stp>
        <stp>FALSE</stp>
        <stp/>
        <tr r="AM11" s="46"/>
      </tp>
    </main>
    <main first="querytool.functions">
      <tp t="b">
        <v>0</v>
        <stp/>
        <stp>Keyword</stp>
        <stp>a275f610-a2bd-4a74-9070-96d37e49bf8e</stp>
        <stp>LULU</stp>
        <stp>SALES</stp>
        <stp>2026</stp>
        <stp>DEFAULT</stp>
        <stp>ANALYST</stp>
        <stp/>
        <stp>WIP</stp>
        <stp>FALSE</stp>
        <stp>FALSE</stp>
        <stp>FALSE</stp>
        <stp>FALSE</stp>
        <stp/>
        <tr r="AN5" s="46"/>
      </tp>
    </main>
    <main first="querytool.functions">
      <tp t="b">
        <v>0</v>
        <stp/>
        <stp>Keyword</stp>
        <stp>a275f610-a2bd-4a74-9070-96d37e49bf8e</stp>
        <stp>2020.HK</stp>
        <stp>SALES</stp>
        <stp>2027</stp>
        <stp>DEFAULT</stp>
        <stp>ANALYST</stp>
        <stp/>
        <stp>WIP</stp>
        <stp>FALSE</stp>
        <stp>FALSE</stp>
        <stp>FALSE</stp>
        <stp>FALSE</stp>
        <stp/>
        <tr r="AO9" s="46"/>
      </tp>
      <tp t="b">
        <v>0</v>
        <stp/>
        <stp>Keyword</stp>
        <stp>a275f610-a2bd-4a74-9070-96d37e49bf8e</stp>
        <stp>2331.HK</stp>
        <stp>SALES</stp>
        <stp>2024</stp>
        <stp>DEFAULT</stp>
        <stp>ANALYST</stp>
        <stp/>
        <stp>WIP</stp>
        <stp>FALSE</stp>
        <stp>FALSE</stp>
        <stp>FALSE</stp>
        <stp>FALSE</stp>
        <stp/>
        <tr r="AL8" s="46"/>
      </tp>
      <tp t="b">
        <v>0</v>
        <stp/>
        <stp>Keyword</stp>
        <stp>a275f610-a2bd-4a74-9070-96d37e49bf8e</stp>
        <stp>2331.HK</stp>
        <stp>GROSS_PROFIT</stp>
        <stp>2021</stp>
        <stp>DEFAULT</stp>
        <stp>ANALYST</stp>
        <stp/>
        <stp>WIP</stp>
        <stp>FALSE</stp>
        <stp>FALSE</stp>
        <stp>FALSE</stp>
        <stp>FALSE</stp>
        <stp/>
        <tr r="AS8" s="46"/>
      </tp>
      <tp t="b">
        <v>0</v>
        <stp/>
        <stp>Keyword</stp>
        <stp>a275f610-a2bd-4a74-9070-96d37e49bf8e</stp>
        <stp>2020.HK</stp>
        <stp>GROSS_PROFIT</stp>
        <stp>2021</stp>
        <stp>DEFAULT</stp>
        <stp>ANALYST</stp>
        <stp/>
        <stp>WIP</stp>
        <stp>FALSE</stp>
        <stp>FALSE</stp>
        <stp>FALSE</stp>
        <stp>FALSE</stp>
        <stp/>
        <tr r="AS9" s="46"/>
      </tp>
      <tp t="b">
        <v>0</v>
        <stp/>
        <stp>Keyword</stp>
        <stp>a275f610-a2bd-4a74-9070-96d37e49bf8e</stp>
        <stp>ONON</stp>
        <stp>SALES</stp>
        <stp>2026</stp>
        <stp>DEFAULT</stp>
        <stp>ANALYST</stp>
        <stp/>
        <stp>WIP</stp>
        <stp>FALSE</stp>
        <stp>FALSE</stp>
        <stp>FALSE</stp>
        <stp>FALSE</stp>
        <stp/>
        <tr r="AN11" s="46"/>
      </tp>
      <tp t="b">
        <v>0</v>
        <stp/>
        <stp>Keyword</stp>
        <stp>a275f610-a2bd-4a74-9070-96d37e49bf8e</stp>
        <stp>LULU</stp>
        <stp>SALES</stp>
        <stp>2025</stp>
        <stp>DEFAULT</stp>
        <stp>ANALYST</stp>
        <stp/>
        <stp>WIP</stp>
        <stp>FALSE</stp>
        <stp>FALSE</stp>
        <stp>FALSE</stp>
        <stp>FALSE</stp>
        <stp/>
        <tr r="AM5" s="46"/>
      </tp>
      <tp t="b">
        <v>0</v>
        <stp/>
        <stp>Keyword</stp>
        <stp>a275f610-a2bd-4a74-9070-96d37e49bf8e</stp>
        <stp>2020.HK</stp>
        <stp>SALES</stp>
        <stp>2026</stp>
        <stp>DEFAULT</stp>
        <stp>ANALYST</stp>
        <stp/>
        <stp>WIP</stp>
        <stp>FALSE</stp>
        <stp>FALSE</stp>
        <stp>FALSE</stp>
        <stp>FALSE</stp>
        <stp/>
        <tr r="AN9" s="46"/>
      </tp>
      <tp t="b">
        <v>0</v>
        <stp/>
        <stp>Keyword</stp>
        <stp>a275f610-a2bd-4a74-9070-96d37e49bf8e</stp>
        <stp>2331.HK</stp>
        <stp>SALES</stp>
        <stp>2025</stp>
        <stp>DEFAULT</stp>
        <stp>ANALYST</stp>
        <stp/>
        <stp>WIP</stp>
        <stp>FALSE</stp>
        <stp>FALSE</stp>
        <stp>FALSE</stp>
        <stp>FALSE</stp>
        <stp/>
        <tr r="AM8" s="46"/>
      </tp>
      <tp t="b">
        <v>0</v>
        <stp/>
        <stp>Keyword</stp>
        <stp>a275f610-a2bd-4a74-9070-96d37e49bf8e</stp>
        <stp>2331.HK</stp>
        <stp>GROSS_PROFIT</stp>
        <stp>2020</stp>
        <stp>DEFAULT</stp>
        <stp>ANALYST</stp>
        <stp/>
        <stp>WIP</stp>
        <stp>FALSE</stp>
        <stp>FALSE</stp>
        <stp>FALSE</stp>
        <stp>FALSE</stp>
        <stp/>
        <tr r="AR8" s="46"/>
      </tp>
      <tp t="b">
        <v>0</v>
        <stp/>
        <stp>Keyword</stp>
        <stp>a275f610-a2bd-4a74-9070-96d37e49bf8e</stp>
        <stp>2020.HK</stp>
        <stp>GROSS_PROFIT</stp>
        <stp>2020</stp>
        <stp>DEFAULT</stp>
        <stp>ANALYST</stp>
        <stp/>
        <stp>WIP</stp>
        <stp>FALSE</stp>
        <stp>FALSE</stp>
        <stp>FALSE</stp>
        <stp>FALSE</stp>
        <stp/>
        <tr r="AR9" s="46"/>
      </tp>
      <tp t="b">
        <v>0</v>
        <stp/>
        <stp>Keyword</stp>
        <stp>a275f610-a2bd-4a74-9070-96d37e49bf8e</stp>
        <stp>ONON</stp>
        <stp>SALES</stp>
        <stp>2027</stp>
        <stp>DEFAULT</stp>
        <stp>ANALYST</stp>
        <stp/>
        <stp>WIP</stp>
        <stp>FALSE</stp>
        <stp>FALSE</stp>
        <stp>FALSE</stp>
        <stp>FALSE</stp>
        <stp/>
        <tr r="AO11" s="46"/>
      </tp>
      <tp t="b">
        <v>0</v>
        <stp/>
        <stp>Keyword</stp>
        <stp>a275f610-a2bd-4a74-9070-96d37e49bf8e</stp>
        <stp>LULU</stp>
        <stp>SALES</stp>
        <stp>2024</stp>
        <stp>DEFAULT</stp>
        <stp>ANALYST</stp>
        <stp/>
        <stp>WIP</stp>
        <stp>FALSE</stp>
        <stp>FALSE</stp>
        <stp>FALSE</stp>
        <stp>FALSE</stp>
        <stp/>
        <tr r="AL5" s="46"/>
      </tp>
      <tp t="b">
        <v>0</v>
        <stp/>
        <stp>Keyword</stp>
        <stp>a275f610-a2bd-4a74-9070-96d37e49bf8e</stp>
        <stp>7936.T</stp>
        <stp>LAST_UPDATE_DATE</stp>
        <stp/>
        <stp/>
        <stp>ANALYST</stp>
        <stp/>
        <stp>WIP</stp>
        <stp>FALSE</stp>
        <stp>FALSE</stp>
        <stp>FALSE</stp>
        <stp>FALSE</stp>
        <stp/>
        <tr r="V10" s="46"/>
      </tp>
      <tp t="b">
        <v>0</v>
        <stp/>
        <stp>Price</stp>
        <stp>a275f610-a2bd-4a74-9070-96d37e49bf8e</stp>
        <stp>ONON</stp>
        <stp/>
        <stp/>
        <stp>REPORTING</stp>
        <stp>FALSE</stp>
        <stp>WIP</stp>
        <tr r="E11" s="46"/>
        <tr r="X14" s="46"/>
      </tp>
      <tp t="b">
        <v>0</v>
        <stp/>
        <stp>Price</stp>
        <stp>a275f610-a2bd-4a74-9070-96d37e49bf8e</stp>
        <stp>JD.L</stp>
        <stp/>
        <stp/>
        <stp>REPORTING</stp>
        <stp>FALSE</stp>
        <stp>WIP</stp>
        <tr r="E12" s="46"/>
      </tp>
    </main>
    <main first="querytool.functions">
      <tp t="b">
        <v>0</v>
        <stp/>
        <stp>Keyword</stp>
        <stp>a275f610-a2bd-4a74-9070-96d37e49bf8e</stp>
        <stp>PUMG.DE</stp>
        <stp>SALES</stp>
        <stp>2020</stp>
        <stp>DEFAULT</stp>
        <stp>ANALYST</stp>
        <stp/>
        <stp>WIP</stp>
        <stp>FALSE</stp>
        <stp>FALSE</stp>
        <stp>FALSE</stp>
        <stp>FALSE</stp>
        <stp/>
        <tr r="AH7" s="46"/>
      </tp>
      <tp t="b">
        <v>0</v>
        <stp/>
        <stp>Keyword</stp>
        <stp>a275f610-a2bd-4a74-9070-96d37e49bf8e</stp>
        <stp>PUMG.DE</stp>
        <stp>SALES</stp>
        <stp>2021</stp>
        <stp>DEFAULT</stp>
        <stp>ANALYST</stp>
        <stp/>
        <stp>WIP</stp>
        <stp>FALSE</stp>
        <stp>FALSE</stp>
        <stp>FALSE</stp>
        <stp>FALSE</stp>
        <stp/>
        <tr r="AI7" s="46"/>
      </tp>
    </main>
    <main first="querytool.functions">
      <tp t="b">
        <v>0</v>
        <stp/>
        <stp>Keyword</stp>
        <stp>a275f610-a2bd-4a74-9070-96d37e49bf8e</stp>
        <stp>PUMG.DE</stp>
        <stp>SALES</stp>
        <stp>2022</stp>
        <stp>DEFAULT</stp>
        <stp>ANALYST</stp>
        <stp/>
        <stp>WIP</stp>
        <stp>FALSE</stp>
        <stp>FALSE</stp>
        <stp>FALSE</stp>
        <stp>FALSE</stp>
        <stp/>
        <tr r="AJ7" s="46"/>
      </tp>
    </main>
    <main first="querytool.functions">
      <tp t="b">
        <v>0</v>
        <stp/>
        <stp>Price</stp>
        <stp>a275f610-a2bd-4a74-9070-96d37e49bf8e</stp>
        <stp>LULU</stp>
        <stp/>
        <stp/>
        <stp>REPORTING</stp>
        <stp>FALSE</stp>
        <stp>WIP</stp>
        <tr r="E5" s="46"/>
      </tp>
      <tp t="b">
        <v>0</v>
        <stp/>
        <stp>Keyword</stp>
        <stp>a275f610-a2bd-4a74-9070-96d37e49bf8e</stp>
        <stp>PUMG.DE</stp>
        <stp>SALES</stp>
        <stp>2023</stp>
        <stp>DEFAULT</stp>
        <stp>ANALYST</stp>
        <stp/>
        <stp>WIP</stp>
        <stp>FALSE</stp>
        <stp>FALSE</stp>
        <stp>FALSE</stp>
        <stp>FALSE</stp>
        <stp/>
        <tr r="AK7" s="46"/>
      </tp>
      <tp t="b">
        <v>0</v>
        <stp/>
        <stp>Price</stp>
        <stp>a275f610-a2bd-4a74-9070-96d37e49bf8e</stp>
        <stp>7936.T</stp>
        <stp/>
        <stp/>
        <stp>REPORTING</stp>
        <stp>FALSE</stp>
        <stp>WIP</stp>
        <tr r="E10" s="46"/>
      </tp>
    </main>
    <main first="querytool.functions">
      <tp t="b">
        <v>0</v>
        <stp/>
        <stp>Keyword</stp>
        <stp>a275f610-a2bd-4a74-9070-96d37e49bf8e</stp>
        <stp>PUMG.DE</stp>
        <stp>GROSS_PROFIT</stp>
        <stp>2019</stp>
        <stp>DEFAULT</stp>
        <stp>ANALYST</stp>
        <stp/>
        <stp>WIP</stp>
        <stp>FALSE</stp>
        <stp>FALSE</stp>
        <stp>FALSE</stp>
        <stp>FALSE</stp>
        <stp/>
        <tr r="AQ7" s="46"/>
      </tp>
      <tp t="b">
        <v>0</v>
        <stp/>
        <stp>Keyword</stp>
        <stp>a275f610-a2bd-4a74-9070-96d37e49bf8e</stp>
        <stp>PUMG.DE</stp>
        <stp>SALES</stp>
        <stp>2024</stp>
        <stp>DEFAULT</stp>
        <stp>ANALYST</stp>
        <stp/>
        <stp>WIP</stp>
        <stp>FALSE</stp>
        <stp>FALSE</stp>
        <stp>FALSE</stp>
        <stp>FALSE</stp>
        <stp/>
        <tr r="AL7" s="46"/>
      </tp>
    </main>
    <main first="querytool.functions">
      <tp t="b">
        <v>0</v>
        <stp/>
        <stp>Keyword</stp>
        <stp>a275f610-a2bd-4a74-9070-96d37e49bf8e</stp>
        <stp>PUMG.DE</stp>
        <stp>SALES</stp>
        <stp>2025</stp>
        <stp>DEFAULT</stp>
        <stp>ANALYST</stp>
        <stp/>
        <stp>WIP</stp>
        <stp>FALSE</stp>
        <stp>FALSE</stp>
        <stp>FALSE</stp>
        <stp>FALSE</stp>
        <stp/>
        <tr r="AM7" s="46"/>
      </tp>
    </main>
    <main first="querytool.functions">
      <tp t="b">
        <v>0</v>
        <stp/>
        <stp>Keyword</stp>
        <stp>a275f610-a2bd-4a74-9070-96d37e49bf8e</stp>
        <stp>PUMG.DE</stp>
        <stp>SALES</stp>
        <stp>2026</stp>
        <stp>DEFAULT</stp>
        <stp>ANALYST</stp>
        <stp/>
        <stp>WIP</stp>
        <stp>FALSE</stp>
        <stp>FALSE</stp>
        <stp>FALSE</stp>
        <stp>FALSE</stp>
        <stp/>
        <tr r="AN7" s="46"/>
      </tp>
    </main>
    <main first="querytool.functions">
      <tp t="b">
        <v>0</v>
        <stp/>
        <stp>Keyword</stp>
        <stp>a275f610-a2bd-4a74-9070-96d37e49bf8e</stp>
        <stp>PUMG.DE</stp>
        <stp>SALES</stp>
        <stp>2027</stp>
        <stp>DEFAULT</stp>
        <stp>ANALYST</stp>
        <stp/>
        <stp>WIP</stp>
        <stp>FALSE</stp>
        <stp>FALSE</stp>
        <stp>FALSE</stp>
        <stp>FALSE</stp>
        <stp/>
        <tr r="AO7" s="46"/>
      </tp>
      <tp t="b">
        <v>0</v>
        <stp/>
        <stp>Keyword</stp>
        <stp>a275f610-a2bd-4a74-9070-96d37e49bf8e</stp>
        <stp>PUMG.DE</stp>
        <stp>GROSS_PROFIT</stp>
        <stp>2025</stp>
        <stp>DEFAULT</stp>
        <stp>ANALYST</stp>
        <stp/>
        <stp>WIP</stp>
        <stp>FALSE</stp>
        <stp>FALSE</stp>
        <stp>FALSE</stp>
        <stp>FALSE</stp>
        <stp/>
        <tr r="AW7" s="46"/>
      </tp>
    </main>
    <main first="querytool.functions">
      <tp t="b">
        <v>0</v>
        <stp/>
        <stp>Keyword</stp>
        <stp>a275f610-a2bd-4a74-9070-96d37e49bf8e</stp>
        <stp>PUMG.DE</stp>
        <stp>GROSS_PROFIT</stp>
        <stp>2024</stp>
        <stp>DEFAULT</stp>
        <stp>ANALYST</stp>
        <stp/>
        <stp>WIP</stp>
        <stp>FALSE</stp>
        <stp>FALSE</stp>
        <stp>FALSE</stp>
        <stp>FALSE</stp>
        <stp/>
        <tr r="AV7" s="46"/>
      </tp>
      <tp t="b">
        <v>0</v>
        <stp/>
        <stp>Price</stp>
        <stp>a275f610-a2bd-4a74-9070-96d37e49bf8e</stp>
        <stp>NKE</stp>
        <stp/>
        <stp/>
        <stp>REPORTING</stp>
        <stp>FALSE</stp>
        <stp>WIP</stp>
        <tr r="E4" s="46"/>
      </tp>
      <tp t="b">
        <v>0</v>
        <stp/>
        <stp>Keyword</stp>
        <stp>a275f610-a2bd-4a74-9070-96d37e49bf8e</stp>
        <stp>PUMG.DE</stp>
        <stp>SALES</stp>
        <stp>2019</stp>
        <stp>DEFAULT</stp>
        <stp>ANALYST</stp>
        <stp/>
        <stp>WIP</stp>
        <stp>FALSE</stp>
        <stp>FALSE</stp>
        <stp>FALSE</stp>
        <stp>FALSE</stp>
        <stp/>
        <tr r="AG7" s="46"/>
      </tp>
      <tp t="b">
        <v>0</v>
        <stp/>
        <stp>Keyword</stp>
        <stp>a275f610-a2bd-4a74-9070-96d37e49bf8e</stp>
        <stp>PUMG.DE</stp>
        <stp>GROSS_PROFIT</stp>
        <stp>2027</stp>
        <stp>DEFAULT</stp>
        <stp>ANALYST</stp>
        <stp/>
        <stp>WIP</stp>
        <stp>FALSE</stp>
        <stp>FALSE</stp>
        <stp>FALSE</stp>
        <stp>FALSE</stp>
        <stp/>
        <tr r="AY7" s="46"/>
      </tp>
      <tp t="b">
        <v>0</v>
        <stp/>
        <stp>Keyword</stp>
        <stp>a275f610-a2bd-4a74-9070-96d37e49bf8e</stp>
        <stp>PUMG.DE</stp>
        <stp>GROSS_PROFIT</stp>
        <stp>2026</stp>
        <stp>DEFAULT</stp>
        <stp>ANALYST</stp>
        <stp/>
        <stp>WIP</stp>
        <stp>FALSE</stp>
        <stp>FALSE</stp>
        <stp>FALSE</stp>
        <stp>FALSE</stp>
        <stp/>
        <tr r="AX7" s="46"/>
      </tp>
    </main>
    <main first="querytool.functions">
      <tp t="b">
        <v>0</v>
        <stp/>
        <stp>Keyword</stp>
        <stp>a275f610-a2bd-4a74-9070-96d37e49bf8e</stp>
        <stp>2331.HK</stp>
        <stp>LAST_UPDATE_DATE</stp>
        <stp/>
        <stp/>
        <stp>ANALYST</stp>
        <stp/>
        <stp>WIP</stp>
        <stp>FALSE</stp>
        <stp>FALSE</stp>
        <stp>FALSE</stp>
        <stp>FALSE</stp>
        <stp/>
        <tr r="V8" s="46"/>
      </tp>
      <tp t="b">
        <v>0</v>
        <stp/>
        <stp>Keyword</stp>
        <stp>a275f610-a2bd-4a74-9070-96d37e49bf8e</stp>
        <stp>PUMG.DE</stp>
        <stp>GROSS_PROFIT</stp>
        <stp>2021</stp>
        <stp>DEFAULT</stp>
        <stp>ANALYST</stp>
        <stp/>
        <stp>WIP</stp>
        <stp>FALSE</stp>
        <stp>FALSE</stp>
        <stp>FALSE</stp>
        <stp>FALSE</stp>
        <stp/>
        <tr r="AS7" s="46"/>
      </tp>
    </main>
    <main first="querytool.functions">
      <tp t="b">
        <v>0</v>
        <stp/>
        <stp>Keyword</stp>
        <stp>a275f610-a2bd-4a74-9070-96d37e49bf8e</stp>
        <stp>PUMG.DE</stp>
        <stp>GROSS_PROFIT</stp>
        <stp>2020</stp>
        <stp>DEFAULT</stp>
        <stp>ANALYST</stp>
        <stp/>
        <stp>WIP</stp>
        <stp>FALSE</stp>
        <stp>FALSE</stp>
        <stp>FALSE</stp>
        <stp>FALSE</stp>
        <stp/>
        <tr r="AR7" s="46"/>
      </tp>
      <tp t="b">
        <v>0</v>
        <stp/>
        <stp>Keyword</stp>
        <stp>a275f610-a2bd-4a74-9070-96d37e49bf8e</stp>
        <stp>LULU</stp>
        <stp>LAST_UPDATE_DATE</stp>
        <stp/>
        <stp/>
        <stp>ANALYST</stp>
        <stp/>
        <stp>WIP</stp>
        <stp>FALSE</stp>
        <stp>FALSE</stp>
        <stp>FALSE</stp>
        <stp>FALSE</stp>
        <stp/>
        <tr r="V5" s="46"/>
      </tp>
    </main>
    <main first="querytool.functions">
      <tp t="b">
        <v>0</v>
        <stp/>
        <stp>Keyword</stp>
        <stp>a275f610-a2bd-4a74-9070-96d37e49bf8e</stp>
        <stp>PUMG.DE</stp>
        <stp>GROSS_PROFIT</stp>
        <stp>2023</stp>
        <stp>DEFAULT</stp>
        <stp>ANALYST</stp>
        <stp/>
        <stp>WIP</stp>
        <stp>FALSE</stp>
        <stp>FALSE</stp>
        <stp>FALSE</stp>
        <stp>FALSE</stp>
        <stp/>
        <tr r="AU7" s="46"/>
      </tp>
      <tp t="b">
        <v>0</v>
        <stp/>
        <stp>Keyword</stp>
        <stp>a275f610-a2bd-4a74-9070-96d37e49bf8e</stp>
        <stp>ONON</stp>
        <stp>LAST_UPDATE_DATE</stp>
        <stp/>
        <stp/>
        <stp>ANALYST</stp>
        <stp/>
        <stp>WIP</stp>
        <stp>FALSE</stp>
        <stp>FALSE</stp>
        <stp>FALSE</stp>
        <stp>FALSE</stp>
        <stp/>
        <tr r="V11" s="46"/>
      </tp>
    </main>
    <main first="querytool.functions">
      <tp t="b">
        <v>0</v>
        <stp/>
        <stp>Keyword</stp>
        <stp>a275f610-a2bd-4a74-9070-96d37e49bf8e</stp>
        <stp>2020.HK</stp>
        <stp>LAST_UPDATE_DATE</stp>
        <stp/>
        <stp/>
        <stp>ANALYST</stp>
        <stp/>
        <stp>WIP</stp>
        <stp>FALSE</stp>
        <stp>FALSE</stp>
        <stp>FALSE</stp>
        <stp>FALSE</stp>
        <stp/>
        <tr r="V9" s="46"/>
      </tp>
      <tp t="b">
        <v>0</v>
        <stp/>
        <stp>Keyword</stp>
        <stp>a275f610-a2bd-4a74-9070-96d37e49bf8e</stp>
        <stp>PUMG.DE</stp>
        <stp>GROSS_PROFIT</stp>
        <stp>2022</stp>
        <stp>DEFAULT</stp>
        <stp>ANALYST</stp>
        <stp/>
        <stp>WIP</stp>
        <stp>FALSE</stp>
        <stp>FALSE</stp>
        <stp>FALSE</stp>
        <stp>FALSE</stp>
        <stp/>
        <tr r="AT7" s="46"/>
      </tp>
      <tp t="b">
        <v>0</v>
        <stp/>
        <stp>Keyword</stp>
        <stp>a275f610-a2bd-4a74-9070-96d37e49bf8e</stp>
        <stp>ADSGn.DE</stp>
        <stp>SALES</stp>
        <stp>2020</stp>
        <stp>DEFAULT</stp>
        <stp>ANALYST</stp>
        <stp/>
        <stp>WIP</stp>
        <stp>FALSE</stp>
        <stp>FALSE</stp>
        <stp>FALSE</stp>
        <stp>FALSE</stp>
        <stp/>
        <tr r="AH6" s="46"/>
      </tp>
      <tp t="b">
        <v>0</v>
        <stp/>
        <stp>Keyword</stp>
        <stp>a275f610-a2bd-4a74-9070-96d37e49bf8e</stp>
        <stp>ADSGn.DE</stp>
        <stp>SALES</stp>
        <stp>2021</stp>
        <stp>DEFAULT</stp>
        <stp>ANALYST</stp>
        <stp/>
        <stp>WIP</stp>
        <stp>FALSE</stp>
        <stp>FALSE</stp>
        <stp>FALSE</stp>
        <stp>FALSE</stp>
        <stp/>
        <tr r="AI6" s="46"/>
      </tp>
      <tp t="b">
        <v>0</v>
        <stp/>
        <stp>Keyword</stp>
        <stp>a275f610-a2bd-4a74-9070-96d37e49bf8e</stp>
        <stp>ADSGn.DE</stp>
        <stp>SALES</stp>
        <stp>2022</stp>
        <stp>DEFAULT</stp>
        <stp>ANALYST</stp>
        <stp/>
        <stp>WIP</stp>
        <stp>FALSE</stp>
        <stp>FALSE</stp>
        <stp>FALSE</stp>
        <stp>FALSE</stp>
        <stp/>
        <tr r="AJ6" s="46"/>
      </tp>
      <tp t="b">
        <v>0</v>
        <stp/>
        <stp>Keyword</stp>
        <stp>a275f610-a2bd-4a74-9070-96d37e49bf8e</stp>
        <stp>ADSGn.DE</stp>
        <stp>SALES</stp>
        <stp>2023</stp>
        <stp>DEFAULT</stp>
        <stp>ANALYST</stp>
        <stp/>
        <stp>WIP</stp>
        <stp>FALSE</stp>
        <stp>FALSE</stp>
        <stp>FALSE</stp>
        <stp>FALSE</stp>
        <stp/>
        <tr r="AK6" s="46"/>
      </tp>
      <tp t="b">
        <v>0</v>
        <stp/>
        <stp>Keyword</stp>
        <stp>a275f610-a2bd-4a74-9070-96d37e49bf8e</stp>
        <stp>ADSGn.DE</stp>
        <stp>SALES</stp>
        <stp>2024</stp>
        <stp>DEFAULT</stp>
        <stp>ANALYST</stp>
        <stp/>
        <stp>WIP</stp>
        <stp>FALSE</stp>
        <stp>FALSE</stp>
        <stp>FALSE</stp>
        <stp>FALSE</stp>
        <stp/>
        <tr r="AL6" s="46"/>
      </tp>
      <tp t="b">
        <v>0</v>
        <stp/>
        <stp>Keyword</stp>
        <stp>a275f610-a2bd-4a74-9070-96d37e49bf8e</stp>
        <stp>NKE</stp>
        <stp>GROSS_PROFIT</stp>
        <stp>2019</stp>
        <stp>DEFAULT</stp>
        <stp>ANALYST</stp>
        <stp/>
        <stp>WIP</stp>
        <stp>FALSE</stp>
        <stp>FALSE</stp>
        <stp>FALSE</stp>
        <stp>FALSE</stp>
        <stp/>
        <tr r="AQ4" s="46"/>
      </tp>
      <tp t="b">
        <v>0</v>
        <stp/>
        <stp>Price</stp>
        <stp>a275f610-a2bd-4a74-9070-96d37e49bf8e</stp>
        <stp>2331.HK</stp>
        <stp/>
        <stp/>
        <stp>REPORTING</stp>
        <stp>FALSE</stp>
        <stp>WIP</stp>
        <tr r="E8" s="46"/>
      </tp>
      <tp t="b">
        <v>0</v>
        <stp/>
        <stp>Keyword</stp>
        <stp>a275f610-a2bd-4a74-9070-96d37e49bf8e</stp>
        <stp>ADSGn.DE</stp>
        <stp>SALES</stp>
        <stp>2025</stp>
        <stp>DEFAULT</stp>
        <stp>ANALYST</stp>
        <stp/>
        <stp>WIP</stp>
        <stp>FALSE</stp>
        <stp>FALSE</stp>
        <stp>FALSE</stp>
        <stp>FALSE</stp>
        <stp/>
        <tr r="AM6" s="46"/>
      </tp>
      <tp t="b">
        <v>0</v>
        <stp/>
        <stp>Price</stp>
        <stp>a275f610-a2bd-4a74-9070-96d37e49bf8e</stp>
        <stp>2020.HK</stp>
        <stp/>
        <stp/>
        <stp>REPORTING</stp>
        <stp>FALSE</stp>
        <stp>WIP</stp>
        <tr r="E9" s="46"/>
      </tp>
      <tp t="b">
        <v>0</v>
        <stp/>
        <stp>Keyword</stp>
        <stp>a275f610-a2bd-4a74-9070-96d37e49bf8e</stp>
        <stp>ADSGn.DE</stp>
        <stp>SALES</stp>
        <stp>2026</stp>
        <stp>DEFAULT</stp>
        <stp>ANALYST</stp>
        <stp/>
        <stp>WIP</stp>
        <stp>FALSE</stp>
        <stp>FALSE</stp>
        <stp>FALSE</stp>
        <stp>FALSE</stp>
        <stp/>
        <tr r="AN6" s="46"/>
      </tp>
      <tp t="b">
        <v>0</v>
        <stp/>
        <stp>Keyword</stp>
        <stp>a275f610-a2bd-4a74-9070-96d37e49bf8e</stp>
        <stp>ADSGn.DE</stp>
        <stp>SALES</stp>
        <stp>2027</stp>
        <stp>DEFAULT</stp>
        <stp>ANALYST</stp>
        <stp/>
        <stp>WIP</stp>
        <stp>FALSE</stp>
        <stp>FALSE</stp>
        <stp>FALSE</stp>
        <stp>FALSE</stp>
        <stp/>
        <tr r="AO6" s="46"/>
      </tp>
      <tp t="b">
        <v>0</v>
        <stp/>
        <stp>Keyword</stp>
        <stp>a275f610-a2bd-4a74-9070-96d37e49bf8e</stp>
        <stp>NKE</stp>
        <stp>GROSS_PROFIT</stp>
        <stp>2025</stp>
        <stp>DEFAULT</stp>
        <stp>ANALYST</stp>
        <stp/>
        <stp>WIP</stp>
        <stp>FALSE</stp>
        <stp>FALSE</stp>
        <stp>FALSE</stp>
        <stp>FALSE</stp>
        <stp/>
        <tr r="AW4" s="46"/>
      </tp>
      <tp t="b">
        <v>0</v>
        <stp/>
        <stp>Price</stp>
        <stp>a275f610-a2bd-4a74-9070-96d37e49bf8e</stp>
        <stp>ONON</stp>
        <stp/>
        <stp/>
        <stp>PUBLISHING</stp>
        <stp>FALSE</stp>
        <stp>WIP</stp>
        <tr r="AB14" s="46"/>
      </tp>
      <tp t="b">
        <v>0</v>
        <stp/>
        <stp>Keyword</stp>
        <stp>a275f610-a2bd-4a74-9070-96d37e49bf8e</stp>
        <stp>ADSGn.DE</stp>
        <stp>SALES</stp>
        <stp>2019</stp>
        <stp>DEFAULT</stp>
        <stp>ANALYST</stp>
        <stp/>
        <stp>WIP</stp>
        <stp>FALSE</stp>
        <stp>FALSE</stp>
        <stp>FALSE</stp>
        <stp>FALSE</stp>
        <stp/>
        <tr r="AG6" s="46"/>
      </tp>
      <tp t="b">
        <v>0</v>
        <stp/>
        <stp>Keyword</stp>
        <stp>a275f610-a2bd-4a74-9070-96d37e49bf8e</stp>
        <stp>NKE</stp>
        <stp>GROSS_PROFIT</stp>
        <stp>2024</stp>
        <stp>DEFAULT</stp>
        <stp>ANALYST</stp>
        <stp/>
        <stp>WIP</stp>
        <stp>FALSE</stp>
        <stp>FALSE</stp>
        <stp>FALSE</stp>
        <stp>FALSE</stp>
        <stp/>
        <tr r="AV4" s="46"/>
      </tp>
    </main>
    <main first="querytool.functions">
      <tp t="b">
        <v>0</v>
        <stp/>
        <stp>Keyword</stp>
        <stp>a275f610-a2bd-4a74-9070-96d37e49bf8e</stp>
        <stp>NKE</stp>
        <stp>GROSS_PROFIT</stp>
        <stp>2027</stp>
        <stp>DEFAULT</stp>
        <stp>ANALYST</stp>
        <stp/>
        <stp>WIP</stp>
        <stp>FALSE</stp>
        <stp>FALSE</stp>
        <stp>FALSE</stp>
        <stp>FALSE</stp>
        <stp/>
        <tr r="AY4" s="46"/>
      </tp>
      <tp t="b">
        <v>0</v>
        <stp/>
        <stp>Keyword</stp>
        <stp>a275f610-a2bd-4a74-9070-96d37e49bf8e</stp>
        <stp>NKE</stp>
        <stp>GROSS_PROFIT</stp>
        <stp>2026</stp>
        <stp>DEFAULT</stp>
        <stp>ANALYST</stp>
        <stp/>
        <stp>WIP</stp>
        <stp>FALSE</stp>
        <stp>FALSE</stp>
        <stp>FALSE</stp>
        <stp>FALSE</stp>
        <stp/>
        <tr r="AX4" s="46"/>
      </tp>
      <tp t="b">
        <v>0</v>
        <stp/>
        <stp>Keyword</stp>
        <stp>a275f610-a2bd-4a74-9070-96d37e49bf8e</stp>
        <stp>NKE</stp>
        <stp>LAST_UPDATE_DATE</stp>
        <stp/>
        <stp/>
        <stp>ANALYST</stp>
        <stp/>
        <stp>WIP</stp>
        <stp>FALSE</stp>
        <stp>FALSE</stp>
        <stp>FALSE</stp>
        <stp>FALSE</stp>
        <stp/>
        <tr r="V4" s="46"/>
      </tp>
      <tp t="b">
        <v>0</v>
        <stp/>
        <stp>Keyword</stp>
        <stp>a275f610-a2bd-4a74-9070-96d37e49bf8e</stp>
        <stp>NKE</stp>
        <stp>GROSS_PROFIT</stp>
        <stp>2021</stp>
        <stp>DEFAULT</stp>
        <stp>ANALYST</stp>
        <stp/>
        <stp>WIP</stp>
        <stp>FALSE</stp>
        <stp>FALSE</stp>
        <stp>FALSE</stp>
        <stp>FALSE</stp>
        <stp/>
        <tr r="AS4" s="46"/>
      </tp>
      <tp t="b">
        <v>0</v>
        <stp/>
        <stp>Keyword</stp>
        <stp>a275f610-a2bd-4a74-9070-96d37e49bf8e</stp>
        <stp>NKE</stp>
        <stp>GROSS_PROFIT</stp>
        <stp>2020</stp>
        <stp>DEFAULT</stp>
        <stp>ANALYST</stp>
        <stp/>
        <stp>WIP</stp>
        <stp>FALSE</stp>
        <stp>FALSE</stp>
        <stp>FALSE</stp>
        <stp>FALSE</stp>
        <stp/>
        <tr r="AR4" s="46"/>
      </tp>
      <tp t="b">
        <v>0</v>
        <stp/>
        <stp>Keyword</stp>
        <stp>a275f610-a2bd-4a74-9070-96d37e49bf8e</stp>
        <stp>NKE</stp>
        <stp>GROSS_PROFIT</stp>
        <stp>2023</stp>
        <stp>DEFAULT</stp>
        <stp>ANALYST</stp>
        <stp/>
        <stp>WIP</stp>
        <stp>FALSE</stp>
        <stp>FALSE</stp>
        <stp>FALSE</stp>
        <stp>FALSE</stp>
        <stp/>
        <tr r="AU4" s="46"/>
      </tp>
      <tp t="b">
        <v>0</v>
        <stp/>
        <stp>Keyword</stp>
        <stp>a275f610-a2bd-4a74-9070-96d37e49bf8e</stp>
        <stp>NKE</stp>
        <stp>GROSS_PROFIT</stp>
        <stp>2022</stp>
        <stp>DEFAULT</stp>
        <stp>ANALYST</stp>
        <stp/>
        <stp>WIP</stp>
        <stp>FALSE</stp>
        <stp>FALSE</stp>
        <stp>FALSE</stp>
        <stp>FALSE</stp>
        <stp/>
        <tr r="AT4" s="46"/>
      </tp>
      <tp t="b">
        <v>0</v>
        <stp/>
        <stp>Price</stp>
        <stp>a275f610-a2bd-4a74-9070-96d37e49bf8e</stp>
        <stp>ONON</stp>
        <stp/>
        <stp/>
        <stp>CHF</stp>
        <stp>FALSE</stp>
        <stp>WIP</stp>
        <tr r="Y14" s="46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theme" Target="theme/theme1.xml"/><Relationship Id="rId38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831323818897643E-2"/>
          <c:y val="0.12594910899295483"/>
          <c:w val="0.9404256889763779"/>
          <c:h val="0.766651356080489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MODEL!$B$131</c:f>
              <c:strCache>
                <c:ptCount val="1"/>
                <c:pt idx="0">
                  <c:v>Group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MODEL!$G$130:$AO$130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MODEL!$G$131:$AO$131</c:f>
              <c:numCache>
                <c:formatCode>_(* #,##0.0_);_(* \(#,##0.0\);_(* "-"??_);_(@_)</c:formatCode>
                <c:ptCount val="5"/>
                <c:pt idx="0">
                  <c:v>724.60000000000014</c:v>
                </c:pt>
                <c:pt idx="1">
                  <c:v>1222.0999999999999</c:v>
                </c:pt>
                <c:pt idx="2">
                  <c:v>1792.1</c:v>
                </c:pt>
                <c:pt idx="3">
                  <c:v>2318.3000000000002</c:v>
                </c:pt>
                <c:pt idx="4">
                  <c:v>3014.0000000000009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2-425F-950A-647BE916F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4453088"/>
        <c:axId val="234444352"/>
      </c:barChart>
      <c:catAx>
        <c:axId val="23445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444352"/>
        <c:crosses val="autoZero"/>
        <c:auto val="1"/>
        <c:lblAlgn val="ctr"/>
        <c:lblOffset val="100"/>
        <c:noMultiLvlLbl val="0"/>
      </c:catAx>
      <c:valAx>
        <c:axId val="234444352"/>
        <c:scaling>
          <c:orientation val="minMax"/>
        </c:scaling>
        <c:delete val="1"/>
        <c:axPos val="l"/>
        <c:numFmt formatCode="_(* #,##0.0_);_(* \(#,##0.0\);_(* &quot;-&quot;??_);_(@_)" sourceLinked="1"/>
        <c:majorTickMark val="none"/>
        <c:minorTickMark val="none"/>
        <c:tickLblPos val="nextTo"/>
        <c:crossAx val="23445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Europe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MODEL!$N$2:$AY$2</c15:sqref>
                  </c15:fullRef>
                </c:ext>
              </c:extLst>
              <c:f>(MODEL!$N$2:$AN$2,MODEL!$AP$2:$AY$2)</c:f>
              <c:strCach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  <c:pt idx="9">
                  <c:v>2031E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MODEL!$N$8:$AY$8</c15:sqref>
                  </c15:fullRef>
                </c:ext>
              </c:extLst>
              <c:f>(MODEL!$N$8:$AN$8,MODEL!$AP$8:$AY$8)</c:f>
              <c:numCache>
                <c:formatCode>0.0%</c:formatCode>
                <c:ptCount val="10"/>
                <c:pt idx="0">
                  <c:v>0.35937068727573823</c:v>
                </c:pt>
                <c:pt idx="1">
                  <c:v>0.28991080926274448</c:v>
                </c:pt>
                <c:pt idx="2">
                  <c:v>0.2726968361140561</c:v>
                </c:pt>
                <c:pt idx="3">
                  <c:v>0.24923435275848679</c:v>
                </c:pt>
                <c:pt idx="4">
                  <c:v>0.25620868133519736</c:v>
                </c:pt>
                <c:pt idx="5">
                  <c:v>0.25348703201321326</c:v>
                </c:pt>
                <c:pt idx="6">
                  <c:v>0.24600171570140808</c:v>
                </c:pt>
                <c:pt idx="7">
                  <c:v>0.23801459340188019</c:v>
                </c:pt>
                <c:pt idx="8">
                  <c:v>0.22895059480385191</c:v>
                </c:pt>
                <c:pt idx="9">
                  <c:v>0.22126780746598754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2-4230-818C-546F7E543A16}"/>
            </c:ext>
          </c:extLst>
        </c:ser>
        <c:ser>
          <c:idx val="1"/>
          <c:order val="1"/>
          <c:tx>
            <c:v>North America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MODEL!$N$2:$AY$2</c15:sqref>
                  </c15:fullRef>
                </c:ext>
              </c:extLst>
              <c:f>(MODEL!$N$2:$AN$2,MODEL!$AP$2:$AY$2)</c:f>
              <c:strCach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  <c:pt idx="9">
                  <c:v>2031E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MODEL!$N$15:$AY$15</c15:sqref>
                  </c15:fullRef>
                </c:ext>
              </c:extLst>
              <c:f>(MODEL!$N$15:$AN$15,MODEL!$AP$15:$AY$15)</c:f>
              <c:numCache>
                <c:formatCode>0.0%</c:formatCode>
                <c:ptCount val="10"/>
                <c:pt idx="0">
                  <c:v>0.56513938724813684</c:v>
                </c:pt>
                <c:pt idx="1">
                  <c:v>0.60428770149742239</c:v>
                </c:pt>
                <c:pt idx="2">
                  <c:v>0.64856871826348972</c:v>
                </c:pt>
                <c:pt idx="3">
                  <c:v>0.63852823189406027</c:v>
                </c:pt>
                <c:pt idx="4">
                  <c:v>0.52200026159422186</c:v>
                </c:pt>
                <c:pt idx="5">
                  <c:v>0.48092341744920747</c:v>
                </c:pt>
                <c:pt idx="6">
                  <c:v>0.44607062651899304</c:v>
                </c:pt>
                <c:pt idx="7">
                  <c:v>0.41617386973609788</c:v>
                </c:pt>
                <c:pt idx="8">
                  <c:v>0.39304662315993144</c:v>
                </c:pt>
                <c:pt idx="9">
                  <c:v>0.37282294740793942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32-4230-818C-546F7E543A16}"/>
            </c:ext>
          </c:extLst>
        </c:ser>
        <c:ser>
          <c:idx val="2"/>
          <c:order val="2"/>
          <c:tx>
            <c:strRef>
              <c:f>MODEL!$B$18</c:f>
              <c:strCache>
                <c:ptCount val="1"/>
                <c:pt idx="0">
                  <c:v>APAC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MODEL!$N$2:$AY$2</c15:sqref>
                  </c15:fullRef>
                </c:ext>
              </c:extLst>
              <c:f>(MODEL!$N$2:$AN$2,MODEL!$AP$2:$AY$2)</c:f>
              <c:strCach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  <c:pt idx="9">
                  <c:v>2031E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MODEL!$N$22:$AY$22</c15:sqref>
                  </c15:fullRef>
                </c:ext>
              </c:extLst>
              <c:f>(MODEL!$N$22:$AN$22,MODEL!$AP$22:$AY$22)</c:f>
              <c:numCache>
                <c:formatCode>0.0%</c:formatCode>
                <c:ptCount val="10"/>
                <c:pt idx="0">
                  <c:v>5.8929064311344176E-2</c:v>
                </c:pt>
                <c:pt idx="1">
                  <c:v>6.5624744292611073E-2</c:v>
                </c:pt>
                <c:pt idx="2">
                  <c:v>0.05</c:v>
                </c:pt>
                <c:pt idx="3">
                  <c:v>0.11223741534745284</c:v>
                </c:pt>
                <c:pt idx="4">
                  <c:v>0.2217910570705808</c:v>
                </c:pt>
                <c:pt idx="5">
                  <c:v>0.26558955053757943</c:v>
                </c:pt>
                <c:pt idx="6">
                  <c:v>0.30792765777959896</c:v>
                </c:pt>
                <c:pt idx="7">
                  <c:v>0.3458115368620221</c:v>
                </c:pt>
                <c:pt idx="8">
                  <c:v>0.37800278203621679</c:v>
                </c:pt>
                <c:pt idx="9">
                  <c:v>0.40590924512607301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32-4230-818C-546F7E543A16}"/>
            </c:ext>
          </c:extLst>
        </c:ser>
        <c:ser>
          <c:idx val="3"/>
          <c:order val="3"/>
          <c:tx>
            <c:strRef>
              <c:f>MODEL!$B$25</c:f>
              <c:strCache>
                <c:ptCount val="1"/>
                <c:pt idx="0">
                  <c:v>Rest of the World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MODEL!$N$2:$AY$2</c15:sqref>
                  </c15:fullRef>
                </c:ext>
              </c:extLst>
              <c:f>(MODEL!$N$2:$AN$2,MODEL!$AP$2:$AY$2)</c:f>
              <c:strCach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  <c:pt idx="9">
                  <c:v>2030E</c:v>
                </c:pt>
                <c:pt idx="10">
                  <c:v>2031E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MODEL!$N$29:$AY$29</c15:sqref>
                  </c15:fullRef>
                </c:ext>
              </c:extLst>
              <c:f>(MODEL!$N$29:$AN$29,MODEL!$AP$29:$AY$29)</c:f>
            </c:numRef>
          </c:val>
          <c:extLst>
            <c:ext xmlns:c16="http://schemas.microsoft.com/office/drawing/2014/chart" uri="{C3380CC4-5D6E-409C-BE32-E72D297353CC}">
              <c16:uniqueId val="{00000003-B732-4230-818C-546F7E543A1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99166496"/>
        <c:axId val="1299142368"/>
      </c:barChart>
      <c:catAx>
        <c:axId val="129916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42368"/>
        <c:crosses val="autoZero"/>
        <c:auto val="1"/>
        <c:lblAlgn val="ctr"/>
        <c:lblOffset val="100"/>
        <c:noMultiLvlLbl val="0"/>
      </c:catAx>
      <c:valAx>
        <c:axId val="1299142368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6649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0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68024114173227"/>
          <c:y val="7.9474181516784093E-2"/>
          <c:w val="0.80035576607611547"/>
          <c:h val="0.814427849150435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MODEL!$B$153</c:f>
              <c:strCache>
                <c:ptCount val="1"/>
                <c:pt idx="0">
                  <c:v>Group EBITDA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MODEL!$G$2:$AU$2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</c:strCache>
            </c:strRef>
          </c:cat>
          <c:val>
            <c:numRef>
              <c:f>MODEL!$C$153:$AU$153</c:f>
              <c:numCache>
                <c:formatCode>_(* #,##0.0_);_(* \(#,##0.0\);_(* "-"??_);_(@_)</c:formatCode>
                <c:ptCount val="7"/>
                <c:pt idx="0">
                  <c:v>96.385999999999996</c:v>
                </c:pt>
                <c:pt idx="1">
                  <c:v>165.30000000000013</c:v>
                </c:pt>
                <c:pt idx="2">
                  <c:v>276.90000000000009</c:v>
                </c:pt>
                <c:pt idx="3">
                  <c:v>387.62279362360175</c:v>
                </c:pt>
                <c:pt idx="4">
                  <c:v>567</c:v>
                </c:pt>
                <c:pt idx="5">
                  <c:v>699.9896332887181</c:v>
                </c:pt>
                <c:pt idx="6">
                  <c:v>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B-4366-BE5F-5CD0EADF3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9714367"/>
        <c:axId val="219671935"/>
      </c:barChart>
      <c:lineChart>
        <c:grouping val="standard"/>
        <c:varyColors val="0"/>
        <c:ser>
          <c:idx val="1"/>
          <c:order val="1"/>
          <c:tx>
            <c:strRef>
              <c:f>MODEL!$B$155</c:f>
              <c:strCache>
                <c:ptCount val="1"/>
                <c:pt idx="0">
                  <c:v>Group EBITDA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MODEL!$G$2:$AU$2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</c:strCache>
            </c:strRef>
          </c:cat>
          <c:val>
            <c:numRef>
              <c:f>MODEL!$G$155:$AU$155</c:f>
              <c:numCache>
                <c:formatCode>0.0%</c:formatCode>
                <c:ptCount val="7"/>
                <c:pt idx="0">
                  <c:v>0.13301959701904495</c:v>
                </c:pt>
                <c:pt idx="1">
                  <c:v>0.13525898044349902</c:v>
                </c:pt>
                <c:pt idx="2">
                  <c:v>0.1545114669940294</c:v>
                </c:pt>
                <c:pt idx="3">
                  <c:v>0.16720130855523518</c:v>
                </c:pt>
                <c:pt idx="4">
                  <c:v>0.18812209688122092</c:v>
                </c:pt>
                <c:pt idx="5">
                  <c:v>0.19987564003620475</c:v>
                </c:pt>
                <c:pt idx="6">
                  <c:v>0.205601783447768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B-4366-BE5F-5CD0EADF3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708543"/>
        <c:axId val="219712703"/>
      </c:lineChart>
      <c:valAx>
        <c:axId val="219671935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714367"/>
        <c:crosses val="autoZero"/>
        <c:crossBetween val="between"/>
      </c:valAx>
      <c:catAx>
        <c:axId val="219714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71935"/>
        <c:crosses val="autoZero"/>
        <c:auto val="1"/>
        <c:lblAlgn val="ctr"/>
        <c:lblOffset val="100"/>
        <c:noMultiLvlLbl val="0"/>
      </c:catAx>
      <c:valAx>
        <c:axId val="219712703"/>
        <c:scaling>
          <c:orientation val="minMax"/>
          <c:min val="0.1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708543"/>
        <c:crosses val="max"/>
        <c:crossBetween val="between"/>
      </c:valAx>
      <c:catAx>
        <c:axId val="2197085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9712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0"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890997960513949E-2"/>
          <c:y val="8.2073767094902605E-2"/>
          <c:w val="0.897601732376339"/>
          <c:h val="0.8413019477828429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MODEL!$B$262</c:f>
              <c:strCache>
                <c:ptCount val="1"/>
                <c:pt idx="0">
                  <c:v>Capex/Sales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MODEL!$N$216:$AU$216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</c:strCache>
            </c:strRef>
          </c:cat>
          <c:val>
            <c:numRef>
              <c:f>MODEL!$U$262:$AU$262</c:f>
              <c:numCache>
                <c:formatCode>0.0%</c:formatCode>
                <c:ptCount val="7"/>
                <c:pt idx="0">
                  <c:v>3.4004968258349429E-2</c:v>
                </c:pt>
                <c:pt idx="1">
                  <c:v>4.9341297766140255E-2</c:v>
                </c:pt>
                <c:pt idx="2">
                  <c:v>2.3882595837285865E-2</c:v>
                </c:pt>
                <c:pt idx="3">
                  <c:v>2.6096708795237889E-2</c:v>
                </c:pt>
                <c:pt idx="4">
                  <c:v>2.4187126741871262E-2</c:v>
                </c:pt>
                <c:pt idx="5">
                  <c:v>0.03</c:v>
                </c:pt>
                <c:pt idx="6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73-4E10-9180-AC9303E072BE}"/>
            </c:ext>
          </c:extLst>
        </c:ser>
        <c:ser>
          <c:idx val="2"/>
          <c:order val="2"/>
          <c:tx>
            <c:strRef>
              <c:f>MODEL!$B$269</c:f>
              <c:strCache>
                <c:ptCount val="1"/>
                <c:pt idx="0">
                  <c:v>Operating Cashflow/Sales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MODEL!$N$216:$AU$216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</c:strCache>
            </c:strRef>
          </c:cat>
          <c:val>
            <c:numRef>
              <c:f>MODEL!$U$269:$AU$269</c:f>
              <c:numCache>
                <c:formatCode>0.0%</c:formatCode>
                <c:ptCount val="7"/>
                <c:pt idx="0">
                  <c:v>-1.5209770908087276E-2</c:v>
                </c:pt>
                <c:pt idx="1">
                  <c:v>-0.22068570493412976</c:v>
                </c:pt>
                <c:pt idx="2">
                  <c:v>0.10931309636739023</c:v>
                </c:pt>
                <c:pt idx="3">
                  <c:v>0.18967524602956404</c:v>
                </c:pt>
                <c:pt idx="4">
                  <c:v>8.7060384870603871E-2</c:v>
                </c:pt>
                <c:pt idx="5">
                  <c:v>0.12063459127336409</c:v>
                </c:pt>
                <c:pt idx="6">
                  <c:v>0.11463342802547687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33-456E-ABC8-F18D0EB80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8695071"/>
        <c:axId val="258698815"/>
      </c:barChart>
      <c:lineChart>
        <c:grouping val="standard"/>
        <c:varyColors val="0"/>
        <c:ser>
          <c:idx val="0"/>
          <c:order val="0"/>
          <c:tx>
            <c:strRef>
              <c:f>MODEL!$B$268</c:f>
              <c:strCache>
                <c:ptCount val="1"/>
                <c:pt idx="0">
                  <c:v>FCF/Sales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MODEL!$U$216:$AU$216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</c:strCache>
            </c:strRef>
          </c:cat>
          <c:val>
            <c:numRef>
              <c:f>MODEL!$U$268:$AU$268</c:f>
              <c:numCache>
                <c:formatCode>0.0%</c:formatCode>
                <c:ptCount val="7"/>
                <c:pt idx="0">
                  <c:v>-4.9214739166436705E-2</c:v>
                </c:pt>
                <c:pt idx="1">
                  <c:v>-0.27002700270027002</c:v>
                </c:pt>
                <c:pt idx="2">
                  <c:v>8.543050053010437E-2</c:v>
                </c:pt>
                <c:pt idx="3">
                  <c:v>0.16357853723432614</c:v>
                </c:pt>
                <c:pt idx="4">
                  <c:v>6.2873258128732609E-2</c:v>
                </c:pt>
                <c:pt idx="5">
                  <c:v>9.0634591273364096E-2</c:v>
                </c:pt>
                <c:pt idx="6">
                  <c:v>8.4633428025476867E-2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73-4E10-9180-AC9303E07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695071"/>
        <c:axId val="258698815"/>
      </c:lineChart>
      <c:catAx>
        <c:axId val="25869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98815"/>
        <c:crosses val="autoZero"/>
        <c:auto val="1"/>
        <c:lblAlgn val="ctr"/>
        <c:lblOffset val="100"/>
        <c:noMultiLvlLbl val="0"/>
      </c:catAx>
      <c:valAx>
        <c:axId val="258698815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9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61462789592246"/>
          <c:y val="5.8580687940323249E-2"/>
          <c:w val="0.89938537210407754"/>
          <c:h val="0.8508618317447160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MODEL!$B$115</c:f>
              <c:strCache>
                <c:ptCount val="1"/>
                <c:pt idx="0">
                  <c:v>Group Wholesale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MODEL!$G$2:$AU$2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</c:strCache>
            </c:strRef>
          </c:cat>
          <c:val>
            <c:numRef>
              <c:f>MODEL!$G$115:$AU$115</c:f>
              <c:numCache>
                <c:formatCode>_(* #,##0.0_);_(* \(#,##0.0\);_(* "-"??_);_(@_)</c:formatCode>
                <c:ptCount val="7"/>
                <c:pt idx="0">
                  <c:v>449.10000000000008</c:v>
                </c:pt>
                <c:pt idx="1">
                  <c:v>776.99999999999989</c:v>
                </c:pt>
                <c:pt idx="2">
                  <c:v>1120.3000000000002</c:v>
                </c:pt>
                <c:pt idx="3">
                  <c:v>1375.5000000000005</c:v>
                </c:pt>
                <c:pt idx="4">
                  <c:v>1753.500000000002</c:v>
                </c:pt>
                <c:pt idx="5">
                  <c:v>1915.4194336759565</c:v>
                </c:pt>
                <c:pt idx="6">
                  <c:v>2191.0083598648089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44-4FDA-9A30-7EEF5593D71F}"/>
            </c:ext>
          </c:extLst>
        </c:ser>
        <c:ser>
          <c:idx val="2"/>
          <c:order val="2"/>
          <c:tx>
            <c:strRef>
              <c:f>MODEL!$B$78</c:f>
              <c:strCache>
                <c:ptCount val="1"/>
                <c:pt idx="0">
                  <c:v>DTC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MODEL!$G$2:$AU$2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</c:strCache>
            </c:strRef>
          </c:cat>
          <c:val>
            <c:numRef>
              <c:f>MODEL!$G$78:$AU$78</c:f>
              <c:numCache>
                <c:formatCode>_(* #,##0.0_);_(* \(#,##0.0\);_(* "-"??_);_(@_)</c:formatCode>
                <c:ptCount val="7"/>
                <c:pt idx="0">
                  <c:v>275.50000000000006</c:v>
                </c:pt>
                <c:pt idx="1">
                  <c:v>445.1</c:v>
                </c:pt>
                <c:pt idx="2">
                  <c:v>671.79999999999973</c:v>
                </c:pt>
                <c:pt idx="3">
                  <c:v>942.79999999999984</c:v>
                </c:pt>
                <c:pt idx="4" formatCode="0.0">
                  <c:v>1260.4999999999989</c:v>
                </c:pt>
                <c:pt idx="5" formatCode="0.0">
                  <c:v>1586.7063539484107</c:v>
                </c:pt>
                <c:pt idx="6" formatCode="0.0">
                  <c:v>1967.5158788960291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44-4FDA-9A30-7EEF5593D71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34453088"/>
        <c:axId val="2344443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MODEL!$B$131</c15:sqref>
                        </c15:formulaRef>
                      </c:ext>
                    </c:extLst>
                    <c:strCache>
                      <c:ptCount val="1"/>
                      <c:pt idx="0">
                        <c:v>Group 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MODEL!$G$2:$AU$2</c15:sqref>
                        </c15:formulaRef>
                      </c:ext>
                    </c:extLst>
                    <c:strCache>
                      <c:ptCount val="7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  <c:pt idx="5">
                        <c:v>2026E</c:v>
                      </c:pt>
                      <c:pt idx="6">
                        <c:v>2027E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MODEL!$G$131:$AO$131</c15:sqref>
                        </c15:formulaRef>
                      </c:ext>
                    </c:extLst>
                    <c:numCache>
                      <c:formatCode>_(* #,##0.0_);_(* \(#,##0.0\);_(* "-"??_);_(@_)</c:formatCode>
                      <c:ptCount val="5"/>
                      <c:pt idx="0">
                        <c:v>724.60000000000014</c:v>
                      </c:pt>
                      <c:pt idx="1">
                        <c:v>1222.0999999999999</c:v>
                      </c:pt>
                      <c:pt idx="2">
                        <c:v>1792.1</c:v>
                      </c:pt>
                      <c:pt idx="3">
                        <c:v>2318.3000000000002</c:v>
                      </c:pt>
                      <c:pt idx="4">
                        <c:v>3014.0000000000009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D44-4FDA-9A30-7EEF5593D71F}"/>
                  </c:ext>
                </c:extLst>
              </c15:ser>
            </c15:filteredBarSeries>
          </c:ext>
        </c:extLst>
      </c:barChart>
      <c:catAx>
        <c:axId val="23445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444352"/>
        <c:crosses val="autoZero"/>
        <c:auto val="1"/>
        <c:lblAlgn val="ctr"/>
        <c:lblOffset val="100"/>
        <c:noMultiLvlLbl val="0"/>
      </c:catAx>
      <c:valAx>
        <c:axId val="234444352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accent3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45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Worksheet!$B$19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Worksheet!$C$16:$D$16</c:f>
              <c:strCache>
                <c:ptCount val="2"/>
                <c:pt idx="0">
                  <c:v>DTC</c:v>
                </c:pt>
                <c:pt idx="1">
                  <c:v>Wholesale</c:v>
                </c:pt>
              </c:strCache>
            </c:strRef>
          </c:cat>
          <c:val>
            <c:numRef>
              <c:f>Worksheet!$C$19:$D$19</c:f>
              <c:numCache>
                <c:formatCode>[$$-409]#,##0</c:formatCode>
                <c:ptCount val="2"/>
                <c:pt idx="0">
                  <c:v>56.629652363149376</c:v>
                </c:pt>
                <c:pt idx="1">
                  <c:v>56.629652363149376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44-43B6-99C5-1EE6D9421999}"/>
            </c:ext>
          </c:extLst>
        </c:ser>
        <c:ser>
          <c:idx val="2"/>
          <c:order val="1"/>
          <c:tx>
            <c:strRef>
              <c:f>Worksheet!$B$20</c:f>
              <c:strCache>
                <c:ptCount val="1"/>
                <c:pt idx="0">
                  <c:v>Selling and Distribution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Worksheet!$C$16:$D$16</c:f>
              <c:strCache>
                <c:ptCount val="2"/>
                <c:pt idx="0">
                  <c:v>DTC</c:v>
                </c:pt>
                <c:pt idx="1">
                  <c:v>Wholesale</c:v>
                </c:pt>
              </c:strCache>
            </c:strRef>
          </c:cat>
          <c:val>
            <c:numRef>
              <c:f>Worksheet!$C$20:$D$20</c:f>
              <c:numCache>
                <c:formatCode>[$$-409]#,##0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44-43B6-99C5-1EE6D9421999}"/>
            </c:ext>
          </c:extLst>
        </c:ser>
        <c:ser>
          <c:idx val="0"/>
          <c:order val="2"/>
          <c:tx>
            <c:strRef>
              <c:f>Worksheet!$B$18</c:f>
              <c:strCache>
                <c:ptCount val="1"/>
                <c:pt idx="0">
                  <c:v>Retailer Commision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Worksheet!$C$16:$D$16</c:f>
              <c:strCache>
                <c:ptCount val="2"/>
                <c:pt idx="0">
                  <c:v>DTC</c:v>
                </c:pt>
                <c:pt idx="1">
                  <c:v>Wholesale</c:v>
                </c:pt>
              </c:strCache>
            </c:strRef>
          </c:cat>
          <c:val>
            <c:numRef>
              <c:f>Worksheet!$C$18:$D$18</c:f>
              <c:numCache>
                <c:formatCode>[$$-409]#,##0</c:formatCode>
                <c:ptCount val="2"/>
                <c:pt idx="1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4-43B6-99C5-1EE6D9421999}"/>
            </c:ext>
          </c:extLst>
        </c:ser>
        <c:ser>
          <c:idx val="3"/>
          <c:order val="3"/>
          <c:tx>
            <c:strRef>
              <c:f>Worksheet!$B$21</c:f>
              <c:strCache>
                <c:ptCount val="1"/>
                <c:pt idx="0">
                  <c:v>Admin and D&amp;A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Worksheet!$C$16:$D$16</c:f>
              <c:strCache>
                <c:ptCount val="2"/>
                <c:pt idx="0">
                  <c:v>DTC</c:v>
                </c:pt>
                <c:pt idx="1">
                  <c:v>Wholesale</c:v>
                </c:pt>
              </c:strCache>
            </c:strRef>
          </c:cat>
          <c:val>
            <c:numRef>
              <c:f>Worksheet!$C$21:$D$21</c:f>
              <c:numCache>
                <c:formatCode>[$$-409]#,##0</c:formatCode>
                <c:ptCount val="2"/>
                <c:pt idx="0">
                  <c:v>22.389375592879865</c:v>
                </c:pt>
                <c:pt idx="1">
                  <c:v>11.194687796439933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44-43B6-99C5-1EE6D9421999}"/>
            </c:ext>
          </c:extLst>
        </c:ser>
        <c:ser>
          <c:idx val="4"/>
          <c:order val="4"/>
          <c:tx>
            <c:strRef>
              <c:f>Worksheet!$B$22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Worksheet!$C$16:$D$16</c:f>
              <c:strCache>
                <c:ptCount val="2"/>
                <c:pt idx="0">
                  <c:v>DTC</c:v>
                </c:pt>
                <c:pt idx="1">
                  <c:v>Wholesale</c:v>
                </c:pt>
              </c:strCache>
            </c:strRef>
          </c:cat>
          <c:val>
            <c:numRef>
              <c:f>Worksheet!$C$22:$D$22</c:f>
              <c:numCache>
                <c:formatCode>[$$-409]#,##0</c:formatCode>
                <c:ptCount val="2"/>
                <c:pt idx="0">
                  <c:v>60.980972043970752</c:v>
                </c:pt>
                <c:pt idx="1">
                  <c:v>2.1756598404107024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44-43B6-99C5-1EE6D9421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15719072"/>
        <c:axId val="715727808"/>
      </c:barChart>
      <c:catAx>
        <c:axId val="71571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727808"/>
        <c:crosses val="autoZero"/>
        <c:auto val="1"/>
        <c:lblAlgn val="ctr"/>
        <c:lblOffset val="100"/>
        <c:noMultiLvlLbl val="0"/>
      </c:catAx>
      <c:valAx>
        <c:axId val="715727808"/>
        <c:scaling>
          <c:orientation val="minMax"/>
          <c:max val="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75000"/>
                <a:lumOff val="2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71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6666666666666666E-2"/>
          <c:y val="2.7777777777777776E-2"/>
          <c:w val="0.97222222222222221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456036745406818E-2"/>
          <c:y val="0.11979221347331585"/>
          <c:w val="0.88498840769903764"/>
          <c:h val="0.7728083989501312"/>
        </c:manualLayout>
      </c:layout>
      <c:lineChart>
        <c:grouping val="standard"/>
        <c:varyColors val="0"/>
        <c:ser>
          <c:idx val="0"/>
          <c:order val="0"/>
          <c:tx>
            <c:strRef>
              <c:f>Worksheet!$B$32</c:f>
              <c:strCache>
                <c:ptCount val="1"/>
                <c:pt idx="0">
                  <c:v>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Worksheet!$C$31:$I$31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2022E</c:v>
                </c:pt>
                <c:pt idx="4">
                  <c:v>2023E</c:v>
                </c:pt>
                <c:pt idx="5">
                  <c:v>2024E</c:v>
                </c:pt>
                <c:pt idx="6">
                  <c:v>2025E</c:v>
                </c:pt>
              </c:strCache>
            </c:strRef>
          </c:cat>
          <c:val>
            <c:numRef>
              <c:f>Worksheet!$C$32:$I$32</c:f>
              <c:numCache>
                <c:formatCode>0.0%</c:formatCode>
                <c:ptCount val="7"/>
                <c:pt idx="0">
                  <c:v>0.53577889142109447</c:v>
                </c:pt>
                <c:pt idx="1">
                  <c:v>0.54339967802988709</c:v>
                </c:pt>
                <c:pt idx="2">
                  <c:v>0.59384487993375634</c:v>
                </c:pt>
                <c:pt idx="3">
                  <c:v>0.56042877014974235</c:v>
                </c:pt>
                <c:pt idx="4">
                  <c:v>0.59550248312036158</c:v>
                </c:pt>
                <c:pt idx="5">
                  <c:v>0.60633820766218804</c:v>
                </c:pt>
                <c:pt idx="6">
                  <c:v>0.62826808228268061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4B-4930-AE3C-3A73AC598B6C}"/>
            </c:ext>
          </c:extLst>
        </c:ser>
        <c:ser>
          <c:idx val="1"/>
          <c:order val="1"/>
          <c:tx>
            <c:strRef>
              <c:f>Worksheet!$B$33</c:f>
              <c:strCache>
                <c:ptCount val="1"/>
                <c:pt idx="0">
                  <c:v>Puma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Worksheet!$C$31:$I$31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2022E</c:v>
                </c:pt>
                <c:pt idx="4">
                  <c:v>2023E</c:v>
                </c:pt>
                <c:pt idx="5">
                  <c:v>2024E</c:v>
                </c:pt>
                <c:pt idx="6">
                  <c:v>2025E</c:v>
                </c:pt>
              </c:strCache>
            </c:strRef>
          </c:cat>
          <c:val>
            <c:numRef>
              <c:f>Worksheet!$C$33:$I$33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4B-4930-AE3C-3A73AC598B6C}"/>
            </c:ext>
          </c:extLst>
        </c:ser>
        <c:ser>
          <c:idx val="2"/>
          <c:order val="2"/>
          <c:tx>
            <c:strRef>
              <c:f>Worksheet!$B$34</c:f>
              <c:strCache>
                <c:ptCount val="1"/>
                <c:pt idx="0">
                  <c:v>Adidas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Worksheet!$C$31:$I$31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2022E</c:v>
                </c:pt>
                <c:pt idx="4">
                  <c:v>2023E</c:v>
                </c:pt>
                <c:pt idx="5">
                  <c:v>2024E</c:v>
                </c:pt>
                <c:pt idx="6">
                  <c:v>2025E</c:v>
                </c:pt>
              </c:strCache>
            </c:strRef>
          </c:cat>
          <c:val>
            <c:numRef>
              <c:f>Worksheet!$C$34:$I$34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4B-4930-AE3C-3A73AC598B6C}"/>
            </c:ext>
          </c:extLst>
        </c:ser>
        <c:ser>
          <c:idx val="3"/>
          <c:order val="3"/>
          <c:tx>
            <c:strRef>
              <c:f>Worksheet!$B$35</c:f>
              <c:strCache>
                <c:ptCount val="1"/>
                <c:pt idx="0">
                  <c:v>Nike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Worksheet!$C$31:$I$31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2022E</c:v>
                </c:pt>
                <c:pt idx="4">
                  <c:v>2023E</c:v>
                </c:pt>
                <c:pt idx="5">
                  <c:v>2024E</c:v>
                </c:pt>
                <c:pt idx="6">
                  <c:v>2025E</c:v>
                </c:pt>
              </c:strCache>
            </c:strRef>
          </c:cat>
          <c:val>
            <c:numRef>
              <c:f>Worksheet!$C$35:$I$35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4B-4930-AE3C-3A73AC598B6C}"/>
            </c:ext>
          </c:extLst>
        </c:ser>
        <c:ser>
          <c:idx val="4"/>
          <c:order val="4"/>
          <c:tx>
            <c:strRef>
              <c:f>Worksheet!$B$36</c:f>
              <c:strCache>
                <c:ptCount val="1"/>
                <c:pt idx="0">
                  <c:v>Lululemon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Worksheet!$C$31:$I$31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2022E</c:v>
                </c:pt>
                <c:pt idx="4">
                  <c:v>2023E</c:v>
                </c:pt>
                <c:pt idx="5">
                  <c:v>2024E</c:v>
                </c:pt>
                <c:pt idx="6">
                  <c:v>2025E</c:v>
                </c:pt>
              </c:strCache>
            </c:strRef>
          </c:cat>
          <c:val>
            <c:numRef>
              <c:f>Worksheet!$C$36:$I$36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4B-4930-AE3C-3A73AC598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134415"/>
        <c:axId val="1041117775"/>
      </c:lineChart>
      <c:catAx>
        <c:axId val="104113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17775"/>
        <c:crosses val="autoZero"/>
        <c:auto val="1"/>
        <c:lblAlgn val="ctr"/>
        <c:lblOffset val="100"/>
        <c:noMultiLvlLbl val="0"/>
      </c:catAx>
      <c:valAx>
        <c:axId val="1041117775"/>
        <c:scaling>
          <c:orientation val="minMax"/>
          <c:max val="0.6200000000000001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75000"/>
                <a:lumOff val="2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34415"/>
        <c:crosses val="autoZero"/>
        <c:crossBetween val="between"/>
        <c:majorUnit val="4.0000000000000008E-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0"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456036745406818E-2"/>
          <c:y val="0.12442184310294546"/>
          <c:w val="0.88498840769903764"/>
          <c:h val="0.76817876932050155"/>
        </c:manualLayout>
      </c:layout>
      <c:lineChart>
        <c:grouping val="standard"/>
        <c:varyColors val="0"/>
        <c:ser>
          <c:idx val="0"/>
          <c:order val="0"/>
          <c:tx>
            <c:strRef>
              <c:f>Worksheet!$B$48</c:f>
              <c:strCache>
                <c:ptCount val="1"/>
                <c:pt idx="0">
                  <c:v>Wholesale contribution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Worksheet!$D$31:$L$31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</c:strCache>
            </c:strRef>
          </c:cat>
          <c:val>
            <c:numRef>
              <c:f>Worksheet!$D$48:$L$48</c:f>
              <c:numCache>
                <c:formatCode>0.0%</c:formatCode>
                <c:ptCount val="9"/>
                <c:pt idx="0">
                  <c:v>0.19500000000000001</c:v>
                </c:pt>
                <c:pt idx="1">
                  <c:v>0.14473391226898238</c:v>
                </c:pt>
                <c:pt idx="2">
                  <c:v>0.22600000000000001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CD-4B92-852D-3522BE0753B7}"/>
            </c:ext>
          </c:extLst>
        </c:ser>
        <c:ser>
          <c:idx val="1"/>
          <c:order val="1"/>
          <c:tx>
            <c:strRef>
              <c:f>Worksheet!$B$49</c:f>
              <c:strCache>
                <c:ptCount val="1"/>
                <c:pt idx="0">
                  <c:v>DTC contribution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Worksheet!$D$31:$L$31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</c:strCache>
            </c:strRef>
          </c:cat>
          <c:val>
            <c:numRef>
              <c:f>Worksheet!$D$49:$L$49</c:f>
              <c:numCache>
                <c:formatCode>0.0%</c:formatCode>
                <c:ptCount val="9"/>
                <c:pt idx="0">
                  <c:v>0.29372723591284661</c:v>
                </c:pt>
                <c:pt idx="1">
                  <c:v>0.42032667876587987</c:v>
                </c:pt>
                <c:pt idx="2">
                  <c:v>0.32037294989889925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CD-4B92-852D-3522BE075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134415"/>
        <c:axId val="1041117775"/>
      </c:lineChart>
      <c:catAx>
        <c:axId val="104113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17775"/>
        <c:crosses val="autoZero"/>
        <c:auto val="1"/>
        <c:lblAlgn val="ctr"/>
        <c:lblOffset val="100"/>
        <c:noMultiLvlLbl val="0"/>
      </c:catAx>
      <c:valAx>
        <c:axId val="1041117775"/>
        <c:scaling>
          <c:orientation val="minMax"/>
          <c:min val="0.12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75000"/>
                <a:lumOff val="2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34415"/>
        <c:crosses val="autoZero"/>
        <c:crossBetween val="between"/>
        <c:majorUnit val="4.0000000000000008E-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0"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Worksheet!$D$89</c:f>
              <c:strCache>
                <c:ptCount val="1"/>
                <c:pt idx="0">
                  <c:v>2022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BC-427F-A698-BBE1390F17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ABC-427F-A698-BBE1390F17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Worksheet!$B$90:$B$91</c:f>
              <c:strCache>
                <c:ptCount val="2"/>
                <c:pt idx="0">
                  <c:v>DTC</c:v>
                </c:pt>
                <c:pt idx="1">
                  <c:v>Wholesale</c:v>
                </c:pt>
              </c:strCache>
            </c:strRef>
          </c:cat>
          <c:val>
            <c:numRef>
              <c:f>Worksheet!$D$90:$D$91</c:f>
              <c:numCache>
                <c:formatCode>0%</c:formatCode>
                <c:ptCount val="2"/>
                <c:pt idx="0">
                  <c:v>0.36420914818754607</c:v>
                </c:pt>
                <c:pt idx="1">
                  <c:v>0.63579085181245398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C-427F-A698-BBE1390F17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0" orientation="portrait"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Worksheet!$C$89</c:f>
              <c:strCache>
                <c:ptCount val="1"/>
                <c:pt idx="0">
                  <c:v>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10-4267-85AB-F774EAA969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10-4267-85AB-F774EAA969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10-4267-85AB-F774EAA969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510-4267-85AB-F774EAA9696F}"/>
              </c:ext>
            </c:extLst>
          </c:dPt>
          <c:dLbls>
            <c:dLbl>
              <c:idx val="0"/>
              <c:layout>
                <c:manualLayout>
                  <c:x val="0.1015625000000001"/>
                  <c:y val="-6.73684210526315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10-4267-85AB-F774EAA9696F}"/>
                </c:ext>
              </c:extLst>
            </c:dLbl>
            <c:dLbl>
              <c:idx val="1"/>
              <c:layout>
                <c:manualLayout>
                  <c:x val="-0.13020833333333337"/>
                  <c:y val="3.78947368421051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10-4267-85AB-F774EAA9696F}"/>
                </c:ext>
              </c:extLst>
            </c:dLbl>
            <c:dLbl>
              <c:idx val="2"/>
              <c:layout>
                <c:manualLayout>
                  <c:x val="-6.5104166666666671E-2"/>
                  <c:y val="-6.315789473684210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510-4267-85AB-F774EAA9696F}"/>
                </c:ext>
              </c:extLst>
            </c:dLbl>
            <c:dLbl>
              <c:idx val="3"/>
              <c:layout>
                <c:manualLayout>
                  <c:x val="1.5625E-2"/>
                  <c:y val="-9.684210526315789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510-4267-85AB-F774EAA969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Worksheet!$B$94:$B$97</c:f>
              <c:strCache>
                <c:ptCount val="4"/>
                <c:pt idx="0">
                  <c:v>Europe</c:v>
                </c:pt>
                <c:pt idx="1">
                  <c:v>North America</c:v>
                </c:pt>
                <c:pt idx="2">
                  <c:v>ROW</c:v>
                </c:pt>
                <c:pt idx="3">
                  <c:v>APAC</c:v>
                </c:pt>
              </c:strCache>
            </c:strRef>
          </c:cat>
          <c:val>
            <c:numRef>
              <c:f>Worksheet!$C$94:$C$97</c:f>
              <c:numCache>
                <c:formatCode>0%</c:formatCode>
                <c:ptCount val="4"/>
                <c:pt idx="0">
                  <c:v>0.35937068727573823</c:v>
                </c:pt>
                <c:pt idx="1">
                  <c:v>0.56513938724813684</c:v>
                </c:pt>
                <c:pt idx="2">
                  <c:v>1.6560861164780696E-2</c:v>
                </c:pt>
                <c:pt idx="3">
                  <c:v>5.8929064311344176E-2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10-4267-85AB-F774EAA969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0" orientation="portrait"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2825896762904"/>
          <c:y val="0.13368110236220473"/>
          <c:w val="0.86601618547681536"/>
          <c:h val="0.7589195100612424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Worksheet!$B$66</c:f>
              <c:strCache>
                <c:ptCount val="1"/>
                <c:pt idx="0">
                  <c:v>G&amp;A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Worksheet!$D$65:$K$65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</c:strCache>
            </c:strRef>
          </c:cat>
          <c:val>
            <c:numRef>
              <c:f>Worksheet!$D$66:$K$66</c:f>
              <c:numCache>
                <c:formatCode>0.0%</c:formatCode>
                <c:ptCount val="8"/>
                <c:pt idx="0">
                  <c:v>0.1152426076971106</c:v>
                </c:pt>
                <c:pt idx="1">
                  <c:v>0.11649737786364879</c:v>
                </c:pt>
                <c:pt idx="2">
                  <c:v>0.1251125112511251</c:v>
                </c:pt>
                <c:pt idx="3">
                  <c:v>0.12370961441883824</c:v>
                </c:pt>
                <c:pt idx="4">
                  <c:v>0.12290242975683799</c:v>
                </c:pt>
                <c:pt idx="5">
                  <c:v>0.12179827471798266</c:v>
                </c:pt>
                <c:pt idx="6">
                  <c:v>0.12012435996379521</c:v>
                </c:pt>
                <c:pt idx="7">
                  <c:v>0.11839821655223198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A-4709-BCA9-D590BF80942A}"/>
            </c:ext>
          </c:extLst>
        </c:ser>
        <c:ser>
          <c:idx val="1"/>
          <c:order val="1"/>
          <c:tx>
            <c:strRef>
              <c:f>Worksheet!$B$67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Worksheet!$D$65:$K$65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</c:strCache>
            </c:strRef>
          </c:cat>
          <c:val>
            <c:numRef>
              <c:f>Worksheet!$D$67:$K$67</c:f>
              <c:numCache>
                <c:formatCode>0.0%</c:formatCode>
                <c:ptCount val="8"/>
                <c:pt idx="0">
                  <c:v>0.10727959994931605</c:v>
                </c:pt>
                <c:pt idx="1">
                  <c:v>0.13869721225503728</c:v>
                </c:pt>
                <c:pt idx="2">
                  <c:v>0.10653792651992472</c:v>
                </c:pt>
                <c:pt idx="3">
                  <c:v>0.10925729590982647</c:v>
                </c:pt>
                <c:pt idx="4">
                  <c:v>0.11932660010504917</c:v>
                </c:pt>
                <c:pt idx="5">
                  <c:v>0.12491705374917049</c:v>
                </c:pt>
                <c:pt idx="6">
                  <c:v>0.13500000000000001</c:v>
                </c:pt>
                <c:pt idx="7">
                  <c:v>0.13400000000000001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8A-4709-BCA9-D590BF80942A}"/>
            </c:ext>
          </c:extLst>
        </c:ser>
        <c:ser>
          <c:idx val="2"/>
          <c:order val="2"/>
          <c:tx>
            <c:strRef>
              <c:f>Worksheet!$B$68</c:f>
              <c:strCache>
                <c:ptCount val="1"/>
                <c:pt idx="0">
                  <c:v>Selling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Worksheet!$D$65:$K$65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</c:strCache>
            </c:strRef>
          </c:cat>
          <c:val>
            <c:numRef>
              <c:f>Worksheet!$D$68:$K$68</c:f>
              <c:numCache>
                <c:formatCode>0.0%</c:formatCode>
                <c:ptCount val="8"/>
                <c:pt idx="0">
                  <c:v>8.3740698937008556E-2</c:v>
                </c:pt>
                <c:pt idx="1">
                  <c:v>7.2591774772288148E-2</c:v>
                </c:pt>
                <c:pt idx="2">
                  <c:v>6.9961541608706324E-2</c:v>
                </c:pt>
                <c:pt idx="3">
                  <c:v>7.4382009932481452E-2</c:v>
                </c:pt>
                <c:pt idx="4">
                  <c:v>7.2551815130383432E-2</c:v>
                </c:pt>
                <c:pt idx="5">
                  <c:v>8.6297279362972781E-2</c:v>
                </c:pt>
                <c:pt idx="6">
                  <c:v>9.5000000000000001E-2</c:v>
                </c:pt>
                <c:pt idx="7">
                  <c:v>9.7000000000000003E-2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8A-4709-BCA9-D590BF80942A}"/>
            </c:ext>
          </c:extLst>
        </c:ser>
        <c:ser>
          <c:idx val="3"/>
          <c:order val="3"/>
          <c:tx>
            <c:strRef>
              <c:f>Worksheet!$B$69</c:f>
              <c:strCache>
                <c:ptCount val="1"/>
                <c:pt idx="0">
                  <c:v>Distribution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Worksheet!$D$65:$K$65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</c:strCache>
            </c:strRef>
          </c:cat>
          <c:val>
            <c:numRef>
              <c:f>Worksheet!$D$69:$K$69</c:f>
              <c:numCache>
                <c:formatCode>0.0%</c:formatCode>
                <c:ptCount val="8"/>
                <c:pt idx="0">
                  <c:v>0.12012678320825451</c:v>
                </c:pt>
                <c:pt idx="1">
                  <c:v>0.13303891802373721</c:v>
                </c:pt>
                <c:pt idx="2">
                  <c:v>0.13525898044349902</c:v>
                </c:pt>
                <c:pt idx="3">
                  <c:v>0.1545114669940294</c:v>
                </c:pt>
                <c:pt idx="4">
                  <c:v>0.16720130855523518</c:v>
                </c:pt>
                <c:pt idx="5">
                  <c:v>0.18812209688122092</c:v>
                </c:pt>
                <c:pt idx="6">
                  <c:v>0.19987564003620475</c:v>
                </c:pt>
                <c:pt idx="7">
                  <c:v>0.205601783447768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8A-4709-BCA9-D590BF80942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45711439"/>
        <c:axId val="845734735"/>
      </c:barChart>
      <c:catAx>
        <c:axId val="84571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734735"/>
        <c:crosses val="autoZero"/>
        <c:auto val="1"/>
        <c:lblAlgn val="ctr"/>
        <c:lblOffset val="100"/>
        <c:noMultiLvlLbl val="0"/>
      </c:catAx>
      <c:valAx>
        <c:axId val="845734735"/>
        <c:scaling>
          <c:orientation val="minMax"/>
          <c:max val="0.5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75000"/>
                <a:lumOff val="2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711439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0"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Worksheet!$B$174</c:f>
              <c:strCache>
                <c:ptCount val="1"/>
                <c:pt idx="0">
                  <c:v>Group GM% delta (RHS)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Worksheet!$C$172:$J$172</c:f>
              <c:strCache>
                <c:ptCount val="8"/>
                <c:pt idx="0">
                  <c:v>2024E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  <c:pt idx="6">
                  <c:v>2030E</c:v>
                </c:pt>
                <c:pt idx="7">
                  <c:v>2031E</c:v>
                </c:pt>
              </c:strCache>
            </c:strRef>
          </c:cat>
          <c:val>
            <c:numRef>
              <c:f>Worksheet!$C$174:$J$174</c:f>
              <c:numCache>
                <c:formatCode>0.00%</c:formatCode>
                <c:ptCount val="8"/>
                <c:pt idx="0">
                  <c:v>1.0835724541826464E-2</c:v>
                </c:pt>
                <c:pt idx="1">
                  <c:v>2.9997994091097713E-3</c:v>
                </c:pt>
                <c:pt idx="2">
                  <c:v>9.0621689629968305E-3</c:v>
                </c:pt>
                <c:pt idx="3">
                  <c:v>5.2153133643635385E-3</c:v>
                </c:pt>
                <c:pt idx="4">
                  <c:v>4.8192335679649867E-3</c:v>
                </c:pt>
                <c:pt idx="5">
                  <c:v>3.579698663934594E-3</c:v>
                </c:pt>
                <c:pt idx="6">
                  <c:v>1.3159921737693203E-3</c:v>
                </c:pt>
                <c:pt idx="7">
                  <c:v>1.4847285600291249E-3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BE-4B3E-BE08-5BB6049AB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2002960"/>
        <c:axId val="2127716544"/>
      </c:barChart>
      <c:lineChart>
        <c:grouping val="standard"/>
        <c:varyColors val="0"/>
        <c:ser>
          <c:idx val="0"/>
          <c:order val="0"/>
          <c:tx>
            <c:strRef>
              <c:f>Worksheet!$B$173</c:f>
              <c:strCache>
                <c:ptCount val="1"/>
                <c:pt idx="0">
                  <c:v>DTC sales mix delta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Worksheet!$C$172:$J$172</c:f>
              <c:strCache>
                <c:ptCount val="8"/>
                <c:pt idx="0">
                  <c:v>2024E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  <c:pt idx="6">
                  <c:v>2030E</c:v>
                </c:pt>
                <c:pt idx="7">
                  <c:v>2031E</c:v>
                </c:pt>
              </c:strCache>
            </c:strRef>
          </c:cat>
          <c:val>
            <c:numRef>
              <c:f>Worksheet!$C$173:$J$173</c:f>
              <c:numCache>
                <c:formatCode>0.0%</c:formatCode>
                <c:ptCount val="8"/>
                <c:pt idx="0">
                  <c:v>3.1809832733826038E-2</c:v>
                </c:pt>
                <c:pt idx="1">
                  <c:v>1.1537690035037462E-2</c:v>
                </c:pt>
                <c:pt idx="2">
                  <c:v>3.4854496011526015E-2</c:v>
                </c:pt>
                <c:pt idx="3">
                  <c:v>2.0058897555244148E-2</c:v>
                </c:pt>
                <c:pt idx="4">
                  <c:v>1.8535513722942765E-2</c:v>
                </c:pt>
                <c:pt idx="5">
                  <c:v>1.3768071784363844E-2</c:v>
                </c:pt>
                <c:pt idx="6">
                  <c:v>5.0615083606512234E-3</c:v>
                </c:pt>
                <c:pt idx="7">
                  <c:v>5.7104944616501729E-3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BE-4B3E-BE08-5BB6049AB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878176"/>
        <c:axId val="2127713664"/>
      </c:lineChart>
      <c:catAx>
        <c:axId val="206187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13664"/>
        <c:crosses val="autoZero"/>
        <c:auto val="1"/>
        <c:lblAlgn val="ctr"/>
        <c:lblOffset val="100"/>
        <c:noMultiLvlLbl val="0"/>
      </c:catAx>
      <c:valAx>
        <c:axId val="2127713664"/>
        <c:scaling>
          <c:orientation val="minMax"/>
          <c:min val="1.0000000000000002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878176"/>
        <c:crosses val="autoZero"/>
        <c:crossBetween val="between"/>
      </c:valAx>
      <c:valAx>
        <c:axId val="212771654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002960"/>
        <c:crosses val="max"/>
        <c:crossBetween val="between"/>
      </c:valAx>
      <c:catAx>
        <c:axId val="1722002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7716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Worksheet!$B$211</c:f>
              <c:strCache>
                <c:ptCount val="1"/>
                <c:pt idx="0">
                  <c:v>Group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Worksheet!$C$208:$L$208</c:f>
              <c:strCache>
                <c:ptCount val="10"/>
                <c:pt idx="0">
                  <c:v>2022</c:v>
                </c:pt>
                <c:pt idx="1">
                  <c:v>2023</c:v>
                </c:pt>
                <c:pt idx="2">
                  <c:v>2024E</c:v>
                </c:pt>
                <c:pt idx="3">
                  <c:v>2025E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  <c:pt idx="9">
                  <c:v>2031E</c:v>
                </c:pt>
              </c:strCache>
            </c:strRef>
          </c:cat>
          <c:val>
            <c:numRef>
              <c:f>Worksheet!$C$211:$L$211</c:f>
              <c:numCache>
                <c:formatCode>0.0%</c:formatCode>
                <c:ptCount val="10"/>
                <c:pt idx="0">
                  <c:v>0.26037149169462409</c:v>
                </c:pt>
                <c:pt idx="1">
                  <c:v>0.27822108141286767</c:v>
                </c:pt>
                <c:pt idx="2">
                  <c:v>0.29010373831207314</c:v>
                </c:pt>
                <c:pt idx="3">
                  <c:v>0.3099203715992036</c:v>
                </c:pt>
                <c:pt idx="4">
                  <c:v>0.31999999999999995</c:v>
                </c:pt>
                <c:pt idx="5">
                  <c:v>0.32399999999999995</c:v>
                </c:pt>
                <c:pt idx="6">
                  <c:v>0.32800000000000001</c:v>
                </c:pt>
                <c:pt idx="7">
                  <c:v>0.33200000000000002</c:v>
                </c:pt>
                <c:pt idx="8">
                  <c:v>0.33399999999999991</c:v>
                </c:pt>
                <c:pt idx="9">
                  <c:v>0.33600000000000008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51-433E-A901-A6BDE972F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686848"/>
        <c:axId val="1999593952"/>
      </c:barChart>
      <c:lineChart>
        <c:grouping val="standard"/>
        <c:varyColors val="0"/>
        <c:ser>
          <c:idx val="0"/>
          <c:order val="0"/>
          <c:tx>
            <c:strRef>
              <c:f>Worksheet!$B$209</c:f>
              <c:strCache>
                <c:ptCount val="1"/>
                <c:pt idx="0">
                  <c:v>DTC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Worksheet!$C$208:$L$208</c:f>
              <c:strCache>
                <c:ptCount val="10"/>
                <c:pt idx="0">
                  <c:v>2022</c:v>
                </c:pt>
                <c:pt idx="1">
                  <c:v>2023</c:v>
                </c:pt>
                <c:pt idx="2">
                  <c:v>2024E</c:v>
                </c:pt>
                <c:pt idx="3">
                  <c:v>2025E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  <c:pt idx="9">
                  <c:v>2031E</c:v>
                </c:pt>
              </c:strCache>
            </c:strRef>
          </c:cat>
          <c:val>
            <c:numRef>
              <c:f>Worksheet!$C$209:$L$209</c:f>
              <c:numCache>
                <c:formatCode>0.0%</c:formatCode>
                <c:ptCount val="10"/>
                <c:pt idx="0">
                  <c:v>0.32037294989889925</c:v>
                </c:pt>
                <c:pt idx="1">
                  <c:v>0.35544666286951848</c:v>
                </c:pt>
                <c:pt idx="2">
                  <c:v>0.35544666286951848</c:v>
                </c:pt>
                <c:pt idx="3">
                  <c:v>0.35544666286951848</c:v>
                </c:pt>
                <c:pt idx="4">
                  <c:v>0.35544666286951848</c:v>
                </c:pt>
                <c:pt idx="5">
                  <c:v>0.35744666286951848</c:v>
                </c:pt>
                <c:pt idx="6">
                  <c:v>0.35944666286951849</c:v>
                </c:pt>
                <c:pt idx="7">
                  <c:v>0.36144666286951849</c:v>
                </c:pt>
                <c:pt idx="8">
                  <c:v>0.36344666286951849</c:v>
                </c:pt>
                <c:pt idx="9">
                  <c:v>0.36544666286951849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1-433E-A901-A6BDE972F343}"/>
            </c:ext>
          </c:extLst>
        </c:ser>
        <c:ser>
          <c:idx val="1"/>
          <c:order val="1"/>
          <c:tx>
            <c:strRef>
              <c:f>Worksheet!$B$210</c:f>
              <c:strCache>
                <c:ptCount val="1"/>
                <c:pt idx="0">
                  <c:v>Wholesale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Worksheet!$C$208:$L$208</c:f>
              <c:strCache>
                <c:ptCount val="10"/>
                <c:pt idx="0">
                  <c:v>2022</c:v>
                </c:pt>
                <c:pt idx="1">
                  <c:v>2023</c:v>
                </c:pt>
                <c:pt idx="2">
                  <c:v>2024E</c:v>
                </c:pt>
                <c:pt idx="3">
                  <c:v>2025E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  <c:pt idx="9">
                  <c:v>2031E</c:v>
                </c:pt>
              </c:strCache>
            </c:strRef>
          </c:cat>
          <c:val>
            <c:numRef>
              <c:f>Worksheet!$C$210:$L$210</c:f>
              <c:numCache>
                <c:formatCode>0.0%</c:formatCode>
                <c:ptCount val="10"/>
                <c:pt idx="0">
                  <c:v>0.22600000000000001</c:v>
                </c:pt>
                <c:pt idx="1">
                  <c:v>0.2319119270590535</c:v>
                </c:pt>
                <c:pt idx="2">
                  <c:v>0.24531616341366572</c:v>
                </c:pt>
                <c:pt idx="3">
                  <c:v>0.27719388734130129</c:v>
                </c:pt>
                <c:pt idx="4">
                  <c:v>0.29063648608107029</c:v>
                </c:pt>
                <c:pt idx="5">
                  <c:v>0.29396504372264443</c:v>
                </c:pt>
                <c:pt idx="6">
                  <c:v>0.29758471146526916</c:v>
                </c:pt>
                <c:pt idx="7">
                  <c:v>0.30190649564066396</c:v>
                </c:pt>
                <c:pt idx="8">
                  <c:v>0.30329084897520575</c:v>
                </c:pt>
                <c:pt idx="9">
                  <c:v>0.304580798815905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51-433E-A901-A6BDE972F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686848"/>
        <c:axId val="1999593952"/>
      </c:lineChart>
      <c:catAx>
        <c:axId val="173168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593952"/>
        <c:crosses val="autoZero"/>
        <c:auto val="1"/>
        <c:lblAlgn val="ctr"/>
        <c:lblOffset val="100"/>
        <c:noMultiLvlLbl val="0"/>
      </c:catAx>
      <c:valAx>
        <c:axId val="199959395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8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Worksheet!$B$221:$C$221</c:f>
              <c:strCache>
                <c:ptCount val="2"/>
                <c:pt idx="0">
                  <c:v>Change in Contribution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Worksheet!$D$220:$L$220</c:f>
              <c:strCache>
                <c:ptCount val="9"/>
                <c:pt idx="0">
                  <c:v>2023</c:v>
                </c:pt>
                <c:pt idx="1">
                  <c:v>2024E</c:v>
                </c:pt>
                <c:pt idx="2">
                  <c:v>2025E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  <c:pt idx="8">
                  <c:v>2031E</c:v>
                </c:pt>
              </c:strCache>
            </c:strRef>
          </c:cat>
          <c:val>
            <c:numRef>
              <c:f>Worksheet!$D$221:$L$221</c:f>
              <c:numCache>
                <c:formatCode>0.0%</c:formatCode>
                <c:ptCount val="9"/>
                <c:pt idx="0">
                  <c:v>1.7849589718243575E-2</c:v>
                </c:pt>
                <c:pt idx="1">
                  <c:v>1.1882656899205479E-2</c:v>
                </c:pt>
                <c:pt idx="2">
                  <c:v>1.9816633287130458E-2</c:v>
                </c:pt>
                <c:pt idx="3">
                  <c:v>1.0079628400796348E-2</c:v>
                </c:pt>
                <c:pt idx="4">
                  <c:v>4.0000000000000036E-3</c:v>
                </c:pt>
                <c:pt idx="5">
                  <c:v>4.0000000000000591E-3</c:v>
                </c:pt>
                <c:pt idx="6">
                  <c:v>4.0000000000000036E-3</c:v>
                </c:pt>
                <c:pt idx="7">
                  <c:v>1.9999999999998908E-3</c:v>
                </c:pt>
                <c:pt idx="8">
                  <c:v>2.0000000000001683E-3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F-4177-81AB-653D681FA973}"/>
            </c:ext>
          </c:extLst>
        </c:ser>
        <c:ser>
          <c:idx val="1"/>
          <c:order val="1"/>
          <c:tx>
            <c:strRef>
              <c:f>Worksheet!$B$222:$C$222</c:f>
              <c:strCache>
                <c:ptCount val="2"/>
                <c:pt idx="0">
                  <c:v>Change in Admin 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Worksheet!$D$220:$L$220</c:f>
              <c:strCache>
                <c:ptCount val="9"/>
                <c:pt idx="0">
                  <c:v>2023</c:v>
                </c:pt>
                <c:pt idx="1">
                  <c:v>2024E</c:v>
                </c:pt>
                <c:pt idx="2">
                  <c:v>2025E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  <c:pt idx="8">
                  <c:v>2031E</c:v>
                </c:pt>
              </c:strCache>
            </c:strRef>
          </c:cat>
          <c:val>
            <c:numRef>
              <c:f>Worksheet!$D$222:$L$222</c:f>
              <c:numCache>
                <c:formatCode>0.0%</c:formatCode>
                <c:ptCount val="9"/>
                <c:pt idx="0">
                  <c:v>-1.4028968322868651E-3</c:v>
                </c:pt>
                <c:pt idx="1">
                  <c:v>-8.0718466200024874E-4</c:v>
                </c:pt>
                <c:pt idx="2">
                  <c:v>-1.1041550388553312E-3</c:v>
                </c:pt>
                <c:pt idx="3">
                  <c:v>-1.6739147541874472E-3</c:v>
                </c:pt>
                <c:pt idx="4">
                  <c:v>-1.7261434115632274E-3</c:v>
                </c:pt>
                <c:pt idx="5">
                  <c:v>-3.1150863740498219E-3</c:v>
                </c:pt>
                <c:pt idx="6">
                  <c:v>-3.2590855789593892E-3</c:v>
                </c:pt>
                <c:pt idx="7">
                  <c:v>-8.0899431737294081E-4</c:v>
                </c:pt>
                <c:pt idx="8">
                  <c:v>-1.3800293050901524E-3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8F-4177-81AB-653D681FA973}"/>
            </c:ext>
          </c:extLst>
        </c:ser>
        <c:ser>
          <c:idx val="2"/>
          <c:order val="2"/>
          <c:tx>
            <c:strRef>
              <c:f>Worksheet!$B$223:$C$223</c:f>
              <c:strCache>
                <c:ptCount val="2"/>
                <c:pt idx="0">
                  <c:v>Change in adj EBIT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Worksheet!$D$220:$L$220</c:f>
              <c:strCache>
                <c:ptCount val="9"/>
                <c:pt idx="0">
                  <c:v>2023</c:v>
                </c:pt>
                <c:pt idx="1">
                  <c:v>2024E</c:v>
                </c:pt>
                <c:pt idx="2">
                  <c:v>2025E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  <c:pt idx="8">
                  <c:v>2031E</c:v>
                </c:pt>
              </c:strCache>
            </c:strRef>
          </c:cat>
          <c:val>
            <c:numRef>
              <c:f>Worksheet!$D$223:$L$223</c:f>
              <c:numCache>
                <c:formatCode>0.0%</c:formatCode>
                <c:ptCount val="9"/>
                <c:pt idx="0">
                  <c:v>3.0918188378993294E-2</c:v>
                </c:pt>
                <c:pt idx="1">
                  <c:v>-9.3105371664446296E-3</c:v>
                </c:pt>
                <c:pt idx="2">
                  <c:v>3.3841058887392889E-2</c:v>
                </c:pt>
                <c:pt idx="3">
                  <c:v>1.2523284362681186E-2</c:v>
                </c:pt>
                <c:pt idx="4">
                  <c:v>6.7261434115632457E-3</c:v>
                </c:pt>
                <c:pt idx="5">
                  <c:v>8.1150863740498957E-3</c:v>
                </c:pt>
                <c:pt idx="6">
                  <c:v>7.2590855789593789E-3</c:v>
                </c:pt>
                <c:pt idx="7">
                  <c:v>2.8089943173728316E-3</c:v>
                </c:pt>
                <c:pt idx="8">
                  <c:v>3.3800293050903207E-3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8F-4177-81AB-653D681FA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7242576"/>
        <c:axId val="1184441759"/>
      </c:barChart>
      <c:catAx>
        <c:axId val="207724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441759"/>
        <c:crosses val="autoZero"/>
        <c:auto val="1"/>
        <c:lblAlgn val="ctr"/>
        <c:lblOffset val="100"/>
        <c:noMultiLvlLbl val="0"/>
      </c:catAx>
      <c:valAx>
        <c:axId val="118444175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24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Worksheet!$B$152</c:f>
              <c:strCache>
                <c:ptCount val="1"/>
                <c:pt idx="0">
                  <c:v>Group GM% (RHS)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Worksheet!$C$150:$J$150</c:f>
              <c:strCache>
                <c:ptCount val="8"/>
                <c:pt idx="0">
                  <c:v>2024E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  <c:pt idx="6">
                  <c:v>2030E</c:v>
                </c:pt>
                <c:pt idx="7">
                  <c:v>2031E</c:v>
                </c:pt>
              </c:strCache>
            </c:strRef>
          </c:cat>
          <c:val>
            <c:numRef>
              <c:f>Worksheet!$C$152:$J$152</c:f>
              <c:numCache>
                <c:formatCode>0.0%</c:formatCode>
                <c:ptCount val="8"/>
                <c:pt idx="0">
                  <c:v>0.60573609972824904</c:v>
                </c:pt>
                <c:pt idx="1">
                  <c:v>0.60873589913735882</c:v>
                </c:pt>
                <c:pt idx="2">
                  <c:v>0.61779806810035565</c:v>
                </c:pt>
                <c:pt idx="3">
                  <c:v>0.62301338146471918</c:v>
                </c:pt>
                <c:pt idx="4">
                  <c:v>0.62783261503268417</c:v>
                </c:pt>
                <c:pt idx="5">
                  <c:v>0.63141231369661877</c:v>
                </c:pt>
                <c:pt idx="6">
                  <c:v>0.63272830587038809</c:v>
                </c:pt>
                <c:pt idx="7">
                  <c:v>0.63421303443041721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C-4B3A-9A57-3C87AE79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9909504"/>
        <c:axId val="2127623424"/>
      </c:barChart>
      <c:lineChart>
        <c:grouping val="standard"/>
        <c:varyColors val="0"/>
        <c:ser>
          <c:idx val="0"/>
          <c:order val="0"/>
          <c:tx>
            <c:strRef>
              <c:f>Worksheet!$B$151</c:f>
              <c:strCache>
                <c:ptCount val="1"/>
                <c:pt idx="0">
                  <c:v>DTC sales mix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Worksheet!$C$150:$J$150</c:f>
              <c:strCache>
                <c:ptCount val="8"/>
                <c:pt idx="0">
                  <c:v>2024E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  <c:pt idx="6">
                  <c:v>2030E</c:v>
                </c:pt>
                <c:pt idx="7">
                  <c:v>2031E</c:v>
                </c:pt>
              </c:strCache>
            </c:strRef>
          </c:cat>
          <c:val>
            <c:numRef>
              <c:f>Worksheet!$C$151:$J$151</c:f>
              <c:numCache>
                <c:formatCode>0.0%</c:formatCode>
                <c:ptCount val="8"/>
                <c:pt idx="0">
                  <c:v>0.40667730664711199</c:v>
                </c:pt>
                <c:pt idx="1">
                  <c:v>0.41821499668214945</c:v>
                </c:pt>
                <c:pt idx="2">
                  <c:v>0.45306949269367547</c:v>
                </c:pt>
                <c:pt idx="3">
                  <c:v>0.47312839024891962</c:v>
                </c:pt>
                <c:pt idx="4">
                  <c:v>0.49166390397186238</c:v>
                </c:pt>
                <c:pt idx="5">
                  <c:v>0.50543197575622623</c:v>
                </c:pt>
                <c:pt idx="6">
                  <c:v>0.51049348411687745</c:v>
                </c:pt>
                <c:pt idx="7">
                  <c:v>0.51620397857852762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9C-4B3A-9A57-3C87AE79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648336"/>
        <c:axId val="2127729024"/>
      </c:lineChart>
      <c:catAx>
        <c:axId val="173164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29024"/>
        <c:crosses val="autoZero"/>
        <c:auto val="1"/>
        <c:lblAlgn val="ctr"/>
        <c:lblOffset val="100"/>
        <c:noMultiLvlLbl val="0"/>
      </c:catAx>
      <c:valAx>
        <c:axId val="2127729024"/>
        <c:scaling>
          <c:orientation val="minMax"/>
          <c:min val="0.39000000000000007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accent3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48336"/>
        <c:crosses val="autoZero"/>
        <c:crossBetween val="between"/>
      </c:valAx>
      <c:valAx>
        <c:axId val="2127623424"/>
        <c:scaling>
          <c:orientation val="minMax"/>
          <c:min val="0.59000000000000008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solidFill>
              <a:schemeClr val="accent3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909504"/>
        <c:crosses val="max"/>
        <c:crossBetween val="between"/>
      </c:valAx>
      <c:catAx>
        <c:axId val="1759909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7623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Worksheet!$B$229</c:f>
              <c:strCache>
                <c:ptCount val="1"/>
                <c:pt idx="0">
                  <c:v>EBIT margin (RHS)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Worksheet!$C$226:$L$226</c:f>
              <c:strCache>
                <c:ptCount val="10"/>
                <c:pt idx="0">
                  <c:v>2022</c:v>
                </c:pt>
                <c:pt idx="1">
                  <c:v>2023</c:v>
                </c:pt>
                <c:pt idx="2">
                  <c:v>2024E</c:v>
                </c:pt>
                <c:pt idx="3">
                  <c:v>2025E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  <c:pt idx="9">
                  <c:v>2031E</c:v>
                </c:pt>
              </c:strCache>
            </c:strRef>
          </c:cat>
          <c:val>
            <c:numRef>
              <c:f>Worksheet!$C$229:$L$229</c:f>
              <c:numCache>
                <c:formatCode>0.0%</c:formatCode>
                <c:ptCount val="10"/>
                <c:pt idx="0">
                  <c:v>6.9634236150887915E-2</c:v>
                </c:pt>
                <c:pt idx="1">
                  <c:v>0.10055242452988121</c:v>
                </c:pt>
                <c:pt idx="2">
                  <c:v>9.124188736343658E-2</c:v>
                </c:pt>
                <c:pt idx="3">
                  <c:v>0.12508294625082947</c:v>
                </c:pt>
                <c:pt idx="4">
                  <c:v>0.13760623061351065</c:v>
                </c:pt>
                <c:pt idx="5">
                  <c:v>0.1443323740250739</c:v>
                </c:pt>
                <c:pt idx="6">
                  <c:v>0.1524474603991238</c:v>
                </c:pt>
                <c:pt idx="7">
                  <c:v>0.15970654597808318</c:v>
                </c:pt>
                <c:pt idx="8">
                  <c:v>0.16251554029545601</c:v>
                </c:pt>
                <c:pt idx="9">
                  <c:v>0.16589556960054633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78-4FB2-91F5-6D85CBC30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7273664"/>
        <c:axId val="1184439839"/>
      </c:barChart>
      <c:lineChart>
        <c:grouping val="standard"/>
        <c:varyColors val="0"/>
        <c:ser>
          <c:idx val="1"/>
          <c:order val="1"/>
          <c:tx>
            <c:strRef>
              <c:f>Worksheet!$B$228</c:f>
              <c:strCache>
                <c:ptCount val="1"/>
                <c:pt idx="0">
                  <c:v>Contribution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Worksheet!$C$226:$L$226</c:f>
              <c:strCache>
                <c:ptCount val="10"/>
                <c:pt idx="0">
                  <c:v>2022</c:v>
                </c:pt>
                <c:pt idx="1">
                  <c:v>2023</c:v>
                </c:pt>
                <c:pt idx="2">
                  <c:v>2024E</c:v>
                </c:pt>
                <c:pt idx="3">
                  <c:v>2025E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  <c:pt idx="9">
                  <c:v>2031E</c:v>
                </c:pt>
              </c:strCache>
            </c:strRef>
          </c:cat>
          <c:val>
            <c:numRef>
              <c:f>Worksheet!$C$228:$L$228</c:f>
              <c:numCache>
                <c:formatCode>0.0%</c:formatCode>
                <c:ptCount val="10"/>
                <c:pt idx="0">
                  <c:v>0.26037149169462409</c:v>
                </c:pt>
                <c:pt idx="1">
                  <c:v>0.27822108141286767</c:v>
                </c:pt>
                <c:pt idx="2">
                  <c:v>0.29010373831207314</c:v>
                </c:pt>
                <c:pt idx="3">
                  <c:v>0.3099203715992036</c:v>
                </c:pt>
                <c:pt idx="4">
                  <c:v>0.31999999999999995</c:v>
                </c:pt>
                <c:pt idx="5">
                  <c:v>0.32399999999999995</c:v>
                </c:pt>
                <c:pt idx="6">
                  <c:v>0.32800000000000001</c:v>
                </c:pt>
                <c:pt idx="7">
                  <c:v>0.33200000000000002</c:v>
                </c:pt>
                <c:pt idx="8">
                  <c:v>0.33399999999999991</c:v>
                </c:pt>
                <c:pt idx="9">
                  <c:v>0.33600000000000008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78-4FB2-91F5-6D85CBC30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7460175"/>
        <c:axId val="21398712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Worksheet!$B$227</c15:sqref>
                        </c15:formulaRef>
                      </c:ext>
                    </c:extLst>
                    <c:strCache>
                      <c:ptCount val="1"/>
                      <c:pt idx="0">
                        <c:v>Gross margin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Worksheet!$C$226:$L$226</c15:sqref>
                        </c15:formulaRef>
                      </c:ext>
                    </c:extLst>
                    <c:strCache>
                      <c:ptCount val="10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2024E</c:v>
                      </c:pt>
                      <c:pt idx="3">
                        <c:v>2025E</c:v>
                      </c:pt>
                      <c:pt idx="4">
                        <c:v>2026E</c:v>
                      </c:pt>
                      <c:pt idx="5">
                        <c:v>2027E</c:v>
                      </c:pt>
                      <c:pt idx="6">
                        <c:v>2028E</c:v>
                      </c:pt>
                      <c:pt idx="7">
                        <c:v>2029E</c:v>
                      </c:pt>
                      <c:pt idx="8">
                        <c:v>2030E</c:v>
                      </c:pt>
                      <c:pt idx="9">
                        <c:v>2031E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Worksheet!$C$227:$L$227</c15:sqref>
                        </c15:formulaRef>
                      </c:ext>
                    </c:extLst>
                    <c:numCache>
                      <c:formatCode>0.0%</c:formatCode>
                      <c:ptCount val="10"/>
                      <c:pt idx="0">
                        <c:v>0.56042877014974235</c:v>
                      </c:pt>
                      <c:pt idx="1">
                        <c:v>0.59550248312036158</c:v>
                      </c:pt>
                      <c:pt idx="2">
                        <c:v>0.60573609972824904</c:v>
                      </c:pt>
                      <c:pt idx="3">
                        <c:v>0.60873589913735882</c:v>
                      </c:pt>
                      <c:pt idx="4">
                        <c:v>0.61779806810035565</c:v>
                      </c:pt>
                      <c:pt idx="5">
                        <c:v>0.62301338146471918</c:v>
                      </c:pt>
                      <c:pt idx="6">
                        <c:v>0.62783261503268417</c:v>
                      </c:pt>
                      <c:pt idx="7">
                        <c:v>0.63141231369661877</c:v>
                      </c:pt>
                      <c:pt idx="8">
                        <c:v>0.63272830587038809</c:v>
                      </c:pt>
                      <c:pt idx="9">
                        <c:v>0.63421303443041721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D78-4FB2-91F5-6D85CBC30F5F}"/>
                  </c:ext>
                </c:extLst>
              </c15:ser>
            </c15:filteredLineSeries>
          </c:ext>
        </c:extLst>
      </c:lineChart>
      <c:catAx>
        <c:axId val="166746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871296"/>
        <c:crosses val="autoZero"/>
        <c:auto val="1"/>
        <c:lblAlgn val="ctr"/>
        <c:lblOffset val="100"/>
        <c:noMultiLvlLbl val="0"/>
      </c:catAx>
      <c:valAx>
        <c:axId val="2139871296"/>
        <c:scaling>
          <c:orientation val="minMax"/>
          <c:min val="0.25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accent3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460175"/>
        <c:crosses val="autoZero"/>
        <c:crossBetween val="between"/>
      </c:valAx>
      <c:valAx>
        <c:axId val="1184439839"/>
        <c:scaling>
          <c:orientation val="minMax"/>
          <c:max val="0.15000000000000002"/>
          <c:min val="5.000000000000001E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accent3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273664"/>
        <c:crosses val="max"/>
        <c:crossBetween val="between"/>
      </c:valAx>
      <c:catAx>
        <c:axId val="207727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44398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Worksheet!$B$252</c:f>
              <c:strCache>
                <c:ptCount val="1"/>
                <c:pt idx="0">
                  <c:v>GM%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Worksheet!$C$251:$F$251</c:f>
              <c:strCache>
                <c:ptCount val="4"/>
                <c:pt idx="0">
                  <c:v>Puma</c:v>
                </c:pt>
                <c:pt idx="1">
                  <c:v>Adidas</c:v>
                </c:pt>
                <c:pt idx="2">
                  <c:v>On Holding</c:v>
                </c:pt>
                <c:pt idx="3">
                  <c:v>On Holding long term</c:v>
                </c:pt>
              </c:strCache>
            </c:strRef>
          </c:cat>
          <c:val>
            <c:numRef>
              <c:f>Worksheet!$C$252:$F$252</c:f>
              <c:numCache>
                <c:formatCode>0.0%</c:formatCode>
                <c:ptCount val="4"/>
                <c:pt idx="0">
                  <c:v>0.47</c:v>
                </c:pt>
                <c:pt idx="1">
                  <c:v>0.51500000000000001</c:v>
                </c:pt>
                <c:pt idx="2">
                  <c:v>0.61779806810035565</c:v>
                </c:pt>
                <c:pt idx="3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7-4231-AB63-87C61FA234C9}"/>
            </c:ext>
          </c:extLst>
        </c:ser>
        <c:ser>
          <c:idx val="1"/>
          <c:order val="1"/>
          <c:tx>
            <c:strRef>
              <c:f>Worksheet!$B$253</c:f>
              <c:strCache>
                <c:ptCount val="1"/>
                <c:pt idx="0">
                  <c:v>Opex/sales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Worksheet!$C$251:$F$251</c:f>
              <c:strCache>
                <c:ptCount val="4"/>
                <c:pt idx="0">
                  <c:v>Puma</c:v>
                </c:pt>
                <c:pt idx="1">
                  <c:v>Adidas</c:v>
                </c:pt>
                <c:pt idx="2">
                  <c:v>On Holding</c:v>
                </c:pt>
                <c:pt idx="3">
                  <c:v>On Holding long term</c:v>
                </c:pt>
              </c:strCache>
            </c:strRef>
          </c:cat>
          <c:val>
            <c:numRef>
              <c:f>Worksheet!$C$253:$F$253</c:f>
              <c:numCache>
                <c:formatCode>0.0%</c:formatCode>
                <c:ptCount val="4"/>
                <c:pt idx="0">
                  <c:v>0.47574136197737105</c:v>
                </c:pt>
                <c:pt idx="1">
                  <c:v>0.42034406860274154</c:v>
                </c:pt>
                <c:pt idx="2">
                  <c:v>0.48019183748684502</c:v>
                </c:pt>
                <c:pt idx="3">
                  <c:v>0.49010443039945373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B7-4231-AB63-87C61FA23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920783"/>
        <c:axId val="938324671"/>
      </c:barChart>
      <c:lineChart>
        <c:grouping val="standard"/>
        <c:varyColors val="0"/>
        <c:ser>
          <c:idx val="2"/>
          <c:order val="2"/>
          <c:tx>
            <c:strRef>
              <c:f>Worksheet!$B$254</c:f>
              <c:strCache>
                <c:ptCount val="1"/>
                <c:pt idx="0">
                  <c:v>EBIT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Worksheet!$C$251:$F$251</c:f>
              <c:strCache>
                <c:ptCount val="4"/>
                <c:pt idx="0">
                  <c:v>Puma</c:v>
                </c:pt>
                <c:pt idx="1">
                  <c:v>Adidas</c:v>
                </c:pt>
                <c:pt idx="2">
                  <c:v>On Holding</c:v>
                </c:pt>
                <c:pt idx="3">
                  <c:v>On Holding long term</c:v>
                </c:pt>
              </c:strCache>
            </c:strRef>
          </c:cat>
          <c:val>
            <c:numRef>
              <c:f>Worksheet!$C$254:$F$254</c:f>
              <c:numCache>
                <c:formatCode>0.0%</c:formatCode>
                <c:ptCount val="4"/>
                <c:pt idx="0">
                  <c:v>-5.7413619773710603E-3</c:v>
                </c:pt>
                <c:pt idx="1">
                  <c:v>9.4655931397258475E-2</c:v>
                </c:pt>
                <c:pt idx="2">
                  <c:v>0.13760623061351065</c:v>
                </c:pt>
                <c:pt idx="3">
                  <c:v>0.16989556960054633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B7-4231-AB63-87C61FA23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20783"/>
        <c:axId val="938324671"/>
      </c:lineChart>
      <c:catAx>
        <c:axId val="19792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24671"/>
        <c:crosses val="autoZero"/>
        <c:auto val="1"/>
        <c:lblAlgn val="ctr"/>
        <c:lblOffset val="100"/>
        <c:noMultiLvlLbl val="0"/>
      </c:catAx>
      <c:valAx>
        <c:axId val="938324671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accent3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2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0"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65035169237547"/>
          <c:y val="0.11096343323576698"/>
          <c:w val="0.81230929902281679"/>
          <c:h val="0.76094916931195122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Worksheet!$B$111</c:f>
              <c:strCache>
                <c:ptCount val="1"/>
                <c:pt idx="0">
                  <c:v>DTC mix (RHS)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Worksheet!$E$108:$Q$108</c:f>
              <c:strCache>
                <c:ptCount val="13"/>
                <c:pt idx="0">
                  <c:v>3Q21</c:v>
                </c:pt>
                <c:pt idx="1">
                  <c:v>4Q21</c:v>
                </c:pt>
                <c:pt idx="2">
                  <c:v>1Q22</c:v>
                </c:pt>
                <c:pt idx="3">
                  <c:v>2Q22</c:v>
                </c:pt>
                <c:pt idx="4">
                  <c:v>3Q22</c:v>
                </c:pt>
                <c:pt idx="5">
                  <c:v>4Q22</c:v>
                </c:pt>
                <c:pt idx="6">
                  <c:v>1Q23</c:v>
                </c:pt>
                <c:pt idx="7">
                  <c:v>2Q23</c:v>
                </c:pt>
                <c:pt idx="8">
                  <c:v>3Q23</c:v>
                </c:pt>
                <c:pt idx="9">
                  <c:v>4Q23</c:v>
                </c:pt>
                <c:pt idx="10">
                  <c:v>1Q24</c:v>
                </c:pt>
                <c:pt idx="11">
                  <c:v>2Q24</c:v>
                </c:pt>
                <c:pt idx="12">
                  <c:v>3Q24</c:v>
                </c:pt>
              </c:strCache>
            </c:strRef>
          </c:cat>
          <c:val>
            <c:numRef>
              <c:f>Worksheet!$E$111:$Q$111</c:f>
              <c:numCache>
                <c:formatCode>0.0%</c:formatCode>
                <c:ptCount val="13"/>
                <c:pt idx="0">
                  <c:v>0.34724770642201835</c:v>
                </c:pt>
                <c:pt idx="1">
                  <c:v>0.44322344322344309</c:v>
                </c:pt>
                <c:pt idx="2">
                  <c:v>0.35383962664403906</c:v>
                </c:pt>
                <c:pt idx="3">
                  <c:v>0.36220350954186692</c:v>
                </c:pt>
                <c:pt idx="4">
                  <c:v>0.3249139515811873</c:v>
                </c:pt>
                <c:pt idx="5">
                  <c:v>0.40761606108119203</c:v>
                </c:pt>
                <c:pt idx="6">
                  <c:v>0.32603522132317952</c:v>
                </c:pt>
                <c:pt idx="7">
                  <c:v>0.36799459824442948</c:v>
                </c:pt>
                <c:pt idx="8">
                  <c:v>0.34276795005202909</c:v>
                </c:pt>
                <c:pt idx="9">
                  <c:v>0.46208901811675168</c:v>
                </c:pt>
                <c:pt idx="10">
                  <c:v>0.37485242030696569</c:v>
                </c:pt>
                <c:pt idx="11">
                  <c:v>0.36885679055839338</c:v>
                </c:pt>
                <c:pt idx="12">
                  <c:v>0.38801509908776344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F0-4DEE-ACE3-60C740E45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9514160"/>
        <c:axId val="1460334127"/>
      </c:barChart>
      <c:lineChart>
        <c:grouping val="standard"/>
        <c:varyColors val="0"/>
        <c:ser>
          <c:idx val="0"/>
          <c:order val="0"/>
          <c:tx>
            <c:strRef>
              <c:f>Worksheet!$B$109</c:f>
              <c:strCache>
                <c:ptCount val="1"/>
                <c:pt idx="0">
                  <c:v>DTC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Worksheet!$E$108:$Q$108</c:f>
              <c:strCache>
                <c:ptCount val="13"/>
                <c:pt idx="0">
                  <c:v>3Q21</c:v>
                </c:pt>
                <c:pt idx="1">
                  <c:v>4Q21</c:v>
                </c:pt>
                <c:pt idx="2">
                  <c:v>1Q22</c:v>
                </c:pt>
                <c:pt idx="3">
                  <c:v>2Q22</c:v>
                </c:pt>
                <c:pt idx="4">
                  <c:v>3Q22</c:v>
                </c:pt>
                <c:pt idx="5">
                  <c:v>4Q22</c:v>
                </c:pt>
                <c:pt idx="6">
                  <c:v>1Q23</c:v>
                </c:pt>
                <c:pt idx="7">
                  <c:v>2Q23</c:v>
                </c:pt>
                <c:pt idx="8">
                  <c:v>3Q23</c:v>
                </c:pt>
                <c:pt idx="9">
                  <c:v>4Q23</c:v>
                </c:pt>
                <c:pt idx="10">
                  <c:v>1Q24</c:v>
                </c:pt>
                <c:pt idx="11">
                  <c:v>2Q24</c:v>
                </c:pt>
                <c:pt idx="12">
                  <c:v>3Q24</c:v>
                </c:pt>
              </c:strCache>
            </c:strRef>
          </c:cat>
          <c:val>
            <c:numRef>
              <c:f>Worksheet!$E$109:$Q$109</c:f>
              <c:numCache>
                <c:formatCode>0.0%</c:formatCode>
                <c:ptCount val="13"/>
                <c:pt idx="0">
                  <c:v>0.92412554203700781</c:v>
                </c:pt>
                <c:pt idx="1">
                  <c:v>0.70778734105760344</c:v>
                </c:pt>
                <c:pt idx="2">
                  <c:v>0.61815349648246887</c:v>
                </c:pt>
                <c:pt idx="3">
                  <c:v>0.5258611919770888</c:v>
                </c:pt>
                <c:pt idx="4">
                  <c:v>0.33359096093423535</c:v>
                </c:pt>
                <c:pt idx="5">
                  <c:v>0.7045745935561234</c:v>
                </c:pt>
                <c:pt idx="6">
                  <c:v>0.63345334213141768</c:v>
                </c:pt>
                <c:pt idx="7">
                  <c:v>0.63015471790212962</c:v>
                </c:pt>
                <c:pt idx="8">
                  <c:v>0.74507504435686234</c:v>
                </c:pt>
                <c:pt idx="9">
                  <c:v>0.48506565744073882</c:v>
                </c:pt>
                <c:pt idx="10">
                  <c:v>0.48664457740725697</c:v>
                </c:pt>
                <c:pt idx="11">
                  <c:v>0.30401750652344206</c:v>
                </c:pt>
                <c:pt idx="12">
                  <c:v>0.50696356368474516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F0-4DEE-ACE3-60C740E45A3E}"/>
            </c:ext>
          </c:extLst>
        </c:ser>
        <c:ser>
          <c:idx val="1"/>
          <c:order val="1"/>
          <c:tx>
            <c:strRef>
              <c:f>Worksheet!$B$110</c:f>
              <c:strCache>
                <c:ptCount val="1"/>
                <c:pt idx="0">
                  <c:v>Wholesale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Worksheet!$E$108:$Q$108</c:f>
              <c:strCache>
                <c:ptCount val="13"/>
                <c:pt idx="0">
                  <c:v>3Q21</c:v>
                </c:pt>
                <c:pt idx="1">
                  <c:v>4Q21</c:v>
                </c:pt>
                <c:pt idx="2">
                  <c:v>1Q22</c:v>
                </c:pt>
                <c:pt idx="3">
                  <c:v>2Q22</c:v>
                </c:pt>
                <c:pt idx="4">
                  <c:v>3Q22</c:v>
                </c:pt>
                <c:pt idx="5">
                  <c:v>4Q22</c:v>
                </c:pt>
                <c:pt idx="6">
                  <c:v>1Q23</c:v>
                </c:pt>
                <c:pt idx="7">
                  <c:v>2Q23</c:v>
                </c:pt>
                <c:pt idx="8">
                  <c:v>3Q23</c:v>
                </c:pt>
                <c:pt idx="9">
                  <c:v>4Q23</c:v>
                </c:pt>
                <c:pt idx="10">
                  <c:v>1Q24</c:v>
                </c:pt>
                <c:pt idx="11">
                  <c:v>2Q24</c:v>
                </c:pt>
                <c:pt idx="12">
                  <c:v>3Q24</c:v>
                </c:pt>
              </c:strCache>
            </c:strRef>
          </c:cat>
          <c:val>
            <c:numRef>
              <c:f>Worksheet!$E$110:$Q$110</c:f>
              <c:numCache>
                <c:formatCode>0.0%</c:formatCode>
                <c:ptCount val="13"/>
                <c:pt idx="0">
                  <c:v>0.57697588088940388</c:v>
                </c:pt>
                <c:pt idx="1">
                  <c:v>0.35128313943489164</c:v>
                </c:pt>
                <c:pt idx="2">
                  <c:v>0.61920810991247266</c:v>
                </c:pt>
                <c:pt idx="3">
                  <c:v>0.60182703550916838</c:v>
                </c:pt>
                <c:pt idx="4">
                  <c:v>0.47402345896601616</c:v>
                </c:pt>
                <c:pt idx="5">
                  <c:v>0.97201303194534816</c:v>
                </c:pt>
                <c:pt idx="6">
                  <c:v>0.84903683535669083</c:v>
                </c:pt>
                <c:pt idx="7">
                  <c:v>0.58993255010765822</c:v>
                </c:pt>
                <c:pt idx="8">
                  <c:v>0.61043003489621972</c:v>
                </c:pt>
                <c:pt idx="9">
                  <c:v>0.1895383044198915</c:v>
                </c:pt>
                <c:pt idx="10">
                  <c:v>0.19788791660256888</c:v>
                </c:pt>
                <c:pt idx="11">
                  <c:v>0.28841191472486316</c:v>
                </c:pt>
                <c:pt idx="12">
                  <c:v>0.2401064381544411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F0-4DEE-ACE3-60C740E45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506976"/>
        <c:axId val="223602704"/>
      </c:lineChart>
      <c:catAx>
        <c:axId val="117450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602704"/>
        <c:crosses val="autoZero"/>
        <c:auto val="1"/>
        <c:lblAlgn val="ctr"/>
        <c:lblOffset val="100"/>
        <c:noMultiLvlLbl val="0"/>
      </c:catAx>
      <c:valAx>
        <c:axId val="223602704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accent3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06976"/>
        <c:crosses val="autoZero"/>
        <c:crossBetween val="between"/>
      </c:valAx>
      <c:valAx>
        <c:axId val="1460334127"/>
        <c:scaling>
          <c:orientation val="minMax"/>
          <c:min val="0.25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accent3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514160"/>
        <c:crosses val="max"/>
        <c:crossBetween val="between"/>
      </c:valAx>
      <c:catAx>
        <c:axId val="191951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03341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0"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9107611548556"/>
          <c:y val="7.5263655200994622E-2"/>
          <c:w val="0.79914493110236218"/>
          <c:h val="0.77321574803149618"/>
        </c:manualLayout>
      </c:layout>
      <c:lineChart>
        <c:grouping val="standard"/>
        <c:varyColors val="0"/>
        <c:ser>
          <c:idx val="0"/>
          <c:order val="0"/>
          <c:tx>
            <c:v>On Sales (CHF)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Valuation!$C$48:$S$48</c:f>
              <c:strCache>
                <c:ptCount val="12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  <c:pt idx="5">
                  <c:v>2031E</c:v>
                </c:pt>
                <c:pt idx="6">
                  <c:v>2032E</c:v>
                </c:pt>
                <c:pt idx="7">
                  <c:v>2033E</c:v>
                </c:pt>
                <c:pt idx="8">
                  <c:v>2034E</c:v>
                </c:pt>
                <c:pt idx="9">
                  <c:v>2035E</c:v>
                </c:pt>
                <c:pt idx="10">
                  <c:v>2036E</c:v>
                </c:pt>
                <c:pt idx="11">
                  <c:v>2037E</c:v>
                </c:pt>
              </c:strCache>
            </c:strRef>
          </c:cat>
          <c:val>
            <c:numRef>
              <c:f>Valuation!$C$49:$S$49</c:f>
              <c:numCache>
                <c:formatCode>#,##0</c:formatCode>
                <c:ptCount val="12"/>
                <c:pt idx="0">
                  <c:v>3502.1257876243671</c:v>
                </c:pt>
                <c:pt idx="1">
                  <c:v>4158.5242387608378</c:v>
                </c:pt>
                <c:pt idx="2">
                  <c:v>4842.1171337411024</c:v>
                </c:pt>
                <c:pt idx="3">
                  <c:v>5605.1580626327104</c:v>
                </c:pt>
                <c:pt idx="4">
                  <c:v>6409.7687110668503</c:v>
                </c:pt>
                <c:pt idx="5">
                  <c:v>7162.9126976088155</c:v>
                </c:pt>
                <c:pt idx="6">
                  <c:v>7879.2039673696972</c:v>
                </c:pt>
                <c:pt idx="7">
                  <c:v>8667.1243641066685</c:v>
                </c:pt>
                <c:pt idx="8">
                  <c:v>9447.165556876269</c:v>
                </c:pt>
                <c:pt idx="9">
                  <c:v>10297.410456995134</c:v>
                </c:pt>
                <c:pt idx="10">
                  <c:v>11224.177398124697</c:v>
                </c:pt>
                <c:pt idx="11">
                  <c:v>12122.111589974673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7-402D-9531-F1FB85728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788367"/>
        <c:axId val="684779215"/>
      </c:lineChart>
      <c:lineChart>
        <c:grouping val="standard"/>
        <c:varyColors val="0"/>
        <c:ser>
          <c:idx val="1"/>
          <c:order val="1"/>
          <c:tx>
            <c:v>yoy growth (RHS)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Valuation!$B$48:$S$48</c:f>
              <c:strCache>
                <c:ptCount val="12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  <c:pt idx="5">
                  <c:v>2031E</c:v>
                </c:pt>
                <c:pt idx="6">
                  <c:v>2032E</c:v>
                </c:pt>
                <c:pt idx="7">
                  <c:v>2033E</c:v>
                </c:pt>
                <c:pt idx="8">
                  <c:v>2034E</c:v>
                </c:pt>
                <c:pt idx="9">
                  <c:v>2035E</c:v>
                </c:pt>
                <c:pt idx="10">
                  <c:v>2036E</c:v>
                </c:pt>
                <c:pt idx="11">
                  <c:v>2037E</c:v>
                </c:pt>
              </c:strCache>
            </c:strRef>
          </c:cat>
          <c:val>
            <c:numRef>
              <c:f>Valuation!$B$50:$S$50</c:f>
              <c:numCache>
                <c:formatCode>0.0%</c:formatCode>
                <c:ptCount val="12"/>
                <c:pt idx="0">
                  <c:v>0.16195281606647849</c:v>
                </c:pt>
                <c:pt idx="1">
                  <c:v>0.18742857651087741</c:v>
                </c:pt>
                <c:pt idx="2">
                  <c:v>0.16438353024580721</c:v>
                </c:pt>
                <c:pt idx="3">
                  <c:v>0.1575841533395681</c:v>
                </c:pt>
                <c:pt idx="4">
                  <c:v>0.14354825313458131</c:v>
                </c:pt>
                <c:pt idx="5">
                  <c:v>0.11749940138114767</c:v>
                </c:pt>
                <c:pt idx="6">
                  <c:v>0.1</c:v>
                </c:pt>
                <c:pt idx="7">
                  <c:v>0.1</c:v>
                </c:pt>
                <c:pt idx="8">
                  <c:v>0.09</c:v>
                </c:pt>
                <c:pt idx="9">
                  <c:v>0.09</c:v>
                </c:pt>
                <c:pt idx="10">
                  <c:v>0.09</c:v>
                </c:pt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17-402D-9531-F1FB85728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75824"/>
        <c:axId val="157660016"/>
      </c:lineChart>
      <c:catAx>
        <c:axId val="68478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779215"/>
        <c:crosses val="autoZero"/>
        <c:auto val="1"/>
        <c:lblAlgn val="ctr"/>
        <c:lblOffset val="100"/>
        <c:noMultiLvlLbl val="0"/>
      </c:catAx>
      <c:valAx>
        <c:axId val="68477921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788367"/>
        <c:crosses val="autoZero"/>
        <c:crossBetween val="between"/>
      </c:valAx>
      <c:valAx>
        <c:axId val="15766001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75824"/>
        <c:crosses val="max"/>
        <c:crossBetween val="between"/>
      </c:valAx>
      <c:catAx>
        <c:axId val="157675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660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growth comparative'!$B$40</c:f>
              <c:strCache>
                <c:ptCount val="1"/>
                <c:pt idx="0">
                  <c:v>On Holding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growth comparative'!$C$39:$E$39</c:f>
              <c:strCache>
                <c:ptCount val="3"/>
                <c:pt idx="0">
                  <c:v>2022E</c:v>
                </c:pt>
                <c:pt idx="1">
                  <c:v>2023E</c:v>
                </c:pt>
                <c:pt idx="2">
                  <c:v>2024E</c:v>
                </c:pt>
              </c:strCache>
            </c:strRef>
          </c:cat>
          <c:val>
            <c:numRef>
              <c:f>'Sales growth comparative'!$C$40:$E$40</c:f>
              <c:numCache>
                <c:formatCode>_(* #,##0_);_(* \(#,##0\);_(* "-"??_);_(@_)</c:formatCode>
                <c:ptCount val="3"/>
                <c:pt idx="0">
                  <c:v>1295.4259999999999</c:v>
                </c:pt>
                <c:pt idx="1">
                  <c:v>1899.626</c:v>
                </c:pt>
                <c:pt idx="2">
                  <c:v>2457.3980000000001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E-43CA-A46B-F74CCC4C6921}"/>
            </c:ext>
          </c:extLst>
        </c:ser>
        <c:ser>
          <c:idx val="1"/>
          <c:order val="1"/>
          <c:tx>
            <c:strRef>
              <c:f>'Sales growth comparative'!$B$41</c:f>
              <c:strCache>
                <c:ptCount val="1"/>
                <c:pt idx="0">
                  <c:v>Puma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growth comparative'!$C$39:$E$39</c:f>
              <c:strCache>
                <c:ptCount val="3"/>
                <c:pt idx="0">
                  <c:v>2022E</c:v>
                </c:pt>
                <c:pt idx="1">
                  <c:v>2023E</c:v>
                </c:pt>
                <c:pt idx="2">
                  <c:v>2024E</c:v>
                </c:pt>
              </c:strCache>
            </c:strRef>
          </c:cat>
          <c:val>
            <c:numRef>
              <c:f>'Sales growth comparative'!$C$41:$E$41</c:f>
              <c:numCache>
                <c:formatCode>_(* #,##0_);_(* \(#,##0\);_(* "-"??_);_(@_)</c:formatCode>
                <c:ptCount val="3"/>
                <c:pt idx="0">
                  <c:v>8465.1000000000022</c:v>
                </c:pt>
                <c:pt idx="1">
                  <c:v>9100.0230000000029</c:v>
                </c:pt>
                <c:pt idx="2">
                  <c:v>9920.9626100000041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E-43CA-A46B-F74CCC4C6921}"/>
            </c:ext>
          </c:extLst>
        </c:ser>
        <c:ser>
          <c:idx val="2"/>
          <c:order val="2"/>
          <c:tx>
            <c:strRef>
              <c:f>'Sales growth comparative'!$B$42</c:f>
              <c:strCache>
                <c:ptCount val="1"/>
                <c:pt idx="0">
                  <c:v>LuluLemon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growth comparative'!$C$39:$E$39</c:f>
              <c:strCache>
                <c:ptCount val="3"/>
                <c:pt idx="0">
                  <c:v>2022E</c:v>
                </c:pt>
                <c:pt idx="1">
                  <c:v>2023E</c:v>
                </c:pt>
                <c:pt idx="2">
                  <c:v>2024E</c:v>
                </c:pt>
              </c:strCache>
            </c:strRef>
          </c:cat>
          <c:val>
            <c:numRef>
              <c:f>'Sales growth comparative'!$C$42:$E$42</c:f>
              <c:numCache>
                <c:formatCode>_(* #,##0_);_(* \(#,##0\);_(* "-"??_);_(@_)</c:formatCode>
                <c:ptCount val="3"/>
                <c:pt idx="0">
                  <c:v>8110.5</c:v>
                </c:pt>
                <c:pt idx="1">
                  <c:v>9494.2999999999993</c:v>
                </c:pt>
                <c:pt idx="2">
                  <c:v>10891.2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EE-43CA-A46B-F74CCC4C6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168688"/>
        <c:axId val="457172848"/>
      </c:barChart>
      <c:catAx>
        <c:axId val="45716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72848"/>
        <c:crosses val="autoZero"/>
        <c:auto val="1"/>
        <c:lblAlgn val="ctr"/>
        <c:lblOffset val="100"/>
        <c:noMultiLvlLbl val="0"/>
      </c:catAx>
      <c:valAx>
        <c:axId val="457172848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6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'Sales growth comparative'!$B$18</c:f>
              <c:strCache>
                <c:ptCount val="1"/>
                <c:pt idx="0">
                  <c:v>On Holding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growth comparative'!$C$17:$P$17</c:f>
              <c:strCache>
                <c:ptCount val="14"/>
                <c:pt idx="0">
                  <c:v>2022E</c:v>
                </c:pt>
                <c:pt idx="1">
                  <c:v>2023E</c:v>
                </c:pt>
                <c:pt idx="2">
                  <c:v>2024E</c:v>
                </c:pt>
                <c:pt idx="3">
                  <c:v>2025E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  <c:pt idx="9">
                  <c:v>2031E</c:v>
                </c:pt>
                <c:pt idx="10">
                  <c:v>2032E</c:v>
                </c:pt>
                <c:pt idx="11">
                  <c:v>2033E</c:v>
                </c:pt>
                <c:pt idx="12">
                  <c:v>2034E</c:v>
                </c:pt>
                <c:pt idx="13">
                  <c:v>2035E</c:v>
                </c:pt>
              </c:strCache>
            </c:strRef>
          </c:cat>
          <c:val>
            <c:numRef>
              <c:f>'Sales growth comparative'!$C$18:$P$18</c:f>
              <c:numCache>
                <c:formatCode>_(* #,##0.00_);_(* \(#,##0.00\);_(* "-"??_);_(@_)</c:formatCode>
                <c:ptCount val="14"/>
                <c:pt idx="0">
                  <c:v>1295.4259999999999</c:v>
                </c:pt>
                <c:pt idx="1">
                  <c:v>1899.626</c:v>
                </c:pt>
                <c:pt idx="2">
                  <c:v>2457.3980000000001</c:v>
                </c:pt>
                <c:pt idx="3">
                  <c:v>3194.8400000000011</c:v>
                </c:pt>
                <c:pt idx="4">
                  <c:v>3712.2533348818292</c:v>
                </c:pt>
                <c:pt idx="5">
                  <c:v>4408.0356930864882</c:v>
                </c:pt>
                <c:pt idx="6">
                  <c:v>5132.6441617655692</c:v>
                </c:pt>
                <c:pt idx="7">
                  <c:v>5941.4675463906733</c:v>
                </c:pt>
                <c:pt idx="8">
                  <c:v>6794.3548337308621</c:v>
                </c:pt>
                <c:pt idx="9">
                  <c:v>7592.6874594653445</c:v>
                </c:pt>
                <c:pt idx="10">
                  <c:v>8351.9562054118796</c:v>
                </c:pt>
                <c:pt idx="11">
                  <c:v>9187.1518259530694</c:v>
                </c:pt>
                <c:pt idx="12">
                  <c:v>10013.995490288846</c:v>
                </c:pt>
                <c:pt idx="13">
                  <c:v>10915.255084414843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27-4953-B2E1-2202AC87FDC9}"/>
            </c:ext>
          </c:extLst>
        </c:ser>
        <c:ser>
          <c:idx val="2"/>
          <c:order val="2"/>
          <c:tx>
            <c:strRef>
              <c:f>'Sales growth comparative'!$B$20</c:f>
              <c:strCache>
                <c:ptCount val="1"/>
                <c:pt idx="0">
                  <c:v>LuluLemon index to 2011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'Sales growth comparative'!$C$17:$P$17</c:f>
              <c:strCache>
                <c:ptCount val="14"/>
                <c:pt idx="0">
                  <c:v>2022E</c:v>
                </c:pt>
                <c:pt idx="1">
                  <c:v>2023E</c:v>
                </c:pt>
                <c:pt idx="2">
                  <c:v>2024E</c:v>
                </c:pt>
                <c:pt idx="3">
                  <c:v>2025E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  <c:pt idx="9">
                  <c:v>2031E</c:v>
                </c:pt>
                <c:pt idx="10">
                  <c:v>2032E</c:v>
                </c:pt>
                <c:pt idx="11">
                  <c:v>2033E</c:v>
                </c:pt>
                <c:pt idx="12">
                  <c:v>2034E</c:v>
                </c:pt>
                <c:pt idx="13">
                  <c:v>2035E</c:v>
                </c:pt>
              </c:strCache>
            </c:strRef>
          </c:cat>
          <c:val>
            <c:numRef>
              <c:f>'Sales growth comparative'!$C$20:$P$20</c:f>
              <c:numCache>
                <c:formatCode>General</c:formatCode>
                <c:ptCount val="14"/>
                <c:pt idx="0">
                  <c:v>1000.8389999999999</c:v>
                </c:pt>
                <c:pt idx="1">
                  <c:v>1370.3579999999999</c:v>
                </c:pt>
                <c:pt idx="2">
                  <c:v>1591.1880000000001</c:v>
                </c:pt>
                <c:pt idx="3">
                  <c:v>1797.213</c:v>
                </c:pt>
                <c:pt idx="4">
                  <c:v>2060.5230000000001</c:v>
                </c:pt>
                <c:pt idx="5">
                  <c:v>2344.3919999999998</c:v>
                </c:pt>
                <c:pt idx="6">
                  <c:v>2649.181</c:v>
                </c:pt>
                <c:pt idx="7">
                  <c:v>3288.319</c:v>
                </c:pt>
                <c:pt idx="8">
                  <c:v>3979.2959999999998</c:v>
                </c:pt>
                <c:pt idx="9">
                  <c:v>4401.88</c:v>
                </c:pt>
                <c:pt idx="10">
                  <c:v>6256.6170000000002</c:v>
                </c:pt>
                <c:pt idx="11">
                  <c:v>8110.5</c:v>
                </c:pt>
                <c:pt idx="12">
                  <c:v>9494.2999999999993</c:v>
                </c:pt>
                <c:pt idx="13">
                  <c:v>10891.2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27-4953-B2E1-2202AC87FDC9}"/>
            </c:ext>
          </c:extLst>
        </c:ser>
        <c:ser>
          <c:idx val="3"/>
          <c:order val="3"/>
          <c:tx>
            <c:strRef>
              <c:f>'Sales growth comparative'!$B$21</c:f>
              <c:strCache>
                <c:ptCount val="1"/>
                <c:pt idx="0">
                  <c:v>Nike index to 1988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'Sales growth comparative'!$C$17:$P$17</c:f>
              <c:strCache>
                <c:ptCount val="14"/>
                <c:pt idx="0">
                  <c:v>2022E</c:v>
                </c:pt>
                <c:pt idx="1">
                  <c:v>2023E</c:v>
                </c:pt>
                <c:pt idx="2">
                  <c:v>2024E</c:v>
                </c:pt>
                <c:pt idx="3">
                  <c:v>2025E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  <c:pt idx="9">
                  <c:v>2031E</c:v>
                </c:pt>
                <c:pt idx="10">
                  <c:v>2032E</c:v>
                </c:pt>
                <c:pt idx="11">
                  <c:v>2033E</c:v>
                </c:pt>
                <c:pt idx="12">
                  <c:v>2034E</c:v>
                </c:pt>
                <c:pt idx="13">
                  <c:v>2035E</c:v>
                </c:pt>
              </c:strCache>
            </c:strRef>
          </c:cat>
          <c:val>
            <c:numRef>
              <c:f>'Sales growth comparative'!$C$21:$P$21</c:f>
              <c:numCache>
                <c:formatCode>General</c:formatCode>
                <c:ptCount val="14"/>
                <c:pt idx="0">
                  <c:v>1203</c:v>
                </c:pt>
                <c:pt idx="1">
                  <c:v>1711</c:v>
                </c:pt>
                <c:pt idx="2">
                  <c:v>2235</c:v>
                </c:pt>
                <c:pt idx="3">
                  <c:v>3004</c:v>
                </c:pt>
                <c:pt idx="4">
                  <c:v>3405</c:v>
                </c:pt>
                <c:pt idx="5">
                  <c:v>3931</c:v>
                </c:pt>
                <c:pt idx="6">
                  <c:v>3790</c:v>
                </c:pt>
                <c:pt idx="7">
                  <c:v>4761</c:v>
                </c:pt>
                <c:pt idx="8">
                  <c:v>6471</c:v>
                </c:pt>
                <c:pt idx="9">
                  <c:v>9187</c:v>
                </c:pt>
                <c:pt idx="10">
                  <c:v>9553</c:v>
                </c:pt>
                <c:pt idx="11">
                  <c:v>8777</c:v>
                </c:pt>
                <c:pt idx="12">
                  <c:v>8995</c:v>
                </c:pt>
                <c:pt idx="13">
                  <c:v>9489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D-45A8-A307-4BB8177E2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97440"/>
        <c:axId val="19158995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'Sales growth comparative'!$B$19</c15:sqref>
                        </c15:formulaRef>
                      </c:ext>
                    </c:extLst>
                    <c:strCache>
                      <c:ptCount val="1"/>
                      <c:pt idx="0">
                        <c:v>Puma index to 2011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'Sales growth comparative'!$C$17:$P$17</c15:sqref>
                        </c15:formulaRef>
                      </c:ext>
                    </c:extLst>
                    <c:strCache>
                      <c:ptCount val="14"/>
                      <c:pt idx="0">
                        <c:v>2022E</c:v>
                      </c:pt>
                      <c:pt idx="1">
                        <c:v>2023E</c:v>
                      </c:pt>
                      <c:pt idx="2">
                        <c:v>2024E</c:v>
                      </c:pt>
                      <c:pt idx="3">
                        <c:v>2025E</c:v>
                      </c:pt>
                      <c:pt idx="4">
                        <c:v>2026E</c:v>
                      </c:pt>
                      <c:pt idx="5">
                        <c:v>2027E</c:v>
                      </c:pt>
                      <c:pt idx="6">
                        <c:v>2028E</c:v>
                      </c:pt>
                      <c:pt idx="7">
                        <c:v>2029E</c:v>
                      </c:pt>
                      <c:pt idx="8">
                        <c:v>2030E</c:v>
                      </c:pt>
                      <c:pt idx="9">
                        <c:v>2031E</c:v>
                      </c:pt>
                      <c:pt idx="10">
                        <c:v>2032E</c:v>
                      </c:pt>
                      <c:pt idx="11">
                        <c:v>2033E</c:v>
                      </c:pt>
                      <c:pt idx="12">
                        <c:v>2034E</c:v>
                      </c:pt>
                      <c:pt idx="13">
                        <c:v>2035E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'Sales growth comparative'!$C$19:$P$19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3129.3225600000001</c:v>
                      </c:pt>
                      <c:pt idx="1">
                        <c:v>3401.5488000000005</c:v>
                      </c:pt>
                      <c:pt idx="2">
                        <c:v>3104.6080000000002</c:v>
                      </c:pt>
                      <c:pt idx="3">
                        <c:v>3090.9007999999999</c:v>
                      </c:pt>
                      <c:pt idx="4">
                        <c:v>3522.8960000000002</c:v>
                      </c:pt>
                      <c:pt idx="5">
                        <c:v>3771.8720000000003</c:v>
                      </c:pt>
                      <c:pt idx="6">
                        <c:v>4301.3360000000011</c:v>
                      </c:pt>
                      <c:pt idx="7">
                        <c:v>4834.3360000000002</c:v>
                      </c:pt>
                      <c:pt idx="8">
                        <c:v>5722.2879999999968</c:v>
                      </c:pt>
                      <c:pt idx="9">
                        <c:v>5443.7760000000007</c:v>
                      </c:pt>
                      <c:pt idx="10">
                        <c:v>7077.6159999999991</c:v>
                      </c:pt>
                      <c:pt idx="11">
                        <c:v>8803.7040000000034</c:v>
                      </c:pt>
                      <c:pt idx="12">
                        <c:v>9464.0239200000033</c:v>
                      </c:pt>
                      <c:pt idx="13">
                        <c:v>10317.801114400005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C27-4953-B2E1-2202AC87FDC9}"/>
                  </c:ext>
                </c:extLst>
              </c15:ser>
            </c15:filteredLineSeries>
          </c:ext>
        </c:extLst>
      </c:lineChart>
      <c:catAx>
        <c:axId val="19159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1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89952"/>
        <c:crosses val="autoZero"/>
        <c:auto val="1"/>
        <c:lblAlgn val="ctr"/>
        <c:lblOffset val="100"/>
        <c:noMultiLvlLbl val="0"/>
      </c:catAx>
      <c:valAx>
        <c:axId val="191589952"/>
        <c:scaling>
          <c:orientation val="minMax"/>
          <c:max val="12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9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23564482638103"/>
          <c:y val="4.8515377885456623E-2"/>
          <c:w val="0.83774073162729645"/>
          <c:h val="0.8229898052217157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2859C66-2C88-4AC7-A8CD-2C09203CC77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D4C-4870-A12F-B02B1380B53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C36C047-F2C6-400D-A99E-FBA4873F625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D4C-4870-A12F-B02B1380B53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301D25E-C004-4242-A14F-FAD08B95511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D4C-4870-A12F-B02B1380B53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4DD5098-1A4E-4082-AEC4-8B547727BEA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4C-4870-A12F-B02B1380B53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0A08570-7742-4D4F-99C0-8033528D822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D4C-4870-A12F-B02B1380B53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F65CFDB-3531-4529-85B6-E740ACD49CA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D4C-4870-A12F-B02B1380B53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048754E-2D8A-4DF8-82FC-E89E6CFFA3D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D4C-4870-A12F-B02B1380B53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096E502-A5B6-4B36-9B71-35910AEDA07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47A-4E5E-A358-BD3E465A0C4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7C27CD0-6F65-49DD-B96B-010FF52A337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D4C-4870-A12F-B02B1380B5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2700">
                <a:prstDash val="lgDash"/>
              </a:ln>
            </c:spPr>
            <c:trendlineType val="linear"/>
            <c:forward val="0.1"/>
            <c:backward val="0.1"/>
            <c:dispRSqr val="0"/>
            <c:dispEq val="0"/>
          </c:trendline>
          <c:xVal>
            <c:numRef>
              <c:f>Comps!$J$23:$J$30</c:f>
              <c:numCache>
                <c:formatCode>0.0%</c:formatCode>
                <c:ptCount val="8"/>
                <c:pt idx="0">
                  <c:v>0</c:v>
                </c:pt>
                <c:pt idx="1">
                  <c:v>0.16302379636767772</c:v>
                </c:pt>
                <c:pt idx="2">
                  <c:v>3.0882540191516767</c:v>
                </c:pt>
                <c:pt idx="3">
                  <c:v>0.23910789405275823</c:v>
                </c:pt>
                <c:pt idx="4">
                  <c:v>0.2690902665217505</c:v>
                </c:pt>
                <c:pt idx="5">
                  <c:v>0.1576317568113248</c:v>
                </c:pt>
                <c:pt idx="6">
                  <c:v>9.1205211726384405E-2</c:v>
                </c:pt>
                <c:pt idx="7">
                  <c:v>0.1713942884577111</c:v>
                </c:pt>
              </c:numCache>
            </c:numRef>
          </c:xVal>
          <c:yVal>
            <c:numRef>
              <c:f>Comps!$H$23:$H$30</c:f>
              <c:numCache>
                <c:formatCode>0.0\x</c:formatCode>
                <c:ptCount val="8"/>
                <c:pt idx="0">
                  <c:v>0</c:v>
                </c:pt>
                <c:pt idx="1">
                  <c:v>-0.46487597194047808</c:v>
                </c:pt>
                <c:pt idx="2">
                  <c:v>0.793243002540992</c:v>
                </c:pt>
                <c:pt idx="3">
                  <c:v>-0.9732861853321968</c:v>
                </c:pt>
                <c:pt idx="4">
                  <c:v>-2.0123530125946338</c:v>
                </c:pt>
                <c:pt idx="5">
                  <c:v>7.9808832204409275E-4</c:v>
                </c:pt>
                <c:pt idx="6">
                  <c:v>7.8915405452259682E-2</c:v>
                </c:pt>
                <c:pt idx="7">
                  <c:v>-3.7027836582542446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Comps!$E$23:$E$30</c15:f>
                <c15:dlblRangeCache>
                  <c:ptCount val="8"/>
                  <c:pt idx="0">
                    <c:v>Nike</c:v>
                  </c:pt>
                  <c:pt idx="1">
                    <c:v>lululemon</c:v>
                  </c:pt>
                  <c:pt idx="2">
                    <c:v>adidas</c:v>
                  </c:pt>
                  <c:pt idx="3">
                    <c:v>Puma</c:v>
                  </c:pt>
                  <c:pt idx="4">
                    <c:v>Li Ning Co.</c:v>
                  </c:pt>
                  <c:pt idx="5">
                    <c:v>Anta Sports</c:v>
                  </c:pt>
                  <c:pt idx="6">
                    <c:v>Asics</c:v>
                  </c:pt>
                  <c:pt idx="7">
                    <c:v>On Holding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8D4C-4870-A12F-B02B1380B53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77517647"/>
        <c:axId val="2077521807"/>
      </c:scatterChart>
      <c:valAx>
        <c:axId val="2077517647"/>
        <c:scaling>
          <c:orientation val="minMax"/>
          <c:max val="0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EBITDA growth  (2023-24E)</a:t>
                </a:r>
              </a:p>
            </c:rich>
          </c:tx>
          <c:layout>
            <c:manualLayout>
              <c:xMode val="edge"/>
              <c:yMode val="edge"/>
              <c:x val="0.42153456726154581"/>
              <c:y val="0.937212487270428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21807"/>
        <c:crosses val="autoZero"/>
        <c:crossBetween val="midCat"/>
      </c:valAx>
      <c:valAx>
        <c:axId val="2077521807"/>
        <c:scaling>
          <c:orientation val="minMax"/>
          <c:max val="2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EV/EBITDA 2024E</a:t>
                </a:r>
              </a:p>
            </c:rich>
          </c:tx>
          <c:layout>
            <c:manualLayout>
              <c:xMode val="edge"/>
              <c:yMode val="edge"/>
              <c:x val="1.2167814960629922E-3"/>
              <c:y val="0.3415423124740986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\x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17647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827345800524931E-2"/>
          <c:y val="4.0094156651471195E-2"/>
          <c:w val="0.8689445864995643"/>
          <c:h val="0.8145568235504646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9882915026246718E-2"/>
                  <c:y val="-3.8286097518567354E-2"/>
                </c:manualLayout>
              </c:layout>
              <c:tx>
                <c:rich>
                  <a:bodyPr/>
                  <a:lstStyle/>
                  <a:p>
                    <a:fld id="{F03B6549-A0B2-41AA-9164-5947F53CE99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9DA-4CCF-B7EE-42C74B9A535E}"/>
                </c:ext>
              </c:extLst>
            </c:dLbl>
            <c:dLbl>
              <c:idx val="1"/>
              <c:layout>
                <c:manualLayout>
                  <c:x val="-2.8502706692913386E-2"/>
                  <c:y val="-2.9873899831921642E-2"/>
                </c:manualLayout>
              </c:layout>
              <c:tx>
                <c:rich>
                  <a:bodyPr/>
                  <a:lstStyle/>
                  <a:p>
                    <a:fld id="{E1A77E44-0882-44F0-8A39-1C3A0C85492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9DA-4CCF-B7EE-42C74B9A535E}"/>
                </c:ext>
              </c:extLst>
            </c:dLbl>
            <c:dLbl>
              <c:idx val="2"/>
              <c:layout>
                <c:manualLayout>
                  <c:x val="-8.5019685039370102E-2"/>
                  <c:y val="-3.4079998675244458E-2"/>
                </c:manualLayout>
              </c:layout>
              <c:tx>
                <c:rich>
                  <a:bodyPr/>
                  <a:lstStyle/>
                  <a:p>
                    <a:fld id="{8743268E-3A44-4898-B6CD-B3ED24A214A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9DA-4CCF-B7EE-42C74B9A53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7547549-98F3-4EED-B23D-9514F80382E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9DA-4CCF-B7EE-42C74B9A535E}"/>
                </c:ext>
              </c:extLst>
            </c:dLbl>
            <c:dLbl>
              <c:idx val="4"/>
              <c:layout>
                <c:manualLayout>
                  <c:x val="-1.2846905537459331E-2"/>
                  <c:y val="-1.6744978306283142E-2"/>
                </c:manualLayout>
              </c:layout>
              <c:tx>
                <c:rich>
                  <a:bodyPr/>
                  <a:lstStyle/>
                  <a:p>
                    <a:fld id="{0E6CFB76-E5CD-4419-AB3D-2396EAB0A6C4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9DA-4CCF-B7EE-42C74B9A535E}"/>
                </c:ext>
              </c:extLst>
            </c:dLbl>
            <c:dLbl>
              <c:idx val="5"/>
              <c:layout>
                <c:manualLayout>
                  <c:x val="-7.592458169291344E-2"/>
                  <c:y val="4.1629780504566269E-2"/>
                </c:manualLayout>
              </c:layout>
              <c:tx>
                <c:rich>
                  <a:bodyPr/>
                  <a:lstStyle/>
                  <a:p>
                    <a:fld id="{DFA4A367-1038-4928-BEAC-73B81D1FC3F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9DA-4CCF-B7EE-42C74B9A535E}"/>
                </c:ext>
              </c:extLst>
            </c:dLbl>
            <c:dLbl>
              <c:idx val="6"/>
              <c:layout>
                <c:manualLayout>
                  <c:x val="-8.2200623359580047E-2"/>
                  <c:y val="7.9809897579835674E-3"/>
                </c:manualLayout>
              </c:layout>
              <c:tx>
                <c:rich>
                  <a:bodyPr/>
                  <a:lstStyle/>
                  <a:p>
                    <a:fld id="{57EB87E3-2BF1-4E85-982B-6B2A2FA4779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9DA-4CCF-B7EE-42C74B9A535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915F64F-E9AA-4676-AAB8-B91E2B2C352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850-4AD0-8730-AB3341046050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>
                <a:prstDash val="dash"/>
              </a:ln>
            </c:spPr>
            <c:trendlineType val="linear"/>
            <c:dispRSqr val="0"/>
            <c:dispEq val="0"/>
          </c:trendline>
          <c:xVal>
            <c:numRef>
              <c:f>Comps!$K$23:$K$30</c:f>
              <c:numCache>
                <c:formatCode>0.0%</c:formatCode>
                <c:ptCount val="8"/>
                <c:pt idx="0">
                  <c:v>0</c:v>
                </c:pt>
                <c:pt idx="1">
                  <c:v>0.18432553189558276</c:v>
                </c:pt>
                <c:pt idx="2">
                  <c:v>0.12058136463715807</c:v>
                </c:pt>
                <c:pt idx="3">
                  <c:v>0.17371972853070439</c:v>
                </c:pt>
                <c:pt idx="4">
                  <c:v>0.25486259412281687</c:v>
                </c:pt>
                <c:pt idx="5">
                  <c:v>0.21377551273697781</c:v>
                </c:pt>
                <c:pt idx="6">
                  <c:v>0.15182741843273928</c:v>
                </c:pt>
                <c:pt idx="7">
                  <c:v>0.46631462438814864</c:v>
                </c:pt>
              </c:numCache>
            </c:numRef>
          </c:xVal>
          <c:yVal>
            <c:numRef>
              <c:f>Comps!$H$23:$H$30</c:f>
              <c:numCache>
                <c:formatCode>0.0\x</c:formatCode>
                <c:ptCount val="8"/>
                <c:pt idx="0">
                  <c:v>0</c:v>
                </c:pt>
                <c:pt idx="1">
                  <c:v>-0.46487597194047808</c:v>
                </c:pt>
                <c:pt idx="2">
                  <c:v>0.793243002540992</c:v>
                </c:pt>
                <c:pt idx="3">
                  <c:v>-0.9732861853321968</c:v>
                </c:pt>
                <c:pt idx="4">
                  <c:v>-2.0123530125946338</c:v>
                </c:pt>
                <c:pt idx="5">
                  <c:v>7.9808832204409275E-4</c:v>
                </c:pt>
                <c:pt idx="6">
                  <c:v>7.8915405452259682E-2</c:v>
                </c:pt>
                <c:pt idx="7">
                  <c:v>-3.7027836582542446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Comps!$E$23:$E$31</c15:f>
                <c15:dlblRangeCache>
                  <c:ptCount val="9"/>
                  <c:pt idx="0">
                    <c:v>Nike</c:v>
                  </c:pt>
                  <c:pt idx="1">
                    <c:v>lululemon</c:v>
                  </c:pt>
                  <c:pt idx="2">
                    <c:v>adidas</c:v>
                  </c:pt>
                  <c:pt idx="3">
                    <c:v>Puma</c:v>
                  </c:pt>
                  <c:pt idx="4">
                    <c:v>Li Ning Co.</c:v>
                  </c:pt>
                  <c:pt idx="5">
                    <c:v>Anta Sports</c:v>
                  </c:pt>
                  <c:pt idx="6">
                    <c:v>Asics</c:v>
                  </c:pt>
                  <c:pt idx="7">
                    <c:v>On Holding</c:v>
                  </c:pt>
                  <c:pt idx="8">
                    <c:v>JD Sports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59DA-4CCF-B7EE-42C74B9A535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77517647"/>
        <c:axId val="2077521807"/>
      </c:scatterChart>
      <c:valAx>
        <c:axId val="2077517647"/>
        <c:scaling>
          <c:orientation val="minMax"/>
          <c:max val="0.70000000000000007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EBITDA CAGR (2022-24E)</a:t>
                </a:r>
              </a:p>
            </c:rich>
          </c:tx>
          <c:layout>
            <c:manualLayout>
              <c:xMode val="edge"/>
              <c:yMode val="edge"/>
              <c:x val="0.42153456726154581"/>
              <c:y val="0.937212487270428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21807"/>
        <c:crosses val="autoZero"/>
        <c:crossBetween val="midCat"/>
      </c:valAx>
      <c:valAx>
        <c:axId val="2077521807"/>
        <c:scaling>
          <c:orientation val="minMax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EV/EBITDA 2024E</a:t>
                </a:r>
              </a:p>
            </c:rich>
          </c:tx>
          <c:layout>
            <c:manualLayout>
              <c:xMode val="edge"/>
              <c:yMode val="edge"/>
              <c:x val="1.2167814960629922E-3"/>
              <c:y val="0.3415423124740986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\x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17647"/>
        <c:crossesAt val="0"/>
        <c:crossBetween val="midCat"/>
        <c:majorUnit val="5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67626819515919"/>
          <c:y val="3.9968503937007877E-2"/>
          <c:w val="0.84030025245230766"/>
          <c:h val="0.8265156803914236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45EF5D5-BB1E-49C1-A25E-BBD1B98E1F1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363-4644-9F15-EF93810B1E7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5604F4C-F1B4-4D6B-9E3A-888315F67B0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363-4644-9F15-EF93810B1E7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7D271FA-B289-4D20-9163-91BF35E0E05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363-4644-9F15-EF93810B1E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262B2B1-6383-41CD-BE9E-E5850ED9CF1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363-4644-9F15-EF93810B1E7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D3A6402-35BC-48A1-A99A-C9268528197F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363-4644-9F15-EF93810B1E7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EEEBFD2-6EA0-448F-9282-1E3A7A19DE0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363-4644-9F15-EF93810B1E7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B6A6B26-9F61-48E3-A0AE-973AAD91976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363-4644-9F15-EF93810B1E7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7C27CD0-6F65-49DD-B96B-010FF52A337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363-4644-9F15-EF93810B1E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Comps!$K$23:$K$29</c:f>
              <c:numCache>
                <c:formatCode>0.0%</c:formatCode>
                <c:ptCount val="7"/>
                <c:pt idx="0">
                  <c:v>0</c:v>
                </c:pt>
                <c:pt idx="1">
                  <c:v>0.18432553189558276</c:v>
                </c:pt>
                <c:pt idx="2">
                  <c:v>0.12058136463715807</c:v>
                </c:pt>
                <c:pt idx="3">
                  <c:v>0.17371972853070439</c:v>
                </c:pt>
                <c:pt idx="4">
                  <c:v>0.25486259412281687</c:v>
                </c:pt>
                <c:pt idx="5">
                  <c:v>0.21377551273697781</c:v>
                </c:pt>
                <c:pt idx="6">
                  <c:v>0.15182741843273928</c:v>
                </c:pt>
              </c:numCache>
            </c:numRef>
          </c:xVal>
          <c:yVal>
            <c:numRef>
              <c:f>Comps!$H$23:$H$29</c:f>
              <c:numCache>
                <c:formatCode>0.0\x</c:formatCode>
                <c:ptCount val="7"/>
                <c:pt idx="0">
                  <c:v>0</c:v>
                </c:pt>
                <c:pt idx="1">
                  <c:v>-0.46487597194047808</c:v>
                </c:pt>
                <c:pt idx="2">
                  <c:v>0.793243002540992</c:v>
                </c:pt>
                <c:pt idx="3">
                  <c:v>-0.9732861853321968</c:v>
                </c:pt>
                <c:pt idx="4">
                  <c:v>-2.0123530125946338</c:v>
                </c:pt>
                <c:pt idx="5">
                  <c:v>7.9808832204409275E-4</c:v>
                </c:pt>
                <c:pt idx="6">
                  <c:v>7.8915405452259682E-2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Comps!$E$23:$E$29</c15:f>
                <c15:dlblRangeCache>
                  <c:ptCount val="7"/>
                  <c:pt idx="0">
                    <c:v>Nike</c:v>
                  </c:pt>
                  <c:pt idx="1">
                    <c:v>lululemon</c:v>
                  </c:pt>
                  <c:pt idx="2">
                    <c:v>adidas</c:v>
                  </c:pt>
                  <c:pt idx="3">
                    <c:v>Puma</c:v>
                  </c:pt>
                  <c:pt idx="4">
                    <c:v>Li Ning Co.</c:v>
                  </c:pt>
                  <c:pt idx="5">
                    <c:v>Anta Sports</c:v>
                  </c:pt>
                  <c:pt idx="6">
                    <c:v>Asics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3363-4644-9F15-EF93810B1E7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77517647"/>
        <c:axId val="2077521807"/>
      </c:scatterChart>
      <c:valAx>
        <c:axId val="2077517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EBITDA CAGR (2021-23E)</a:t>
                </a:r>
              </a:p>
            </c:rich>
          </c:tx>
          <c:layout>
            <c:manualLayout>
              <c:xMode val="edge"/>
              <c:yMode val="edge"/>
              <c:x val="0.42153456726154581"/>
              <c:y val="0.937212487270428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21807"/>
        <c:crosses val="autoZero"/>
        <c:crossBetween val="midCat"/>
      </c:valAx>
      <c:valAx>
        <c:axId val="207752180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EV/EBITDA 2023E</a:t>
                </a:r>
              </a:p>
            </c:rich>
          </c:tx>
          <c:layout>
            <c:manualLayout>
              <c:xMode val="edge"/>
              <c:yMode val="edge"/>
              <c:x val="1.2167814960629922E-3"/>
              <c:y val="0.2825949440530459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\x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17647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chart" Target="../charts/chart18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3</xdr:row>
      <xdr:rowOff>74083</xdr:rowOff>
    </xdr:from>
    <xdr:to>
      <xdr:col>2</xdr:col>
      <xdr:colOff>86394</xdr:colOff>
      <xdr:row>7</xdr:row>
      <xdr:rowOff>31750</xdr:rowOff>
    </xdr:to>
    <xdr:pic>
      <xdr:nvPicPr>
        <xdr:cNvPr id="2" name="Picture 190" descr="Logo_solid_6i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284" y="531283"/>
          <a:ext cx="787010" cy="84349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114300</xdr:colOff>
      <xdr:row>76</xdr:row>
      <xdr:rowOff>95250</xdr:rowOff>
    </xdr:from>
    <xdr:to>
      <xdr:col>61</xdr:col>
      <xdr:colOff>190500</xdr:colOff>
      <xdr:row>96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53</xdr:col>
      <xdr:colOff>661986</xdr:colOff>
      <xdr:row>23</xdr:row>
      <xdr:rowOff>0</xdr:rowOff>
    </xdr:from>
    <xdr:to>
      <xdr:col>61</xdr:col>
      <xdr:colOff>52386</xdr:colOff>
      <xdr:row>52</xdr:row>
      <xdr:rowOff>101600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657230</xdr:colOff>
      <xdr:row>138</xdr:row>
      <xdr:rowOff>85725</xdr:rowOff>
    </xdr:from>
    <xdr:to>
      <xdr:col>61</xdr:col>
      <xdr:colOff>47630</xdr:colOff>
      <xdr:row>158</xdr:row>
      <xdr:rowOff>53975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52</xdr:col>
      <xdr:colOff>0</xdr:colOff>
      <xdr:row>250</xdr:row>
      <xdr:rowOff>0</xdr:rowOff>
    </xdr:from>
    <xdr:to>
      <xdr:col>59</xdr:col>
      <xdr:colOff>76200</xdr:colOff>
      <xdr:row>269</xdr:row>
      <xdr:rowOff>120650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54</xdr:col>
      <xdr:colOff>85725</xdr:colOff>
      <xdr:row>54</xdr:row>
      <xdr:rowOff>95250</xdr:rowOff>
    </xdr:from>
    <xdr:to>
      <xdr:col>61</xdr:col>
      <xdr:colOff>161925</xdr:colOff>
      <xdr:row>74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0.24023</cdr:x>
      <cdr:y>0.12947</cdr:y>
    </cdr:from>
    <cdr:to>
      <cdr:x>0.86328</cdr:x>
      <cdr:y>0.65053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9818EB73-6CBB-43EC-B8C9-6FE3DBEF813B}"/>
            </a:ext>
          </a:extLst>
        </cdr:cNvPr>
        <cdr:cNvCxnSpPr/>
      </cdr:nvCxnSpPr>
      <cdr:spPr>
        <a:xfrm xmlns:a="http://schemas.openxmlformats.org/drawingml/2006/main" flipV="1">
          <a:off x="1171575" y="390525"/>
          <a:ext cx="3038475" cy="15716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0.36914</cdr:x>
      <cdr:y>0.32842</cdr:y>
    </cdr:from>
    <cdr:to>
      <cdr:x>0.67383</cdr:x>
      <cdr:y>0.47684</cdr:y>
    </cdr:to>
    <cdr:sp macro="" textlink="">
      <cdr:nvSpPr>
        <cdr:cNvPr id="4" name="TextBox 3"/>
        <cdr:cNvSpPr txBox="1"/>
      </cdr:nvSpPr>
      <cdr:spPr>
        <a:xfrm xmlns:a="http://schemas.openxmlformats.org/drawingml/2006/main" rot="20021158">
          <a:off x="1800225" y="990600"/>
          <a:ext cx="1485900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000" b="1">
              <a:latin typeface="Arial" panose="020B0604020202020204" pitchFamily="34" charset="0"/>
              <a:cs typeface="Arial" panose="020B0604020202020204" pitchFamily="34" charset="0"/>
            </a:rPr>
            <a:t>38% 2020-25E CAGR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647700</xdr:colOff>
      <xdr:row>9</xdr:row>
      <xdr:rowOff>57150</xdr:rowOff>
    </xdr:from>
    <xdr:to>
      <xdr:col>16</xdr:col>
      <xdr:colOff>419100</xdr:colOff>
      <xdr:row>23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C4CD7DC-9541-4B41-9BF3-162F75F7A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433387</xdr:colOff>
      <xdr:row>28</xdr:row>
      <xdr:rowOff>76200</xdr:rowOff>
    </xdr:from>
    <xdr:to>
      <xdr:col>19</xdr:col>
      <xdr:colOff>204787</xdr:colOff>
      <xdr:row>42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FA4C1F-BFC3-4206-A9D8-182E754A7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46</xdr:row>
      <xdr:rowOff>0</xdr:rowOff>
    </xdr:from>
    <xdr:to>
      <xdr:col>19</xdr:col>
      <xdr:colOff>457200</xdr:colOff>
      <xdr:row>59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13B032-174A-442A-941C-901F2B66C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176212</xdr:colOff>
      <xdr:row>88</xdr:row>
      <xdr:rowOff>128587</xdr:rowOff>
    </xdr:from>
    <xdr:to>
      <xdr:col>15</xdr:col>
      <xdr:colOff>252412</xdr:colOff>
      <xdr:row>103</xdr:row>
      <xdr:rowOff>144462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B0DB3C-7E1E-46E1-8DBE-E91B3BA96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89</xdr:row>
      <xdr:rowOff>0</xdr:rowOff>
    </xdr:from>
    <xdr:to>
      <xdr:col>23</xdr:col>
      <xdr:colOff>76200</xdr:colOff>
      <xdr:row>104</xdr:row>
      <xdr:rowOff>15875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FC8450-A00D-4873-9CDA-FB6C46C67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252412</xdr:colOff>
      <xdr:row>65</xdr:row>
      <xdr:rowOff>33337</xdr:rowOff>
    </xdr:from>
    <xdr:to>
      <xdr:col>22</xdr:col>
      <xdr:colOff>23812</xdr:colOff>
      <xdr:row>78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E79773-EF51-4395-9E42-637042B97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175</xdr:row>
      <xdr:rowOff>78316</xdr:rowOff>
    </xdr:from>
    <xdr:to>
      <xdr:col>9</xdr:col>
      <xdr:colOff>0</xdr:colOff>
      <xdr:row>190</xdr:row>
      <xdr:rowOff>84666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3E0C6C-7F31-6477-4A78-A033AF6C3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391582</xdr:colOff>
      <xdr:row>203</xdr:row>
      <xdr:rowOff>4232</xdr:rowOff>
    </xdr:from>
    <xdr:to>
      <xdr:col>21</xdr:col>
      <xdr:colOff>467782</xdr:colOff>
      <xdr:row>218</xdr:row>
      <xdr:rowOff>20107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5CFFAA0-9726-EF02-E023-857F68B05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68791</xdr:colOff>
      <xdr:row>219</xdr:row>
      <xdr:rowOff>189441</xdr:rowOff>
    </xdr:from>
    <xdr:to>
      <xdr:col>21</xdr:col>
      <xdr:colOff>135466</xdr:colOff>
      <xdr:row>234</xdr:row>
      <xdr:rowOff>195791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88C9B91-2104-0CE4-CB73-342FA95E2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116415</xdr:colOff>
      <xdr:row>153</xdr:row>
      <xdr:rowOff>57150</xdr:rowOff>
    </xdr:from>
    <xdr:to>
      <xdr:col>9</xdr:col>
      <xdr:colOff>87840</xdr:colOff>
      <xdr:row>168</xdr:row>
      <xdr:rowOff>73025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FEBD4D-CBE4-AE5C-A9DB-C41C1F33B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47624</xdr:colOff>
      <xdr:row>231</xdr:row>
      <xdr:rowOff>73023</xdr:rowOff>
    </xdr:from>
    <xdr:to>
      <xdr:col>9</xdr:col>
      <xdr:colOff>19049</xdr:colOff>
      <xdr:row>246</xdr:row>
      <xdr:rowOff>88898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68D1B04-A89B-B8D1-572F-DCE1C5A99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89956</xdr:colOff>
      <xdr:row>250</xdr:row>
      <xdr:rowOff>57150</xdr:rowOff>
    </xdr:from>
    <xdr:to>
      <xdr:col>14</xdr:col>
      <xdr:colOff>166156</xdr:colOff>
      <xdr:row>265</xdr:row>
      <xdr:rowOff>73025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F46354E-71C1-E794-45D1-127A0B36E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13756</xdr:colOff>
      <xdr:row>115</xdr:row>
      <xdr:rowOff>57150</xdr:rowOff>
    </xdr:from>
    <xdr:to>
      <xdr:col>8</xdr:col>
      <xdr:colOff>670981</xdr:colOff>
      <xdr:row>130</xdr:row>
      <xdr:rowOff>73025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BBB6B3-9B29-0A48-22AC-C784E36EF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0.39271</cdr:x>
      <cdr:y>0.41146</cdr:y>
    </cdr:from>
    <cdr:to>
      <cdr:x>0.60729</cdr:x>
      <cdr:y>0.60938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DC4782-3DB5-4C84-93C6-00DACF54957D}"/>
            </a:ext>
          </a:extLst>
        </cdr:cNvPr>
        <cdr:cNvSpPr txBox="1"/>
      </cdr:nvSpPr>
      <cdr:spPr>
        <a:xfrm xmlns:a="http://schemas.openxmlformats.org/drawingml/2006/main">
          <a:off x="1795463" y="1128713"/>
          <a:ext cx="981075" cy="5429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100"/>
            <a:t>1,130mn CHF</a:t>
          </a:r>
          <a:r>
            <a:rPr lang="en-GB" sz="1100" baseline="0"/>
            <a:t> </a:t>
          </a:r>
          <a:r>
            <a:rPr lang="en-GB" sz="1100"/>
            <a:t>2022E Sales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0.39271</cdr:x>
      <cdr:y>0.41146</cdr:y>
    </cdr:from>
    <cdr:to>
      <cdr:x>0.60729</cdr:x>
      <cdr:y>0.60938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DC4782-3DB5-4C84-93C6-00DACF54957D}"/>
            </a:ext>
          </a:extLst>
        </cdr:cNvPr>
        <cdr:cNvSpPr txBox="1"/>
      </cdr:nvSpPr>
      <cdr:spPr>
        <a:xfrm xmlns:a="http://schemas.openxmlformats.org/drawingml/2006/main">
          <a:off x="1795463" y="1128713"/>
          <a:ext cx="981075" cy="5429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100"/>
            <a:t>1,130mn CHF</a:t>
          </a:r>
          <a:r>
            <a:rPr lang="en-GB" sz="1100" baseline="0"/>
            <a:t> </a:t>
          </a:r>
          <a:r>
            <a:rPr lang="en-GB" sz="1100"/>
            <a:t>2022E Sales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523881</xdr:colOff>
      <xdr:row>74</xdr:row>
      <xdr:rowOff>47625</xdr:rowOff>
    </xdr:from>
    <xdr:to>
      <xdr:col>11</xdr:col>
      <xdr:colOff>609606</xdr:colOff>
      <xdr:row>92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43</xdr:row>
      <xdr:rowOff>100012</xdr:rowOff>
    </xdr:from>
    <xdr:to>
      <xdr:col>6</xdr:col>
      <xdr:colOff>657225</xdr:colOff>
      <xdr:row>58</xdr:row>
      <xdr:rowOff>115887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E81CC1-FE44-41CE-9C24-7E0DBD0F8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95249</xdr:colOff>
      <xdr:row>22</xdr:row>
      <xdr:rowOff>42862</xdr:rowOff>
    </xdr:from>
    <xdr:to>
      <xdr:col>6</xdr:col>
      <xdr:colOff>704849</xdr:colOff>
      <xdr:row>37</xdr:row>
      <xdr:rowOff>58737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365803-6495-46D5-8B37-DDF727CA8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384174</xdr:colOff>
      <xdr:row>34</xdr:row>
      <xdr:rowOff>117475</xdr:rowOff>
    </xdr:from>
    <xdr:to>
      <xdr:col>23</xdr:col>
      <xdr:colOff>498474</xdr:colOff>
      <xdr:row>50</xdr:row>
      <xdr:rowOff>85725</xdr:rowOff>
    </xdr:to>
    <xdr:graphicFrame macro="">
      <xdr:nvGraphicFramePr>
        <xdr:cNvPr id="14" name="faf6cec9-e64c-4d44-a294-67a361268a77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239333</xdr:colOff>
      <xdr:row>17</xdr:row>
      <xdr:rowOff>68034</xdr:rowOff>
    </xdr:from>
    <xdr:to>
      <xdr:col>20</xdr:col>
      <xdr:colOff>210758</xdr:colOff>
      <xdr:row>31</xdr:row>
      <xdr:rowOff>74384</xdr:rowOff>
    </xdr:to>
    <xdr:graphicFrame macro="">
      <xdr:nvGraphicFramePr>
        <xdr:cNvPr id="12" name="faf6cec9-e64c-4d44-a294-67a361268a77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137582</xdr:colOff>
      <xdr:row>19</xdr:row>
      <xdr:rowOff>0</xdr:rowOff>
    </xdr:from>
    <xdr:to>
      <xdr:col>39</xdr:col>
      <xdr:colOff>213783</xdr:colOff>
      <xdr:row>33</xdr:row>
      <xdr:rowOff>5292</xdr:rowOff>
    </xdr:to>
    <xdr:graphicFrame macro="">
      <xdr:nvGraphicFramePr>
        <xdr:cNvPr id="13" name="faf6cec9-e64c-4d44-a294-67a361268a77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rmwide.corp.gs.com\irroot\GENERAL%20RETAIL\Europe%20Retail\Companies_Europe\ABOUT%20YOU\ABOUT%20YOU_model%20WI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rmwide.corp.gs.com\irroot\Projects\worldshare\Quantum%20Data%20Quality%20(Europe)\Europe-General%20Retail\Exchange%20sheet%20Linking\GFG\GFG%20WIP_V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rmwide.corp.gs.com\irroot\project_gymnasium2021\Copy%20of%20On%20Running%20Analyst%20Model%20v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wln063ns.eu.fw.gs.com\edwric_ln_fw\home\Downloads\model%20(57).xlsx" TargetMode="External"/><Relationship Id="rId1" Type="http://schemas.openxmlformats.org/officeDocument/2006/relationships/externalLinkPath" Target="file:///\\fwln063ns.eu.fw.gs.com\edwric_ln_fw\home\Downloads\model%20(57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wln063ns.eu.fw.gs.com\edwric_ln_fw\home\Downloads\model%20(58).xlsx" TargetMode="External"/><Relationship Id="rId1" Type="http://schemas.openxmlformats.org/officeDocument/2006/relationships/externalLinkPath" Target="file:///\\fwln063ns.eu.fw.gs.com\edwric_ln_fw\home\Downloads\model%20(58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rmwide.corp.gs.com\root\Projects\Research\ln\Retail\GENERAL%20RETAIL\Europe%20Retail\Companies_Europe\PUMA\Puma%20Model.xlsx" TargetMode="External"/><Relationship Id="rId1" Type="http://schemas.openxmlformats.org/officeDocument/2006/relationships/externalLinkPath" Target="file:///\\firmwide.corp.gs.com\root\Projects\Research\ln\Retail\GENERAL%20RETAIL\Europe%20Retail\Companies_Europe\PUMA\Puma%20Model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adidas/Adidas%20MODEL%20WIP.xlsx" TargetMode="External"/><Relationship Id="rId2" Type="http://schemas.openxmlformats.org/officeDocument/2006/relationships/externalLinkPath" Target="file:///M:\ln\Retail\GENERAL%20RETAIL\Europe%20Retail\Companies_Europe\adidas\Adidas%20MODEL%20WIP.xlsx" TargetMode="External"/><Relationship Id="rId1" Type="http://schemas.openxmlformats.org/officeDocument/2006/relationships/externalLinkPath" Target="/ln/Retail/GENERAL%20RETAIL/Europe%20Retail/Companies_Europe/adidas/Adidas%20MODEL%20WI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rmwide.corp.gs.com\root\Projects\Research\ln\Retail\GENERAL%20RETAIL\Europe%20Retail\Companies_Europe\adidas\Adidas%20MODEL.xlsx" TargetMode="External"/><Relationship Id="rId1" Type="http://schemas.openxmlformats.org/officeDocument/2006/relationships/externalLinkPath" Target="file:///\\firmwide.corp.gs.com\root\Projects\Research\ln\Retail\GENERAL%20RETAIL\Europe%20Retail\Companies_Europe\adidas\Adidas%20MODE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rmwide.corp.gs.com\irroot\project_gymnasium2021\Copy%20of%20Project%20Elephant%20Business%20Plan%202021-2024%20_Aug%20Update_vF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adidas/Sportswear%20EM%20Jun24%20RE.xlsx" TargetMode="External"/><Relationship Id="rId2" Type="http://schemas.openxmlformats.org/officeDocument/2006/relationships/externalLinkPath" Target="file:///M:\LN\Retail\GENERAL%20RETAIL\Europe%20Retail\Companies_Europe\adidas\Sportswear%20EM%20Jun24%20RE.xlsx" TargetMode="External"/><Relationship Id="rId1" Type="http://schemas.openxmlformats.org/officeDocument/2006/relationships/externalLinkPath" Target="/LN/Retail/GENERAL%20RETAIL/Europe%20Retail/Companies_Europe/adidas/Sportswear%20EM%20Jun24%20R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wus178ns.ny.fw.gs.com\safili_ny_fw\Retail\GENERAL%20RETAIL\Projects\GD%20EM_market%20sizes_brand%20shares%20RE%20Agai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wln063ns.eu.fw.gs.com\edwric_ln_fw\home\Downloads\model%20(2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rmwide.corp.gs.com\root\Retail\GENERAL%20RETAIL\Europe%20Retail\Companies_Europe\PUMA\Puma%20Model%20WIP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eference%20Models/lululemo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rmwide.corp.gs.com\root\Retail\GENERAL%20RETAIL\Europe%20Retail\Companies_Europe\adidas\Adidas%20MODEL%20WI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eference%20Models/Li%20Ning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eference%20Models/Ant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Reference%20Models/Asic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rmwide.corp.gs.com\irroot\Projects\LN\Retail\GENERAL%20RETAIL\UK%20Retail\Companies_UK\JD%20SPORTS\JD_WI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OUG.DE_Live_Sheet"/>
      <sheetName val="YOUG.DE_Validation_Sheet"/>
      <sheetName val="YOUG.DE_Annotation_Sheet"/>
      <sheetName val="Cover"/>
      <sheetName val="Model"/>
      <sheetName val="Stat Ab"/>
      <sheetName val="YOUG.DE_Exchange_Sheet"/>
      <sheetName val="Worksheet"/>
      <sheetName val="GSe vs guidance"/>
      <sheetName val="Comparatives"/>
      <sheetName val="Valuation"/>
      <sheetName val="Client tabs"/>
    </sheetNames>
    <sheetDataSet>
      <sheetData sheetId="0">
        <row r="1">
          <cell r="A1" t="str">
            <v>Issuer: ABOUT YOU Holding</v>
          </cell>
          <cell r="C1">
            <v>99694129</v>
          </cell>
          <cell r="F1">
            <v>2019</v>
          </cell>
          <cell r="G1" t="str">
            <v>2020 Q1</v>
          </cell>
          <cell r="H1" t="str">
            <v>2020 Q2</v>
          </cell>
          <cell r="I1" t="str">
            <v>2020 Q3</v>
          </cell>
          <cell r="J1" t="str">
            <v>2020 Q4</v>
          </cell>
          <cell r="K1">
            <v>2020</v>
          </cell>
          <cell r="L1" t="str">
            <v>2021 Q1</v>
          </cell>
          <cell r="M1" t="str">
            <v>2021 Q2</v>
          </cell>
          <cell r="N1" t="str">
            <v>2021 Q3</v>
          </cell>
          <cell r="O1" t="str">
            <v>2021 Q4</v>
          </cell>
          <cell r="P1">
            <v>2021</v>
          </cell>
          <cell r="Q1" t="str">
            <v>2022 Q1</v>
          </cell>
          <cell r="R1" t="str">
            <v>2022 Q2</v>
          </cell>
          <cell r="S1" t="str">
            <v>2022 Q3</v>
          </cell>
          <cell r="T1" t="str">
            <v>2022 Q4</v>
          </cell>
          <cell r="U1">
            <v>2022</v>
          </cell>
        </row>
        <row r="2">
          <cell r="F2" t="str">
            <v>Actual</v>
          </cell>
          <cell r="G2" t="str">
            <v>Actual</v>
          </cell>
          <cell r="H2" t="str">
            <v>Actual</v>
          </cell>
          <cell r="I2" t="str">
            <v>Actual</v>
          </cell>
          <cell r="J2" t="str">
            <v>Actual</v>
          </cell>
          <cell r="K2" t="str">
            <v>Actual</v>
          </cell>
          <cell r="L2" t="str">
            <v>Actual</v>
          </cell>
          <cell r="M2" t="str">
            <v>Actual</v>
          </cell>
          <cell r="N2" t="str">
            <v>Actual</v>
          </cell>
          <cell r="O2" t="str">
            <v>Actual</v>
          </cell>
          <cell r="Q2" t="str">
            <v>Estimate</v>
          </cell>
          <cell r="R2" t="str">
            <v>Estimate</v>
          </cell>
          <cell r="S2" t="str">
            <v>Estimate</v>
          </cell>
          <cell r="T2" t="str">
            <v>Estimate</v>
          </cell>
          <cell r="U2" t="str">
            <v>Estimate</v>
          </cell>
        </row>
        <row r="3">
          <cell r="F3">
            <v>43830</v>
          </cell>
          <cell r="G3">
            <v>43613</v>
          </cell>
          <cell r="H3">
            <v>43705</v>
          </cell>
          <cell r="I3">
            <v>43797</v>
          </cell>
          <cell r="J3">
            <v>43889</v>
          </cell>
          <cell r="K3">
            <v>44196</v>
          </cell>
          <cell r="L3">
            <v>43982</v>
          </cell>
          <cell r="M3">
            <v>44074</v>
          </cell>
          <cell r="N3">
            <v>44165</v>
          </cell>
          <cell r="O3">
            <v>44255</v>
          </cell>
          <cell r="R3">
            <v>44439</v>
          </cell>
          <cell r="S3">
            <v>44530</v>
          </cell>
          <cell r="T3">
            <v>44620</v>
          </cell>
          <cell r="U3">
            <v>44926</v>
          </cell>
        </row>
        <row r="4">
          <cell r="A4" t="str">
            <v>Issuer: ABOUT YOU Holding</v>
          </cell>
        </row>
        <row r="5">
          <cell r="A5" t="str">
            <v>Reference Data</v>
          </cell>
        </row>
        <row r="6">
          <cell r="B6" t="str">
            <v>Issuer Name</v>
          </cell>
          <cell r="C6" t="str">
            <v>Issuer Name</v>
          </cell>
          <cell r="E6" t="str">
            <v>ABOUT YOU Holding</v>
          </cell>
        </row>
        <row r="7">
          <cell r="B7" t="str">
            <v>Reporting Currency</v>
          </cell>
          <cell r="C7" t="str">
            <v>CURRENCY_ISO</v>
          </cell>
        </row>
        <row r="8">
          <cell r="A8" t="str">
            <v>General Information</v>
          </cell>
        </row>
        <row r="9">
          <cell r="B9" t="str">
            <v>M&amp;A probability (1 = high, 3 = low)</v>
          </cell>
          <cell r="C9" t="str">
            <v>MA_PROB</v>
          </cell>
        </row>
        <row r="10">
          <cell r="A10" t="str">
            <v>Income Statement</v>
          </cell>
        </row>
        <row r="11">
          <cell r="B11" t="str">
            <v>Sales, net revenue</v>
          </cell>
          <cell r="C11" t="str">
            <v>SALES</v>
          </cell>
          <cell r="D11">
            <v>0</v>
          </cell>
        </row>
        <row r="12">
          <cell r="B12" t="str">
            <v>Cost of goods sold, COGS</v>
          </cell>
          <cell r="C12" t="str">
            <v>COST_GD_SD</v>
          </cell>
          <cell r="D12">
            <v>0</v>
          </cell>
        </row>
        <row r="13">
          <cell r="B13" t="str">
            <v>SG&amp;A, selling, general and admin. expense</v>
          </cell>
          <cell r="C13" t="str">
            <v>SEL_GL_AD</v>
          </cell>
          <cell r="D13">
            <v>0</v>
          </cell>
        </row>
        <row r="14">
          <cell r="B14" t="str">
            <v>Total operating expense</v>
          </cell>
          <cell r="C14" t="str">
            <v>OP_COST</v>
          </cell>
          <cell r="D14">
            <v>0</v>
          </cell>
        </row>
        <row r="15">
          <cell r="B15" t="str">
            <v>R&amp;D expense</v>
          </cell>
          <cell r="C15" t="str">
            <v>RD_EXP</v>
          </cell>
          <cell r="D15">
            <v>0</v>
          </cell>
        </row>
        <row r="16">
          <cell r="B16" t="str">
            <v>Other operating income/(expense) (incl. leases)</v>
          </cell>
          <cell r="C16" t="str">
            <v>OTH_OP_INC_EXP</v>
          </cell>
          <cell r="D16">
            <v>0</v>
          </cell>
        </row>
        <row r="17">
          <cell r="B17" t="str">
            <v>Total operating expense (incl. D&amp;A)</v>
          </cell>
          <cell r="C17" t="str">
            <v>TOT_OPS_EXP_DDA</v>
          </cell>
          <cell r="D17">
            <v>0</v>
          </cell>
        </row>
        <row r="18">
          <cell r="B18" t="str">
            <v>Total operating expense (excl. D&amp;A)</v>
          </cell>
          <cell r="C18" t="str">
            <v>TOT_OPS_EXP</v>
          </cell>
          <cell r="D18">
            <v>0</v>
          </cell>
        </row>
        <row r="19">
          <cell r="B19" t="str">
            <v>EBITDA</v>
          </cell>
          <cell r="C19" t="str">
            <v>EBITDA_CALC</v>
          </cell>
          <cell r="D19">
            <v>0</v>
          </cell>
        </row>
        <row r="20">
          <cell r="B20" t="str">
            <v>Depreciation</v>
          </cell>
          <cell r="C20" t="str">
            <v>DEPREC</v>
          </cell>
          <cell r="D20">
            <v>0</v>
          </cell>
        </row>
        <row r="21">
          <cell r="B21" t="str">
            <v>Amortization</v>
          </cell>
          <cell r="C21" t="str">
            <v>GOODWILL_AMORT</v>
          </cell>
          <cell r="D21">
            <v>0</v>
          </cell>
        </row>
        <row r="22">
          <cell r="B22" t="str">
            <v>EBIT, operating profit</v>
          </cell>
          <cell r="C22" t="str">
            <v>EBIT</v>
          </cell>
          <cell r="D22">
            <v>0</v>
          </cell>
        </row>
        <row r="23">
          <cell r="B23" t="str">
            <v>Interest income</v>
          </cell>
          <cell r="C23" t="str">
            <v>INT_INC_IND</v>
          </cell>
          <cell r="D23">
            <v>0</v>
          </cell>
        </row>
        <row r="24">
          <cell r="B24" t="str">
            <v>Interest expense</v>
          </cell>
          <cell r="C24" t="str">
            <v>INT_EXP_IND</v>
          </cell>
          <cell r="D24">
            <v>0</v>
          </cell>
        </row>
        <row r="25">
          <cell r="B25" t="str">
            <v>Net interest income/(expense)</v>
          </cell>
          <cell r="C25" t="str">
            <v>NET_INT_EXP</v>
          </cell>
          <cell r="D25">
            <v>0</v>
          </cell>
        </row>
        <row r="26">
          <cell r="B26" t="str">
            <v>Income/(loss) from unconsolidated subs &amp; associates</v>
          </cell>
          <cell r="C26" t="str">
            <v>ASSOCIATE</v>
          </cell>
          <cell r="D26">
            <v>0</v>
          </cell>
        </row>
        <row r="27">
          <cell r="B27" t="str">
            <v>Profit/(loss) on disposals of assets, pre-tax</v>
          </cell>
          <cell r="C27" t="str">
            <v>PROFIT_ON_DISP</v>
          </cell>
          <cell r="D27">
            <v>0</v>
          </cell>
        </row>
        <row r="28">
          <cell r="B28" t="str">
            <v>Other non-ops income/(expense)</v>
          </cell>
          <cell r="C28" t="str">
            <v>OTH_COST_INC</v>
          </cell>
          <cell r="D28">
            <v>0</v>
          </cell>
        </row>
        <row r="29">
          <cell r="B29" t="str">
            <v>Pre-tax profit</v>
          </cell>
          <cell r="C29" t="str">
            <v>PT_PROF</v>
          </cell>
          <cell r="D29">
            <v>0</v>
          </cell>
        </row>
        <row r="30">
          <cell r="A30" t="str">
            <v>Additional Income Statement Items</v>
          </cell>
        </row>
        <row r="31">
          <cell r="B31" t="str">
            <v>Organic revenues (excl. acquisitions)</v>
          </cell>
          <cell r="C31" t="str">
            <v>ORG_REV</v>
          </cell>
          <cell r="D31">
            <v>0</v>
          </cell>
        </row>
        <row r="32">
          <cell r="B32" t="str">
            <v>Organic sales growth (excl. acquisitions)</v>
          </cell>
          <cell r="C32" t="str">
            <v>ORG_REV_GRTH</v>
          </cell>
        </row>
        <row r="33">
          <cell r="B33" t="str">
            <v>Operating lease cost</v>
          </cell>
          <cell r="C33" t="str">
            <v>LEASE_PAY</v>
          </cell>
          <cell r="D33">
            <v>0</v>
          </cell>
        </row>
        <row r="34">
          <cell r="B34" t="str">
            <v>Lease payments (deemed interest portion)</v>
          </cell>
          <cell r="C34" t="str">
            <v>LEASE_DEEM_INT</v>
          </cell>
          <cell r="D34">
            <v>0</v>
          </cell>
        </row>
        <row r="35">
          <cell r="B35" t="str">
            <v>Lease payments (deemed depreciation portion)</v>
          </cell>
          <cell r="C35" t="str">
            <v>LEASE_DEEM_DEPR</v>
          </cell>
          <cell r="D35">
            <v>0</v>
          </cell>
        </row>
        <row r="36">
          <cell r="B36" t="str">
            <v>Gross interest charge</v>
          </cell>
          <cell r="C36" t="str">
            <v>NET_INT_CH</v>
          </cell>
          <cell r="D36">
            <v>0</v>
          </cell>
        </row>
        <row r="37">
          <cell r="B37" t="str">
            <v>Income from associates (operating)</v>
          </cell>
          <cell r="C37" t="str">
            <v>ASSOCIATE_OP</v>
          </cell>
          <cell r="D37">
            <v>0</v>
          </cell>
        </row>
        <row r="38">
          <cell r="B38" t="str">
            <v>Goodwill amortization</v>
          </cell>
          <cell r="C38" t="str">
            <v>GW_AMORT</v>
          </cell>
          <cell r="D38">
            <v>0</v>
          </cell>
        </row>
        <row r="39">
          <cell r="B39" t="str">
            <v>Other intangible amortization</v>
          </cell>
          <cell r="C39" t="str">
            <v>OTH_INT_AMORT</v>
          </cell>
          <cell r="D39">
            <v>0</v>
          </cell>
        </row>
        <row r="40">
          <cell r="B40" t="str">
            <v>Depreciation ROU assets   (applicable to IFRS cos.)</v>
          </cell>
          <cell r="C40" t="str">
            <v>DEPR_ROU_ASSETS</v>
          </cell>
          <cell r="D40">
            <v>0</v>
          </cell>
        </row>
        <row r="41">
          <cell r="B41" t="str">
            <v>Lease interest charge  (applicable to IFRS cos.)</v>
          </cell>
          <cell r="C41" t="str">
            <v>LEASE_INT_CHG</v>
          </cell>
          <cell r="D41">
            <v>0</v>
          </cell>
        </row>
        <row r="42">
          <cell r="B42" t="str">
            <v>Lease standard adopted (US GAAP ASC 842/ IFRS 16)</v>
          </cell>
          <cell r="C42" t="str">
            <v>LEASE_ADOPT</v>
          </cell>
        </row>
        <row r="43">
          <cell r="A43" t="str">
            <v>Balance Sheet</v>
          </cell>
        </row>
        <row r="44">
          <cell r="B44" t="str">
            <v>Cash &amp; cash equivalents</v>
          </cell>
          <cell r="C44" t="str">
            <v>CASH_EQ</v>
          </cell>
          <cell r="D44">
            <v>0</v>
          </cell>
        </row>
        <row r="45">
          <cell r="B45" t="str">
            <v>Accounts receivable</v>
          </cell>
          <cell r="C45" t="str">
            <v>DEBTORS</v>
          </cell>
          <cell r="D45">
            <v>0</v>
          </cell>
        </row>
        <row r="46">
          <cell r="B46" t="str">
            <v>Inventory</v>
          </cell>
          <cell r="C46" t="str">
            <v>STOCKS</v>
          </cell>
          <cell r="D46">
            <v>0</v>
          </cell>
        </row>
        <row r="47">
          <cell r="B47" t="str">
            <v>Other current assets</v>
          </cell>
          <cell r="C47" t="str">
            <v>OTH_CUR_ASS</v>
          </cell>
          <cell r="D47">
            <v>0</v>
          </cell>
        </row>
        <row r="48">
          <cell r="B48" t="str">
            <v>Total current assets</v>
          </cell>
          <cell r="C48" t="str">
            <v>CUR_ASS</v>
          </cell>
          <cell r="D48">
            <v>0</v>
          </cell>
        </row>
        <row r="49">
          <cell r="B49" t="str">
            <v>Gross fixed assets, PP&amp;E</v>
          </cell>
          <cell r="C49" t="str">
            <v>GR_FIX_ASS</v>
          </cell>
          <cell r="D49">
            <v>0</v>
          </cell>
        </row>
        <row r="50">
          <cell r="B50" t="str">
            <v>Accumulated depreciation</v>
          </cell>
          <cell r="C50" t="str">
            <v>ACC_DDA</v>
          </cell>
          <cell r="D50">
            <v>0</v>
          </cell>
        </row>
        <row r="51">
          <cell r="B51" t="str">
            <v>Net PP&amp;E</v>
          </cell>
          <cell r="C51" t="str">
            <v>NET_FIX_ASS</v>
          </cell>
          <cell r="D51">
            <v>0</v>
          </cell>
        </row>
        <row r="52">
          <cell r="B52" t="str">
            <v>Gross intangibles</v>
          </cell>
          <cell r="C52" t="str">
            <v>GR_INTANG</v>
          </cell>
          <cell r="D52">
            <v>0</v>
          </cell>
        </row>
        <row r="53">
          <cell r="B53" t="str">
            <v>Accumulated amortization</v>
          </cell>
          <cell r="C53" t="str">
            <v>ACC_AMORT</v>
          </cell>
          <cell r="D53">
            <v>0</v>
          </cell>
        </row>
        <row r="54">
          <cell r="B54" t="str">
            <v>Net intangible assets</v>
          </cell>
          <cell r="C54" t="str">
            <v>NET_INTANG</v>
          </cell>
          <cell r="D54">
            <v>0</v>
          </cell>
        </row>
        <row r="55">
          <cell r="B55" t="str">
            <v>Equity method investments</v>
          </cell>
          <cell r="C55" t="str">
            <v>FIX_ASS_INV</v>
          </cell>
          <cell r="D55">
            <v>0</v>
          </cell>
        </row>
        <row r="56">
          <cell r="B56" t="str">
            <v>Investments in securities</v>
          </cell>
          <cell r="C56" t="str">
            <v>INV_SECUR</v>
          </cell>
          <cell r="D56">
            <v>0</v>
          </cell>
        </row>
        <row r="57">
          <cell r="B57" t="str">
            <v>Other long-term assets</v>
          </cell>
          <cell r="C57" t="str">
            <v>OTH_LT_ASS</v>
          </cell>
          <cell r="D57">
            <v>0</v>
          </cell>
        </row>
        <row r="58">
          <cell r="B58" t="str">
            <v>Total assets</v>
          </cell>
          <cell r="C58" t="str">
            <v>TOT_ASSET</v>
          </cell>
          <cell r="D58">
            <v>0</v>
          </cell>
        </row>
        <row r="59">
          <cell r="B59" t="str">
            <v>Accounts payable</v>
          </cell>
          <cell r="C59" t="str">
            <v>ACC_PAY_GQ</v>
          </cell>
          <cell r="D59">
            <v>0</v>
          </cell>
        </row>
        <row r="60">
          <cell r="B60" t="str">
            <v>Short-term debt</v>
          </cell>
          <cell r="C60" t="str">
            <v>SHORT_T_DEBT</v>
          </cell>
          <cell r="D60">
            <v>0</v>
          </cell>
        </row>
        <row r="61">
          <cell r="B61" t="str">
            <v>Current lease liabilities (op lease: US GAAP)</v>
          </cell>
          <cell r="C61" t="str">
            <v>ST_LEASE_LIAB</v>
          </cell>
          <cell r="D61">
            <v>0</v>
          </cell>
        </row>
        <row r="62">
          <cell r="B62" t="str">
            <v>Other current liabilities</v>
          </cell>
          <cell r="C62" t="str">
            <v>OTH_CUR_LIABS</v>
          </cell>
          <cell r="D62">
            <v>0</v>
          </cell>
        </row>
        <row r="63">
          <cell r="B63" t="str">
            <v>Total current liabilities</v>
          </cell>
          <cell r="C63" t="str">
            <v>SHORT_TERM_LIABS</v>
          </cell>
          <cell r="D63">
            <v>0</v>
          </cell>
        </row>
        <row r="64">
          <cell r="B64" t="str">
            <v>Long-term  debt</v>
          </cell>
          <cell r="C64" t="str">
            <v>LT_DEBT</v>
          </cell>
          <cell r="D64">
            <v>0</v>
          </cell>
        </row>
        <row r="65">
          <cell r="B65" t="str">
            <v>Non-current lease liabilities (op lease: US GAAP)</v>
          </cell>
          <cell r="C65" t="str">
            <v>LT_LEASE_LIAB</v>
          </cell>
          <cell r="D65">
            <v>0</v>
          </cell>
        </row>
        <row r="66">
          <cell r="B66" t="str">
            <v>Other long-term liabilities</v>
          </cell>
          <cell r="C66" t="str">
            <v>OTH_LT_CRED_GQ</v>
          </cell>
          <cell r="D66">
            <v>0</v>
          </cell>
        </row>
        <row r="67">
          <cell r="B67" t="str">
            <v>Total long-term liabilities</v>
          </cell>
          <cell r="C67" t="str">
            <v>TOT_LT_LIAB</v>
          </cell>
          <cell r="D67">
            <v>0</v>
          </cell>
        </row>
        <row r="68">
          <cell r="B68" t="str">
            <v>Total liabilities</v>
          </cell>
          <cell r="C68" t="str">
            <v>TOT_LIAB</v>
          </cell>
          <cell r="D68">
            <v>0</v>
          </cell>
        </row>
        <row r="69">
          <cell r="B69" t="str">
            <v>Preferred shares</v>
          </cell>
          <cell r="C69" t="str">
            <v>PREF_SH</v>
          </cell>
          <cell r="D69">
            <v>0</v>
          </cell>
        </row>
        <row r="70">
          <cell r="B70" t="str">
            <v>Total common equity</v>
          </cell>
          <cell r="C70" t="str">
            <v>ORD_SH_FUND</v>
          </cell>
          <cell r="D70">
            <v>0</v>
          </cell>
        </row>
        <row r="71">
          <cell r="B71" t="str">
            <v>Minority interest</v>
          </cell>
          <cell r="C71" t="str">
            <v>MINORITIES</v>
          </cell>
          <cell r="D71">
            <v>0</v>
          </cell>
        </row>
        <row r="72">
          <cell r="B72" t="str">
            <v>Total shareholders' equity</v>
          </cell>
          <cell r="C72" t="str">
            <v>EQ</v>
          </cell>
          <cell r="D72">
            <v>0</v>
          </cell>
        </row>
        <row r="73">
          <cell r="B73" t="str">
            <v>Total liabilities and equity</v>
          </cell>
          <cell r="C73" t="str">
            <v>TOT_LIAB_EQ</v>
          </cell>
          <cell r="D73">
            <v>0</v>
          </cell>
        </row>
        <row r="74">
          <cell r="A74" t="str">
            <v>Additional Balance Sheet Items</v>
          </cell>
        </row>
        <row r="75">
          <cell r="B75" t="str">
            <v>Total US$ debt (in US$)</v>
          </cell>
          <cell r="C75" t="str">
            <v>TOT_USD_DEBT</v>
          </cell>
        </row>
        <row r="76">
          <cell r="B76" t="str">
            <v>% US$ debt hedged (principal)</v>
          </cell>
          <cell r="C76" t="str">
            <v>TOT_PCT_USD_DEBT_HEDGED</v>
          </cell>
        </row>
        <row r="77">
          <cell r="B77" t="str">
            <v>% Floating debt (local currency debt)</v>
          </cell>
          <cell r="C77" t="str">
            <v>FLOATING_PCT_LOCAL_DEBT</v>
          </cell>
        </row>
        <row r="78">
          <cell r="B78" t="str">
            <v>% floating debt hedged (rates)</v>
          </cell>
          <cell r="C78" t="str">
            <v>FLOATING_PCT_LOCAL_DEBT_HEDGED</v>
          </cell>
        </row>
        <row r="79">
          <cell r="B79" t="str">
            <v>Net debt</v>
          </cell>
          <cell r="C79" t="str">
            <v>NET_DEBT</v>
          </cell>
          <cell r="D79">
            <v>0</v>
          </cell>
        </row>
        <row r="80">
          <cell r="B80" t="str">
            <v>Capitalized operating leases (off-balance sheet)</v>
          </cell>
          <cell r="C80" t="str">
            <v>CAP_LEASES</v>
          </cell>
          <cell r="D80">
            <v>0</v>
          </cell>
        </row>
        <row r="81">
          <cell r="B81" t="str">
            <v>Deferred income taxes</v>
          </cell>
          <cell r="C81" t="str">
            <v>DEF_INC_TAX</v>
          </cell>
          <cell r="D81">
            <v>0</v>
          </cell>
        </row>
        <row r="82">
          <cell r="B82" t="str">
            <v>Associates (mkt value) used in EV calculation</v>
          </cell>
          <cell r="C82" t="str">
            <v>MV_ASSOCIATES</v>
          </cell>
          <cell r="D82">
            <v>0</v>
          </cell>
        </row>
        <row r="83">
          <cell r="B83" t="str">
            <v>Net debt adjustment</v>
          </cell>
          <cell r="C83" t="str">
            <v>NET_DEBT_ADJ</v>
          </cell>
          <cell r="D83">
            <v>0</v>
          </cell>
        </row>
        <row r="84">
          <cell r="B84" t="str">
            <v>Company borrowing margin</v>
          </cell>
          <cell r="C84" t="str">
            <v>CO_BOR_MARGIN</v>
          </cell>
        </row>
        <row r="85">
          <cell r="B85" t="str">
            <v>Unfunded pensions &amp; other provisions</v>
          </cell>
          <cell r="C85" t="str">
            <v>UNF_PENS</v>
          </cell>
          <cell r="D85">
            <v>0</v>
          </cell>
        </row>
        <row r="86">
          <cell r="B86" t="str">
            <v>Unfunded pension liabilities (off balance sheet)</v>
          </cell>
          <cell r="C86" t="str">
            <v>UNF_PENS_OFF</v>
          </cell>
          <cell r="D86">
            <v>0</v>
          </cell>
        </row>
        <row r="87">
          <cell r="B87" t="str">
            <v>Unfunded pension liabilities &amp; other, used in EV</v>
          </cell>
          <cell r="C87" t="str">
            <v>UNF_PENS_LIAB_OTH</v>
          </cell>
          <cell r="D87">
            <v>0</v>
          </cell>
        </row>
        <row r="88">
          <cell r="B88" t="str">
            <v>Adjustment for unfunded pensions &amp; goodwill</v>
          </cell>
          <cell r="C88" t="str">
            <v>ADJ_UNF_PENS_GOOD</v>
          </cell>
          <cell r="D88">
            <v>0</v>
          </cell>
        </row>
        <row r="89">
          <cell r="B89" t="str">
            <v>Other GCI adjustments</v>
          </cell>
          <cell r="C89" t="str">
            <v>OTH_GCI_ADJ</v>
          </cell>
          <cell r="D89">
            <v>0</v>
          </cell>
        </row>
        <row r="90">
          <cell r="B90" t="str">
            <v>GCI inflator</v>
          </cell>
          <cell r="C90" t="str">
            <v>GCI_INFL</v>
          </cell>
        </row>
        <row r="91">
          <cell r="B91" t="str">
            <v>Minority interest</v>
          </cell>
          <cell r="C91" t="str">
            <v>BAL_MINO_INT</v>
          </cell>
          <cell r="D91">
            <v>0</v>
          </cell>
        </row>
        <row r="92">
          <cell r="B92" t="str">
            <v>Right-of-use assets (op lease assets under US GAAP)</v>
          </cell>
          <cell r="C92" t="str">
            <v>ROU_ASSET</v>
          </cell>
          <cell r="D92">
            <v>0</v>
          </cell>
        </row>
        <row r="93">
          <cell r="A93" t="str">
            <v>Cash Flow Statement</v>
          </cell>
        </row>
        <row r="94">
          <cell r="B94" t="str">
            <v>Minority interest add-back</v>
          </cell>
          <cell r="C94" t="str">
            <v>CF_INC_MINORITY</v>
          </cell>
          <cell r="D94">
            <v>0</v>
          </cell>
        </row>
        <row r="95">
          <cell r="B95" t="str">
            <v>Depreciation &amp; amortization add-back</v>
          </cell>
          <cell r="C95" t="str">
            <v>DEPR_AMORT</v>
          </cell>
          <cell r="D95">
            <v>0</v>
          </cell>
        </row>
        <row r="96">
          <cell r="B96" t="str">
            <v>(Increase)/decrease in working capital</v>
          </cell>
          <cell r="C96" t="str">
            <v>WORK_CAP</v>
          </cell>
          <cell r="D96">
            <v>0</v>
          </cell>
        </row>
        <row r="97">
          <cell r="B97" t="str">
            <v>Other operating cash flow items</v>
          </cell>
          <cell r="C97" t="str">
            <v>OTH_OP_CF</v>
          </cell>
          <cell r="D97">
            <v>0</v>
          </cell>
        </row>
        <row r="98">
          <cell r="B98" t="str">
            <v>Cash flow from operating activities</v>
          </cell>
          <cell r="C98" t="str">
            <v>CF_OPS</v>
          </cell>
          <cell r="D98">
            <v>0</v>
          </cell>
        </row>
        <row r="99">
          <cell r="B99" t="str">
            <v>Capital expenditures, Capex</v>
          </cell>
          <cell r="C99" t="str">
            <v>CAPEX</v>
          </cell>
          <cell r="D99">
            <v>0</v>
          </cell>
        </row>
        <row r="100">
          <cell r="B100" t="str">
            <v>Acquisitions</v>
          </cell>
          <cell r="C100" t="str">
            <v>ACQ</v>
          </cell>
          <cell r="D100">
            <v>0</v>
          </cell>
        </row>
        <row r="101">
          <cell r="B101" t="str">
            <v>Divestitures</v>
          </cell>
          <cell r="C101" t="str">
            <v>DIVEST</v>
          </cell>
          <cell r="D101">
            <v>0</v>
          </cell>
        </row>
        <row r="102">
          <cell r="B102" t="str">
            <v>Other investing cash flow items</v>
          </cell>
          <cell r="C102" t="str">
            <v>OTH_INV_CF</v>
          </cell>
          <cell r="D102">
            <v>0</v>
          </cell>
        </row>
        <row r="103">
          <cell r="B103" t="str">
            <v>Cash flow from investing</v>
          </cell>
          <cell r="C103" t="str">
            <v>CF_INV</v>
          </cell>
          <cell r="D103">
            <v>0</v>
          </cell>
        </row>
        <row r="104">
          <cell r="B104" t="str">
            <v>Dividends paid</v>
          </cell>
          <cell r="C104" t="str">
            <v>DIV_PAID</v>
          </cell>
          <cell r="D104">
            <v>0</v>
          </cell>
        </row>
        <row r="105">
          <cell r="B105" t="str">
            <v>Common stock issuance/(repurchase)</v>
          </cell>
          <cell r="C105" t="str">
            <v>SH_REPUR</v>
          </cell>
          <cell r="D105">
            <v>0</v>
          </cell>
        </row>
        <row r="106">
          <cell r="B106" t="str">
            <v>Increase/(decrease) in total debt</v>
          </cell>
          <cell r="C106" t="str">
            <v>CHG_LT_DEBT</v>
          </cell>
          <cell r="D106">
            <v>0</v>
          </cell>
        </row>
        <row r="107">
          <cell r="B107" t="str">
            <v>Lease principal payments  (applicable to IFRS cos.)</v>
          </cell>
          <cell r="C107" t="str">
            <v>LEASE_PRINCIPAL_CASH</v>
          </cell>
          <cell r="D107">
            <v>0</v>
          </cell>
        </row>
        <row r="108">
          <cell r="B108" t="str">
            <v>Other financing cash flow items</v>
          </cell>
          <cell r="C108" t="str">
            <v>OTH_FIN_CF</v>
          </cell>
          <cell r="D108">
            <v>0</v>
          </cell>
        </row>
        <row r="109">
          <cell r="B109" t="str">
            <v>Cash flow from financing</v>
          </cell>
          <cell r="C109" t="str">
            <v>CF_FIN</v>
          </cell>
          <cell r="D109">
            <v>0</v>
          </cell>
        </row>
        <row r="110">
          <cell r="B110" t="str">
            <v>Other items net cash flow</v>
          </cell>
          <cell r="C110" t="str">
            <v>OTH_ITEM_NCF</v>
          </cell>
          <cell r="D110">
            <v>0</v>
          </cell>
        </row>
        <row r="111">
          <cell r="B111" t="str">
            <v>Total cash flow</v>
          </cell>
          <cell r="C111" t="str">
            <v>TOT_CF</v>
          </cell>
          <cell r="D111">
            <v>0</v>
          </cell>
        </row>
        <row r="112">
          <cell r="A112" t="str">
            <v>Additional Cash Flow Items</v>
          </cell>
        </row>
        <row r="113">
          <cell r="B113" t="str">
            <v>Associate and JV add-back</v>
          </cell>
          <cell r="C113" t="str">
            <v>ASSOC_JV_ADDBK</v>
          </cell>
          <cell r="D113">
            <v>0</v>
          </cell>
        </row>
        <row r="114">
          <cell r="B114" t="str">
            <v>Cash interest income/(expense)</v>
          </cell>
          <cell r="C114" t="str">
            <v>CASH_INT_INC_EXP</v>
          </cell>
          <cell r="D114">
            <v>0</v>
          </cell>
        </row>
        <row r="115">
          <cell r="B115" t="str">
            <v>Cash taxes paid</v>
          </cell>
          <cell r="C115" t="str">
            <v>CASH_TAX_PD</v>
          </cell>
          <cell r="D115">
            <v>0</v>
          </cell>
        </row>
        <row r="116">
          <cell r="B116" t="str">
            <v>Profit/(loss) on sale of assets</v>
          </cell>
          <cell r="C116" t="str">
            <v>PL_SALE_ASSETS</v>
          </cell>
          <cell r="D116">
            <v>0</v>
          </cell>
        </row>
        <row r="117">
          <cell r="B117" t="str">
            <v>Other non-cash adjustments</v>
          </cell>
          <cell r="C117" t="str">
            <v>OTH_NONCASH_ADJ</v>
          </cell>
          <cell r="D117">
            <v>0</v>
          </cell>
        </row>
        <row r="118">
          <cell r="B118" t="str">
            <v>Other DACF adjustments</v>
          </cell>
          <cell r="C118" t="str">
            <v>OTH_DACF_ADJ</v>
          </cell>
          <cell r="D118">
            <v>0</v>
          </cell>
        </row>
        <row r="119">
          <cell r="B119" t="str">
            <v>Cash interest expense</v>
          </cell>
          <cell r="C119" t="str">
            <v>CASH_INT_EXP</v>
          </cell>
          <cell r="D119">
            <v>0</v>
          </cell>
        </row>
        <row r="120">
          <cell r="B120" t="str">
            <v>Cash tax expense</v>
          </cell>
          <cell r="C120" t="str">
            <v>CASH_TAX_EXP</v>
          </cell>
          <cell r="D120">
            <v>0</v>
          </cell>
        </row>
        <row r="121">
          <cell r="B121" t="str">
            <v>Dividends received from associates/JVs</v>
          </cell>
          <cell r="C121" t="str">
            <v>DIVDS_ASSOC_JV</v>
          </cell>
          <cell r="D121">
            <v>0</v>
          </cell>
        </row>
        <row r="122">
          <cell r="B122" t="str">
            <v>Capex maintenance</v>
          </cell>
          <cell r="C122" t="str">
            <v>CAPEX_MAINTENANCE</v>
          </cell>
          <cell r="D122">
            <v>0</v>
          </cell>
        </row>
        <row r="123">
          <cell r="B123" t="str">
            <v>Capex expansion</v>
          </cell>
          <cell r="C123" t="str">
            <v>CAPEX_EXPANSION</v>
          </cell>
          <cell r="D123">
            <v>0</v>
          </cell>
        </row>
        <row r="124">
          <cell r="B124" t="str">
            <v>Non-PP&amp;E capex</v>
          </cell>
          <cell r="C124" t="str">
            <v>NONPPE_CAPEX</v>
          </cell>
          <cell r="D124">
            <v>0</v>
          </cell>
        </row>
        <row r="125">
          <cell r="B125" t="str">
            <v>Dividends paid to minorities</v>
          </cell>
          <cell r="C125" t="str">
            <v>DIVDS_PD_MINORITIES</v>
          </cell>
          <cell r="D125">
            <v>0</v>
          </cell>
        </row>
        <row r="126">
          <cell r="A126" t="str">
            <v>Other Items</v>
          </cell>
        </row>
        <row r="127">
          <cell r="B127" t="str">
            <v>Number of employees</v>
          </cell>
          <cell r="C127" t="str">
            <v>EMPLOYEES</v>
          </cell>
        </row>
        <row r="128">
          <cell r="A128" t="str">
            <v>Operating Metrics</v>
          </cell>
        </row>
        <row r="129">
          <cell r="B129" t="str">
            <v>Same store sales growth</v>
          </cell>
          <cell r="C129" t="str">
            <v>RETAIL_SSS_PCT_CHG</v>
          </cell>
        </row>
        <row r="130">
          <cell r="A130" t="str">
            <v>Geographical Breakdown</v>
          </cell>
        </row>
        <row r="131">
          <cell r="B131" t="str">
            <v>Sales - % Canada</v>
          </cell>
          <cell r="C131" t="str">
            <v>SALES_CANADA</v>
          </cell>
        </row>
        <row r="132">
          <cell r="B132" t="str">
            <v>Sales - % United States</v>
          </cell>
          <cell r="C132" t="str">
            <v>SALES_US</v>
          </cell>
        </row>
        <row r="133">
          <cell r="B133" t="str">
            <v>Sales - % Other North Americas</v>
          </cell>
          <cell r="C133" t="str">
            <v>SALES_OTH_NO_AMER</v>
          </cell>
        </row>
        <row r="134">
          <cell r="B134" t="str">
            <v>Sales - % Argentina</v>
          </cell>
          <cell r="C134" t="str">
            <v>SALES_ARGENTINA</v>
          </cell>
        </row>
        <row r="135">
          <cell r="B135" t="str">
            <v>Sales - % Brazil</v>
          </cell>
          <cell r="C135" t="str">
            <v>SALES_BRAZIL</v>
          </cell>
        </row>
        <row r="136">
          <cell r="B136" t="str">
            <v>Sales - % Chile</v>
          </cell>
          <cell r="C136" t="str">
            <v>SALES_CHILE</v>
          </cell>
        </row>
        <row r="137">
          <cell r="B137" t="str">
            <v>Sales - % Colombia</v>
          </cell>
          <cell r="C137" t="str">
            <v>SALES_COLOMBIA</v>
          </cell>
        </row>
        <row r="138">
          <cell r="B138" t="str">
            <v>Sales - % Mexico</v>
          </cell>
          <cell r="C138" t="str">
            <v>SALES_MEXICO</v>
          </cell>
        </row>
        <row r="139">
          <cell r="B139" t="str">
            <v>Sales - % Venezuela</v>
          </cell>
          <cell r="C139" t="str">
            <v>SALES_VENEZUELA</v>
          </cell>
        </row>
        <row r="140">
          <cell r="B140" t="str">
            <v>Sales - % Other Latin Americas</v>
          </cell>
          <cell r="C140" t="str">
            <v>SALES_OTH_LATAM</v>
          </cell>
        </row>
        <row r="141">
          <cell r="B141" t="str">
            <v>Sales - % Austria</v>
          </cell>
          <cell r="C141" t="str">
            <v>SALES_AUSTRIA</v>
          </cell>
        </row>
        <row r="142">
          <cell r="B142" t="str">
            <v>Sales - % Belgium</v>
          </cell>
          <cell r="C142" t="str">
            <v>SALES_BEL</v>
          </cell>
        </row>
        <row r="143">
          <cell r="B143" t="str">
            <v>Sales - % France</v>
          </cell>
          <cell r="C143" t="str">
            <v>SALES_FRA</v>
          </cell>
        </row>
        <row r="144">
          <cell r="B144" t="str">
            <v>Sales - % Germany</v>
          </cell>
          <cell r="C144" t="str">
            <v>SALES_GER</v>
          </cell>
        </row>
        <row r="145">
          <cell r="B145" t="str">
            <v>Sales - % Greece</v>
          </cell>
          <cell r="C145" t="str">
            <v>SALES_GRE</v>
          </cell>
        </row>
        <row r="146">
          <cell r="B146" t="str">
            <v>Sales - % Ireland</v>
          </cell>
          <cell r="C146" t="str">
            <v>SALES_IRE</v>
          </cell>
        </row>
        <row r="147">
          <cell r="B147" t="str">
            <v>Sales - % Italy</v>
          </cell>
          <cell r="C147" t="str">
            <v>SALES_ITA</v>
          </cell>
        </row>
        <row r="148">
          <cell r="B148" t="str">
            <v>Sales - % Netherlands</v>
          </cell>
          <cell r="C148" t="str">
            <v>SALES_NETH</v>
          </cell>
        </row>
        <row r="149">
          <cell r="B149" t="str">
            <v>Sales - % Norway</v>
          </cell>
          <cell r="C149" t="str">
            <v>SALES_NOR</v>
          </cell>
        </row>
        <row r="150">
          <cell r="B150" t="str">
            <v>Sales - % Portugal</v>
          </cell>
          <cell r="C150" t="str">
            <v>SALES_POR</v>
          </cell>
        </row>
        <row r="151">
          <cell r="B151" t="str">
            <v>Sales - % Spain</v>
          </cell>
          <cell r="C151" t="str">
            <v>SALES_SPA</v>
          </cell>
        </row>
        <row r="152">
          <cell r="B152" t="str">
            <v>Sales - % Sweden</v>
          </cell>
          <cell r="C152" t="str">
            <v>SALES_SWE</v>
          </cell>
        </row>
        <row r="153">
          <cell r="B153" t="str">
            <v>Sales - % Switzerland</v>
          </cell>
          <cell r="C153" t="str">
            <v>SALES_SWIT</v>
          </cell>
        </row>
        <row r="154">
          <cell r="B154" t="str">
            <v>Sales - % UK</v>
          </cell>
          <cell r="C154" t="str">
            <v>SALES_UK</v>
          </cell>
        </row>
        <row r="155">
          <cell r="B155" t="str">
            <v>Sales - % Other Western Europe</v>
          </cell>
          <cell r="C155" t="str">
            <v>SALES_OTH_WEST_EURO</v>
          </cell>
        </row>
        <row r="156">
          <cell r="B156" t="str">
            <v>Sales - % Poland</v>
          </cell>
          <cell r="C156" t="str">
            <v>SALES_POLAND</v>
          </cell>
        </row>
        <row r="157">
          <cell r="B157" t="str">
            <v>Sales - % Russia</v>
          </cell>
          <cell r="C157" t="str">
            <v>SALES_RUSSIA</v>
          </cell>
        </row>
        <row r="158">
          <cell r="B158" t="str">
            <v>Sales - % Turkey</v>
          </cell>
          <cell r="C158" t="str">
            <v>SALES_TURKEY</v>
          </cell>
        </row>
        <row r="159">
          <cell r="B159" t="str">
            <v>Sales - % Other CEE</v>
          </cell>
          <cell r="C159" t="str">
            <v>SALES_OTH_CEE</v>
          </cell>
        </row>
        <row r="160">
          <cell r="B160" t="str">
            <v>Sales - % Saudi Arabia</v>
          </cell>
          <cell r="C160" t="str">
            <v>SALES_SAUDI_ARABIA</v>
          </cell>
        </row>
        <row r="161">
          <cell r="B161" t="str">
            <v>Sales - % United Arab Emirates</v>
          </cell>
          <cell r="C161" t="str">
            <v>SALES_UAE</v>
          </cell>
        </row>
        <row r="162">
          <cell r="B162" t="str">
            <v>Sales - % Other Middle East</v>
          </cell>
          <cell r="C162" t="str">
            <v>SALES_OTH_ME</v>
          </cell>
        </row>
        <row r="163">
          <cell r="B163" t="str">
            <v>Sales - % Nigeria</v>
          </cell>
          <cell r="C163" t="str">
            <v>SALES_NIGERIA</v>
          </cell>
        </row>
        <row r="164">
          <cell r="B164" t="str">
            <v>Sales - % South Africa</v>
          </cell>
          <cell r="C164" t="str">
            <v>SALES_SO_AFRICA</v>
          </cell>
        </row>
        <row r="165">
          <cell r="B165" t="str">
            <v>Sales - % Other Africa</v>
          </cell>
          <cell r="C165" t="str">
            <v>SALES_OTH_AFRICA</v>
          </cell>
        </row>
        <row r="166">
          <cell r="B166" t="str">
            <v>Sales - % Hong Kong</v>
          </cell>
          <cell r="C166" t="str">
            <v>SALES_HONG_KONG</v>
          </cell>
        </row>
        <row r="167">
          <cell r="B167" t="str">
            <v>Sales - % Japan</v>
          </cell>
          <cell r="C167" t="str">
            <v>SALES_JAPAN</v>
          </cell>
        </row>
        <row r="168">
          <cell r="B168" t="str">
            <v>Sales - % Singapore</v>
          </cell>
          <cell r="C168" t="str">
            <v>SALES_SINGAPORE</v>
          </cell>
        </row>
        <row r="169">
          <cell r="B169" t="str">
            <v>Sales - % South Korea</v>
          </cell>
          <cell r="C169" t="str">
            <v>SALES_SK</v>
          </cell>
        </row>
        <row r="170">
          <cell r="B170" t="str">
            <v>Sales - % Taiwan</v>
          </cell>
          <cell r="C170" t="str">
            <v>SALES_TAIWAN</v>
          </cell>
        </row>
        <row r="171">
          <cell r="B171" t="str">
            <v>Sales - % Other Developed Asia</v>
          </cell>
          <cell r="C171" t="str">
            <v>SALES_OTH_DEV_ASIA</v>
          </cell>
        </row>
        <row r="172">
          <cell r="B172" t="str">
            <v>Sales - % China</v>
          </cell>
          <cell r="C172" t="str">
            <v>SALES_CHINA</v>
          </cell>
        </row>
        <row r="173">
          <cell r="B173" t="str">
            <v>Sales - % India</v>
          </cell>
          <cell r="C173" t="str">
            <v>SALES_INDIA</v>
          </cell>
        </row>
        <row r="174">
          <cell r="B174" t="str">
            <v>Sales - % Indonesia</v>
          </cell>
          <cell r="C174" t="str">
            <v>SALES_INDONESIA</v>
          </cell>
        </row>
        <row r="175">
          <cell r="B175" t="str">
            <v>Sales - % Thailand</v>
          </cell>
          <cell r="C175" t="str">
            <v>SALES_THAILAND</v>
          </cell>
        </row>
        <row r="176">
          <cell r="B176" t="str">
            <v>Sales - % Other Emerging Asia</v>
          </cell>
          <cell r="C176" t="str">
            <v>SALES_OTH_EMERG_ASIA</v>
          </cell>
        </row>
        <row r="177">
          <cell r="B177" t="str">
            <v>Sales - % Australia</v>
          </cell>
          <cell r="C177" t="str">
            <v>SALES_AUSTRA</v>
          </cell>
        </row>
        <row r="178">
          <cell r="B178" t="str">
            <v>Sales - % New Zealand</v>
          </cell>
          <cell r="C178" t="str">
            <v>SALES_NZ</v>
          </cell>
        </row>
        <row r="179">
          <cell r="B179" t="str">
            <v>Sales - % Others</v>
          </cell>
          <cell r="C179" t="str">
            <v>SALES_OTHER</v>
          </cell>
        </row>
        <row r="180">
          <cell r="B180" t="str">
            <v>% of CoGS from U.S. (GS estimate)</v>
          </cell>
          <cell r="C180" t="str">
            <v>COGS_PCT_US</v>
          </cell>
        </row>
        <row r="181">
          <cell r="B181" t="str">
            <v>% of CoGS from non-U.S. (GS estimate)</v>
          </cell>
          <cell r="C181" t="str">
            <v>COGS_PCT_ROW</v>
          </cell>
        </row>
        <row r="182">
          <cell r="B182" t="str">
            <v>% of SG&amp;A from U.S. (GS estimate)</v>
          </cell>
          <cell r="C182" t="str">
            <v>SGA_PCT_US</v>
          </cell>
        </row>
        <row r="183">
          <cell r="B183" t="str">
            <v>% of SG&amp;A from non-U.S. (GS estimate)</v>
          </cell>
          <cell r="C183" t="str">
            <v>SGA_PCT_ROW</v>
          </cell>
        </row>
        <row r="184">
          <cell r="B184" t="str">
            <v>Sales -% Consumer (C)</v>
          </cell>
          <cell r="C184" t="str">
            <v>SALES_CONS</v>
          </cell>
        </row>
        <row r="185">
          <cell r="B185" t="str">
            <v>Sales -% Industry (I)</v>
          </cell>
          <cell r="C185" t="str">
            <v>SALES_IND</v>
          </cell>
        </row>
        <row r="186">
          <cell r="B186" t="str">
            <v>Sales -% Government (G)</v>
          </cell>
          <cell r="C186" t="str">
            <v>SALES_GOV</v>
          </cell>
        </row>
        <row r="187">
          <cell r="B187" t="str">
            <v>Sales - % Industry Sub-Segment: Financial Services</v>
          </cell>
          <cell r="C187" t="str">
            <v>SALES_FINAN</v>
          </cell>
        </row>
        <row r="188">
          <cell r="B188" t="str">
            <v>Sales - % Industry Sub-Segment: Oil &amp; Gas</v>
          </cell>
          <cell r="C188" t="str">
            <v>SALES_OIL_GAS</v>
          </cell>
        </row>
        <row r="189">
          <cell r="A189" t="str">
            <v>Commodities Exposure - Sales</v>
          </cell>
        </row>
        <row r="190">
          <cell r="B190" t="str">
            <v>Sales - % Oil/Petrol/Fuel</v>
          </cell>
          <cell r="C190" t="str">
            <v>SALES_OIL_PETRO_FUEL</v>
          </cell>
        </row>
        <row r="191">
          <cell r="B191" t="str">
            <v>Sales - % Steel</v>
          </cell>
          <cell r="C191" t="str">
            <v>SALES_STEEL</v>
          </cell>
        </row>
        <row r="192">
          <cell r="B192" t="str">
            <v>Sales - % Paper/pulp</v>
          </cell>
          <cell r="C192" t="str">
            <v>SALES_PAPER_PULP</v>
          </cell>
        </row>
        <row r="193">
          <cell r="B193" t="str">
            <v>Sales - % Lumber</v>
          </cell>
          <cell r="C193" t="str">
            <v>SALES_LUMBER</v>
          </cell>
        </row>
        <row r="194">
          <cell r="B194" t="str">
            <v>Sales - % Glass</v>
          </cell>
          <cell r="C194" t="str">
            <v>SALES_GLASS</v>
          </cell>
        </row>
        <row r="195">
          <cell r="B195" t="str">
            <v>Sales - % Cement</v>
          </cell>
          <cell r="C195" t="str">
            <v>SALES_CEMENT</v>
          </cell>
        </row>
        <row r="196">
          <cell r="B196" t="str">
            <v>Sales - % Tobacco leaf</v>
          </cell>
          <cell r="C196" t="str">
            <v>SALES_TOBACCO_LEAF</v>
          </cell>
        </row>
        <row r="197">
          <cell r="B197" t="str">
            <v>Sales - % Other commodity</v>
          </cell>
          <cell r="C197" t="str">
            <v>SALES_OTH_COMMODITY</v>
          </cell>
        </row>
        <row r="198">
          <cell r="B198" t="str">
            <v>Sales - % Other (Non-Commodity) sales sources</v>
          </cell>
          <cell r="C198" t="str">
            <v>SALES_OTH_SALES_SOURCES</v>
          </cell>
        </row>
        <row r="199">
          <cell r="A199" t="str">
            <v>Commodities Exposure - Expense</v>
          </cell>
        </row>
        <row r="200">
          <cell r="B200" t="str">
            <v>Expense - % Oil/Petrol/Fuel</v>
          </cell>
          <cell r="C200" t="str">
            <v>EXP_OIL_PETRO_FUEL</v>
          </cell>
        </row>
        <row r="201">
          <cell r="B201" t="str">
            <v>Expense - % Oil derivatives/NGLs/plastics</v>
          </cell>
          <cell r="C201" t="str">
            <v>EXP_OIL_DERIV_NGLS_PLASTICS</v>
          </cell>
        </row>
        <row r="202">
          <cell r="B202" t="str">
            <v>Expense - % Gold</v>
          </cell>
          <cell r="C202" t="str">
            <v>EXP_GOLD</v>
          </cell>
        </row>
        <row r="203">
          <cell r="B203" t="str">
            <v>Expense - % Copper</v>
          </cell>
          <cell r="C203" t="str">
            <v>EXP_COPPER</v>
          </cell>
        </row>
        <row r="204">
          <cell r="B204" t="str">
            <v>Expense - % Silver</v>
          </cell>
          <cell r="C204" t="str">
            <v>EXP_SILVER</v>
          </cell>
        </row>
        <row r="205">
          <cell r="B205" t="str">
            <v>Expense - % Platinum</v>
          </cell>
          <cell r="C205" t="str">
            <v>EXP_PLATINUM</v>
          </cell>
        </row>
        <row r="206">
          <cell r="B206" t="str">
            <v>Expense - % Aluminium</v>
          </cell>
          <cell r="C206" t="str">
            <v>EXP_ALUMINIUM</v>
          </cell>
        </row>
        <row r="207">
          <cell r="B207" t="str">
            <v>Expense - % Diamonds</v>
          </cell>
          <cell r="C207" t="str">
            <v>EXP_DIAMONDS</v>
          </cell>
        </row>
        <row r="208">
          <cell r="B208" t="str">
            <v>Expense - % Paper/pulp</v>
          </cell>
          <cell r="C208" t="str">
            <v>EXP_PAPER_PULP</v>
          </cell>
        </row>
        <row r="209">
          <cell r="B209" t="str">
            <v>Expense - % Wheat</v>
          </cell>
          <cell r="C209" t="str">
            <v>EXP_WHEAT</v>
          </cell>
        </row>
        <row r="210">
          <cell r="B210" t="str">
            <v>Expense - % Sugar</v>
          </cell>
          <cell r="C210" t="str">
            <v>EXP_SUGAR</v>
          </cell>
        </row>
        <row r="211">
          <cell r="B211" t="str">
            <v>Expense - % Soybean</v>
          </cell>
          <cell r="C211" t="str">
            <v>EXP_SOYBEAN</v>
          </cell>
        </row>
        <row r="212">
          <cell r="B212" t="str">
            <v>Expense - % Corn</v>
          </cell>
          <cell r="C212" t="str">
            <v>EXP_CORN</v>
          </cell>
        </row>
        <row r="213">
          <cell r="B213" t="str">
            <v>Expense - % Cotton</v>
          </cell>
          <cell r="C213" t="str">
            <v>EXP_COTTON</v>
          </cell>
        </row>
        <row r="214">
          <cell r="B214" t="str">
            <v>Expense - % Coffee</v>
          </cell>
          <cell r="C214" t="str">
            <v>EXP_COFFEE</v>
          </cell>
        </row>
        <row r="215">
          <cell r="B215" t="str">
            <v>Expense - % Cocoa</v>
          </cell>
          <cell r="C215" t="str">
            <v>EXP_COCOA</v>
          </cell>
        </row>
        <row r="216">
          <cell r="B216" t="str">
            <v>Expense - % Beef</v>
          </cell>
          <cell r="C216" t="str">
            <v>EXP_BEEF</v>
          </cell>
        </row>
        <row r="217">
          <cell r="B217" t="str">
            <v>Expense - % Pork</v>
          </cell>
          <cell r="C217" t="str">
            <v>EXP_PORK</v>
          </cell>
        </row>
        <row r="218">
          <cell r="B218" t="str">
            <v>Expense - % Chicken</v>
          </cell>
          <cell r="C218" t="str">
            <v>EXP_CHICKEN</v>
          </cell>
        </row>
        <row r="219">
          <cell r="B219" t="str">
            <v>Expense - % Dairy</v>
          </cell>
          <cell r="C219" t="str">
            <v>EXP_DAIRY</v>
          </cell>
        </row>
        <row r="220">
          <cell r="B220" t="str">
            <v>Expense - % Nuts</v>
          </cell>
          <cell r="C220" t="str">
            <v>EXP_NUTS</v>
          </cell>
        </row>
        <row r="221">
          <cell r="B221" t="str">
            <v>Expense - % Palm oil</v>
          </cell>
          <cell r="C221" t="str">
            <v>EXP_PALM_OIL</v>
          </cell>
        </row>
        <row r="222">
          <cell r="B222" t="str">
            <v>Expense - % Tobacco leaf</v>
          </cell>
          <cell r="C222" t="str">
            <v>EXP_TOBACCO_LEAF</v>
          </cell>
        </row>
        <row r="223">
          <cell r="B223" t="str">
            <v>Expense - % Water</v>
          </cell>
          <cell r="C223" t="str">
            <v>EXP_WATER</v>
          </cell>
        </row>
        <row r="224">
          <cell r="B224" t="str">
            <v>Expense - % Other commodity</v>
          </cell>
          <cell r="C224" t="str">
            <v>EXP_OTH_COMMODITY</v>
          </cell>
        </row>
        <row r="225">
          <cell r="B225" t="str">
            <v>Expense - % Other (Non-Commodity) cost</v>
          </cell>
          <cell r="C225" t="str">
            <v>EXP_OTH_COST</v>
          </cell>
        </row>
        <row r="226">
          <cell r="A226" t="str">
            <v>FX Exposure - Sales</v>
          </cell>
        </row>
        <row r="227">
          <cell r="B227" t="str">
            <v>Sales - % FX: British Pounds/Pence</v>
          </cell>
          <cell r="C227" t="str">
            <v>SALES_FX_GPB</v>
          </cell>
        </row>
        <row r="228">
          <cell r="B228" t="str">
            <v>Sales - % FX: Euro</v>
          </cell>
          <cell r="C228" t="str">
            <v>SALES_FX_EUR</v>
          </cell>
        </row>
        <row r="229">
          <cell r="B229" t="str">
            <v>Sales - % FX: New Russian Ruble</v>
          </cell>
          <cell r="C229" t="str">
            <v>SALES_FX_RUB</v>
          </cell>
        </row>
        <row r="230">
          <cell r="B230" t="str">
            <v>Sales - % FX: U.S. Dollar</v>
          </cell>
          <cell r="C230" t="str">
            <v>SALES_FX_USD</v>
          </cell>
        </row>
        <row r="231">
          <cell r="B231" t="str">
            <v>Sales - % FX: Brazilian Real</v>
          </cell>
          <cell r="C231" t="str">
            <v>SALES_FX_BRL</v>
          </cell>
        </row>
        <row r="232">
          <cell r="B232" t="str">
            <v>Sales - % FX: Japanese Yen</v>
          </cell>
          <cell r="C232" t="str">
            <v>SALES_FX_YEN</v>
          </cell>
        </row>
        <row r="233">
          <cell r="B233" t="str">
            <v>Sales - % FX: Chinese Renminbi</v>
          </cell>
          <cell r="C233" t="str">
            <v>SALES_FX_CNY</v>
          </cell>
        </row>
        <row r="234">
          <cell r="B234" t="str">
            <v>Sales - % FX: Indian Rupee</v>
          </cell>
          <cell r="C234" t="str">
            <v>SALES_FX_INR</v>
          </cell>
        </row>
        <row r="235">
          <cell r="B235" t="str">
            <v>Sales - % FX: South African Rand</v>
          </cell>
          <cell r="C235" t="str">
            <v>SALES_FX_ZAR</v>
          </cell>
        </row>
        <row r="236">
          <cell r="B236" t="str">
            <v>Sales - % FX: Nigerian Naira</v>
          </cell>
          <cell r="C236" t="str">
            <v>SALES_FX_NGN</v>
          </cell>
        </row>
        <row r="237">
          <cell r="B237" t="str">
            <v>Sales - % FX: Swiss Franc</v>
          </cell>
          <cell r="C237" t="str">
            <v>SALES_FX_CHF</v>
          </cell>
        </row>
        <row r="238">
          <cell r="B238" t="str">
            <v>Sales - % FX: UAE Dirham</v>
          </cell>
          <cell r="C238" t="str">
            <v>SALES_FX_AED</v>
          </cell>
        </row>
        <row r="239">
          <cell r="B239" t="str">
            <v>Sales - % FX: New Turkish Lira</v>
          </cell>
          <cell r="C239" t="str">
            <v>SALES_FX_TRY</v>
          </cell>
        </row>
        <row r="240">
          <cell r="B240" t="str">
            <v>Sales - % FX: Other Currency</v>
          </cell>
          <cell r="C240" t="str">
            <v>SALES_FX_OTH</v>
          </cell>
        </row>
        <row r="241">
          <cell r="A241" t="str">
            <v>Items to be removed</v>
          </cell>
        </row>
        <row r="242">
          <cell r="B242" t="str">
            <v>Sales - Total % Americas</v>
          </cell>
          <cell r="C242" t="str">
            <v>SALES_TOT_AM</v>
          </cell>
        </row>
        <row r="243">
          <cell r="B243" t="str">
            <v>Sales - % Other Americas</v>
          </cell>
          <cell r="C243" t="str">
            <v>SALES_OTH_AM</v>
          </cell>
        </row>
        <row r="244">
          <cell r="B244" t="str">
            <v>Sales - Total % EMEA</v>
          </cell>
          <cell r="C244" t="str">
            <v>SALES_TOT_EMEA</v>
          </cell>
        </row>
        <row r="245">
          <cell r="B245" t="str">
            <v>Sales - % Western Europe-Ex UK</v>
          </cell>
          <cell r="C245" t="str">
            <v>SALES_EU_EX_UK</v>
          </cell>
        </row>
        <row r="246">
          <cell r="B246" t="str">
            <v>Sales - % Other Western Europe-Ex UK</v>
          </cell>
          <cell r="C246" t="str">
            <v>SALES_OTH_EU_EX_UK</v>
          </cell>
        </row>
        <row r="247">
          <cell r="B247" t="str">
            <v>Sales - % Central &amp; Eastern Europe</v>
          </cell>
          <cell r="C247" t="str">
            <v>SALES_CEE</v>
          </cell>
        </row>
        <row r="248">
          <cell r="B248" t="str">
            <v>Sales - % Middle East</v>
          </cell>
          <cell r="C248" t="str">
            <v>SALES_ME</v>
          </cell>
        </row>
        <row r="249">
          <cell r="B249" t="str">
            <v>Sales - % Total Africa</v>
          </cell>
          <cell r="C249" t="str">
            <v>SALES_TOT_AFRICA</v>
          </cell>
        </row>
        <row r="250">
          <cell r="B250" t="str">
            <v>Sales - % Other EMEA</v>
          </cell>
          <cell r="C250" t="str">
            <v>SALES_OTH_EMEA</v>
          </cell>
        </row>
        <row r="251">
          <cell r="B251" t="str">
            <v>Sales - Total % Asia (incl Australia &amp; New Zealand)</v>
          </cell>
          <cell r="C251" t="str">
            <v>SALES_TOT_ASIA</v>
          </cell>
        </row>
        <row r="252">
          <cell r="B252" t="str">
            <v>Sales - % Other Asia</v>
          </cell>
          <cell r="C252" t="str">
            <v>SALES_OTH_AEJ</v>
          </cell>
        </row>
        <row r="253">
          <cell r="B253" t="str">
            <v>Indirect Sales - % Brazil</v>
          </cell>
          <cell r="C253" t="str">
            <v>IND_SALES_BRAZIL</v>
          </cell>
        </row>
        <row r="254">
          <cell r="B254" t="str">
            <v>Indirect Sales - % United States</v>
          </cell>
          <cell r="C254" t="str">
            <v>IND_SALES_US</v>
          </cell>
        </row>
        <row r="255">
          <cell r="B255" t="str">
            <v>Indirect Sales - % Other Americas</v>
          </cell>
          <cell r="C255" t="str">
            <v>IND_SALES_OTH_AM</v>
          </cell>
        </row>
        <row r="256">
          <cell r="B256" t="str">
            <v>Indirect Sales - Total % Americas</v>
          </cell>
          <cell r="C256" t="str">
            <v>IND_SALES_TOT_AM</v>
          </cell>
        </row>
        <row r="257">
          <cell r="B257" t="str">
            <v>Indirect Sales - % France</v>
          </cell>
          <cell r="C257" t="str">
            <v>IND_SALES_FRA</v>
          </cell>
        </row>
        <row r="258">
          <cell r="B258" t="str">
            <v>Indirect Sales - % Germany</v>
          </cell>
          <cell r="C258" t="str">
            <v>IND_SALES_GER</v>
          </cell>
        </row>
        <row r="259">
          <cell r="B259" t="str">
            <v>Indirect Sales - % Italy</v>
          </cell>
          <cell r="C259" t="str">
            <v>IND_SALES_ITA</v>
          </cell>
        </row>
        <row r="260">
          <cell r="B260" t="str">
            <v>Indirect Sales - % Spain</v>
          </cell>
          <cell r="C260" t="str">
            <v>IND_SALES_SPA</v>
          </cell>
        </row>
        <row r="261">
          <cell r="B261" t="str">
            <v>Indirect Sales - % UK</v>
          </cell>
          <cell r="C261" t="str">
            <v>IND_SALES_UK</v>
          </cell>
        </row>
        <row r="262">
          <cell r="B262" t="str">
            <v>Indirect Sales - % Western Europe-Ex UK</v>
          </cell>
          <cell r="C262" t="str">
            <v>IND_SALES_EU_EX_UK</v>
          </cell>
        </row>
        <row r="263">
          <cell r="B263" t="str">
            <v>Indirect Sales - % Other Western Europe-Ex UK</v>
          </cell>
          <cell r="C263" t="str">
            <v>IND_SALES_OTH_EU_EX_UK</v>
          </cell>
        </row>
        <row r="264">
          <cell r="B264" t="str">
            <v>Indirect Sales - % Russia</v>
          </cell>
          <cell r="C264" t="str">
            <v>IND_SALES_RUSSIA</v>
          </cell>
        </row>
        <row r="265">
          <cell r="B265" t="str">
            <v>Indirect Sales - % Central &amp; Eastern Europe</v>
          </cell>
          <cell r="C265" t="str">
            <v>IND_SALES_CEE</v>
          </cell>
        </row>
        <row r="266">
          <cell r="B266" t="str">
            <v>Indirect Sales - % Other EMEA</v>
          </cell>
          <cell r="C266" t="str">
            <v>IND_SALES_OTH_EMEA</v>
          </cell>
        </row>
        <row r="267">
          <cell r="B267" t="str">
            <v>Indirect Sales - Total % EMEA</v>
          </cell>
          <cell r="C267" t="str">
            <v>IND_SALES_TOT_EMEA</v>
          </cell>
        </row>
        <row r="268">
          <cell r="B268" t="str">
            <v>Indirect Sales - % Middle East</v>
          </cell>
          <cell r="C268" t="str">
            <v>IND_SALES_ME</v>
          </cell>
        </row>
        <row r="269">
          <cell r="B269" t="str">
            <v>Indirect sales - % Nigeria</v>
          </cell>
          <cell r="C269" t="str">
            <v>IND_SALES_NIGERIA</v>
          </cell>
        </row>
        <row r="270">
          <cell r="B270" t="str">
            <v>Indirect sales - % South Africa</v>
          </cell>
          <cell r="C270" t="str">
            <v>IND_SALES_SO_AFRICA</v>
          </cell>
        </row>
        <row r="271">
          <cell r="B271" t="str">
            <v>Indirect sales - % Other Africa</v>
          </cell>
          <cell r="C271" t="str">
            <v>IND_SALES_OTH_AFRICA</v>
          </cell>
        </row>
        <row r="272">
          <cell r="B272" t="str">
            <v>Indirect sales - % Total Africa</v>
          </cell>
          <cell r="C272" t="str">
            <v>IND_SALES_TOT_AFRICA</v>
          </cell>
        </row>
        <row r="273">
          <cell r="B273" t="str">
            <v>Indirect Sales - % China</v>
          </cell>
          <cell r="C273" t="str">
            <v>IND_SALES_CHINA</v>
          </cell>
        </row>
        <row r="274">
          <cell r="B274" t="str">
            <v>Indirect Sales - % India</v>
          </cell>
          <cell r="C274" t="str">
            <v>IND_SALES_INDIA</v>
          </cell>
        </row>
        <row r="275">
          <cell r="B275" t="str">
            <v>Indirect Sales - % Japan</v>
          </cell>
          <cell r="C275" t="str">
            <v>IND_SALES_JAPAN</v>
          </cell>
        </row>
        <row r="276">
          <cell r="B276" t="str">
            <v>Indirect Sales - % Other Asia</v>
          </cell>
          <cell r="C276" t="str">
            <v>IND_SALES_OTH_AEJ</v>
          </cell>
        </row>
        <row r="277">
          <cell r="B277" t="str">
            <v>Indirect Sales - Total % Asia (incl Australia &amp; New Zealand)</v>
          </cell>
          <cell r="C277" t="str">
            <v>IND_SALES_TOT_ASIA</v>
          </cell>
        </row>
        <row r="278">
          <cell r="B278" t="str">
            <v>Indirect Sales - % Others</v>
          </cell>
          <cell r="C278" t="str">
            <v>IND_SALES_OTHER</v>
          </cell>
        </row>
        <row r="279">
          <cell r="B279" t="str">
            <v>Indirect Sales -% Consumer (C)</v>
          </cell>
          <cell r="C279" t="str">
            <v>IND_SALES_CONS</v>
          </cell>
        </row>
        <row r="280">
          <cell r="B280" t="str">
            <v>Indirect Sales -% Industry (I)</v>
          </cell>
          <cell r="C280" t="str">
            <v>IND_SALES_IND</v>
          </cell>
        </row>
        <row r="281">
          <cell r="B281" t="str">
            <v>Indirect Sales -% Government (G)</v>
          </cell>
          <cell r="C281" t="str">
            <v>IND_SALES_GOV</v>
          </cell>
        </row>
        <row r="282">
          <cell r="B282" t="str">
            <v>Indirect Sales -% Industry Sub-Segment: Financial Services</v>
          </cell>
          <cell r="C282" t="str">
            <v>IND_SALES_FINAN</v>
          </cell>
        </row>
        <row r="283">
          <cell r="A283" t="str">
            <v>Analyst Defined Items</v>
          </cell>
        </row>
        <row r="284">
          <cell r="B284" t="str">
            <v>Currency Neutral Sales Growth</v>
          </cell>
          <cell r="C284" t="str">
            <v>RETAIL_CN_PCT_CHG</v>
          </cell>
        </row>
        <row r="285">
          <cell r="A285" t="str">
            <v>Security: ABOUT YOU Holding</v>
          </cell>
        </row>
        <row r="286">
          <cell r="A286" t="str">
            <v>Reference Data</v>
          </cell>
        </row>
        <row r="287">
          <cell r="B287" t="str">
            <v>Ticker</v>
          </cell>
          <cell r="C287" t="str">
            <v>Ticker</v>
          </cell>
          <cell r="E287" t="str">
            <v>YOUG.DE</v>
          </cell>
        </row>
        <row r="288">
          <cell r="B288" t="str">
            <v>Security Name</v>
          </cell>
          <cell r="C288" t="str">
            <v>Security Name</v>
          </cell>
          <cell r="E288" t="str">
            <v>ABOUT YOU Holding</v>
          </cell>
        </row>
        <row r="289">
          <cell r="B289" t="str">
            <v>Interim Type</v>
          </cell>
          <cell r="C289" t="str">
            <v>Interim Type</v>
          </cell>
          <cell r="E289" t="str">
            <v>Q</v>
          </cell>
        </row>
        <row r="290">
          <cell r="B290" t="str">
            <v>Publishing Currency</v>
          </cell>
          <cell r="C290" t="str">
            <v>PUB_CURRENCY_ISO</v>
          </cell>
        </row>
        <row r="291">
          <cell r="B291" t="str">
            <v>Pricing Currency</v>
          </cell>
          <cell r="C291" t="str">
            <v>PRICE_CURRENCY_ISO</v>
          </cell>
        </row>
        <row r="292">
          <cell r="B292" t="str">
            <v>Reporting Currency</v>
          </cell>
          <cell r="C292" t="str">
            <v>CURRENCY_ISO</v>
          </cell>
        </row>
        <row r="293">
          <cell r="A293" t="str">
            <v>General Information</v>
          </cell>
        </row>
        <row r="294">
          <cell r="B294" t="str">
            <v>Pan Europe Investment List</v>
          </cell>
          <cell r="C294" t="str">
            <v>EURO_LIST</v>
          </cell>
        </row>
        <row r="295">
          <cell r="B295" t="str">
            <v>Pan Europe Conviction List</v>
          </cell>
          <cell r="C295" t="str">
            <v>EURO_CONVICTION</v>
          </cell>
        </row>
        <row r="296">
          <cell r="B296" t="str">
            <v>Legal rating</v>
          </cell>
          <cell r="C296" t="str">
            <v>LEGAL_RATING</v>
          </cell>
        </row>
        <row r="297">
          <cell r="B297" t="str">
            <v>Target price</v>
          </cell>
          <cell r="C297" t="str">
            <v>TARGET_PRICE</v>
          </cell>
          <cell r="D297">
            <v>0</v>
          </cell>
        </row>
        <row r="298">
          <cell r="B298" t="str">
            <v>Target price period</v>
          </cell>
          <cell r="C298" t="str">
            <v>TP_PERIOD</v>
          </cell>
        </row>
        <row r="299">
          <cell r="B299" t="str">
            <v>Fundamental value</v>
          </cell>
          <cell r="C299" t="str">
            <v>TARGET_PRICE_FUNDAMENTAL</v>
          </cell>
          <cell r="D299">
            <v>0</v>
          </cell>
        </row>
        <row r="300">
          <cell r="B300" t="str">
            <v>M&amp;A value</v>
          </cell>
          <cell r="C300" t="str">
            <v>TARGET_PRICE_MA</v>
          </cell>
          <cell r="D300">
            <v>0</v>
          </cell>
        </row>
        <row r="301">
          <cell r="B301" t="str">
            <v>Current shares outstanding (mn)</v>
          </cell>
          <cell r="C301" t="str">
            <v>NUM_SH</v>
          </cell>
        </row>
        <row r="302">
          <cell r="B302" t="str">
            <v>Free float</v>
          </cell>
          <cell r="C302" t="str">
            <v>FREE_FLOAT</v>
          </cell>
        </row>
        <row r="303">
          <cell r="A303" t="str">
            <v>Publishing Items</v>
          </cell>
        </row>
        <row r="304">
          <cell r="B304" t="str">
            <v>Book value per share, BVPS (Pub)</v>
          </cell>
          <cell r="C304" t="str">
            <v>BVPS_PUB</v>
          </cell>
          <cell r="D304">
            <v>0</v>
          </cell>
        </row>
        <row r="305">
          <cell r="B305" t="str">
            <v>DPS, dividend per share (Pub)</v>
          </cell>
          <cell r="C305" t="str">
            <v>DPS_PUB</v>
          </cell>
          <cell r="D305">
            <v>0</v>
          </cell>
        </row>
        <row r="306">
          <cell r="B306" t="str">
            <v>Special dividend per share</v>
          </cell>
          <cell r="C306" t="str">
            <v>DPS_SPECIAL_PUB</v>
          </cell>
          <cell r="D306">
            <v>0</v>
          </cell>
        </row>
        <row r="307">
          <cell r="B307" t="str">
            <v>EBITDA (Pub)</v>
          </cell>
          <cell r="C307" t="str">
            <v>EBITDA_PUB</v>
          </cell>
          <cell r="D307">
            <v>0</v>
          </cell>
        </row>
        <row r="308">
          <cell r="B308" t="str">
            <v>EPS (Pub)</v>
          </cell>
          <cell r="C308" t="str">
            <v>EPS_PUB</v>
          </cell>
          <cell r="D308">
            <v>0</v>
          </cell>
        </row>
        <row r="309">
          <cell r="B309" t="str">
            <v>EV adjustment (Pub)</v>
          </cell>
          <cell r="C309" t="str">
            <v>EV_ADJ_PUB</v>
          </cell>
          <cell r="D309">
            <v>0</v>
          </cell>
        </row>
        <row r="310">
          <cell r="B310" t="str">
            <v>Net debt (Pub)</v>
          </cell>
          <cell r="C310" t="str">
            <v>NET_DEBT_PUB</v>
          </cell>
          <cell r="D310">
            <v>0</v>
          </cell>
        </row>
        <row r="311">
          <cell r="B311" t="str">
            <v>Net Debt (ex leases) (Pub)</v>
          </cell>
          <cell r="C311" t="str">
            <v>NET_DEBT_EX_LEASES_PUB</v>
          </cell>
          <cell r="D311">
            <v>0</v>
          </cell>
        </row>
        <row r="312">
          <cell r="B312" t="str">
            <v>Consensus equivalent net debt</v>
          </cell>
          <cell r="C312" t="str">
            <v>CEEE_NDEBT</v>
          </cell>
          <cell r="D312">
            <v>0</v>
          </cell>
        </row>
        <row r="313">
          <cell r="B313" t="str">
            <v>Net income (Pub)</v>
          </cell>
          <cell r="C313" t="str">
            <v>NI_PUB</v>
          </cell>
          <cell r="D313">
            <v>0</v>
          </cell>
        </row>
        <row r="314">
          <cell r="B314" t="str">
            <v>EBIT, operating profit (Pub)</v>
          </cell>
          <cell r="C314" t="str">
            <v>EBIT_PUB</v>
          </cell>
          <cell r="D314">
            <v>0</v>
          </cell>
        </row>
        <row r="315">
          <cell r="B315" t="str">
            <v>Pre-tax profit (Pub)</v>
          </cell>
          <cell r="C315" t="str">
            <v>PTP_PUB</v>
          </cell>
          <cell r="D315">
            <v>0</v>
          </cell>
        </row>
        <row r="316">
          <cell r="B316" t="str">
            <v>Sales, revenue (Pub)</v>
          </cell>
          <cell r="C316" t="str">
            <v>REVS_PUB</v>
          </cell>
          <cell r="D316">
            <v>0</v>
          </cell>
        </row>
        <row r="317">
          <cell r="B317" t="str">
            <v>Total shareholders' equity (Pub)</v>
          </cell>
          <cell r="C317" t="str">
            <v>EQ_PUB</v>
          </cell>
          <cell r="D317">
            <v>0</v>
          </cell>
        </row>
        <row r="318">
          <cell r="A318" t="str">
            <v>Income Statement</v>
          </cell>
        </row>
        <row r="319">
          <cell r="B319" t="str">
            <v>Provision for income tax</v>
          </cell>
          <cell r="C319" t="str">
            <v>PROV_INC_TAX</v>
          </cell>
          <cell r="D319">
            <v>0</v>
          </cell>
        </row>
        <row r="320">
          <cell r="B320" t="str">
            <v>Minority interest</v>
          </cell>
          <cell r="C320" t="str">
            <v>INC_MINORITY</v>
          </cell>
          <cell r="D320">
            <v>0</v>
          </cell>
        </row>
        <row r="321">
          <cell r="B321" t="str">
            <v>Net income (pre-preferred dividends)</v>
          </cell>
          <cell r="C321" t="str">
            <v>NI_PRE_PREF</v>
          </cell>
          <cell r="D321">
            <v>0</v>
          </cell>
        </row>
        <row r="322">
          <cell r="B322" t="str">
            <v>Preferred dividends</v>
          </cell>
          <cell r="C322" t="str">
            <v>PREF_DIV</v>
          </cell>
          <cell r="D322">
            <v>0</v>
          </cell>
        </row>
        <row r="323">
          <cell r="B323" t="str">
            <v>Net income (pre-exceptionals)</v>
          </cell>
          <cell r="C323" t="str">
            <v>NET_EARNING</v>
          </cell>
          <cell r="D323">
            <v>0</v>
          </cell>
        </row>
        <row r="324">
          <cell r="B324" t="str">
            <v>Post-tax exceptionals</v>
          </cell>
          <cell r="C324" t="str">
            <v>TAX_EXC</v>
          </cell>
          <cell r="D324">
            <v>0</v>
          </cell>
        </row>
        <row r="325">
          <cell r="B325" t="str">
            <v>Net income (post-exceptionals)</v>
          </cell>
          <cell r="C325" t="str">
            <v>NET_INC</v>
          </cell>
          <cell r="D325">
            <v>0</v>
          </cell>
        </row>
        <row r="326">
          <cell r="B326" t="str">
            <v>EPS (pre-exceptionals, basic)</v>
          </cell>
          <cell r="C326" t="str">
            <v>EPS</v>
          </cell>
          <cell r="D326">
            <v>0</v>
          </cell>
        </row>
        <row r="327">
          <cell r="B327" t="str">
            <v>EPS (pre-exceptionals, diluted)</v>
          </cell>
          <cell r="C327" t="str">
            <v>EPS_FUL_DIL</v>
          </cell>
          <cell r="D327">
            <v>0</v>
          </cell>
        </row>
        <row r="328">
          <cell r="B328" t="str">
            <v>EPS (post-exceptionals, basic)</v>
          </cell>
          <cell r="C328" t="str">
            <v>EPS_POST_BASIC</v>
          </cell>
          <cell r="D328">
            <v>0</v>
          </cell>
        </row>
        <row r="329">
          <cell r="B329" t="str">
            <v>EPS (post-exceptionals, diluted)</v>
          </cell>
          <cell r="C329" t="str">
            <v>FULLY_DIL_EPS</v>
          </cell>
          <cell r="D329">
            <v>0</v>
          </cell>
        </row>
        <row r="330">
          <cell r="B330" t="str">
            <v>Common dividends paid</v>
          </cell>
          <cell r="C330" t="str">
            <v>COMMON_DIV_PAID</v>
          </cell>
          <cell r="D330">
            <v>0</v>
          </cell>
        </row>
        <row r="331">
          <cell r="B331" t="str">
            <v>DPS, dividend per share</v>
          </cell>
          <cell r="C331" t="str">
            <v>DPS</v>
          </cell>
          <cell r="D331">
            <v>0</v>
          </cell>
        </row>
        <row r="332">
          <cell r="B332" t="str">
            <v>Weighted average shares outstanding, basic</v>
          </cell>
          <cell r="C332" t="str">
            <v>SH</v>
          </cell>
        </row>
        <row r="333">
          <cell r="B333" t="str">
            <v>Diluted average shares outstanding (mn)</v>
          </cell>
          <cell r="C333" t="str">
            <v>DILUTE_SHARES</v>
          </cell>
        </row>
        <row r="334">
          <cell r="B334" t="str">
            <v>Period-end shares outstanding</v>
          </cell>
          <cell r="C334" t="str">
            <v>NON_OP_ADD</v>
          </cell>
        </row>
        <row r="335">
          <cell r="A335" t="str">
            <v>Additional Income Statement Items</v>
          </cell>
        </row>
        <row r="336">
          <cell r="B336" t="str">
            <v>Organic net income (excl. acquisitions)</v>
          </cell>
          <cell r="C336" t="str">
            <v>ORG_NI</v>
          </cell>
          <cell r="D336">
            <v>0</v>
          </cell>
        </row>
        <row r="337">
          <cell r="B337" t="str">
            <v>Organic EPS (excl. acquisitions)</v>
          </cell>
          <cell r="C337" t="str">
            <v>ORG_EPS</v>
          </cell>
          <cell r="D337">
            <v>0</v>
          </cell>
        </row>
        <row r="338">
          <cell r="B338" t="str">
            <v>Marginal tax rate</v>
          </cell>
          <cell r="C338" t="str">
            <v>MARGIN_TAX_RATE</v>
          </cell>
        </row>
        <row r="339">
          <cell r="A339" t="str">
            <v>Balance Sheet</v>
          </cell>
        </row>
        <row r="340">
          <cell r="B340" t="str">
            <v>BVPS, book value per share</v>
          </cell>
          <cell r="C340" t="str">
            <v>BVPS</v>
          </cell>
          <cell r="D340">
            <v>0</v>
          </cell>
        </row>
        <row r="341">
          <cell r="A341" t="str">
            <v>Cash Flow Statement</v>
          </cell>
        </row>
        <row r="342">
          <cell r="B342" t="str">
            <v>Net income (pre-preferred dividends)</v>
          </cell>
          <cell r="C342" t="str">
            <v>CF_NI_PRE_PREF</v>
          </cell>
          <cell r="D342">
            <v>0</v>
          </cell>
        </row>
        <row r="343">
          <cell r="A343" t="str">
            <v>Other Items</v>
          </cell>
        </row>
        <row r="344">
          <cell r="B344" t="str">
            <v>Beta</v>
          </cell>
          <cell r="C344" t="str">
            <v>BETA_ANALYST</v>
          </cell>
        </row>
        <row r="345">
          <cell r="B345" t="str">
            <v>Market equity risk premium</v>
          </cell>
          <cell r="C345" t="str">
            <v>MKT_EQ_RISK_PREM</v>
          </cell>
        </row>
        <row r="346">
          <cell r="B346" t="str">
            <v>Risk-free rate</v>
          </cell>
          <cell r="C346" t="str">
            <v>RISK_FR_RATE</v>
          </cell>
        </row>
      </sheetData>
      <sheetData sheetId="1">
        <row r="1">
          <cell r="A1" t="str">
            <v>cc92c894-0ede-4751-9667-fbab0854abc4</v>
          </cell>
        </row>
        <row r="2">
          <cell r="A2" t="str">
            <v>X:\GENERAL RETAIL\Europe Retail\Companies_Europe\ABOUT YOU\[ABOUT YOU_model WIP.xlsx]YOUG.DE_Validation_Sheet</v>
          </cell>
        </row>
        <row r="3">
          <cell r="A3" t="str">
            <v>Not enabled</v>
          </cell>
        </row>
        <row r="7">
          <cell r="A7" t="str">
            <v>Scalar|||208020706|||ISSR|||CURRENCY_ISO|||False|||</v>
          </cell>
          <cell r="C7" t="str">
            <v>V_KEYWORD_ISSR_208020706_CURRENCY_ISO</v>
          </cell>
          <cell r="E7" t="str">
            <v>ERROR</v>
          </cell>
        </row>
        <row r="9">
          <cell r="A9" t="str">
            <v>Scalar|||208020706|||ISSR|||MA_PROB|||False|||</v>
          </cell>
          <cell r="C9" t="str">
            <v>V_KEYWORD_ISSR_208020706_MA_PROB</v>
          </cell>
          <cell r="E9" t="str">
            <v>ERROR</v>
          </cell>
        </row>
        <row r="11">
          <cell r="A11" t="str">
            <v>Vector|||208020706|||ISSR|||SALES|||False|||</v>
          </cell>
          <cell r="C11" t="str">
            <v>V_KEYWORD_ISSR_208020706_SALES</v>
          </cell>
        </row>
        <row r="12">
          <cell r="A12" t="str">
            <v>Vector|||208020706|||ISSR|||COST_GD_SD|||False|||</v>
          </cell>
          <cell r="C12" t="str">
            <v>V_KEYWORD_ISSR_208020706_COST_GD_SD</v>
          </cell>
        </row>
        <row r="13">
          <cell r="A13" t="str">
            <v>Vector|||208020706|||ISSR|||SEL_GL_AD|||False|||</v>
          </cell>
          <cell r="C13" t="str">
            <v>V_KEYWORD_ISSR_208020706_SEL_GL_AD</v>
          </cell>
        </row>
        <row r="14">
          <cell r="A14" t="str">
            <v>Vector|||208020706|||ISSR|||OP_COST|||False|||</v>
          </cell>
          <cell r="C14" t="str">
            <v>V_KEYWORD_ISSR_208020706_OP_COST</v>
          </cell>
        </row>
        <row r="15">
          <cell r="A15" t="str">
            <v>Vector|||208020706|||ISSR|||RD_EXP|||False|||</v>
          </cell>
          <cell r="C15" t="str">
            <v>V_KEYWORD_ISSR_208020706_RD_EXP</v>
          </cell>
        </row>
        <row r="16">
          <cell r="A16" t="str">
            <v>Vector|||208020706|||ISSR|||OTH_OP_INC_EXP|||False|||</v>
          </cell>
          <cell r="C16" t="str">
            <v>V_KEYWORD_ISSR_208020706_OTH_OP_INC_EXP</v>
          </cell>
        </row>
        <row r="17">
          <cell r="A17" t="str">
            <v>Vector|||208020706|||ISSR|||TOT_OPS_EXP_DDA|||False|||</v>
          </cell>
          <cell r="C17" t="str">
            <v>V_KEYWORD_ISSR_208020706_TOT_OPS_EXP_DDA</v>
          </cell>
        </row>
        <row r="18">
          <cell r="A18" t="str">
            <v>Vector|||208020706|||ISSR|||TOT_OPS_EXP|||False|||</v>
          </cell>
          <cell r="C18" t="str">
            <v>V_KEYWORD_ISSR_208020706_TOT_OPS_EXP</v>
          </cell>
        </row>
        <row r="19">
          <cell r="A19" t="str">
            <v>Vector|||208020706|||ISSR|||EBITDA_CALC|||False|||</v>
          </cell>
          <cell r="C19" t="str">
            <v>V_KEYWORD_ISSR_208020706_EBITDA_CALC</v>
          </cell>
        </row>
        <row r="20">
          <cell r="A20" t="str">
            <v>Vector|||208020706|||ISSR|||DEPREC|||False|||</v>
          </cell>
          <cell r="C20" t="str">
            <v>V_KEYWORD_ISSR_208020706_DEPREC</v>
          </cell>
        </row>
        <row r="21">
          <cell r="A21" t="str">
            <v>Vector|||208020706|||ISSR|||GOODWILL_AMORT|||False|||</v>
          </cell>
          <cell r="C21" t="str">
            <v>V_KEYWORD_ISSR_208020706_GOODWILL_AMORT</v>
          </cell>
        </row>
        <row r="22">
          <cell r="A22" t="str">
            <v>Vector|||208020706|||ISSR|||EBIT|||False|||</v>
          </cell>
          <cell r="C22" t="str">
            <v>V_KEYWORD_ISSR_208020706_EBIT</v>
          </cell>
        </row>
        <row r="23">
          <cell r="A23" t="str">
            <v>Vector|||208020706|||ISSR|||INT_INC_IND|||False|||</v>
          </cell>
          <cell r="C23" t="str">
            <v>V_KEYWORD_ISSR_208020706_INT_INC_IND</v>
          </cell>
        </row>
        <row r="24">
          <cell r="A24" t="str">
            <v>Vector|||208020706|||ISSR|||INT_EXP_IND|||False|||</v>
          </cell>
          <cell r="C24" t="str">
            <v>V_KEYWORD_ISSR_208020706_INT_EXP_IND</v>
          </cell>
        </row>
        <row r="25">
          <cell r="A25" t="str">
            <v>Vector|||208020706|||ISSR|||NET_INT_EXP|||False|||</v>
          </cell>
          <cell r="C25" t="str">
            <v>V_KEYWORD_ISSR_208020706_NET_INT_EXP</v>
          </cell>
        </row>
        <row r="26">
          <cell r="A26" t="str">
            <v>Vector|||208020706|||ISSR|||ASSOCIATE|||False|||</v>
          </cell>
          <cell r="C26" t="str">
            <v>V_KEYWORD_ISSR_208020706_ASSOCIATE</v>
          </cell>
        </row>
        <row r="27">
          <cell r="A27" t="str">
            <v>Vector|||208020706|||ISSR|||PROFIT_ON_DISP|||False|||</v>
          </cell>
          <cell r="C27" t="str">
            <v>V_KEYWORD_ISSR_208020706_PROFIT_ON_DISP</v>
          </cell>
        </row>
        <row r="28">
          <cell r="A28" t="str">
            <v>Vector|||208020706|||ISSR|||OTH_COST_INC|||False|||</v>
          </cell>
          <cell r="C28" t="str">
            <v>V_KEYWORD_ISSR_208020706_OTH_COST_INC</v>
          </cell>
        </row>
        <row r="29">
          <cell r="A29" t="str">
            <v>Vector|||208020706|||ISSR|||PT_PROF|||False|||</v>
          </cell>
          <cell r="C29" t="str">
            <v>V_KEYWORD_ISSR_208020706_PT_PROF</v>
          </cell>
        </row>
        <row r="31">
          <cell r="A31" t="str">
            <v>Vector|||208020706|||ISSR|||ORG_REV|||False|||</v>
          </cell>
          <cell r="C31" t="str">
            <v>V_KEYWORD_ISSR_208020706_ORG_REV</v>
          </cell>
        </row>
        <row r="32">
          <cell r="A32" t="str">
            <v>Vector|||208020706|||ISSR|||ORG_REV_GRTH|||False|||</v>
          </cell>
          <cell r="C32" t="str">
            <v>V_KEYWORD_ISSR_208020706_ORG_REV_GRTH</v>
          </cell>
        </row>
        <row r="33">
          <cell r="A33" t="str">
            <v>Vector|||208020706|||ISSR|||LEASE_PAY|||False|||</v>
          </cell>
          <cell r="C33" t="str">
            <v>V_KEYWORD_ISSR_208020706_LEASE_PAY</v>
          </cell>
        </row>
        <row r="34">
          <cell r="A34" t="str">
            <v>Vector|||208020706|||ISSR|||LEASE_DEEM_INT|||False|||</v>
          </cell>
          <cell r="C34" t="str">
            <v>V_KEYWORD_ISSR_208020706_LEASE_DEEM_INT</v>
          </cell>
        </row>
        <row r="35">
          <cell r="A35" t="str">
            <v>Vector|||208020706|||ISSR|||LEASE_DEEM_DEPR|||False|||</v>
          </cell>
          <cell r="C35" t="str">
            <v>V_KEYWORD_ISSR_208020706_LEASE_DEEM_DEPR</v>
          </cell>
        </row>
        <row r="36">
          <cell r="A36" t="str">
            <v>Vector|||208020706|||ISSR|||NET_INT_CH|||False|||</v>
          </cell>
          <cell r="C36" t="str">
            <v>V_KEYWORD_ISSR_208020706_NET_INT_CH</v>
          </cell>
        </row>
        <row r="37">
          <cell r="A37" t="str">
            <v>Vector|||208020706|||ISSR|||ASSOCIATE_OP|||False|||</v>
          </cell>
          <cell r="C37" t="str">
            <v>V_KEYWORD_ISSR_208020706_ASSOCIATE_OP</v>
          </cell>
        </row>
        <row r="38">
          <cell r="A38" t="str">
            <v>Vector|||208020706|||ISSR|||GW_AMORT|||False|||</v>
          </cell>
          <cell r="C38" t="str">
            <v>V_KEYWORD_ISSR_208020706_GW_AMORT</v>
          </cell>
        </row>
        <row r="39">
          <cell r="A39" t="str">
            <v>Vector|||208020706|||ISSR|||OTH_INT_AMORT|||False|||</v>
          </cell>
          <cell r="C39" t="str">
            <v>V_KEYWORD_ISSR_208020706_OTH_INT_AMORT</v>
          </cell>
        </row>
        <row r="40">
          <cell r="A40" t="str">
            <v>Vector|||208020706|||ISSR|||DEPR_ROU_ASSETS|||False|||</v>
          </cell>
          <cell r="C40" t="str">
            <v>V_KEYWORD_ISSR_208020706_DEPR_ROU_ASSETS</v>
          </cell>
        </row>
        <row r="41">
          <cell r="A41" t="str">
            <v>Vector|||208020706|||ISSR|||LEASE_INT_CHG|||False|||</v>
          </cell>
          <cell r="C41" t="str">
            <v>V_KEYWORD_ISSR_208020706_LEASE_INT_CHG</v>
          </cell>
        </row>
        <row r="42">
          <cell r="A42" t="str">
            <v>Scalar|||208020706|||ISSR|||LEASE_ADOPT|||False|||</v>
          </cell>
          <cell r="C42" t="str">
            <v>V_KEYWORD_ISSR_208020706_LEASE_ADOPT</v>
          </cell>
        </row>
        <row r="44">
          <cell r="A44" t="str">
            <v>Vector|||208020706|||ISSR|||CASH_EQ|||False|||</v>
          </cell>
          <cell r="C44" t="str">
            <v>V_KEYWORD_ISSR_208020706_CASH_EQ</v>
          </cell>
        </row>
        <row r="45">
          <cell r="A45" t="str">
            <v>Vector|||208020706|||ISSR|||DEBTORS|||False|||</v>
          </cell>
          <cell r="C45" t="str">
            <v>V_KEYWORD_ISSR_208020706_DEBTORS</v>
          </cell>
        </row>
        <row r="46">
          <cell r="A46" t="str">
            <v>Vector|||208020706|||ISSR|||STOCKS|||False|||</v>
          </cell>
          <cell r="C46" t="str">
            <v>V_KEYWORD_ISSR_208020706_STOCKS</v>
          </cell>
        </row>
        <row r="47">
          <cell r="A47" t="str">
            <v>Vector|||208020706|||ISSR|||OTH_CUR_ASS|||False|||</v>
          </cell>
          <cell r="C47" t="str">
            <v>V_KEYWORD_ISSR_208020706_OTH_CUR_ASS</v>
          </cell>
        </row>
        <row r="48">
          <cell r="A48" t="str">
            <v>Vector|||208020706|||ISSR|||CUR_ASS|||False|||</v>
          </cell>
          <cell r="C48" t="str">
            <v>V_KEYWORD_ISSR_208020706_CUR_ASS</v>
          </cell>
        </row>
        <row r="49">
          <cell r="A49" t="str">
            <v>Vector|||208020706|||ISSR|||GR_FIX_ASS|||False|||</v>
          </cell>
          <cell r="C49" t="str">
            <v>V_KEYWORD_ISSR_208020706_GR_FIX_ASS</v>
          </cell>
        </row>
        <row r="50">
          <cell r="A50" t="str">
            <v>Vector|||208020706|||ISSR|||ACC_DDA|||False|||</v>
          </cell>
          <cell r="C50" t="str">
            <v>V_KEYWORD_ISSR_208020706_ACC_DDA</v>
          </cell>
        </row>
        <row r="51">
          <cell r="A51" t="str">
            <v>Vector|||208020706|||ISSR|||NET_FIX_ASS|||False|||</v>
          </cell>
          <cell r="C51" t="str">
            <v>V_KEYWORD_ISSR_208020706_NET_FIX_ASS</v>
          </cell>
        </row>
        <row r="52">
          <cell r="A52" t="str">
            <v>Vector|||208020706|||ISSR|||GR_INTANG|||False|||</v>
          </cell>
          <cell r="C52" t="str">
            <v>V_KEYWORD_ISSR_208020706_GR_INTANG</v>
          </cell>
        </row>
        <row r="53">
          <cell r="A53" t="str">
            <v>Vector|||208020706|||ISSR|||ACC_AMORT|||False|||</v>
          </cell>
          <cell r="C53" t="str">
            <v>V_KEYWORD_ISSR_208020706_ACC_AMORT</v>
          </cell>
        </row>
        <row r="54">
          <cell r="A54" t="str">
            <v>Vector|||208020706|||ISSR|||NET_INTANG|||False|||</v>
          </cell>
          <cell r="C54" t="str">
            <v>V_KEYWORD_ISSR_208020706_NET_INTANG</v>
          </cell>
        </row>
        <row r="55">
          <cell r="A55" t="str">
            <v>Vector|||208020706|||ISSR|||FIX_ASS_INV|||False|||</v>
          </cell>
          <cell r="C55" t="str">
            <v>V_KEYWORD_ISSR_208020706_FIX_ASS_INV</v>
          </cell>
        </row>
        <row r="56">
          <cell r="A56" t="str">
            <v>Vector|||208020706|||ISSR|||INV_SECUR|||False|||</v>
          </cell>
          <cell r="C56" t="str">
            <v>V_KEYWORD_ISSR_208020706_INV_SECUR</v>
          </cell>
        </row>
        <row r="57">
          <cell r="A57" t="str">
            <v>Vector|||208020706|||ISSR|||OTH_LT_ASS|||False|||</v>
          </cell>
          <cell r="C57" t="str">
            <v>V_KEYWORD_ISSR_208020706_OTH_LT_ASS</v>
          </cell>
        </row>
        <row r="58">
          <cell r="A58" t="str">
            <v>Vector|||208020706|||ISSR|||TOT_ASSET|||False|||</v>
          </cell>
          <cell r="C58" t="str">
            <v>V_KEYWORD_ISSR_208020706_TOT_ASSET</v>
          </cell>
        </row>
        <row r="59">
          <cell r="A59" t="str">
            <v>Vector|||208020706|||ISSR|||ACC_PAY_GQ|||False|||</v>
          </cell>
          <cell r="C59" t="str">
            <v>V_KEYWORD_ISSR_208020706_ACC_PAY_GQ</v>
          </cell>
        </row>
        <row r="60">
          <cell r="A60" t="str">
            <v>Vector|||208020706|||ISSR|||SHORT_T_DEBT|||False|||</v>
          </cell>
          <cell r="C60" t="str">
            <v>V_KEYWORD_ISSR_208020706_SHORT_T_DEBT</v>
          </cell>
        </row>
        <row r="61">
          <cell r="A61" t="str">
            <v>Vector|||208020706|||ISSR|||ST_LEASE_LIAB|||False|||</v>
          </cell>
          <cell r="C61" t="str">
            <v>V_KEYWORD_ISSR_208020706_ST_LEASE_LIAB</v>
          </cell>
        </row>
        <row r="62">
          <cell r="A62" t="str">
            <v>Vector|||208020706|||ISSR|||OTH_CUR_LIABS|||False|||</v>
          </cell>
          <cell r="C62" t="str">
            <v>V_KEYWORD_ISSR_208020706_OTH_CUR_LIABS</v>
          </cell>
        </row>
        <row r="63">
          <cell r="A63" t="str">
            <v>Vector|||208020706|||ISSR|||SHORT_TERM_LIABS|||False|||</v>
          </cell>
          <cell r="C63" t="str">
            <v>V_KEYWORD_ISSR_208020706_SHORT_TERM_LIABS</v>
          </cell>
        </row>
        <row r="64">
          <cell r="A64" t="str">
            <v>Vector|||208020706|||ISSR|||LT_DEBT|||False|||</v>
          </cell>
          <cell r="C64" t="str">
            <v>V_KEYWORD_ISSR_208020706_LT_DEBT</v>
          </cell>
        </row>
        <row r="65">
          <cell r="A65" t="str">
            <v>Vector|||208020706|||ISSR|||LT_LEASE_LIAB|||False|||</v>
          </cell>
          <cell r="C65" t="str">
            <v>V_KEYWORD_ISSR_208020706_LT_LEASE_LIAB</v>
          </cell>
        </row>
        <row r="66">
          <cell r="A66" t="str">
            <v>Vector|||208020706|||ISSR|||OTH_LT_CRED_GQ|||False|||</v>
          </cell>
          <cell r="C66" t="str">
            <v>V_KEYWORD_ISSR_208020706_OTH_LT_CRED_GQ</v>
          </cell>
        </row>
        <row r="67">
          <cell r="A67" t="str">
            <v>Vector|||208020706|||ISSR|||TOT_LT_LIAB|||False|||</v>
          </cell>
          <cell r="C67" t="str">
            <v>V_KEYWORD_ISSR_208020706_TOT_LT_LIAB</v>
          </cell>
        </row>
        <row r="68">
          <cell r="A68" t="str">
            <v>Vector|||208020706|||ISSR|||TOT_LIAB|||False|||</v>
          </cell>
          <cell r="C68" t="str">
            <v>V_KEYWORD_ISSR_208020706_TOT_LIAB</v>
          </cell>
        </row>
        <row r="69">
          <cell r="A69" t="str">
            <v>Vector|||208020706|||ISSR|||PREF_SH|||False|||</v>
          </cell>
          <cell r="C69" t="str">
            <v>V_KEYWORD_ISSR_208020706_PREF_SH</v>
          </cell>
        </row>
        <row r="70">
          <cell r="A70" t="str">
            <v>Vector|||208020706|||ISSR|||ORD_SH_FUND|||False|||</v>
          </cell>
          <cell r="C70" t="str">
            <v>V_KEYWORD_ISSR_208020706_ORD_SH_FUND</v>
          </cell>
        </row>
        <row r="71">
          <cell r="A71" t="str">
            <v>Vector|||208020706|||ISSR|||MINORITIES|||False|||</v>
          </cell>
          <cell r="C71" t="str">
            <v>V_KEYWORD_ISSR_208020706_MINORITIES</v>
          </cell>
        </row>
        <row r="72">
          <cell r="A72" t="str">
            <v>Vector|||208020706|||ISSR|||EQ|||False|||</v>
          </cell>
          <cell r="C72" t="str">
            <v>V_KEYWORD_ISSR_208020706_EQ</v>
          </cell>
        </row>
        <row r="73">
          <cell r="A73" t="str">
            <v>Vector|||208020706|||ISSR|||TOT_LIAB_EQ|||False|||</v>
          </cell>
          <cell r="C73" t="str">
            <v>V_KEYWORD_ISSR_208020706_TOT_LIAB_EQ</v>
          </cell>
        </row>
        <row r="75">
          <cell r="A75" t="str">
            <v>Vector|||208020706|||ISSR|||TOT_USD_DEBT|||False|||</v>
          </cell>
          <cell r="C75" t="str">
            <v>V_KEYWORD_ISSR_208020706_TOT_USD_DEBT</v>
          </cell>
        </row>
        <row r="76">
          <cell r="A76" t="str">
            <v>Vector|||208020706|||ISSR|||TOT_PCT_USD_DEBT_HEDGED|||False|||</v>
          </cell>
          <cell r="C76" t="str">
            <v>V_KEYWORD_ISSR_208020706_TOT_PCT_USD_DEBT_HEDGED</v>
          </cell>
        </row>
        <row r="77">
          <cell r="A77" t="str">
            <v>Vector|||208020706|||ISSR|||FLOATING_PCT_LOCAL_DEBT|||False|||</v>
          </cell>
          <cell r="C77" t="str">
            <v>V_KEYWORD_ISSR_208020706_FLOATING_PCT_LOCAL_DEBT</v>
          </cell>
        </row>
        <row r="78">
          <cell r="A78" t="str">
            <v>Vector|||208020706|||ISSR|||FLOATING_PCT_LOCAL_DEBT_HEDGED|||False|||</v>
          </cell>
          <cell r="C78" t="str">
            <v>V_KEYWORD_ISSR_208020706_FLOATING_PCT_LOCAL_DEBT_HEDGED</v>
          </cell>
        </row>
        <row r="79">
          <cell r="A79" t="str">
            <v>Vector|||208020706|||ISSR|||NET_DEBT|||False|||</v>
          </cell>
          <cell r="C79" t="str">
            <v>V_KEYWORD_ISSR_208020706_NET_DEBT</v>
          </cell>
        </row>
        <row r="80">
          <cell r="A80" t="str">
            <v>Vector|||208020706|||ISSR|||CAP_LEASES|||False|||</v>
          </cell>
          <cell r="C80" t="str">
            <v>V_KEYWORD_ISSR_208020706_CAP_LEASES</v>
          </cell>
        </row>
        <row r="81">
          <cell r="A81" t="str">
            <v>Vector|||208020706|||ISSR|||DEF_INC_TAX|||False|||</v>
          </cell>
          <cell r="C81" t="str">
            <v>V_KEYWORD_ISSR_208020706_DEF_INC_TAX</v>
          </cell>
        </row>
        <row r="82">
          <cell r="A82" t="str">
            <v>Vector|||208020706|||ISSR|||MV_ASSOCIATES|||False|||</v>
          </cell>
          <cell r="C82" t="str">
            <v>V_KEYWORD_ISSR_208020706_MV_ASSOCIATES</v>
          </cell>
        </row>
        <row r="83">
          <cell r="A83" t="str">
            <v>Vector|||208020706|||ISSR|||NET_DEBT_ADJ|||False|||</v>
          </cell>
          <cell r="C83" t="str">
            <v>V_KEYWORD_ISSR_208020706_NET_DEBT_ADJ</v>
          </cell>
        </row>
        <row r="84">
          <cell r="A84" t="str">
            <v>Vector|||208020706|||ISSR|||CO_BOR_MARGIN|||False|||</v>
          </cell>
          <cell r="C84" t="str">
            <v>V_KEYWORD_ISSR_208020706_CO_BOR_MARGIN</v>
          </cell>
        </row>
        <row r="85">
          <cell r="A85" t="str">
            <v>Vector|||208020706|||ISSR|||UNF_PENS|||False|||</v>
          </cell>
          <cell r="C85" t="str">
            <v>V_KEYWORD_ISSR_208020706_UNF_PENS</v>
          </cell>
        </row>
        <row r="86">
          <cell r="A86" t="str">
            <v>Vector|||208020706|||ISSR|||UNF_PENS_OFF|||False|||</v>
          </cell>
          <cell r="C86" t="str">
            <v>V_KEYWORD_ISSR_208020706_UNF_PENS_OFF</v>
          </cell>
        </row>
        <row r="87">
          <cell r="A87" t="str">
            <v>Vector|||208020706|||ISSR|||UNF_PENS_LIAB_OTH|||False|||</v>
          </cell>
          <cell r="C87" t="str">
            <v>V_KEYWORD_ISSR_208020706_UNF_PENS_LIAB_OTH</v>
          </cell>
        </row>
        <row r="88">
          <cell r="A88" t="str">
            <v>Vector|||208020706|||ISSR|||ADJ_UNF_PENS_GOOD|||False|||</v>
          </cell>
          <cell r="C88" t="str">
            <v>V_KEYWORD_ISSR_208020706_ADJ_UNF_PENS_GOOD</v>
          </cell>
        </row>
        <row r="89">
          <cell r="A89" t="str">
            <v>Vector|||208020706|||ISSR|||OTH_GCI_ADJ|||False|||</v>
          </cell>
          <cell r="C89" t="str">
            <v>V_KEYWORD_ISSR_208020706_OTH_GCI_ADJ</v>
          </cell>
        </row>
        <row r="90">
          <cell r="A90" t="str">
            <v>Vector|||208020706|||ISSR|||GCI_INFL|||False|||</v>
          </cell>
          <cell r="C90" t="str">
            <v>V_KEYWORD_ISSR_208020706_GCI_INFL</v>
          </cell>
        </row>
        <row r="91">
          <cell r="A91" t="str">
            <v>Vector|||208020706|||ISSR|||BAL_MINO_INT|||False|||</v>
          </cell>
          <cell r="C91" t="str">
            <v>V_KEYWORD_ISSR_208020706_BAL_MINO_INT</v>
          </cell>
        </row>
        <row r="92">
          <cell r="A92" t="str">
            <v>Vector|||208020706|||ISSR|||ROU_ASSET|||False|||</v>
          </cell>
          <cell r="C92" t="str">
            <v>V_KEYWORD_ISSR_208020706_ROU_ASSET</v>
          </cell>
        </row>
        <row r="94">
          <cell r="A94" t="str">
            <v>Vector|||208020706|||ISSR|||CF_INC_MINORITY|||False|||</v>
          </cell>
          <cell r="C94" t="str">
            <v>V_KEYWORD_ISSR_208020706_CF_INC_MINORITY</v>
          </cell>
        </row>
        <row r="95">
          <cell r="A95" t="str">
            <v>Vector|||208020706|||ISSR|||DEPR_AMORT|||False|||</v>
          </cell>
          <cell r="C95" t="str">
            <v>V_KEYWORD_ISSR_208020706_DEPR_AMORT</v>
          </cell>
        </row>
        <row r="96">
          <cell r="A96" t="str">
            <v>Vector|||208020706|||ISSR|||WORK_CAP|||False|||</v>
          </cell>
          <cell r="C96" t="str">
            <v>V_KEYWORD_ISSR_208020706_WORK_CAP</v>
          </cell>
        </row>
        <row r="97">
          <cell r="A97" t="str">
            <v>Vector|||208020706|||ISSR|||OTH_OP_CF|||False|||</v>
          </cell>
          <cell r="C97" t="str">
            <v>V_KEYWORD_ISSR_208020706_OTH_OP_CF</v>
          </cell>
        </row>
        <row r="98">
          <cell r="A98" t="str">
            <v>Vector|||208020706|||ISSR|||CF_OPS|||False|||</v>
          </cell>
          <cell r="C98" t="str">
            <v>V_KEYWORD_ISSR_208020706_CF_OPS</v>
          </cell>
        </row>
        <row r="99">
          <cell r="A99" t="str">
            <v>Vector|||208020706|||ISSR|||CAPEX|||False|||</v>
          </cell>
          <cell r="C99" t="str">
            <v>V_KEYWORD_ISSR_208020706_CAPEX</v>
          </cell>
        </row>
        <row r="100">
          <cell r="A100" t="str">
            <v>Vector|||208020706|||ISSR|||ACQ|||False|||</v>
          </cell>
          <cell r="C100" t="str">
            <v>V_KEYWORD_ISSR_208020706_ACQ</v>
          </cell>
        </row>
        <row r="101">
          <cell r="A101" t="str">
            <v>Vector|||208020706|||ISSR|||DIVEST|||False|||</v>
          </cell>
          <cell r="C101" t="str">
            <v>V_KEYWORD_ISSR_208020706_DIVEST</v>
          </cell>
        </row>
        <row r="102">
          <cell r="A102" t="str">
            <v>Vector|||208020706|||ISSR|||OTH_INV_CF|||False|||</v>
          </cell>
          <cell r="C102" t="str">
            <v>V_KEYWORD_ISSR_208020706_OTH_INV_CF</v>
          </cell>
        </row>
        <row r="103">
          <cell r="A103" t="str">
            <v>Vector|||208020706|||ISSR|||CF_INV|||False|||</v>
          </cell>
          <cell r="C103" t="str">
            <v>V_KEYWORD_ISSR_208020706_CF_INV</v>
          </cell>
        </row>
        <row r="104">
          <cell r="A104" t="str">
            <v>Vector|||208020706|||ISSR|||DIV_PAID|||False|||</v>
          </cell>
          <cell r="C104" t="str">
            <v>V_KEYWORD_ISSR_208020706_DIV_PAID</v>
          </cell>
        </row>
        <row r="105">
          <cell r="A105" t="str">
            <v>Vector|||208020706|||ISSR|||SH_REPUR|||False|||</v>
          </cell>
          <cell r="C105" t="str">
            <v>V_KEYWORD_ISSR_208020706_SH_REPUR</v>
          </cell>
        </row>
        <row r="106">
          <cell r="A106" t="str">
            <v>Vector|||208020706|||ISSR|||CHG_LT_DEBT|||False|||</v>
          </cell>
          <cell r="C106" t="str">
            <v>V_KEYWORD_ISSR_208020706_CHG_LT_DEBT</v>
          </cell>
        </row>
        <row r="107">
          <cell r="A107" t="str">
            <v>Vector|||208020706|||ISSR|||LEASE_PRINCIPAL_CASH|||False|||</v>
          </cell>
          <cell r="C107" t="str">
            <v>V_KEYWORD_ISSR_208020706_LEASE_PRINCIPAL_CASH</v>
          </cell>
        </row>
        <row r="108">
          <cell r="A108" t="str">
            <v>Vector|||208020706|||ISSR|||OTH_FIN_CF|||False|||</v>
          </cell>
          <cell r="C108" t="str">
            <v>V_KEYWORD_ISSR_208020706_OTH_FIN_CF</v>
          </cell>
        </row>
        <row r="109">
          <cell r="A109" t="str">
            <v>Vector|||208020706|||ISSR|||CF_FIN|||False|||</v>
          </cell>
          <cell r="C109" t="str">
            <v>V_KEYWORD_ISSR_208020706_CF_FIN</v>
          </cell>
        </row>
        <row r="110">
          <cell r="A110" t="str">
            <v>Vector|||208020706|||ISSR|||OTH_ITEM_NCF|||False|||</v>
          </cell>
          <cell r="C110" t="str">
            <v>V_KEYWORD_ISSR_208020706_OTH_ITEM_NCF</v>
          </cell>
        </row>
        <row r="111">
          <cell r="A111" t="str">
            <v>Vector|||208020706|||ISSR|||TOT_CF|||False|||</v>
          </cell>
          <cell r="C111" t="str">
            <v>V_KEYWORD_ISSR_208020706_TOT_CF</v>
          </cell>
        </row>
        <row r="113">
          <cell r="A113" t="str">
            <v>Vector|||208020706|||ISSR|||ASSOC_JV_ADDBK|||False|||</v>
          </cell>
          <cell r="C113" t="str">
            <v>V_KEYWORD_ISSR_208020706_ASSOC_JV_ADDBK</v>
          </cell>
        </row>
        <row r="114">
          <cell r="A114" t="str">
            <v>Vector|||208020706|||ISSR|||CASH_INT_INC_EXP|||False|||</v>
          </cell>
          <cell r="C114" t="str">
            <v>V_KEYWORD_ISSR_208020706_CASH_INT_INC_EXP</v>
          </cell>
        </row>
        <row r="115">
          <cell r="A115" t="str">
            <v>Vector|||208020706|||ISSR|||CASH_TAX_PD|||False|||</v>
          </cell>
          <cell r="C115" t="str">
            <v>V_KEYWORD_ISSR_208020706_CASH_TAX_PD</v>
          </cell>
        </row>
        <row r="116">
          <cell r="A116" t="str">
            <v>Vector|||208020706|||ISSR|||PL_SALE_ASSETS|||False|||</v>
          </cell>
          <cell r="C116" t="str">
            <v>V_KEYWORD_ISSR_208020706_PL_SALE_ASSETS</v>
          </cell>
        </row>
        <row r="117">
          <cell r="A117" t="str">
            <v>Vector|||208020706|||ISSR|||OTH_NONCASH_ADJ|||False|||</v>
          </cell>
          <cell r="C117" t="str">
            <v>V_KEYWORD_ISSR_208020706_OTH_NONCASH_ADJ</v>
          </cell>
        </row>
        <row r="118">
          <cell r="A118" t="str">
            <v>Vector|||208020706|||ISSR|||OTH_DACF_ADJ|||False|||</v>
          </cell>
          <cell r="C118" t="str">
            <v>V_KEYWORD_ISSR_208020706_OTH_DACF_ADJ</v>
          </cell>
        </row>
        <row r="119">
          <cell r="A119" t="str">
            <v>Vector|||208020706|||ISSR|||CASH_INT_EXP|||False|||</v>
          </cell>
          <cell r="C119" t="str">
            <v>V_KEYWORD_ISSR_208020706_CASH_INT_EXP</v>
          </cell>
        </row>
        <row r="120">
          <cell r="A120" t="str">
            <v>Vector|||208020706|||ISSR|||CASH_TAX_EXP|||False|||</v>
          </cell>
          <cell r="C120" t="str">
            <v>V_KEYWORD_ISSR_208020706_CASH_TAX_EXP</v>
          </cell>
        </row>
        <row r="121">
          <cell r="A121" t="str">
            <v>Vector|||208020706|||ISSR|||DIVDS_ASSOC_JV|||False|||</v>
          </cell>
          <cell r="C121" t="str">
            <v>V_KEYWORD_ISSR_208020706_DIVDS_ASSOC_JV</v>
          </cell>
        </row>
        <row r="122">
          <cell r="A122" t="str">
            <v>Vector|||208020706|||ISSR|||CAPEX_MAINTENANCE|||False|||</v>
          </cell>
          <cell r="C122" t="str">
            <v>V_KEYWORD_ISSR_208020706_CAPEX_MAINTENANCE</v>
          </cell>
        </row>
        <row r="123">
          <cell r="A123" t="str">
            <v>Vector|||208020706|||ISSR|||CAPEX_EXPANSION|||False|||</v>
          </cell>
          <cell r="C123" t="str">
            <v>V_KEYWORD_ISSR_208020706_CAPEX_EXPANSION</v>
          </cell>
        </row>
        <row r="124">
          <cell r="A124" t="str">
            <v>Vector|||208020706|||ISSR|||NONPPE_CAPEX|||False|||</v>
          </cell>
          <cell r="C124" t="str">
            <v>V_KEYWORD_ISSR_208020706_NONPPE_CAPEX</v>
          </cell>
        </row>
        <row r="125">
          <cell r="A125" t="str">
            <v>Vector|||208020706|||ISSR|||DIVDS_PD_MINORITIES|||False|||</v>
          </cell>
          <cell r="C125" t="str">
            <v>V_KEYWORD_ISSR_208020706_DIVDS_PD_MINORITIES</v>
          </cell>
        </row>
        <row r="127">
          <cell r="A127" t="str">
            <v>Vector|||208020706|||ISSR|||EMPLOYEES|||False|||</v>
          </cell>
          <cell r="C127" t="str">
            <v>V_KEYWORD_ISSR_208020706_EMPLOYEES</v>
          </cell>
        </row>
        <row r="129">
          <cell r="A129" t="str">
            <v>Vector|||208020706|||ISSR|||RETAIL_SSS_PCT_CHG|||False|||</v>
          </cell>
          <cell r="C129" t="str">
            <v>V_KEYWORD_ISSR_208020706_RETAIL_SSS_PCT_CHG</v>
          </cell>
        </row>
        <row r="131">
          <cell r="A131" t="str">
            <v>Vector|||208020706|||ISSR|||SALES_CANADA|||False|||</v>
          </cell>
          <cell r="C131" t="str">
            <v>V_KEYWORD_ISSR_208020706_SALES_CANADA</v>
          </cell>
        </row>
        <row r="132">
          <cell r="A132" t="str">
            <v>Vector|||208020706|||ISSR|||SALES_US|||False|||</v>
          </cell>
          <cell r="C132" t="str">
            <v>V_KEYWORD_ISSR_208020706_SALES_US</v>
          </cell>
        </row>
        <row r="133">
          <cell r="A133" t="str">
            <v>Vector|||208020706|||ISSR|||SALES_OTH_NO_AMER|||False|||</v>
          </cell>
          <cell r="C133" t="str">
            <v>V_KEYWORD_ISSR_208020706_SALES_OTH_NO_AMER</v>
          </cell>
        </row>
        <row r="134">
          <cell r="A134" t="str">
            <v>Vector|||208020706|||ISSR|||SALES_ARGENTINA|||False|||</v>
          </cell>
          <cell r="C134" t="str">
            <v>V_KEYWORD_ISSR_208020706_SALES_ARGENTINA</v>
          </cell>
        </row>
        <row r="135">
          <cell r="A135" t="str">
            <v>Vector|||208020706|||ISSR|||SALES_BRAZIL|||False|||</v>
          </cell>
          <cell r="C135" t="str">
            <v>V_KEYWORD_ISSR_208020706_SALES_BRAZIL</v>
          </cell>
        </row>
        <row r="136">
          <cell r="A136" t="str">
            <v>Vector|||208020706|||ISSR|||SALES_CHILE|||False|||</v>
          </cell>
          <cell r="C136" t="str">
            <v>V_KEYWORD_ISSR_208020706_SALES_CHILE</v>
          </cell>
        </row>
        <row r="137">
          <cell r="A137" t="str">
            <v>Vector|||208020706|||ISSR|||SALES_COLOMBIA|||False|||</v>
          </cell>
          <cell r="C137" t="str">
            <v>V_KEYWORD_ISSR_208020706_SALES_COLOMBIA</v>
          </cell>
        </row>
        <row r="138">
          <cell r="A138" t="str">
            <v>Vector|||208020706|||ISSR|||SALES_MEXICO|||False|||</v>
          </cell>
          <cell r="C138" t="str">
            <v>V_KEYWORD_ISSR_208020706_SALES_MEXICO</v>
          </cell>
        </row>
        <row r="139">
          <cell r="A139" t="str">
            <v>Vector|||208020706|||ISSR|||SALES_VENEZUELA|||False|||</v>
          </cell>
          <cell r="C139" t="str">
            <v>V_KEYWORD_ISSR_208020706_SALES_VENEZUELA</v>
          </cell>
        </row>
        <row r="140">
          <cell r="A140" t="str">
            <v>Vector|||208020706|||ISSR|||SALES_OTH_LATAM|||False|||</v>
          </cell>
          <cell r="C140" t="str">
            <v>V_KEYWORD_ISSR_208020706_SALES_OTH_LATAM</v>
          </cell>
        </row>
        <row r="141">
          <cell r="A141" t="str">
            <v>Vector|||208020706|||ISSR|||SALES_AUSTRIA|||False|||</v>
          </cell>
          <cell r="C141" t="str">
            <v>V_KEYWORD_ISSR_208020706_SALES_AUSTRIA</v>
          </cell>
        </row>
        <row r="142">
          <cell r="A142" t="str">
            <v>Vector|||208020706|||ISSR|||SALES_BEL|||False|||</v>
          </cell>
          <cell r="C142" t="str">
            <v>V_KEYWORD_ISSR_208020706_SALES_BEL</v>
          </cell>
        </row>
        <row r="143">
          <cell r="A143" t="str">
            <v>Vector|||208020706|||ISSR|||SALES_FRA|||False|||</v>
          </cell>
          <cell r="C143" t="str">
            <v>V_KEYWORD_ISSR_208020706_SALES_FRA</v>
          </cell>
        </row>
        <row r="144">
          <cell r="A144" t="str">
            <v>Vector|||208020706|||ISSR|||SALES_GER|||False|||</v>
          </cell>
          <cell r="C144" t="str">
            <v>V_KEYWORD_ISSR_208020706_SALES_GER</v>
          </cell>
        </row>
        <row r="145">
          <cell r="A145" t="str">
            <v>Vector|||208020706|||ISSR|||SALES_GRE|||False|||</v>
          </cell>
          <cell r="C145" t="str">
            <v>V_KEYWORD_ISSR_208020706_SALES_GRE</v>
          </cell>
        </row>
        <row r="146">
          <cell r="A146" t="str">
            <v>Vector|||208020706|||ISSR|||SALES_IRE|||False|||</v>
          </cell>
          <cell r="C146" t="str">
            <v>V_KEYWORD_ISSR_208020706_SALES_IRE</v>
          </cell>
        </row>
        <row r="147">
          <cell r="A147" t="str">
            <v>Vector|||208020706|||ISSR|||SALES_ITA|||False|||</v>
          </cell>
          <cell r="C147" t="str">
            <v>V_KEYWORD_ISSR_208020706_SALES_ITA</v>
          </cell>
        </row>
        <row r="148">
          <cell r="A148" t="str">
            <v>Vector|||208020706|||ISSR|||SALES_NETH|||False|||</v>
          </cell>
          <cell r="C148" t="str">
            <v>V_KEYWORD_ISSR_208020706_SALES_NETH</v>
          </cell>
        </row>
        <row r="149">
          <cell r="A149" t="str">
            <v>Vector|||208020706|||ISSR|||SALES_NOR|||False|||</v>
          </cell>
          <cell r="C149" t="str">
            <v>V_KEYWORD_ISSR_208020706_SALES_NOR</v>
          </cell>
        </row>
        <row r="150">
          <cell r="A150" t="str">
            <v>Vector|||208020706|||ISSR|||SALES_POR|||False|||</v>
          </cell>
          <cell r="C150" t="str">
            <v>V_KEYWORD_ISSR_208020706_SALES_POR</v>
          </cell>
        </row>
        <row r="151">
          <cell r="A151" t="str">
            <v>Vector|||208020706|||ISSR|||SALES_SPA|||False|||</v>
          </cell>
          <cell r="C151" t="str">
            <v>V_KEYWORD_ISSR_208020706_SALES_SPA</v>
          </cell>
        </row>
        <row r="152">
          <cell r="A152" t="str">
            <v>Vector|||208020706|||ISSR|||SALES_SWE|||False|||</v>
          </cell>
          <cell r="C152" t="str">
            <v>V_KEYWORD_ISSR_208020706_SALES_SWE</v>
          </cell>
        </row>
        <row r="153">
          <cell r="A153" t="str">
            <v>Vector|||208020706|||ISSR|||SALES_SWIT|||False|||</v>
          </cell>
          <cell r="C153" t="str">
            <v>V_KEYWORD_ISSR_208020706_SALES_SWIT</v>
          </cell>
        </row>
        <row r="154">
          <cell r="A154" t="str">
            <v>Vector|||208020706|||ISSR|||SALES_UK|||False|||</v>
          </cell>
          <cell r="C154" t="str">
            <v>V_KEYWORD_ISSR_208020706_SALES_UK</v>
          </cell>
        </row>
        <row r="155">
          <cell r="A155" t="str">
            <v>Vector|||208020706|||ISSR|||SALES_OTH_WEST_EURO|||False|||</v>
          </cell>
          <cell r="C155" t="str">
            <v>V_KEYWORD_ISSR_208020706_SALES_OTH_WEST_EURO</v>
          </cell>
        </row>
        <row r="156">
          <cell r="A156" t="str">
            <v>Vector|||208020706|||ISSR|||SALES_POLAND|||False|||</v>
          </cell>
          <cell r="C156" t="str">
            <v>V_KEYWORD_ISSR_208020706_SALES_POLAND</v>
          </cell>
        </row>
        <row r="157">
          <cell r="A157" t="str">
            <v>Vector|||208020706|||ISSR|||SALES_RUSSIA|||False|||</v>
          </cell>
          <cell r="C157" t="str">
            <v>V_KEYWORD_ISSR_208020706_SALES_RUSSIA</v>
          </cell>
        </row>
        <row r="158">
          <cell r="A158" t="str">
            <v>Vector|||208020706|||ISSR|||SALES_TURKEY|||False|||</v>
          </cell>
          <cell r="C158" t="str">
            <v>V_KEYWORD_ISSR_208020706_SALES_TURKEY</v>
          </cell>
        </row>
        <row r="159">
          <cell r="A159" t="str">
            <v>Vector|||208020706|||ISSR|||SALES_OTH_CEE|||False|||</v>
          </cell>
          <cell r="C159" t="str">
            <v>V_KEYWORD_ISSR_208020706_SALES_OTH_CEE</v>
          </cell>
        </row>
        <row r="160">
          <cell r="A160" t="str">
            <v>Vector|||208020706|||ISSR|||SALES_SAUDI_ARABIA|||False|||</v>
          </cell>
          <cell r="C160" t="str">
            <v>V_KEYWORD_ISSR_208020706_SALES_SAUDI_ARABIA</v>
          </cell>
        </row>
        <row r="161">
          <cell r="A161" t="str">
            <v>Vector|||208020706|||ISSR|||SALES_UAE|||False|||</v>
          </cell>
          <cell r="C161" t="str">
            <v>V_KEYWORD_ISSR_208020706_SALES_UAE</v>
          </cell>
        </row>
        <row r="162">
          <cell r="A162" t="str">
            <v>Vector|||208020706|||ISSR|||SALES_OTH_ME|||False|||</v>
          </cell>
          <cell r="C162" t="str">
            <v>V_KEYWORD_ISSR_208020706_SALES_OTH_ME</v>
          </cell>
        </row>
        <row r="163">
          <cell r="A163" t="str">
            <v>Vector|||208020706|||ISSR|||SALES_NIGERIA|||False|||</v>
          </cell>
          <cell r="C163" t="str">
            <v>V_KEYWORD_ISSR_208020706_SALES_NIGERIA</v>
          </cell>
        </row>
        <row r="164">
          <cell r="A164" t="str">
            <v>Vector|||208020706|||ISSR|||SALES_SO_AFRICA|||False|||</v>
          </cell>
          <cell r="C164" t="str">
            <v>V_KEYWORD_ISSR_208020706_SALES_SO_AFRICA</v>
          </cell>
        </row>
        <row r="165">
          <cell r="A165" t="str">
            <v>Vector|||208020706|||ISSR|||SALES_OTH_AFRICA|||False|||</v>
          </cell>
          <cell r="C165" t="str">
            <v>V_KEYWORD_ISSR_208020706_SALES_OTH_AFRICA</v>
          </cell>
        </row>
        <row r="166">
          <cell r="A166" t="str">
            <v>Vector|||208020706|||ISSR|||SALES_HONG_KONG|||False|||</v>
          </cell>
          <cell r="C166" t="str">
            <v>V_KEYWORD_ISSR_208020706_SALES_HONG_KONG</v>
          </cell>
        </row>
        <row r="167">
          <cell r="A167" t="str">
            <v>Vector|||208020706|||ISSR|||SALES_JAPAN|||False|||</v>
          </cell>
          <cell r="C167" t="str">
            <v>V_KEYWORD_ISSR_208020706_SALES_JAPAN</v>
          </cell>
        </row>
        <row r="168">
          <cell r="A168" t="str">
            <v>Vector|||208020706|||ISSR|||SALES_SINGAPORE|||False|||</v>
          </cell>
          <cell r="C168" t="str">
            <v>V_KEYWORD_ISSR_208020706_SALES_SINGAPORE</v>
          </cell>
        </row>
        <row r="169">
          <cell r="A169" t="str">
            <v>Vector|||208020706|||ISSR|||SALES_SK|||False|||</v>
          </cell>
          <cell r="C169" t="str">
            <v>V_KEYWORD_ISSR_208020706_SALES_SK</v>
          </cell>
        </row>
        <row r="170">
          <cell r="A170" t="str">
            <v>Vector|||208020706|||ISSR|||SALES_TAIWAN|||False|||</v>
          </cell>
          <cell r="C170" t="str">
            <v>V_KEYWORD_ISSR_208020706_SALES_TAIWAN</v>
          </cell>
        </row>
        <row r="171">
          <cell r="A171" t="str">
            <v>Vector|||208020706|||ISSR|||SALES_OTH_DEV_ASIA|||False|||</v>
          </cell>
          <cell r="C171" t="str">
            <v>V_KEYWORD_ISSR_208020706_SALES_OTH_DEV_ASIA</v>
          </cell>
        </row>
        <row r="172">
          <cell r="A172" t="str">
            <v>Vector|||208020706|||ISSR|||SALES_CHINA|||False|||</v>
          </cell>
          <cell r="C172" t="str">
            <v>V_KEYWORD_ISSR_208020706_SALES_CHINA</v>
          </cell>
        </row>
        <row r="173">
          <cell r="A173" t="str">
            <v>Vector|||208020706|||ISSR|||SALES_INDIA|||False|||</v>
          </cell>
          <cell r="C173" t="str">
            <v>V_KEYWORD_ISSR_208020706_SALES_INDIA</v>
          </cell>
        </row>
        <row r="174">
          <cell r="A174" t="str">
            <v>Vector|||208020706|||ISSR|||SALES_INDONESIA|||False|||</v>
          </cell>
          <cell r="C174" t="str">
            <v>V_KEYWORD_ISSR_208020706_SALES_INDONESIA</v>
          </cell>
        </row>
        <row r="175">
          <cell r="A175" t="str">
            <v>Vector|||208020706|||ISSR|||SALES_THAILAND|||False|||</v>
          </cell>
          <cell r="C175" t="str">
            <v>V_KEYWORD_ISSR_208020706_SALES_THAILAND</v>
          </cell>
        </row>
        <row r="176">
          <cell r="A176" t="str">
            <v>Vector|||208020706|||ISSR|||SALES_OTH_EMERG_ASIA|||False|||</v>
          </cell>
          <cell r="C176" t="str">
            <v>V_KEYWORD_ISSR_208020706_SALES_OTH_EMERG_ASIA</v>
          </cell>
        </row>
        <row r="177">
          <cell r="A177" t="str">
            <v>Vector|||208020706|||ISSR|||SALES_AUSTRA|||False|||</v>
          </cell>
          <cell r="C177" t="str">
            <v>V_KEYWORD_ISSR_208020706_SALES_AUSTRA</v>
          </cell>
        </row>
        <row r="178">
          <cell r="A178" t="str">
            <v>Vector|||208020706|||ISSR|||SALES_NZ|||False|||</v>
          </cell>
          <cell r="C178" t="str">
            <v>V_KEYWORD_ISSR_208020706_SALES_NZ</v>
          </cell>
        </row>
        <row r="179">
          <cell r="A179" t="str">
            <v>Vector|||208020706|||ISSR|||SALES_OTHER|||False|||</v>
          </cell>
          <cell r="C179" t="str">
            <v>V_KEYWORD_ISSR_208020706_SALES_OTHER</v>
          </cell>
        </row>
        <row r="180">
          <cell r="A180" t="str">
            <v>Vector|||208020706|||ISSR|||COGS_PCT_US|||False|||</v>
          </cell>
          <cell r="C180" t="str">
            <v>V_KEYWORD_ISSR_208020706_COGS_PCT_US</v>
          </cell>
        </row>
        <row r="181">
          <cell r="A181" t="str">
            <v>Vector|||208020706|||ISSR|||COGS_PCT_ROW|||False|||</v>
          </cell>
          <cell r="C181" t="str">
            <v>V_KEYWORD_ISSR_208020706_COGS_PCT_ROW</v>
          </cell>
        </row>
        <row r="182">
          <cell r="A182" t="str">
            <v>Vector|||208020706|||ISSR|||SGA_PCT_US|||False|||</v>
          </cell>
          <cell r="C182" t="str">
            <v>V_KEYWORD_ISSR_208020706_SGA_PCT_US</v>
          </cell>
        </row>
        <row r="183">
          <cell r="A183" t="str">
            <v>Vector|||208020706|||ISSR|||SGA_PCT_ROW|||False|||</v>
          </cell>
          <cell r="C183" t="str">
            <v>V_KEYWORD_ISSR_208020706_SGA_PCT_ROW</v>
          </cell>
        </row>
        <row r="184">
          <cell r="A184" t="str">
            <v>Vector|||208020706|||ISSR|||SALES_CONS|||False|||</v>
          </cell>
          <cell r="C184" t="str">
            <v>V_KEYWORD_ISSR_208020706_SALES_CONS</v>
          </cell>
        </row>
        <row r="185">
          <cell r="A185" t="str">
            <v>Vector|||208020706|||ISSR|||SALES_IND|||False|||</v>
          </cell>
          <cell r="C185" t="str">
            <v>V_KEYWORD_ISSR_208020706_SALES_IND</v>
          </cell>
        </row>
        <row r="186">
          <cell r="A186" t="str">
            <v>Vector|||208020706|||ISSR|||SALES_GOV|||False|||</v>
          </cell>
          <cell r="C186" t="str">
            <v>V_KEYWORD_ISSR_208020706_SALES_GOV</v>
          </cell>
        </row>
        <row r="187">
          <cell r="A187" t="str">
            <v>Vector|||208020706|||ISSR|||SALES_FINAN|||False|||</v>
          </cell>
          <cell r="C187" t="str">
            <v>V_KEYWORD_ISSR_208020706_SALES_FINAN</v>
          </cell>
        </row>
        <row r="188">
          <cell r="A188" t="str">
            <v>Vector|||208020706|||ISSR|||SALES_OIL_GAS|||False|||</v>
          </cell>
          <cell r="C188" t="str">
            <v>V_KEYWORD_ISSR_208020706_SALES_OIL_GAS</v>
          </cell>
        </row>
        <row r="190">
          <cell r="A190" t="str">
            <v>Vector|||208020706|||ISSR|||SALES_OIL_PETRO_FUEL|||False|||</v>
          </cell>
          <cell r="C190" t="str">
            <v>V_KEYWORD_ISSR_208020706_SALES_OIL_PETRO_FUEL</v>
          </cell>
        </row>
        <row r="191">
          <cell r="A191" t="str">
            <v>Vector|||208020706|||ISSR|||SALES_STEEL|||False|||</v>
          </cell>
          <cell r="C191" t="str">
            <v>V_KEYWORD_ISSR_208020706_SALES_STEEL</v>
          </cell>
        </row>
        <row r="192">
          <cell r="A192" t="str">
            <v>Vector|||208020706|||ISSR|||SALES_PAPER_PULP|||False|||</v>
          </cell>
          <cell r="C192" t="str">
            <v>V_KEYWORD_ISSR_208020706_SALES_PAPER_PULP</v>
          </cell>
        </row>
        <row r="193">
          <cell r="A193" t="str">
            <v>Vector|||208020706|||ISSR|||SALES_LUMBER|||False|||</v>
          </cell>
          <cell r="C193" t="str">
            <v>V_KEYWORD_ISSR_208020706_SALES_LUMBER</v>
          </cell>
        </row>
        <row r="194">
          <cell r="A194" t="str">
            <v>Vector|||208020706|||ISSR|||SALES_GLASS|||False|||</v>
          </cell>
          <cell r="C194" t="str">
            <v>V_KEYWORD_ISSR_208020706_SALES_GLASS</v>
          </cell>
        </row>
        <row r="195">
          <cell r="A195" t="str">
            <v>Vector|||208020706|||ISSR|||SALES_CEMENT|||False|||</v>
          </cell>
          <cell r="C195" t="str">
            <v>V_KEYWORD_ISSR_208020706_SALES_CEMENT</v>
          </cell>
        </row>
        <row r="196">
          <cell r="A196" t="str">
            <v>Vector|||208020706|||ISSR|||SALES_TOBACCO_LEAF|||False|||</v>
          </cell>
          <cell r="C196" t="str">
            <v>V_KEYWORD_ISSR_208020706_SALES_TOBACCO_LEAF</v>
          </cell>
        </row>
        <row r="197">
          <cell r="A197" t="str">
            <v>Vector|||208020706|||ISSR|||SALES_OTH_COMMODITY|||False|||</v>
          </cell>
          <cell r="C197" t="str">
            <v>V_KEYWORD_ISSR_208020706_SALES_OTH_COMMODITY</v>
          </cell>
        </row>
        <row r="198">
          <cell r="A198" t="str">
            <v>Vector|||208020706|||ISSR|||SALES_OTH_SALES_SOURCES|||False|||</v>
          </cell>
          <cell r="C198" t="str">
            <v>V_KEYWORD_ISSR_208020706_SALES_OTH_SALES_SOURCES</v>
          </cell>
        </row>
        <row r="200">
          <cell r="A200" t="str">
            <v>Vector|||208020706|||ISSR|||EXP_OIL_PETRO_FUEL|||False|||</v>
          </cell>
          <cell r="C200" t="str">
            <v>V_KEYWORD_ISSR_208020706_EXP_OIL_PETRO_FUEL</v>
          </cell>
        </row>
        <row r="201">
          <cell r="A201" t="str">
            <v>Vector|||208020706|||ISSR|||EXP_OIL_DERIV_NGLS_PLASTICS|||False|||</v>
          </cell>
          <cell r="C201" t="str">
            <v>V_KEYWORD_ISSR_208020706_EXP_OIL_DERIV_NGLS_PLASTICS</v>
          </cell>
        </row>
        <row r="202">
          <cell r="A202" t="str">
            <v>Vector|||208020706|||ISSR|||EXP_GOLD|||False|||</v>
          </cell>
          <cell r="C202" t="str">
            <v>V_KEYWORD_ISSR_208020706_EXP_GOLD</v>
          </cell>
        </row>
        <row r="203">
          <cell r="A203" t="str">
            <v>Vector|||208020706|||ISSR|||EXP_COPPER|||False|||</v>
          </cell>
          <cell r="C203" t="str">
            <v>V_KEYWORD_ISSR_208020706_EXP_COPPER</v>
          </cell>
        </row>
        <row r="204">
          <cell r="A204" t="str">
            <v>Vector|||208020706|||ISSR|||EXP_SILVER|||False|||</v>
          </cell>
          <cell r="C204" t="str">
            <v>V_KEYWORD_ISSR_208020706_EXP_SILVER</v>
          </cell>
        </row>
        <row r="205">
          <cell r="A205" t="str">
            <v>Vector|||208020706|||ISSR|||EXP_PLATINUM|||False|||</v>
          </cell>
          <cell r="C205" t="str">
            <v>V_KEYWORD_ISSR_208020706_EXP_PLATINUM</v>
          </cell>
        </row>
        <row r="206">
          <cell r="A206" t="str">
            <v>Vector|||208020706|||ISSR|||EXP_ALUMINIUM|||False|||</v>
          </cell>
          <cell r="C206" t="str">
            <v>V_KEYWORD_ISSR_208020706_EXP_ALUMINIUM</v>
          </cell>
        </row>
        <row r="207">
          <cell r="A207" t="str">
            <v>Vector|||208020706|||ISSR|||EXP_DIAMONDS|||False|||</v>
          </cell>
          <cell r="C207" t="str">
            <v>V_KEYWORD_ISSR_208020706_EXP_DIAMONDS</v>
          </cell>
        </row>
        <row r="208">
          <cell r="A208" t="str">
            <v>Vector|||208020706|||ISSR|||EXP_PAPER_PULP|||False|||</v>
          </cell>
          <cell r="C208" t="str">
            <v>V_KEYWORD_ISSR_208020706_EXP_PAPER_PULP</v>
          </cell>
        </row>
        <row r="209">
          <cell r="A209" t="str">
            <v>Vector|||208020706|||ISSR|||EXP_WHEAT|||False|||</v>
          </cell>
          <cell r="C209" t="str">
            <v>V_KEYWORD_ISSR_208020706_EXP_WHEAT</v>
          </cell>
        </row>
        <row r="210">
          <cell r="A210" t="str">
            <v>Vector|||208020706|||ISSR|||EXP_SUGAR|||False|||</v>
          </cell>
          <cell r="C210" t="str">
            <v>V_KEYWORD_ISSR_208020706_EXP_SUGAR</v>
          </cell>
        </row>
        <row r="211">
          <cell r="A211" t="str">
            <v>Vector|||208020706|||ISSR|||EXP_SOYBEAN|||False|||</v>
          </cell>
          <cell r="C211" t="str">
            <v>V_KEYWORD_ISSR_208020706_EXP_SOYBEAN</v>
          </cell>
        </row>
        <row r="212">
          <cell r="A212" t="str">
            <v>Vector|||208020706|||ISSR|||EXP_CORN|||False|||</v>
          </cell>
          <cell r="C212" t="str">
            <v>V_KEYWORD_ISSR_208020706_EXP_CORN</v>
          </cell>
        </row>
        <row r="213">
          <cell r="A213" t="str">
            <v>Vector|||208020706|||ISSR|||EXP_COTTON|||False|||</v>
          </cell>
          <cell r="C213" t="str">
            <v>V_KEYWORD_ISSR_208020706_EXP_COTTON</v>
          </cell>
        </row>
        <row r="214">
          <cell r="A214" t="str">
            <v>Vector|||208020706|||ISSR|||EXP_COFFEE|||False|||</v>
          </cell>
          <cell r="C214" t="str">
            <v>V_KEYWORD_ISSR_208020706_EXP_COFFEE</v>
          </cell>
        </row>
        <row r="215">
          <cell r="A215" t="str">
            <v>Vector|||208020706|||ISSR|||EXP_COCOA|||False|||</v>
          </cell>
          <cell r="C215" t="str">
            <v>V_KEYWORD_ISSR_208020706_EXP_COCOA</v>
          </cell>
        </row>
        <row r="216">
          <cell r="A216" t="str">
            <v>Vector|||208020706|||ISSR|||EXP_BEEF|||False|||</v>
          </cell>
          <cell r="C216" t="str">
            <v>V_KEYWORD_ISSR_208020706_EXP_BEEF</v>
          </cell>
        </row>
        <row r="217">
          <cell r="A217" t="str">
            <v>Vector|||208020706|||ISSR|||EXP_PORK|||False|||</v>
          </cell>
          <cell r="C217" t="str">
            <v>V_KEYWORD_ISSR_208020706_EXP_PORK</v>
          </cell>
        </row>
        <row r="218">
          <cell r="A218" t="str">
            <v>Vector|||208020706|||ISSR|||EXP_CHICKEN|||False|||</v>
          </cell>
          <cell r="C218" t="str">
            <v>V_KEYWORD_ISSR_208020706_EXP_CHICKEN</v>
          </cell>
        </row>
        <row r="219">
          <cell r="A219" t="str">
            <v>Vector|||208020706|||ISSR|||EXP_DAIRY|||False|||</v>
          </cell>
          <cell r="C219" t="str">
            <v>V_KEYWORD_ISSR_208020706_EXP_DAIRY</v>
          </cell>
        </row>
        <row r="220">
          <cell r="A220" t="str">
            <v>Vector|||208020706|||ISSR|||EXP_NUTS|||False|||</v>
          </cell>
          <cell r="C220" t="str">
            <v>V_KEYWORD_ISSR_208020706_EXP_NUTS</v>
          </cell>
        </row>
        <row r="221">
          <cell r="A221" t="str">
            <v>Vector|||208020706|||ISSR|||EXP_PALM_OIL|||False|||</v>
          </cell>
          <cell r="C221" t="str">
            <v>V_KEYWORD_ISSR_208020706_EXP_PALM_OIL</v>
          </cell>
        </row>
        <row r="222">
          <cell r="A222" t="str">
            <v>Vector|||208020706|||ISSR|||EXP_TOBACCO_LEAF|||False|||</v>
          </cell>
          <cell r="C222" t="str">
            <v>V_KEYWORD_ISSR_208020706_EXP_TOBACCO_LEAF</v>
          </cell>
        </row>
        <row r="223">
          <cell r="A223" t="str">
            <v>Vector|||208020706|||ISSR|||EXP_WATER|||False|||</v>
          </cell>
          <cell r="C223" t="str">
            <v>V_KEYWORD_ISSR_208020706_EXP_WATER</v>
          </cell>
        </row>
        <row r="224">
          <cell r="A224" t="str">
            <v>Vector|||208020706|||ISSR|||EXP_OTH_COMMODITY|||False|||</v>
          </cell>
          <cell r="C224" t="str">
            <v>V_KEYWORD_ISSR_208020706_EXP_OTH_COMMODITY</v>
          </cell>
        </row>
        <row r="225">
          <cell r="A225" t="str">
            <v>Vector|||208020706|||ISSR|||EXP_OTH_COST|||False|||</v>
          </cell>
          <cell r="C225" t="str">
            <v>V_KEYWORD_ISSR_208020706_EXP_OTH_COST</v>
          </cell>
        </row>
        <row r="227">
          <cell r="A227" t="str">
            <v>Vector|||208020706|||ISSR|||SALES_FX_GPB|||False|||</v>
          </cell>
          <cell r="C227" t="str">
            <v>V_KEYWORD_ISSR_208020706_SALES_FX_GPB</v>
          </cell>
        </row>
        <row r="228">
          <cell r="A228" t="str">
            <v>Vector|||208020706|||ISSR|||SALES_FX_EUR|||False|||</v>
          </cell>
          <cell r="C228" t="str">
            <v>V_KEYWORD_ISSR_208020706_SALES_FX_EUR</v>
          </cell>
        </row>
        <row r="229">
          <cell r="A229" t="str">
            <v>Vector|||208020706|||ISSR|||SALES_FX_RUB|||False|||</v>
          </cell>
          <cell r="C229" t="str">
            <v>V_KEYWORD_ISSR_208020706_SALES_FX_RUB</v>
          </cell>
        </row>
        <row r="230">
          <cell r="A230" t="str">
            <v>Vector|||208020706|||ISSR|||SALES_FX_USD|||False|||</v>
          </cell>
          <cell r="C230" t="str">
            <v>V_KEYWORD_ISSR_208020706_SALES_FX_USD</v>
          </cell>
        </row>
        <row r="231">
          <cell r="A231" t="str">
            <v>Vector|||208020706|||ISSR|||SALES_FX_BRL|||False|||</v>
          </cell>
          <cell r="C231" t="str">
            <v>V_KEYWORD_ISSR_208020706_SALES_FX_BRL</v>
          </cell>
        </row>
        <row r="232">
          <cell r="A232" t="str">
            <v>Vector|||208020706|||ISSR|||SALES_FX_YEN|||False|||</v>
          </cell>
          <cell r="C232" t="str">
            <v>V_KEYWORD_ISSR_208020706_SALES_FX_YEN</v>
          </cell>
        </row>
        <row r="233">
          <cell r="A233" t="str">
            <v>Vector|||208020706|||ISSR|||SALES_FX_CNY|||False|||</v>
          </cell>
          <cell r="C233" t="str">
            <v>V_KEYWORD_ISSR_208020706_SALES_FX_CNY</v>
          </cell>
        </row>
        <row r="234">
          <cell r="A234" t="str">
            <v>Vector|||208020706|||ISSR|||SALES_FX_INR|||False|||</v>
          </cell>
          <cell r="C234" t="str">
            <v>V_KEYWORD_ISSR_208020706_SALES_FX_INR</v>
          </cell>
        </row>
        <row r="235">
          <cell r="A235" t="str">
            <v>Vector|||208020706|||ISSR|||SALES_FX_ZAR|||False|||</v>
          </cell>
          <cell r="C235" t="str">
            <v>V_KEYWORD_ISSR_208020706_SALES_FX_ZAR</v>
          </cell>
        </row>
        <row r="236">
          <cell r="A236" t="str">
            <v>Vector|||208020706|||ISSR|||SALES_FX_NGN|||False|||</v>
          </cell>
          <cell r="C236" t="str">
            <v>V_KEYWORD_ISSR_208020706_SALES_FX_NGN</v>
          </cell>
        </row>
        <row r="237">
          <cell r="A237" t="str">
            <v>Vector|||208020706|||ISSR|||SALES_FX_CHF|||False|||</v>
          </cell>
          <cell r="C237" t="str">
            <v>V_KEYWORD_ISSR_208020706_SALES_FX_CHF</v>
          </cell>
        </row>
        <row r="238">
          <cell r="A238" t="str">
            <v>Vector|||208020706|||ISSR|||SALES_FX_AED|||False|||</v>
          </cell>
          <cell r="C238" t="str">
            <v>V_KEYWORD_ISSR_208020706_SALES_FX_AED</v>
          </cell>
        </row>
        <row r="239">
          <cell r="A239" t="str">
            <v>Vector|||208020706|||ISSR|||SALES_FX_TRY|||False|||</v>
          </cell>
          <cell r="C239" t="str">
            <v>V_KEYWORD_ISSR_208020706_SALES_FX_TRY</v>
          </cell>
        </row>
        <row r="240">
          <cell r="A240" t="str">
            <v>Vector|||208020706|||ISSR|||SALES_FX_OTH|||False|||</v>
          </cell>
          <cell r="C240" t="str">
            <v>V_KEYWORD_ISSR_208020706_SALES_FX_OTH</v>
          </cell>
        </row>
        <row r="242">
          <cell r="A242" t="str">
            <v>Vector|||208020706|||ISSR|||SALES_TOT_AM|||False|||</v>
          </cell>
          <cell r="C242" t="str">
            <v>V_KEYWORD_ISSR_208020706_SALES_TOT_AM</v>
          </cell>
        </row>
        <row r="243">
          <cell r="A243" t="str">
            <v>Vector|||208020706|||ISSR|||SALES_OTH_AM|||False|||</v>
          </cell>
          <cell r="C243" t="str">
            <v>V_KEYWORD_ISSR_208020706_SALES_OTH_AM</v>
          </cell>
        </row>
        <row r="244">
          <cell r="A244" t="str">
            <v>Vector|||208020706|||ISSR|||SALES_TOT_EMEA|||False|||</v>
          </cell>
          <cell r="C244" t="str">
            <v>V_KEYWORD_ISSR_208020706_SALES_TOT_EMEA</v>
          </cell>
        </row>
        <row r="245">
          <cell r="A245" t="str">
            <v>Vector|||208020706|||ISSR|||SALES_EU_EX_UK|||False|||</v>
          </cell>
          <cell r="C245" t="str">
            <v>V_KEYWORD_ISSR_208020706_SALES_EU_EX_UK</v>
          </cell>
        </row>
        <row r="246">
          <cell r="A246" t="str">
            <v>Vector|||208020706|||ISSR|||SALES_OTH_EU_EX_UK|||False|||</v>
          </cell>
          <cell r="C246" t="str">
            <v>V_KEYWORD_ISSR_208020706_SALES_OTH_EU_EX_UK</v>
          </cell>
        </row>
        <row r="247">
          <cell r="A247" t="str">
            <v>Vector|||208020706|||ISSR|||SALES_CEE|||False|||</v>
          </cell>
          <cell r="C247" t="str">
            <v>V_KEYWORD_ISSR_208020706_SALES_CEE</v>
          </cell>
        </row>
        <row r="248">
          <cell r="A248" t="str">
            <v>Vector|||208020706|||ISSR|||SALES_ME|||False|||</v>
          </cell>
          <cell r="C248" t="str">
            <v>V_KEYWORD_ISSR_208020706_SALES_ME</v>
          </cell>
        </row>
        <row r="249">
          <cell r="A249" t="str">
            <v>Vector|||208020706|||ISSR|||SALES_TOT_AFRICA|||False|||</v>
          </cell>
          <cell r="C249" t="str">
            <v>V_KEYWORD_ISSR_208020706_SALES_TOT_AFRICA</v>
          </cell>
        </row>
        <row r="250">
          <cell r="A250" t="str">
            <v>Vector|||208020706|||ISSR|||SALES_OTH_EMEA|||False|||</v>
          </cell>
          <cell r="C250" t="str">
            <v>V_KEYWORD_ISSR_208020706_SALES_OTH_EMEA</v>
          </cell>
        </row>
        <row r="251">
          <cell r="A251" t="str">
            <v>Vector|||208020706|||ISSR|||SALES_TOT_ASIA|||False|||</v>
          </cell>
          <cell r="C251" t="str">
            <v>V_KEYWORD_ISSR_208020706_SALES_TOT_ASIA</v>
          </cell>
        </row>
        <row r="252">
          <cell r="A252" t="str">
            <v>Vector|||208020706|||ISSR|||SALES_OTH_AEJ|||False|||</v>
          </cell>
          <cell r="C252" t="str">
            <v>V_KEYWORD_ISSR_208020706_SALES_OTH_AEJ</v>
          </cell>
        </row>
        <row r="253">
          <cell r="A253" t="str">
            <v>Vector|||208020706|||ISSR|||IND_SALES_BRAZIL|||False|||</v>
          </cell>
          <cell r="C253" t="str">
            <v>V_KEYWORD_ISSR_208020706_IND_SALES_BRAZIL</v>
          </cell>
        </row>
        <row r="254">
          <cell r="A254" t="str">
            <v>Vector|||208020706|||ISSR|||IND_SALES_US|||False|||</v>
          </cell>
          <cell r="C254" t="str">
            <v>V_KEYWORD_ISSR_208020706_IND_SALES_US</v>
          </cell>
        </row>
        <row r="255">
          <cell r="A255" t="str">
            <v>Vector|||208020706|||ISSR|||IND_SALES_OTH_AM|||False|||</v>
          </cell>
          <cell r="C255" t="str">
            <v>V_KEYWORD_ISSR_208020706_IND_SALES_OTH_AM</v>
          </cell>
        </row>
        <row r="256">
          <cell r="A256" t="str">
            <v>Vector|||208020706|||ISSR|||IND_SALES_TOT_AM|||False|||</v>
          </cell>
          <cell r="C256" t="str">
            <v>V_KEYWORD_ISSR_208020706_IND_SALES_TOT_AM</v>
          </cell>
        </row>
        <row r="257">
          <cell r="A257" t="str">
            <v>Vector|||208020706|||ISSR|||IND_SALES_FRA|||False|||</v>
          </cell>
          <cell r="C257" t="str">
            <v>V_KEYWORD_ISSR_208020706_IND_SALES_FRA</v>
          </cell>
        </row>
        <row r="258">
          <cell r="A258" t="str">
            <v>Vector|||208020706|||ISSR|||IND_SALES_GER|||False|||</v>
          </cell>
          <cell r="C258" t="str">
            <v>V_KEYWORD_ISSR_208020706_IND_SALES_GER</v>
          </cell>
        </row>
        <row r="259">
          <cell r="A259" t="str">
            <v>Vector|||208020706|||ISSR|||IND_SALES_ITA|||False|||</v>
          </cell>
          <cell r="C259" t="str">
            <v>V_KEYWORD_ISSR_208020706_IND_SALES_ITA</v>
          </cell>
        </row>
        <row r="260">
          <cell r="A260" t="str">
            <v>Vector|||208020706|||ISSR|||IND_SALES_SPA|||False|||</v>
          </cell>
          <cell r="C260" t="str">
            <v>V_KEYWORD_ISSR_208020706_IND_SALES_SPA</v>
          </cell>
        </row>
        <row r="261">
          <cell r="A261" t="str">
            <v>Vector|||208020706|||ISSR|||IND_SALES_UK|||False|||</v>
          </cell>
          <cell r="C261" t="str">
            <v>V_KEYWORD_ISSR_208020706_IND_SALES_UK</v>
          </cell>
        </row>
        <row r="262">
          <cell r="A262" t="str">
            <v>Vector|||208020706|||ISSR|||IND_SALES_EU_EX_UK|||False|||</v>
          </cell>
          <cell r="C262" t="str">
            <v>V_KEYWORD_ISSR_208020706_IND_SALES_EU_EX_UK</v>
          </cell>
        </row>
        <row r="263">
          <cell r="A263" t="str">
            <v>Vector|||208020706|||ISSR|||IND_SALES_OTH_EU_EX_UK|||False|||</v>
          </cell>
          <cell r="C263" t="str">
            <v>V_KEYWORD_ISSR_208020706_IND_SALES_OTH_EU_EX_UK</v>
          </cell>
        </row>
        <row r="264">
          <cell r="A264" t="str">
            <v>Vector|||208020706|||ISSR|||IND_SALES_RUSSIA|||False|||</v>
          </cell>
          <cell r="C264" t="str">
            <v>V_KEYWORD_ISSR_208020706_IND_SALES_RUSSIA</v>
          </cell>
        </row>
        <row r="265">
          <cell r="A265" t="str">
            <v>Vector|||208020706|||ISSR|||IND_SALES_CEE|||False|||</v>
          </cell>
          <cell r="C265" t="str">
            <v>V_KEYWORD_ISSR_208020706_IND_SALES_CEE</v>
          </cell>
        </row>
        <row r="266">
          <cell r="A266" t="str">
            <v>Vector|||208020706|||ISSR|||IND_SALES_OTH_EMEA|||False|||</v>
          </cell>
          <cell r="C266" t="str">
            <v>V_KEYWORD_ISSR_208020706_IND_SALES_OTH_EMEA</v>
          </cell>
        </row>
        <row r="267">
          <cell r="A267" t="str">
            <v>Vector|||208020706|||ISSR|||IND_SALES_TOT_EMEA|||False|||</v>
          </cell>
          <cell r="C267" t="str">
            <v>V_KEYWORD_ISSR_208020706_IND_SALES_TOT_EMEA</v>
          </cell>
        </row>
        <row r="268">
          <cell r="A268" t="str">
            <v>Vector|||208020706|||ISSR|||IND_SALES_ME|||False|||</v>
          </cell>
          <cell r="C268" t="str">
            <v>V_KEYWORD_ISSR_208020706_IND_SALES_ME</v>
          </cell>
        </row>
        <row r="269">
          <cell r="A269" t="str">
            <v>Vector|||208020706|||ISSR|||IND_SALES_NIGERIA|||False|||</v>
          </cell>
          <cell r="C269" t="str">
            <v>V_KEYWORD_ISSR_208020706_IND_SALES_NIGERIA</v>
          </cell>
        </row>
        <row r="270">
          <cell r="A270" t="str">
            <v>Vector|||208020706|||ISSR|||IND_SALES_SO_AFRICA|||False|||</v>
          </cell>
          <cell r="C270" t="str">
            <v>V_KEYWORD_ISSR_208020706_IND_SALES_SO_AFRICA</v>
          </cell>
        </row>
        <row r="271">
          <cell r="A271" t="str">
            <v>Vector|||208020706|||ISSR|||IND_SALES_OTH_AFRICA|||False|||</v>
          </cell>
          <cell r="C271" t="str">
            <v>V_KEYWORD_ISSR_208020706_IND_SALES_OTH_AFRICA</v>
          </cell>
        </row>
        <row r="272">
          <cell r="A272" t="str">
            <v>Vector|||208020706|||ISSR|||IND_SALES_TOT_AFRICA|||False|||</v>
          </cell>
          <cell r="C272" t="str">
            <v>V_KEYWORD_ISSR_208020706_IND_SALES_TOT_AFRICA</v>
          </cell>
        </row>
        <row r="273">
          <cell r="A273" t="str">
            <v>Vector|||208020706|||ISSR|||IND_SALES_CHINA|||False|||</v>
          </cell>
          <cell r="C273" t="str">
            <v>V_KEYWORD_ISSR_208020706_IND_SALES_CHINA</v>
          </cell>
        </row>
        <row r="274">
          <cell r="A274" t="str">
            <v>Vector|||208020706|||ISSR|||IND_SALES_INDIA|||False|||</v>
          </cell>
          <cell r="C274" t="str">
            <v>V_KEYWORD_ISSR_208020706_IND_SALES_INDIA</v>
          </cell>
        </row>
        <row r="275">
          <cell r="A275" t="str">
            <v>Vector|||208020706|||ISSR|||IND_SALES_JAPAN|||False|||</v>
          </cell>
          <cell r="C275" t="str">
            <v>V_KEYWORD_ISSR_208020706_IND_SALES_JAPAN</v>
          </cell>
        </row>
        <row r="276">
          <cell r="A276" t="str">
            <v>Vector|||208020706|||ISSR|||IND_SALES_OTH_AEJ|||False|||</v>
          </cell>
          <cell r="C276" t="str">
            <v>V_KEYWORD_ISSR_208020706_IND_SALES_OTH_AEJ</v>
          </cell>
        </row>
        <row r="277">
          <cell r="A277" t="str">
            <v>Vector|||208020706|||ISSR|||IND_SALES_TOT_ASIA|||False|||</v>
          </cell>
          <cell r="C277" t="str">
            <v>V_KEYWORD_ISSR_208020706_IND_SALES_TOT_ASIA</v>
          </cell>
        </row>
        <row r="278">
          <cell r="A278" t="str">
            <v>Vector|||208020706|||ISSR|||IND_SALES_OTHER|||False|||</v>
          </cell>
          <cell r="C278" t="str">
            <v>V_KEYWORD_ISSR_208020706_IND_SALES_OTHER</v>
          </cell>
        </row>
        <row r="279">
          <cell r="A279" t="str">
            <v>Vector|||208020706|||ISSR|||IND_SALES_CONS|||False|||</v>
          </cell>
          <cell r="C279" t="str">
            <v>V_KEYWORD_ISSR_208020706_IND_SALES_CONS</v>
          </cell>
        </row>
        <row r="280">
          <cell r="A280" t="str">
            <v>Vector|||208020706|||ISSR|||IND_SALES_IND|||False|||</v>
          </cell>
          <cell r="C280" t="str">
            <v>V_KEYWORD_ISSR_208020706_IND_SALES_IND</v>
          </cell>
        </row>
        <row r="281">
          <cell r="A281" t="str">
            <v>Vector|||208020706|||ISSR|||IND_SALES_GOV|||False|||</v>
          </cell>
          <cell r="C281" t="str">
            <v>V_KEYWORD_ISSR_208020706_IND_SALES_GOV</v>
          </cell>
        </row>
        <row r="282">
          <cell r="A282" t="str">
            <v>Vector|||208020706|||ISSR|||IND_SALES_FINAN|||False|||</v>
          </cell>
          <cell r="C282" t="str">
            <v>V_KEYWORD_ISSR_208020706_IND_SALES_FINAN</v>
          </cell>
        </row>
        <row r="284">
          <cell r="A284" t="str">
            <v>Vector|||208020706|||ISSR|||RETAIL_CN_PCT_CHG|||False|||</v>
          </cell>
          <cell r="C284" t="str">
            <v>V_KEYWORD_ISSR_208020706_RETAIL_CN_PCT_CHG</v>
          </cell>
        </row>
        <row r="290">
          <cell r="A290" t="str">
            <v>Scalar|||200021300|||EQTY|||PUB_CURRENCY_ISO|||False|||</v>
          </cell>
          <cell r="C290" t="str">
            <v>V_KEYWORD_EQTY_200021300_PUB_CURRENCY_ISO</v>
          </cell>
          <cell r="E290" t="str">
            <v>ERROR</v>
          </cell>
        </row>
        <row r="291">
          <cell r="A291" t="str">
            <v>Scalar|||200021300|||EQTY|||PRICE_CURRENCY_ISO|||False|||</v>
          </cell>
          <cell r="C291" t="str">
            <v>V_KEYWORD_EQTY_200021300_PRICE_CURRENCY_ISO</v>
          </cell>
          <cell r="E291" t="str">
            <v>ERROR</v>
          </cell>
        </row>
        <row r="292">
          <cell r="A292" t="str">
            <v>Scalar|||200021300|||EQTY|||CURRENCY_ISO|||False|||</v>
          </cell>
          <cell r="C292" t="str">
            <v>V_KEYWORD_EQTY_200021300_CURRENCY_ISO</v>
          </cell>
        </row>
        <row r="294">
          <cell r="A294" t="str">
            <v>Scalar|||200021300|||EQTY|||EURO_LIST|||False|||</v>
          </cell>
          <cell r="C294" t="str">
            <v>V_KEYWORD_EQTY_200021300_EURO_LIST</v>
          </cell>
          <cell r="E294" t="str">
            <v>ERROR</v>
          </cell>
        </row>
        <row r="295">
          <cell r="A295" t="str">
            <v>Scalar|||200021300|||EQTY|||EURO_CONVICTION|||False|||</v>
          </cell>
          <cell r="C295" t="str">
            <v>V_KEYWORD_EQTY_200021300_EURO_CONVICTION</v>
          </cell>
        </row>
        <row r="296">
          <cell r="A296" t="str">
            <v>Scalar|||200021300|||EQTY|||LEGAL_RATING|||False|||</v>
          </cell>
          <cell r="C296" t="str">
            <v>V_KEYWORD_EQTY_200021300_LEGAL_RATING</v>
          </cell>
        </row>
        <row r="297">
          <cell r="A297" t="str">
            <v>Scalar|||200021300|||EQTY|||TARGET_PRICE|||False|||</v>
          </cell>
          <cell r="C297" t="str">
            <v>V_KEYWORD_EQTY_200021300_TARGET_PRICE</v>
          </cell>
          <cell r="E297" t="str">
            <v>ERROR</v>
          </cell>
        </row>
        <row r="298">
          <cell r="A298" t="str">
            <v>Scalar|||200021300|||EQTY|||TP_PERIOD|||False|||</v>
          </cell>
          <cell r="C298" t="str">
            <v>V_KEYWORD_EQTY_200021300_TP_PERIOD</v>
          </cell>
          <cell r="E298" t="str">
            <v>ERROR</v>
          </cell>
        </row>
        <row r="299">
          <cell r="A299" t="str">
            <v>Scalar|||200021300|||EQTY|||TARGET_PRICE_FUNDAMENTAL|||False|||</v>
          </cell>
          <cell r="C299" t="str">
            <v>V_KEYWORD_EQTY_200021300_TARGET_PRICE_FUNDAMENTAL</v>
          </cell>
        </row>
        <row r="300">
          <cell r="A300" t="str">
            <v>Scalar|||200021300|||EQTY|||TARGET_PRICE_MA|||False|||</v>
          </cell>
          <cell r="C300" t="str">
            <v>V_KEYWORD_EQTY_200021300_TARGET_PRICE_MA</v>
          </cell>
        </row>
        <row r="301">
          <cell r="A301" t="str">
            <v>Scalar|||200021300|||EQTY|||NUM_SH|||False|||</v>
          </cell>
          <cell r="C301" t="str">
            <v>V_KEYWORD_EQTY_200021300_NUM_SH</v>
          </cell>
        </row>
        <row r="302">
          <cell r="A302" t="str">
            <v>Scalar|||200021300|||EQTY|||FREE_FLOAT|||False|||</v>
          </cell>
          <cell r="C302" t="str">
            <v>V_KEYWORD_EQTY_200021300_FREE_FLOAT</v>
          </cell>
        </row>
        <row r="304">
          <cell r="A304" t="str">
            <v>Vector|||200021300|||EQTY|||BVPS_PUB|||False|||</v>
          </cell>
          <cell r="C304" t="str">
            <v>V_KEYWORD_EQTY_200021300_BVPS_PUB</v>
          </cell>
        </row>
        <row r="305">
          <cell r="A305" t="str">
            <v>Vector|||200021300|||EQTY|||DPS_PUB|||False|||</v>
          </cell>
          <cell r="C305" t="str">
            <v>V_KEYWORD_EQTY_200021300_DPS_PUB</v>
          </cell>
        </row>
        <row r="306">
          <cell r="A306" t="str">
            <v>Vector|||200021300|||EQTY|||DPS_SPECIAL_PUB|||False|||</v>
          </cell>
          <cell r="C306" t="str">
            <v>V_KEYWORD_EQTY_200021300_DPS_SPECIAL_PUB</v>
          </cell>
        </row>
        <row r="307">
          <cell r="A307" t="str">
            <v>Vector|||200021300|||EQTY|||EBITDA_PUB|||False|||</v>
          </cell>
          <cell r="C307" t="str">
            <v>V_KEYWORD_EQTY_200021300_EBITDA_PUB</v>
          </cell>
        </row>
        <row r="308">
          <cell r="A308" t="str">
            <v>Vector|||200021300|||EQTY|||EPS_PUB|||False|||</v>
          </cell>
          <cell r="C308" t="str">
            <v>V_KEYWORD_EQTY_200021300_EPS_PUB</v>
          </cell>
          <cell r="F308" t="str">
            <v>ERROR</v>
          </cell>
          <cell r="G308" t="str">
            <v>ERROR</v>
          </cell>
          <cell r="H308" t="str">
            <v>ERROR</v>
          </cell>
          <cell r="I308" t="str">
            <v>ERROR</v>
          </cell>
          <cell r="J308" t="str">
            <v>ERROR</v>
          </cell>
          <cell r="K308" t="str">
            <v>ERROR</v>
          </cell>
          <cell r="L308" t="str">
            <v>ERROR</v>
          </cell>
          <cell r="M308" t="str">
            <v>ERROR</v>
          </cell>
          <cell r="N308" t="str">
            <v>ERROR</v>
          </cell>
          <cell r="O308" t="str">
            <v>ERROR</v>
          </cell>
          <cell r="P308" t="str">
            <v>ERROR</v>
          </cell>
          <cell r="Q308" t="str">
            <v>ERROR</v>
          </cell>
          <cell r="R308" t="str">
            <v>ERROR</v>
          </cell>
          <cell r="S308" t="str">
            <v>ERROR</v>
          </cell>
          <cell r="T308" t="str">
            <v>ERROR</v>
          </cell>
          <cell r="U308" t="str">
            <v>ERROR</v>
          </cell>
        </row>
        <row r="309">
          <cell r="A309" t="str">
            <v>Vector|||200021300|||EQTY|||EV_ADJ_PUB|||False|||</v>
          </cell>
          <cell r="C309" t="str">
            <v>V_KEYWORD_EQTY_200021300_EV_ADJ_PUB</v>
          </cell>
        </row>
        <row r="310">
          <cell r="A310" t="str">
            <v>Vector|||200021300|||EQTY|||NET_DEBT_PUB|||False|||</v>
          </cell>
          <cell r="C310" t="str">
            <v>V_KEYWORD_EQTY_200021300_NET_DEBT_PUB</v>
          </cell>
        </row>
        <row r="311">
          <cell r="A311" t="str">
            <v>Vector|||200021300|||EQTY|||NET_DEBT_EX_LEASES_PUB|||False|||</v>
          </cell>
          <cell r="C311" t="str">
            <v>V_KEYWORD_EQTY_200021300_NET_DEBT_EX_LEASES_PUB</v>
          </cell>
        </row>
        <row r="312">
          <cell r="A312" t="str">
            <v>Vector|||200021300|||EQTY|||CEEE_NDEBT|||False|||</v>
          </cell>
          <cell r="C312" t="str">
            <v>V_KEYWORD_EQTY_200021300_CEEE_NDEBT</v>
          </cell>
        </row>
        <row r="313">
          <cell r="A313" t="str">
            <v>Vector|||200021300|||EQTY|||NI_PUB|||False|||</v>
          </cell>
          <cell r="C313" t="str">
            <v>V_KEYWORD_EQTY_200021300_NI_PUB</v>
          </cell>
        </row>
        <row r="314">
          <cell r="A314" t="str">
            <v>Vector|||200021300|||EQTY|||EBIT_PUB|||False|||</v>
          </cell>
          <cell r="C314" t="str">
            <v>V_KEYWORD_EQTY_200021300_EBIT_PUB</v>
          </cell>
        </row>
        <row r="315">
          <cell r="A315" t="str">
            <v>Vector|||200021300|||EQTY|||PTP_PUB|||False|||</v>
          </cell>
          <cell r="C315" t="str">
            <v>V_KEYWORD_EQTY_200021300_PTP_PUB</v>
          </cell>
        </row>
        <row r="316">
          <cell r="A316" t="str">
            <v>Vector|||200021300|||EQTY|||REVS_PUB|||False|||</v>
          </cell>
          <cell r="C316" t="str">
            <v>V_KEYWORD_EQTY_200021300_REVS_PUB</v>
          </cell>
        </row>
        <row r="317">
          <cell r="A317" t="str">
            <v>Vector|||200021300|||EQTY|||EQ_PUB|||False|||</v>
          </cell>
          <cell r="C317" t="str">
            <v>V_KEYWORD_EQTY_200021300_EQ_PUB</v>
          </cell>
        </row>
        <row r="319">
          <cell r="A319" t="str">
            <v>Vector|||200021300|||EQTY|||PROV_INC_TAX|||False|||</v>
          </cell>
          <cell r="C319" t="str">
            <v>V_KEYWORD_EQTY_200021300_PROV_INC_TAX</v>
          </cell>
        </row>
        <row r="320">
          <cell r="A320" t="str">
            <v>Vector|||200021300|||EQTY|||INC_MINORITY|||False|||</v>
          </cell>
          <cell r="C320" t="str">
            <v>V_KEYWORD_EQTY_200021300_INC_MINORITY</v>
          </cell>
        </row>
        <row r="321">
          <cell r="A321" t="str">
            <v>Vector|||200021300|||EQTY|||NI_PRE_PREF|||False|||</v>
          </cell>
          <cell r="C321" t="str">
            <v>V_KEYWORD_EQTY_200021300_NI_PRE_PREF</v>
          </cell>
        </row>
        <row r="322">
          <cell r="A322" t="str">
            <v>Vector|||200021300|||EQTY|||PREF_DIV|||False|||</v>
          </cell>
          <cell r="C322" t="str">
            <v>V_KEYWORD_EQTY_200021300_PREF_DIV</v>
          </cell>
        </row>
        <row r="323">
          <cell r="A323" t="str">
            <v>Vector|||200021300|||EQTY|||NET_EARNING|||False|||</v>
          </cell>
          <cell r="C323" t="str">
            <v>V_KEYWORD_EQTY_200021300_NET_EARNING</v>
          </cell>
        </row>
        <row r="324">
          <cell r="A324" t="str">
            <v>Vector|||200021300|||EQTY|||TAX_EXC|||False|||</v>
          </cell>
          <cell r="C324" t="str">
            <v>V_KEYWORD_EQTY_200021300_TAX_EXC</v>
          </cell>
        </row>
        <row r="325">
          <cell r="A325" t="str">
            <v>Vector|||200021300|||EQTY|||NET_INC|||False|||</v>
          </cell>
          <cell r="C325" t="str">
            <v>V_KEYWORD_EQTY_200021300_NET_INC</v>
          </cell>
        </row>
        <row r="326">
          <cell r="A326" t="str">
            <v>Vector|||200021300|||EQTY|||EPS|||False|||</v>
          </cell>
          <cell r="C326" t="str">
            <v>V_KEYWORD_EQTY_200021300_EPS</v>
          </cell>
        </row>
        <row r="327">
          <cell r="A327" t="str">
            <v>Vector|||200021300|||EQTY|||EPS_FUL_DIL|||False|||</v>
          </cell>
          <cell r="C327" t="str">
            <v>V_KEYWORD_EQTY_200021300_EPS_FUL_DIL</v>
          </cell>
        </row>
        <row r="328">
          <cell r="A328" t="str">
            <v>Vector|||200021300|||EQTY|||EPS_POST_BASIC|||False|||</v>
          </cell>
          <cell r="C328" t="str">
            <v>V_KEYWORD_EQTY_200021300_EPS_POST_BASIC</v>
          </cell>
        </row>
        <row r="329">
          <cell r="A329" t="str">
            <v>Vector|||200021300|||EQTY|||FULLY_DIL_EPS|||False|||</v>
          </cell>
          <cell r="C329" t="str">
            <v>V_KEYWORD_EQTY_200021300_FULLY_DIL_EPS</v>
          </cell>
        </row>
        <row r="330">
          <cell r="A330" t="str">
            <v>Vector|||200021300|||EQTY|||COMMON_DIV_PAID|||False|||</v>
          </cell>
          <cell r="C330" t="str">
            <v>V_KEYWORD_EQTY_200021300_COMMON_DIV_PAID</v>
          </cell>
        </row>
        <row r="331">
          <cell r="A331" t="str">
            <v>Vector|||200021300|||EQTY|||DPS|||False|||</v>
          </cell>
          <cell r="C331" t="str">
            <v>V_KEYWORD_EQTY_200021300_DPS</v>
          </cell>
        </row>
        <row r="332">
          <cell r="A332" t="str">
            <v>Vector|||200021300|||EQTY|||SH|||False|||</v>
          </cell>
          <cell r="C332" t="str">
            <v>V_KEYWORD_EQTY_200021300_SH</v>
          </cell>
        </row>
        <row r="333">
          <cell r="A333" t="str">
            <v>Vector|||200021300|||EQTY|||DILUTE_SHARES|||False|||</v>
          </cell>
          <cell r="C333" t="str">
            <v>V_KEYWORD_EQTY_200021300_DILUTE_SHARES</v>
          </cell>
        </row>
        <row r="334">
          <cell r="A334" t="str">
            <v>Vector|||200021300|||EQTY|||NON_OP_ADD|||False|||</v>
          </cell>
          <cell r="C334" t="str">
            <v>V_KEYWORD_EQTY_200021300_NON_OP_ADD</v>
          </cell>
        </row>
        <row r="336">
          <cell r="A336" t="str">
            <v>Vector|||200021300|||EQTY|||ORG_NI|||False|||</v>
          </cell>
          <cell r="C336" t="str">
            <v>V_KEYWORD_EQTY_200021300_ORG_NI</v>
          </cell>
        </row>
        <row r="337">
          <cell r="A337" t="str">
            <v>Vector|||200021300|||EQTY|||ORG_EPS|||False|||</v>
          </cell>
          <cell r="C337" t="str">
            <v>V_KEYWORD_EQTY_200021300_ORG_EPS</v>
          </cell>
        </row>
        <row r="338">
          <cell r="A338" t="str">
            <v>Vector|||200021300|||EQTY|||MARGIN_TAX_RATE|||False|||</v>
          </cell>
          <cell r="C338" t="str">
            <v>V_KEYWORD_EQTY_200021300_MARGIN_TAX_RATE</v>
          </cell>
        </row>
        <row r="340">
          <cell r="A340" t="str">
            <v>Vector|||200021300|||EQTY|||BVPS|||False|||</v>
          </cell>
          <cell r="C340" t="str">
            <v>V_KEYWORD_EQTY_200021300_BVPS</v>
          </cell>
        </row>
        <row r="342">
          <cell r="A342" t="str">
            <v>Vector|||200021300|||EQTY|||CF_NI_PRE_PREF|||False|||</v>
          </cell>
          <cell r="C342" t="str">
            <v>V_KEYWORD_EQTY_200021300_CF_NI_PRE_PREF</v>
          </cell>
        </row>
        <row r="344">
          <cell r="A344" t="str">
            <v>Scalar|||200021300|||EQTY|||BETA_ANALYST|||False|||</v>
          </cell>
          <cell r="C344" t="str">
            <v>V_KEYWORD_EQTY_200021300_BETA_ANALYST</v>
          </cell>
        </row>
        <row r="345">
          <cell r="A345" t="str">
            <v>Scalar|||200021300|||EQTY|||MKT_EQ_RISK_PREM|||False|||</v>
          </cell>
          <cell r="C345" t="str">
            <v>V_KEYWORD_EQTY_200021300_MKT_EQ_RISK_PREM</v>
          </cell>
        </row>
        <row r="346">
          <cell r="A346" t="str">
            <v>Scalar|||200021300|||EQTY|||RISK_FR_RATE|||False|||</v>
          </cell>
          <cell r="C346" t="str">
            <v>V_KEYWORD_EQTY_200021300_RISK_FR_RATE</v>
          </cell>
        </row>
      </sheetData>
      <sheetData sheetId="2">
        <row r="1">
          <cell r="A1" t="str">
            <v>Issuer: ABOUT YOU Holding</v>
          </cell>
          <cell r="F1">
            <v>2019</v>
          </cell>
          <cell r="G1" t="str">
            <v>2020 Q1</v>
          </cell>
          <cell r="H1" t="str">
            <v>2020 Q2</v>
          </cell>
          <cell r="I1" t="str">
            <v>2020 Q3</v>
          </cell>
          <cell r="J1" t="str">
            <v>2020 Q4</v>
          </cell>
          <cell r="K1">
            <v>2020</v>
          </cell>
          <cell r="L1" t="str">
            <v>2021 Q1</v>
          </cell>
          <cell r="M1" t="str">
            <v>2021 Q2</v>
          </cell>
          <cell r="N1" t="str">
            <v>2021 Q3</v>
          </cell>
          <cell r="O1" t="str">
            <v>2021 Q4</v>
          </cell>
          <cell r="P1">
            <v>2021</v>
          </cell>
          <cell r="Q1" t="str">
            <v>2022 Q1</v>
          </cell>
          <cell r="R1" t="str">
            <v>2022 Q2</v>
          </cell>
          <cell r="S1" t="str">
            <v>2022 Q3</v>
          </cell>
          <cell r="T1" t="str">
            <v>2022 Q4</v>
          </cell>
          <cell r="U1">
            <v>2022</v>
          </cell>
        </row>
        <row r="4">
          <cell r="A4" t="str">
            <v>Issuer: ABOUT YOU Holding</v>
          </cell>
        </row>
        <row r="5">
          <cell r="A5" t="str">
            <v>Reference Data</v>
          </cell>
        </row>
        <row r="6">
          <cell r="B6" t="str">
            <v>Issuer Name</v>
          </cell>
          <cell r="C6" t="str">
            <v>Issuer Name</v>
          </cell>
          <cell r="E6" t="str">
            <v>ABOUT YOU Holding</v>
          </cell>
        </row>
        <row r="7">
          <cell r="B7" t="str">
            <v>Reporting Currency</v>
          </cell>
          <cell r="C7" t="str">
            <v>CURRENCY_ISO</v>
          </cell>
          <cell r="E7" t="str">
            <v>EUR</v>
          </cell>
        </row>
        <row r="8">
          <cell r="A8" t="str">
            <v>General Information</v>
          </cell>
        </row>
        <row r="9">
          <cell r="B9" t="str">
            <v>M&amp;A probability (1 = high, 3 = low)</v>
          </cell>
          <cell r="C9" t="str">
            <v>MA_PROB</v>
          </cell>
        </row>
        <row r="10">
          <cell r="A10" t="str">
            <v>Income Statement</v>
          </cell>
        </row>
        <row r="11">
          <cell r="B11" t="str">
            <v>Sales, net revenue</v>
          </cell>
          <cell r="C11" t="str">
            <v>SALES</v>
          </cell>
          <cell r="D11" t="e">
            <v>#NAME?</v>
          </cell>
        </row>
        <row r="12">
          <cell r="B12" t="str">
            <v>Cost of goods sold, COGS</v>
          </cell>
          <cell r="C12" t="str">
            <v>COST_GD_SD</v>
          </cell>
          <cell r="D12" t="e">
            <v>#NAME?</v>
          </cell>
        </row>
        <row r="13">
          <cell r="B13" t="str">
            <v>SG&amp;A, selling, general and admin. expense</v>
          </cell>
          <cell r="C13" t="str">
            <v>SEL_GL_AD</v>
          </cell>
          <cell r="D13" t="e">
            <v>#NAME?</v>
          </cell>
        </row>
        <row r="14">
          <cell r="B14" t="str">
            <v>Total operating expense</v>
          </cell>
          <cell r="C14" t="str">
            <v>OP_COST</v>
          </cell>
          <cell r="D14" t="e">
            <v>#NAME?</v>
          </cell>
        </row>
        <row r="15">
          <cell r="B15" t="str">
            <v>R&amp;D expense</v>
          </cell>
          <cell r="C15" t="str">
            <v>RD_EXP</v>
          </cell>
          <cell r="D15" t="e">
            <v>#NAME?</v>
          </cell>
        </row>
        <row r="16">
          <cell r="B16" t="str">
            <v>Other operating income/(expense) (incl. leases)</v>
          </cell>
          <cell r="C16" t="str">
            <v>OTH_OP_INC_EXP</v>
          </cell>
          <cell r="D16" t="e">
            <v>#NAME?</v>
          </cell>
        </row>
        <row r="17">
          <cell r="B17" t="str">
            <v>Total operating expense (incl. D&amp;A)</v>
          </cell>
          <cell r="C17" t="str">
            <v>TOT_OPS_EXP_DDA</v>
          </cell>
          <cell r="D17" t="e">
            <v>#NAME?</v>
          </cell>
        </row>
        <row r="18">
          <cell r="B18" t="str">
            <v>Total operating expense (excl. D&amp;A)</v>
          </cell>
          <cell r="C18" t="str">
            <v>TOT_OPS_EXP</v>
          </cell>
          <cell r="D18" t="e">
            <v>#NAME?</v>
          </cell>
        </row>
        <row r="19">
          <cell r="B19" t="str">
            <v>EBITDA</v>
          </cell>
          <cell r="C19" t="str">
            <v>EBITDA_CALC</v>
          </cell>
          <cell r="D19" t="e">
            <v>#NAME?</v>
          </cell>
        </row>
        <row r="20">
          <cell r="B20" t="str">
            <v>Depreciation</v>
          </cell>
          <cell r="C20" t="str">
            <v>DEPREC</v>
          </cell>
          <cell r="D20" t="e">
            <v>#NAME?</v>
          </cell>
        </row>
        <row r="21">
          <cell r="B21" t="str">
            <v>Amortization</v>
          </cell>
          <cell r="C21" t="str">
            <v>GOODWILL_AMORT</v>
          </cell>
          <cell r="D21" t="e">
            <v>#NAME?</v>
          </cell>
        </row>
        <row r="22">
          <cell r="B22" t="str">
            <v>EBIT, operating profit</v>
          </cell>
          <cell r="C22" t="str">
            <v>EBIT</v>
          </cell>
          <cell r="D22" t="e">
            <v>#NAME?</v>
          </cell>
        </row>
        <row r="23">
          <cell r="B23" t="str">
            <v>Interest income</v>
          </cell>
          <cell r="C23" t="str">
            <v>INT_INC_IND</v>
          </cell>
          <cell r="D23" t="e">
            <v>#NAME?</v>
          </cell>
        </row>
        <row r="24">
          <cell r="B24" t="str">
            <v>Interest expense</v>
          </cell>
          <cell r="C24" t="str">
            <v>INT_EXP_IND</v>
          </cell>
          <cell r="D24" t="e">
            <v>#NAME?</v>
          </cell>
        </row>
        <row r="25">
          <cell r="B25" t="str">
            <v>Net interest income/(expense)</v>
          </cell>
          <cell r="C25" t="str">
            <v>NET_INT_EXP</v>
          </cell>
          <cell r="D25" t="e">
            <v>#NAME?</v>
          </cell>
        </row>
        <row r="26">
          <cell r="B26" t="str">
            <v>Income/(loss) from unconsolidated subs &amp; associates</v>
          </cell>
          <cell r="C26" t="str">
            <v>ASSOCIATE</v>
          </cell>
          <cell r="D26" t="e">
            <v>#NAME?</v>
          </cell>
        </row>
        <row r="27">
          <cell r="B27" t="str">
            <v>Profit/(loss) on disposals of assets, pre-tax</v>
          </cell>
          <cell r="C27" t="str">
            <v>PROFIT_ON_DISP</v>
          </cell>
          <cell r="D27" t="e">
            <v>#NAME?</v>
          </cell>
        </row>
        <row r="28">
          <cell r="B28" t="str">
            <v>Other non-ops income/(expense)</v>
          </cell>
          <cell r="C28" t="str">
            <v>OTH_COST_INC</v>
          </cell>
          <cell r="D28" t="e">
            <v>#NAME?</v>
          </cell>
        </row>
        <row r="29">
          <cell r="B29" t="str">
            <v>Pre-tax profit</v>
          </cell>
          <cell r="C29" t="str">
            <v>PT_PROF</v>
          </cell>
          <cell r="D29" t="e">
            <v>#NAME?</v>
          </cell>
        </row>
        <row r="30">
          <cell r="A30" t="str">
            <v>Additional Income Statement Items</v>
          </cell>
        </row>
        <row r="31">
          <cell r="B31" t="str">
            <v>Organic revenues (excl. acquisitions)</v>
          </cell>
          <cell r="C31" t="str">
            <v>ORG_REV</v>
          </cell>
          <cell r="D31" t="e">
            <v>#NAME?</v>
          </cell>
        </row>
        <row r="32">
          <cell r="B32" t="str">
            <v>Organic sales growth (excl. acquisitions)</v>
          </cell>
          <cell r="C32" t="str">
            <v>ORG_REV_GRTH</v>
          </cell>
        </row>
        <row r="33">
          <cell r="B33" t="str">
            <v>Operating lease cost</v>
          </cell>
          <cell r="C33" t="str">
            <v>LEASE_PAY</v>
          </cell>
          <cell r="D33" t="e">
            <v>#NAME?</v>
          </cell>
        </row>
        <row r="34">
          <cell r="B34" t="str">
            <v>Lease payments (deemed interest portion)</v>
          </cell>
          <cell r="C34" t="str">
            <v>LEASE_DEEM_INT</v>
          </cell>
          <cell r="D34" t="e">
            <v>#NAME?</v>
          </cell>
        </row>
        <row r="35">
          <cell r="B35" t="str">
            <v>Lease payments (deemed depreciation portion)</v>
          </cell>
          <cell r="C35" t="str">
            <v>LEASE_DEEM_DEPR</v>
          </cell>
          <cell r="D35" t="e">
            <v>#NAME?</v>
          </cell>
        </row>
        <row r="36">
          <cell r="B36" t="str">
            <v>Gross interest charge</v>
          </cell>
          <cell r="C36" t="str">
            <v>NET_INT_CH</v>
          </cell>
          <cell r="D36" t="e">
            <v>#NAME?</v>
          </cell>
        </row>
        <row r="37">
          <cell r="B37" t="str">
            <v>Income from associates (operating)</v>
          </cell>
          <cell r="C37" t="str">
            <v>ASSOCIATE_OP</v>
          </cell>
          <cell r="D37" t="e">
            <v>#NAME?</v>
          </cell>
        </row>
        <row r="38">
          <cell r="B38" t="str">
            <v>Goodwill amortization</v>
          </cell>
          <cell r="C38" t="str">
            <v>GW_AMORT</v>
          </cell>
          <cell r="D38" t="e">
            <v>#NAME?</v>
          </cell>
        </row>
        <row r="39">
          <cell r="B39" t="str">
            <v>Other intangible amortization</v>
          </cell>
          <cell r="C39" t="str">
            <v>OTH_INT_AMORT</v>
          </cell>
          <cell r="D39" t="e">
            <v>#NAME?</v>
          </cell>
        </row>
        <row r="40">
          <cell r="B40" t="str">
            <v>Depreciation ROU assets   (applicable to IFRS cos.)</v>
          </cell>
          <cell r="C40" t="str">
            <v>DEPR_ROU_ASSETS</v>
          </cell>
          <cell r="D40" t="e">
            <v>#NAME?</v>
          </cell>
        </row>
        <row r="41">
          <cell r="B41" t="str">
            <v>Lease interest charge  (applicable to IFRS cos.)</v>
          </cell>
          <cell r="C41" t="str">
            <v>LEASE_INT_CHG</v>
          </cell>
          <cell r="D41" t="e">
            <v>#NAME?</v>
          </cell>
        </row>
        <row r="42">
          <cell r="B42" t="str">
            <v>Lease standard adopted (US GAAP ASC 842/ IFRS 16)</v>
          </cell>
          <cell r="C42" t="str">
            <v>LEASE_ADOPT</v>
          </cell>
        </row>
        <row r="43">
          <cell r="A43" t="str">
            <v>Balance Sheet</v>
          </cell>
        </row>
        <row r="44">
          <cell r="B44" t="str">
            <v>Cash &amp; cash equivalents</v>
          </cell>
          <cell r="C44" t="str">
            <v>CASH_EQ</v>
          </cell>
          <cell r="D44" t="e">
            <v>#NAME?</v>
          </cell>
        </row>
        <row r="45">
          <cell r="B45" t="str">
            <v>Accounts receivable</v>
          </cell>
          <cell r="C45" t="str">
            <v>DEBTORS</v>
          </cell>
          <cell r="D45" t="e">
            <v>#NAME?</v>
          </cell>
        </row>
        <row r="46">
          <cell r="B46" t="str">
            <v>Inventory</v>
          </cell>
          <cell r="C46" t="str">
            <v>STOCKS</v>
          </cell>
          <cell r="D46" t="e">
            <v>#NAME?</v>
          </cell>
        </row>
        <row r="47">
          <cell r="B47" t="str">
            <v>Other current assets</v>
          </cell>
          <cell r="C47" t="str">
            <v>OTH_CUR_ASS</v>
          </cell>
          <cell r="D47" t="e">
            <v>#NAME?</v>
          </cell>
        </row>
        <row r="48">
          <cell r="B48" t="str">
            <v>Total current assets</v>
          </cell>
          <cell r="C48" t="str">
            <v>CUR_ASS</v>
          </cell>
          <cell r="D48" t="e">
            <v>#NAME?</v>
          </cell>
        </row>
        <row r="49">
          <cell r="B49" t="str">
            <v>Gross fixed assets, PP&amp;E</v>
          </cell>
          <cell r="C49" t="str">
            <v>GR_FIX_ASS</v>
          </cell>
          <cell r="D49" t="e">
            <v>#NAME?</v>
          </cell>
        </row>
        <row r="50">
          <cell r="B50" t="str">
            <v>Accumulated depreciation</v>
          </cell>
          <cell r="C50" t="str">
            <v>ACC_DDA</v>
          </cell>
          <cell r="D50" t="e">
            <v>#NAME?</v>
          </cell>
        </row>
        <row r="51">
          <cell r="B51" t="str">
            <v>Net PP&amp;E</v>
          </cell>
          <cell r="C51" t="str">
            <v>NET_FIX_ASS</v>
          </cell>
          <cell r="D51" t="e">
            <v>#NAME?</v>
          </cell>
        </row>
        <row r="52">
          <cell r="B52" t="str">
            <v>Gross intangibles</v>
          </cell>
          <cell r="C52" t="str">
            <v>GR_INTANG</v>
          </cell>
          <cell r="D52" t="e">
            <v>#NAME?</v>
          </cell>
        </row>
        <row r="53">
          <cell r="B53" t="str">
            <v>Accumulated amortization</v>
          </cell>
          <cell r="C53" t="str">
            <v>ACC_AMORT</v>
          </cell>
          <cell r="D53" t="e">
            <v>#NAME?</v>
          </cell>
        </row>
        <row r="54">
          <cell r="B54" t="str">
            <v>Net intangible assets</v>
          </cell>
          <cell r="C54" t="str">
            <v>NET_INTANG</v>
          </cell>
          <cell r="D54" t="e">
            <v>#NAME?</v>
          </cell>
        </row>
        <row r="55">
          <cell r="B55" t="str">
            <v>Equity method investments</v>
          </cell>
          <cell r="C55" t="str">
            <v>FIX_ASS_INV</v>
          </cell>
          <cell r="D55" t="e">
            <v>#NAME?</v>
          </cell>
        </row>
        <row r="56">
          <cell r="B56" t="str">
            <v>Investments in securities</v>
          </cell>
          <cell r="C56" t="str">
            <v>INV_SECUR</v>
          </cell>
          <cell r="D56" t="e">
            <v>#NAME?</v>
          </cell>
        </row>
        <row r="57">
          <cell r="B57" t="str">
            <v>Other long-term assets</v>
          </cell>
          <cell r="C57" t="str">
            <v>OTH_LT_ASS</v>
          </cell>
          <cell r="D57" t="e">
            <v>#NAME?</v>
          </cell>
        </row>
        <row r="58">
          <cell r="B58" t="str">
            <v>Total assets</v>
          </cell>
          <cell r="C58" t="str">
            <v>TOT_ASSET</v>
          </cell>
          <cell r="D58" t="e">
            <v>#NAME?</v>
          </cell>
        </row>
        <row r="59">
          <cell r="B59" t="str">
            <v>Accounts payable</v>
          </cell>
          <cell r="C59" t="str">
            <v>ACC_PAY_GQ</v>
          </cell>
          <cell r="D59" t="e">
            <v>#NAME?</v>
          </cell>
        </row>
        <row r="60">
          <cell r="B60" t="str">
            <v>Short-term debt</v>
          </cell>
          <cell r="C60" t="str">
            <v>SHORT_T_DEBT</v>
          </cell>
          <cell r="D60" t="e">
            <v>#NAME?</v>
          </cell>
        </row>
        <row r="61">
          <cell r="B61" t="str">
            <v>Current lease liabilities (op lease: US GAAP)</v>
          </cell>
          <cell r="C61" t="str">
            <v>ST_LEASE_LIAB</v>
          </cell>
          <cell r="D61" t="e">
            <v>#NAME?</v>
          </cell>
        </row>
        <row r="62">
          <cell r="B62" t="str">
            <v>Other current liabilities</v>
          </cell>
          <cell r="C62" t="str">
            <v>OTH_CUR_LIABS</v>
          </cell>
          <cell r="D62" t="e">
            <v>#NAME?</v>
          </cell>
        </row>
        <row r="63">
          <cell r="B63" t="str">
            <v>Total current liabilities</v>
          </cell>
          <cell r="C63" t="str">
            <v>SHORT_TERM_LIABS</v>
          </cell>
          <cell r="D63" t="e">
            <v>#NAME?</v>
          </cell>
        </row>
        <row r="64">
          <cell r="B64" t="str">
            <v>Long-term  debt</v>
          </cell>
          <cell r="C64" t="str">
            <v>LT_DEBT</v>
          </cell>
          <cell r="D64" t="e">
            <v>#NAME?</v>
          </cell>
        </row>
        <row r="65">
          <cell r="B65" t="str">
            <v>Non-current lease liabilities (op lease: US GAAP)</v>
          </cell>
          <cell r="C65" t="str">
            <v>LT_LEASE_LIAB</v>
          </cell>
          <cell r="D65" t="e">
            <v>#NAME?</v>
          </cell>
        </row>
        <row r="66">
          <cell r="B66" t="str">
            <v>Other long-term liabilities</v>
          </cell>
          <cell r="C66" t="str">
            <v>OTH_LT_CRED_GQ</v>
          </cell>
          <cell r="D66" t="e">
            <v>#NAME?</v>
          </cell>
        </row>
        <row r="67">
          <cell r="B67" t="str">
            <v>Total long-term liabilities</v>
          </cell>
          <cell r="C67" t="str">
            <v>TOT_LT_LIAB</v>
          </cell>
          <cell r="D67" t="e">
            <v>#NAME?</v>
          </cell>
        </row>
        <row r="68">
          <cell r="B68" t="str">
            <v>Total liabilities</v>
          </cell>
          <cell r="C68" t="str">
            <v>TOT_LIAB</v>
          </cell>
          <cell r="D68" t="e">
            <v>#NAME?</v>
          </cell>
        </row>
        <row r="69">
          <cell r="B69" t="str">
            <v>Preferred shares</v>
          </cell>
          <cell r="C69" t="str">
            <v>PREF_SH</v>
          </cell>
          <cell r="D69" t="e">
            <v>#NAME?</v>
          </cell>
        </row>
        <row r="70">
          <cell r="B70" t="str">
            <v>Total common equity</v>
          </cell>
          <cell r="C70" t="str">
            <v>ORD_SH_FUND</v>
          </cell>
          <cell r="D70" t="e">
            <v>#NAME?</v>
          </cell>
        </row>
        <row r="71">
          <cell r="B71" t="str">
            <v>Minority interest</v>
          </cell>
          <cell r="C71" t="str">
            <v>MINORITIES</v>
          </cell>
          <cell r="D71" t="e">
            <v>#NAME?</v>
          </cell>
        </row>
        <row r="72">
          <cell r="B72" t="str">
            <v>Total shareholders' equity</v>
          </cell>
          <cell r="C72" t="str">
            <v>EQ</v>
          </cell>
          <cell r="D72" t="e">
            <v>#NAME?</v>
          </cell>
        </row>
        <row r="73">
          <cell r="B73" t="str">
            <v>Total liabilities and equity</v>
          </cell>
          <cell r="C73" t="str">
            <v>TOT_LIAB_EQ</v>
          </cell>
          <cell r="D73" t="e">
            <v>#NAME?</v>
          </cell>
        </row>
        <row r="74">
          <cell r="A74" t="str">
            <v>Additional Balance Sheet Items</v>
          </cell>
        </row>
        <row r="75">
          <cell r="B75" t="str">
            <v>Total US$ debt (in US$)</v>
          </cell>
          <cell r="C75" t="str">
            <v>TOT_USD_DEBT</v>
          </cell>
        </row>
        <row r="76">
          <cell r="B76" t="str">
            <v>% US$ debt hedged (principal)</v>
          </cell>
          <cell r="C76" t="str">
            <v>TOT_PCT_USD_DEBT_HEDGED</v>
          </cell>
        </row>
        <row r="77">
          <cell r="B77" t="str">
            <v>% Floating debt (local currency debt)</v>
          </cell>
          <cell r="C77" t="str">
            <v>FLOATING_PCT_LOCAL_DEBT</v>
          </cell>
        </row>
        <row r="78">
          <cell r="B78" t="str">
            <v>% floating debt hedged (rates)</v>
          </cell>
          <cell r="C78" t="str">
            <v>FLOATING_PCT_LOCAL_DEBT_HEDGED</v>
          </cell>
        </row>
        <row r="79">
          <cell r="B79" t="str">
            <v>Net debt</v>
          </cell>
          <cell r="C79" t="str">
            <v>NET_DEBT</v>
          </cell>
          <cell r="D79" t="e">
            <v>#NAME?</v>
          </cell>
        </row>
        <row r="80">
          <cell r="B80" t="str">
            <v>Capitalized operating leases (off-balance sheet)</v>
          </cell>
          <cell r="C80" t="str">
            <v>CAP_LEASES</v>
          </cell>
          <cell r="D80" t="e">
            <v>#NAME?</v>
          </cell>
        </row>
        <row r="81">
          <cell r="B81" t="str">
            <v>Deferred income taxes</v>
          </cell>
          <cell r="C81" t="str">
            <v>DEF_INC_TAX</v>
          </cell>
          <cell r="D81" t="e">
            <v>#NAME?</v>
          </cell>
        </row>
        <row r="82">
          <cell r="B82" t="str">
            <v>Associates (mkt value) used in EV calculation</v>
          </cell>
          <cell r="C82" t="str">
            <v>MV_ASSOCIATES</v>
          </cell>
          <cell r="D82" t="e">
            <v>#NAME?</v>
          </cell>
        </row>
        <row r="83">
          <cell r="B83" t="str">
            <v>Net debt adjustment</v>
          </cell>
          <cell r="C83" t="str">
            <v>NET_DEBT_ADJ</v>
          </cell>
          <cell r="D83" t="e">
            <v>#NAME?</v>
          </cell>
        </row>
        <row r="84">
          <cell r="B84" t="str">
            <v>Company borrowing margin</v>
          </cell>
          <cell r="C84" t="str">
            <v>CO_BOR_MARGIN</v>
          </cell>
        </row>
        <row r="85">
          <cell r="B85" t="str">
            <v>Unfunded pensions &amp; other provisions</v>
          </cell>
          <cell r="C85" t="str">
            <v>UNF_PENS</v>
          </cell>
          <cell r="D85" t="e">
            <v>#NAME?</v>
          </cell>
        </row>
        <row r="86">
          <cell r="B86" t="str">
            <v>Unfunded pension liabilities (off balance sheet)</v>
          </cell>
          <cell r="C86" t="str">
            <v>UNF_PENS_OFF</v>
          </cell>
          <cell r="D86" t="e">
            <v>#NAME?</v>
          </cell>
        </row>
        <row r="87">
          <cell r="B87" t="str">
            <v>Unfunded pension liabilities &amp; other, used in EV</v>
          </cell>
          <cell r="C87" t="str">
            <v>UNF_PENS_LIAB_OTH</v>
          </cell>
          <cell r="D87" t="e">
            <v>#NAME?</v>
          </cell>
        </row>
        <row r="88">
          <cell r="B88" t="str">
            <v>Adjustment for unfunded pensions &amp; goodwill</v>
          </cell>
          <cell r="C88" t="str">
            <v>ADJ_UNF_PENS_GOOD</v>
          </cell>
          <cell r="D88" t="e">
            <v>#NAME?</v>
          </cell>
        </row>
        <row r="89">
          <cell r="B89" t="str">
            <v>Other GCI adjustments</v>
          </cell>
          <cell r="C89" t="str">
            <v>OTH_GCI_ADJ</v>
          </cell>
          <cell r="D89" t="e">
            <v>#NAME?</v>
          </cell>
        </row>
        <row r="90">
          <cell r="B90" t="str">
            <v>GCI inflator</v>
          </cell>
          <cell r="C90" t="str">
            <v>GCI_INFL</v>
          </cell>
        </row>
        <row r="91">
          <cell r="B91" t="str">
            <v>Minority interest</v>
          </cell>
          <cell r="C91" t="str">
            <v>BAL_MINO_INT</v>
          </cell>
          <cell r="D91" t="e">
            <v>#NAME?</v>
          </cell>
        </row>
        <row r="92">
          <cell r="B92" t="str">
            <v>Right-of-use assets (op lease assets under US GAAP)</v>
          </cell>
          <cell r="C92" t="str">
            <v>ROU_ASSET</v>
          </cell>
          <cell r="D92" t="e">
            <v>#NAME?</v>
          </cell>
        </row>
        <row r="93">
          <cell r="A93" t="str">
            <v>Cash Flow Statement</v>
          </cell>
        </row>
        <row r="94">
          <cell r="B94" t="str">
            <v>Minority interest add-back</v>
          </cell>
          <cell r="C94" t="str">
            <v>CF_INC_MINORITY</v>
          </cell>
          <cell r="D94" t="e">
            <v>#NAME?</v>
          </cell>
        </row>
        <row r="95">
          <cell r="B95" t="str">
            <v>Depreciation &amp; amortization add-back</v>
          </cell>
          <cell r="C95" t="str">
            <v>DEPR_AMORT</v>
          </cell>
          <cell r="D95" t="e">
            <v>#NAME?</v>
          </cell>
        </row>
        <row r="96">
          <cell r="B96" t="str">
            <v>(Increase)/decrease in working capital</v>
          </cell>
          <cell r="C96" t="str">
            <v>WORK_CAP</v>
          </cell>
          <cell r="D96" t="e">
            <v>#NAME?</v>
          </cell>
        </row>
        <row r="97">
          <cell r="B97" t="str">
            <v>Other operating cash flow items</v>
          </cell>
          <cell r="C97" t="str">
            <v>OTH_OP_CF</v>
          </cell>
          <cell r="D97" t="e">
            <v>#NAME?</v>
          </cell>
        </row>
        <row r="98">
          <cell r="B98" t="str">
            <v>Cash flow from operating activities</v>
          </cell>
          <cell r="C98" t="str">
            <v>CF_OPS</v>
          </cell>
          <cell r="D98" t="e">
            <v>#NAME?</v>
          </cell>
        </row>
        <row r="99">
          <cell r="B99" t="str">
            <v>Capital expenditures, Capex</v>
          </cell>
          <cell r="C99" t="str">
            <v>CAPEX</v>
          </cell>
          <cell r="D99" t="e">
            <v>#NAME?</v>
          </cell>
        </row>
        <row r="100">
          <cell r="B100" t="str">
            <v>Acquisitions</v>
          </cell>
          <cell r="C100" t="str">
            <v>ACQ</v>
          </cell>
          <cell r="D100" t="e">
            <v>#NAME?</v>
          </cell>
        </row>
        <row r="101">
          <cell r="B101" t="str">
            <v>Divestitures</v>
          </cell>
          <cell r="C101" t="str">
            <v>DIVEST</v>
          </cell>
          <cell r="D101" t="e">
            <v>#NAME?</v>
          </cell>
        </row>
        <row r="102">
          <cell r="B102" t="str">
            <v>Other investing cash flow items</v>
          </cell>
          <cell r="C102" t="str">
            <v>OTH_INV_CF</v>
          </cell>
          <cell r="D102" t="e">
            <v>#NAME?</v>
          </cell>
        </row>
        <row r="103">
          <cell r="B103" t="str">
            <v>Cash flow from investing</v>
          </cell>
          <cell r="C103" t="str">
            <v>CF_INV</v>
          </cell>
          <cell r="D103" t="e">
            <v>#NAME?</v>
          </cell>
        </row>
        <row r="104">
          <cell r="B104" t="str">
            <v>Dividends paid</v>
          </cell>
          <cell r="C104" t="str">
            <v>DIV_PAID</v>
          </cell>
          <cell r="D104" t="e">
            <v>#NAME?</v>
          </cell>
        </row>
        <row r="105">
          <cell r="B105" t="str">
            <v>Common stock issuance/(repurchase)</v>
          </cell>
          <cell r="C105" t="str">
            <v>SH_REPUR</v>
          </cell>
          <cell r="D105" t="e">
            <v>#NAME?</v>
          </cell>
        </row>
        <row r="106">
          <cell r="B106" t="str">
            <v>Increase/(decrease) in total debt</v>
          </cell>
          <cell r="C106" t="str">
            <v>CHG_LT_DEBT</v>
          </cell>
          <cell r="D106" t="e">
            <v>#NAME?</v>
          </cell>
        </row>
        <row r="107">
          <cell r="B107" t="str">
            <v>Lease principal payments  (applicable to IFRS cos.)</v>
          </cell>
          <cell r="C107" t="str">
            <v>LEASE_PRINCIPAL_CASH</v>
          </cell>
          <cell r="D107" t="e">
            <v>#NAME?</v>
          </cell>
        </row>
        <row r="108">
          <cell r="B108" t="str">
            <v>Other financing cash flow items</v>
          </cell>
          <cell r="C108" t="str">
            <v>OTH_FIN_CF</v>
          </cell>
          <cell r="D108" t="e">
            <v>#NAME?</v>
          </cell>
        </row>
        <row r="109">
          <cell r="B109" t="str">
            <v>Cash flow from financing</v>
          </cell>
          <cell r="C109" t="str">
            <v>CF_FIN</v>
          </cell>
          <cell r="D109" t="e">
            <v>#NAME?</v>
          </cell>
        </row>
        <row r="110">
          <cell r="B110" t="str">
            <v>Other items net cash flow</v>
          </cell>
          <cell r="C110" t="str">
            <v>OTH_ITEM_NCF</v>
          </cell>
          <cell r="D110" t="e">
            <v>#NAME?</v>
          </cell>
        </row>
        <row r="111">
          <cell r="B111" t="str">
            <v>Total cash flow</v>
          </cell>
          <cell r="C111" t="str">
            <v>TOT_CF</v>
          </cell>
          <cell r="D111" t="e">
            <v>#NAME?</v>
          </cell>
        </row>
        <row r="112">
          <cell r="A112" t="str">
            <v>Additional Cash Flow Items</v>
          </cell>
        </row>
        <row r="113">
          <cell r="B113" t="str">
            <v>Associate and JV add-back</v>
          </cell>
          <cell r="C113" t="str">
            <v>ASSOC_JV_ADDBK</v>
          </cell>
          <cell r="D113" t="e">
            <v>#NAME?</v>
          </cell>
        </row>
        <row r="114">
          <cell r="B114" t="str">
            <v>Cash interest income/(expense)</v>
          </cell>
          <cell r="C114" t="str">
            <v>CASH_INT_INC_EXP</v>
          </cell>
          <cell r="D114" t="e">
            <v>#NAME?</v>
          </cell>
        </row>
        <row r="115">
          <cell r="B115" t="str">
            <v>Cash taxes paid</v>
          </cell>
          <cell r="C115" t="str">
            <v>CASH_TAX_PD</v>
          </cell>
          <cell r="D115" t="e">
            <v>#NAME?</v>
          </cell>
        </row>
        <row r="116">
          <cell r="B116" t="str">
            <v>Profit/(loss) on sale of assets</v>
          </cell>
          <cell r="C116" t="str">
            <v>PL_SALE_ASSETS</v>
          </cell>
          <cell r="D116" t="e">
            <v>#NAME?</v>
          </cell>
        </row>
        <row r="117">
          <cell r="B117" t="str">
            <v>Other non-cash adjustments</v>
          </cell>
          <cell r="C117" t="str">
            <v>OTH_NONCASH_ADJ</v>
          </cell>
          <cell r="D117" t="e">
            <v>#NAME?</v>
          </cell>
        </row>
        <row r="118">
          <cell r="B118" t="str">
            <v>Other DACF adjustments</v>
          </cell>
          <cell r="C118" t="str">
            <v>OTH_DACF_ADJ</v>
          </cell>
          <cell r="D118" t="e">
            <v>#NAME?</v>
          </cell>
        </row>
        <row r="119">
          <cell r="B119" t="str">
            <v>Cash interest expense</v>
          </cell>
          <cell r="C119" t="str">
            <v>CASH_INT_EXP</v>
          </cell>
          <cell r="D119" t="e">
            <v>#NAME?</v>
          </cell>
        </row>
        <row r="120">
          <cell r="B120" t="str">
            <v>Cash tax expense</v>
          </cell>
          <cell r="C120" t="str">
            <v>CASH_TAX_EXP</v>
          </cell>
          <cell r="D120" t="e">
            <v>#NAME?</v>
          </cell>
        </row>
        <row r="121">
          <cell r="B121" t="str">
            <v>Dividends received from associates/JVs</v>
          </cell>
          <cell r="C121" t="str">
            <v>DIVDS_ASSOC_JV</v>
          </cell>
          <cell r="D121" t="e">
            <v>#NAME?</v>
          </cell>
        </row>
        <row r="122">
          <cell r="B122" t="str">
            <v>Capex maintenance</v>
          </cell>
          <cell r="C122" t="str">
            <v>CAPEX_MAINTENANCE</v>
          </cell>
          <cell r="D122" t="e">
            <v>#NAME?</v>
          </cell>
        </row>
        <row r="123">
          <cell r="B123" t="str">
            <v>Capex expansion</v>
          </cell>
          <cell r="C123" t="str">
            <v>CAPEX_EXPANSION</v>
          </cell>
          <cell r="D123" t="e">
            <v>#NAME?</v>
          </cell>
        </row>
        <row r="124">
          <cell r="B124" t="str">
            <v>Non-PP&amp;E capex</v>
          </cell>
          <cell r="C124" t="str">
            <v>NONPPE_CAPEX</v>
          </cell>
          <cell r="D124" t="e">
            <v>#NAME?</v>
          </cell>
        </row>
        <row r="125">
          <cell r="B125" t="str">
            <v>Dividends paid to minorities</v>
          </cell>
          <cell r="C125" t="str">
            <v>DIVDS_PD_MINORITIES</v>
          </cell>
          <cell r="D125" t="e">
            <v>#NAME?</v>
          </cell>
        </row>
        <row r="126">
          <cell r="A126" t="str">
            <v>Other Items</v>
          </cell>
        </row>
        <row r="127">
          <cell r="B127" t="str">
            <v>Number of employees</v>
          </cell>
          <cell r="C127" t="str">
            <v>EMPLOYEES</v>
          </cell>
        </row>
        <row r="128">
          <cell r="A128" t="str">
            <v>Operating Metrics</v>
          </cell>
        </row>
        <row r="129">
          <cell r="B129" t="str">
            <v>Same store sales growth</v>
          </cell>
          <cell r="C129" t="str">
            <v>RETAIL_SSS_PCT_CHG</v>
          </cell>
        </row>
        <row r="130">
          <cell r="A130" t="str">
            <v>Geographical Breakdown</v>
          </cell>
        </row>
        <row r="131">
          <cell r="B131" t="str">
            <v>Sales - % Canada</v>
          </cell>
          <cell r="C131" t="str">
            <v>SALES_CANADA</v>
          </cell>
        </row>
        <row r="132">
          <cell r="B132" t="str">
            <v>Sales - % United States</v>
          </cell>
          <cell r="C132" t="str">
            <v>SALES_US</v>
          </cell>
        </row>
        <row r="133">
          <cell r="B133" t="str">
            <v>Sales - % Other North Americas</v>
          </cell>
          <cell r="C133" t="str">
            <v>SALES_OTH_NO_AMER</v>
          </cell>
        </row>
        <row r="134">
          <cell r="B134" t="str">
            <v>Sales - % Argentina</v>
          </cell>
          <cell r="C134" t="str">
            <v>SALES_ARGENTINA</v>
          </cell>
        </row>
        <row r="135">
          <cell r="B135" t="str">
            <v>Sales - % Brazil</v>
          </cell>
          <cell r="C135" t="str">
            <v>SALES_BRAZIL</v>
          </cell>
        </row>
        <row r="136">
          <cell r="B136" t="str">
            <v>Sales - % Chile</v>
          </cell>
          <cell r="C136" t="str">
            <v>SALES_CHILE</v>
          </cell>
        </row>
        <row r="137">
          <cell r="B137" t="str">
            <v>Sales - % Colombia</v>
          </cell>
          <cell r="C137" t="str">
            <v>SALES_COLOMBIA</v>
          </cell>
        </row>
        <row r="138">
          <cell r="B138" t="str">
            <v>Sales - % Mexico</v>
          </cell>
          <cell r="C138" t="str">
            <v>SALES_MEXICO</v>
          </cell>
        </row>
        <row r="139">
          <cell r="B139" t="str">
            <v>Sales - % Venezuela</v>
          </cell>
          <cell r="C139" t="str">
            <v>SALES_VENEZUELA</v>
          </cell>
        </row>
        <row r="140">
          <cell r="B140" t="str">
            <v>Sales - % Other Latin Americas</v>
          </cell>
          <cell r="C140" t="str">
            <v>SALES_OTH_LATAM</v>
          </cell>
        </row>
        <row r="141">
          <cell r="B141" t="str">
            <v>Sales - % Austria</v>
          </cell>
          <cell r="C141" t="str">
            <v>SALES_AUSTRIA</v>
          </cell>
        </row>
        <row r="142">
          <cell r="B142" t="str">
            <v>Sales - % Belgium</v>
          </cell>
          <cell r="C142" t="str">
            <v>SALES_BEL</v>
          </cell>
        </row>
        <row r="143">
          <cell r="B143" t="str">
            <v>Sales - % France</v>
          </cell>
          <cell r="C143" t="str">
            <v>SALES_FRA</v>
          </cell>
        </row>
        <row r="144">
          <cell r="B144" t="str">
            <v>Sales - % Germany</v>
          </cell>
          <cell r="C144" t="str">
            <v>SALES_GER</v>
          </cell>
        </row>
        <row r="145">
          <cell r="B145" t="str">
            <v>Sales - % Greece</v>
          </cell>
          <cell r="C145" t="str">
            <v>SALES_GRE</v>
          </cell>
        </row>
        <row r="146">
          <cell r="B146" t="str">
            <v>Sales - % Ireland</v>
          </cell>
          <cell r="C146" t="str">
            <v>SALES_IRE</v>
          </cell>
        </row>
        <row r="147">
          <cell r="B147" t="str">
            <v>Sales - % Italy</v>
          </cell>
          <cell r="C147" t="str">
            <v>SALES_ITA</v>
          </cell>
        </row>
        <row r="148">
          <cell r="B148" t="str">
            <v>Sales - % Netherlands</v>
          </cell>
          <cell r="C148" t="str">
            <v>SALES_NETH</v>
          </cell>
        </row>
        <row r="149">
          <cell r="B149" t="str">
            <v>Sales - % Norway</v>
          </cell>
          <cell r="C149" t="str">
            <v>SALES_NOR</v>
          </cell>
        </row>
        <row r="150">
          <cell r="B150" t="str">
            <v>Sales - % Portugal</v>
          </cell>
          <cell r="C150" t="str">
            <v>SALES_POR</v>
          </cell>
        </row>
        <row r="151">
          <cell r="B151" t="str">
            <v>Sales - % Spain</v>
          </cell>
          <cell r="C151" t="str">
            <v>SALES_SPA</v>
          </cell>
        </row>
        <row r="152">
          <cell r="B152" t="str">
            <v>Sales - % Sweden</v>
          </cell>
          <cell r="C152" t="str">
            <v>SALES_SWE</v>
          </cell>
        </row>
        <row r="153">
          <cell r="B153" t="str">
            <v>Sales - % Switzerland</v>
          </cell>
          <cell r="C153" t="str">
            <v>SALES_SWIT</v>
          </cell>
        </row>
        <row r="154">
          <cell r="B154" t="str">
            <v>Sales - % UK</v>
          </cell>
          <cell r="C154" t="str">
            <v>SALES_UK</v>
          </cell>
        </row>
        <row r="155">
          <cell r="B155" t="str">
            <v>Sales - % Other Western Europe</v>
          </cell>
          <cell r="C155" t="str">
            <v>SALES_OTH_WEST_EURO</v>
          </cell>
        </row>
        <row r="156">
          <cell r="B156" t="str">
            <v>Sales - % Poland</v>
          </cell>
          <cell r="C156" t="str">
            <v>SALES_POLAND</v>
          </cell>
        </row>
        <row r="157">
          <cell r="B157" t="str">
            <v>Sales - % Russia</v>
          </cell>
          <cell r="C157" t="str">
            <v>SALES_RUSSIA</v>
          </cell>
        </row>
        <row r="158">
          <cell r="B158" t="str">
            <v>Sales - % Turkey</v>
          </cell>
          <cell r="C158" t="str">
            <v>SALES_TURKEY</v>
          </cell>
        </row>
        <row r="159">
          <cell r="B159" t="str">
            <v>Sales - % Other CEE</v>
          </cell>
          <cell r="C159" t="str">
            <v>SALES_OTH_CEE</v>
          </cell>
        </row>
        <row r="160">
          <cell r="B160" t="str">
            <v>Sales - % Saudi Arabia</v>
          </cell>
          <cell r="C160" t="str">
            <v>SALES_SAUDI_ARABIA</v>
          </cell>
        </row>
        <row r="161">
          <cell r="B161" t="str">
            <v>Sales - % United Arab Emirates</v>
          </cell>
          <cell r="C161" t="str">
            <v>SALES_UAE</v>
          </cell>
        </row>
        <row r="162">
          <cell r="B162" t="str">
            <v>Sales - % Other Middle East</v>
          </cell>
          <cell r="C162" t="str">
            <v>SALES_OTH_ME</v>
          </cell>
        </row>
        <row r="163">
          <cell r="B163" t="str">
            <v>Sales - % Nigeria</v>
          </cell>
          <cell r="C163" t="str">
            <v>SALES_NIGERIA</v>
          </cell>
        </row>
        <row r="164">
          <cell r="B164" t="str">
            <v>Sales - % South Africa</v>
          </cell>
          <cell r="C164" t="str">
            <v>SALES_SO_AFRICA</v>
          </cell>
        </row>
        <row r="165">
          <cell r="B165" t="str">
            <v>Sales - % Other Africa</v>
          </cell>
          <cell r="C165" t="str">
            <v>SALES_OTH_AFRICA</v>
          </cell>
        </row>
        <row r="166">
          <cell r="B166" t="str">
            <v>Sales - % Hong Kong</v>
          </cell>
          <cell r="C166" t="str">
            <v>SALES_HONG_KONG</v>
          </cell>
        </row>
        <row r="167">
          <cell r="B167" t="str">
            <v>Sales - % Japan</v>
          </cell>
          <cell r="C167" t="str">
            <v>SALES_JAPAN</v>
          </cell>
        </row>
        <row r="168">
          <cell r="B168" t="str">
            <v>Sales - % Singapore</v>
          </cell>
          <cell r="C168" t="str">
            <v>SALES_SINGAPORE</v>
          </cell>
        </row>
        <row r="169">
          <cell r="B169" t="str">
            <v>Sales - % South Korea</v>
          </cell>
          <cell r="C169" t="str">
            <v>SALES_SK</v>
          </cell>
        </row>
        <row r="170">
          <cell r="B170" t="str">
            <v>Sales - % Taiwan</v>
          </cell>
          <cell r="C170" t="str">
            <v>SALES_TAIWAN</v>
          </cell>
        </row>
        <row r="171">
          <cell r="B171" t="str">
            <v>Sales - % Other Developed Asia</v>
          </cell>
          <cell r="C171" t="str">
            <v>SALES_OTH_DEV_ASIA</v>
          </cell>
        </row>
        <row r="172">
          <cell r="B172" t="str">
            <v>Sales - % China</v>
          </cell>
          <cell r="C172" t="str">
            <v>SALES_CHINA</v>
          </cell>
        </row>
        <row r="173">
          <cell r="B173" t="str">
            <v>Sales - % India</v>
          </cell>
          <cell r="C173" t="str">
            <v>SALES_INDIA</v>
          </cell>
        </row>
        <row r="174">
          <cell r="B174" t="str">
            <v>Sales - % Indonesia</v>
          </cell>
          <cell r="C174" t="str">
            <v>SALES_INDONESIA</v>
          </cell>
        </row>
        <row r="175">
          <cell r="B175" t="str">
            <v>Sales - % Thailand</v>
          </cell>
          <cell r="C175" t="str">
            <v>SALES_THAILAND</v>
          </cell>
        </row>
        <row r="176">
          <cell r="B176" t="str">
            <v>Sales - % Other Emerging Asia</v>
          </cell>
          <cell r="C176" t="str">
            <v>SALES_OTH_EMERG_ASIA</v>
          </cell>
        </row>
        <row r="177">
          <cell r="B177" t="str">
            <v>Sales - % Australia</v>
          </cell>
          <cell r="C177" t="str">
            <v>SALES_AUSTRA</v>
          </cell>
        </row>
        <row r="178">
          <cell r="B178" t="str">
            <v>Sales - % New Zealand</v>
          </cell>
          <cell r="C178" t="str">
            <v>SALES_NZ</v>
          </cell>
        </row>
        <row r="179">
          <cell r="B179" t="str">
            <v>Sales - % Others</v>
          </cell>
          <cell r="C179" t="str">
            <v>SALES_OTHER</v>
          </cell>
        </row>
        <row r="180">
          <cell r="B180" t="str">
            <v>% of CoGS from U.S. (GS estimate)</v>
          </cell>
          <cell r="C180" t="str">
            <v>COGS_PCT_US</v>
          </cell>
        </row>
        <row r="181">
          <cell r="B181" t="str">
            <v>% of CoGS from non-U.S. (GS estimate)</v>
          </cell>
          <cell r="C181" t="str">
            <v>COGS_PCT_ROW</v>
          </cell>
        </row>
        <row r="182">
          <cell r="B182" t="str">
            <v>% of SG&amp;A from U.S. (GS estimate)</v>
          </cell>
          <cell r="C182" t="str">
            <v>SGA_PCT_US</v>
          </cell>
        </row>
        <row r="183">
          <cell r="B183" t="str">
            <v>% of SG&amp;A from non-U.S. (GS estimate)</v>
          </cell>
          <cell r="C183" t="str">
            <v>SGA_PCT_ROW</v>
          </cell>
        </row>
        <row r="184">
          <cell r="B184" t="str">
            <v>Sales -% Consumer (C)</v>
          </cell>
          <cell r="C184" t="str">
            <v>SALES_CONS</v>
          </cell>
        </row>
        <row r="185">
          <cell r="B185" t="str">
            <v>Sales -% Industry (I)</v>
          </cell>
          <cell r="C185" t="str">
            <v>SALES_IND</v>
          </cell>
        </row>
        <row r="186">
          <cell r="B186" t="str">
            <v>Sales -% Government (G)</v>
          </cell>
          <cell r="C186" t="str">
            <v>SALES_GOV</v>
          </cell>
        </row>
        <row r="187">
          <cell r="B187" t="str">
            <v>Sales - % Industry Sub-Segment: Financial Services</v>
          </cell>
          <cell r="C187" t="str">
            <v>SALES_FINAN</v>
          </cell>
        </row>
        <row r="188">
          <cell r="B188" t="str">
            <v>Sales - % Industry Sub-Segment: Oil &amp; Gas</v>
          </cell>
          <cell r="C188" t="str">
            <v>SALES_OIL_GAS</v>
          </cell>
        </row>
        <row r="189">
          <cell r="A189" t="str">
            <v>Commodities Exposure - Sales</v>
          </cell>
        </row>
        <row r="190">
          <cell r="B190" t="str">
            <v>Sales - % Oil/Petrol/Fuel</v>
          </cell>
          <cell r="C190" t="str">
            <v>SALES_OIL_PETRO_FUEL</v>
          </cell>
        </row>
        <row r="191">
          <cell r="B191" t="str">
            <v>Sales - % Steel</v>
          </cell>
          <cell r="C191" t="str">
            <v>SALES_STEEL</v>
          </cell>
        </row>
        <row r="192">
          <cell r="B192" t="str">
            <v>Sales - % Paper/pulp</v>
          </cell>
          <cell r="C192" t="str">
            <v>SALES_PAPER_PULP</v>
          </cell>
        </row>
        <row r="193">
          <cell r="B193" t="str">
            <v>Sales - % Lumber</v>
          </cell>
          <cell r="C193" t="str">
            <v>SALES_LUMBER</v>
          </cell>
        </row>
        <row r="194">
          <cell r="B194" t="str">
            <v>Sales - % Glass</v>
          </cell>
          <cell r="C194" t="str">
            <v>SALES_GLASS</v>
          </cell>
        </row>
        <row r="195">
          <cell r="B195" t="str">
            <v>Sales - % Cement</v>
          </cell>
          <cell r="C195" t="str">
            <v>SALES_CEMENT</v>
          </cell>
        </row>
        <row r="196">
          <cell r="B196" t="str">
            <v>Sales - % Tobacco leaf</v>
          </cell>
          <cell r="C196" t="str">
            <v>SALES_TOBACCO_LEAF</v>
          </cell>
        </row>
        <row r="197">
          <cell r="B197" t="str">
            <v>Sales - % Other commodity</v>
          </cell>
          <cell r="C197" t="str">
            <v>SALES_OTH_COMMODITY</v>
          </cell>
        </row>
        <row r="198">
          <cell r="B198" t="str">
            <v>Sales - % Other (Non-Commodity) sales sources</v>
          </cell>
          <cell r="C198" t="str">
            <v>SALES_OTH_SALES_SOURCES</v>
          </cell>
        </row>
        <row r="199">
          <cell r="A199" t="str">
            <v>Commodities Exposure - Expense</v>
          </cell>
        </row>
        <row r="200">
          <cell r="B200" t="str">
            <v>Expense - % Oil/Petrol/Fuel</v>
          </cell>
          <cell r="C200" t="str">
            <v>EXP_OIL_PETRO_FUEL</v>
          </cell>
        </row>
        <row r="201">
          <cell r="B201" t="str">
            <v>Expense - % Oil derivatives/NGLs/plastics</v>
          </cell>
          <cell r="C201" t="str">
            <v>EXP_OIL_DERIV_NGLS_PLASTICS</v>
          </cell>
        </row>
        <row r="202">
          <cell r="B202" t="str">
            <v>Expense - % Gold</v>
          </cell>
          <cell r="C202" t="str">
            <v>EXP_GOLD</v>
          </cell>
        </row>
        <row r="203">
          <cell r="B203" t="str">
            <v>Expense - % Copper</v>
          </cell>
          <cell r="C203" t="str">
            <v>EXP_COPPER</v>
          </cell>
        </row>
        <row r="204">
          <cell r="B204" t="str">
            <v>Expense - % Silver</v>
          </cell>
          <cell r="C204" t="str">
            <v>EXP_SILVER</v>
          </cell>
        </row>
        <row r="205">
          <cell r="B205" t="str">
            <v>Expense - % Platinum</v>
          </cell>
          <cell r="C205" t="str">
            <v>EXP_PLATINUM</v>
          </cell>
        </row>
        <row r="206">
          <cell r="B206" t="str">
            <v>Expense - % Aluminium</v>
          </cell>
          <cell r="C206" t="str">
            <v>EXP_ALUMINIUM</v>
          </cell>
        </row>
        <row r="207">
          <cell r="B207" t="str">
            <v>Expense - % Diamonds</v>
          </cell>
          <cell r="C207" t="str">
            <v>EXP_DIAMONDS</v>
          </cell>
        </row>
        <row r="208">
          <cell r="B208" t="str">
            <v>Expense - % Paper/pulp</v>
          </cell>
          <cell r="C208" t="str">
            <v>EXP_PAPER_PULP</v>
          </cell>
        </row>
        <row r="209">
          <cell r="B209" t="str">
            <v>Expense - % Wheat</v>
          </cell>
          <cell r="C209" t="str">
            <v>EXP_WHEAT</v>
          </cell>
        </row>
        <row r="210">
          <cell r="B210" t="str">
            <v>Expense - % Sugar</v>
          </cell>
          <cell r="C210" t="str">
            <v>EXP_SUGAR</v>
          </cell>
        </row>
        <row r="211">
          <cell r="B211" t="str">
            <v>Expense - % Soybean</v>
          </cell>
          <cell r="C211" t="str">
            <v>EXP_SOYBEAN</v>
          </cell>
        </row>
        <row r="212">
          <cell r="B212" t="str">
            <v>Expense - % Corn</v>
          </cell>
          <cell r="C212" t="str">
            <v>EXP_CORN</v>
          </cell>
        </row>
        <row r="213">
          <cell r="B213" t="str">
            <v>Expense - % Cotton</v>
          </cell>
          <cell r="C213" t="str">
            <v>EXP_COTTON</v>
          </cell>
        </row>
        <row r="214">
          <cell r="B214" t="str">
            <v>Expense - % Coffee</v>
          </cell>
          <cell r="C214" t="str">
            <v>EXP_COFFEE</v>
          </cell>
        </row>
        <row r="215">
          <cell r="B215" t="str">
            <v>Expense - % Cocoa</v>
          </cell>
          <cell r="C215" t="str">
            <v>EXP_COCOA</v>
          </cell>
        </row>
        <row r="216">
          <cell r="B216" t="str">
            <v>Expense - % Beef</v>
          </cell>
          <cell r="C216" t="str">
            <v>EXP_BEEF</v>
          </cell>
        </row>
        <row r="217">
          <cell r="B217" t="str">
            <v>Expense - % Pork</v>
          </cell>
          <cell r="C217" t="str">
            <v>EXP_PORK</v>
          </cell>
        </row>
        <row r="218">
          <cell r="B218" t="str">
            <v>Expense - % Chicken</v>
          </cell>
          <cell r="C218" t="str">
            <v>EXP_CHICKEN</v>
          </cell>
        </row>
        <row r="219">
          <cell r="B219" t="str">
            <v>Expense - % Dairy</v>
          </cell>
          <cell r="C219" t="str">
            <v>EXP_DAIRY</v>
          </cell>
        </row>
        <row r="220">
          <cell r="B220" t="str">
            <v>Expense - % Nuts</v>
          </cell>
          <cell r="C220" t="str">
            <v>EXP_NUTS</v>
          </cell>
        </row>
        <row r="221">
          <cell r="B221" t="str">
            <v>Expense - % Palm oil</v>
          </cell>
          <cell r="C221" t="str">
            <v>EXP_PALM_OIL</v>
          </cell>
        </row>
        <row r="222">
          <cell r="B222" t="str">
            <v>Expense - % Tobacco leaf</v>
          </cell>
          <cell r="C222" t="str">
            <v>EXP_TOBACCO_LEAF</v>
          </cell>
        </row>
        <row r="223">
          <cell r="B223" t="str">
            <v>Expense - % Water</v>
          </cell>
          <cell r="C223" t="str">
            <v>EXP_WATER</v>
          </cell>
        </row>
        <row r="224">
          <cell r="B224" t="str">
            <v>Expense - % Other commodity</v>
          </cell>
          <cell r="C224" t="str">
            <v>EXP_OTH_COMMODITY</v>
          </cell>
        </row>
        <row r="225">
          <cell r="B225" t="str">
            <v>Expense - % Other (Non-Commodity) cost</v>
          </cell>
          <cell r="C225" t="str">
            <v>EXP_OTH_COST</v>
          </cell>
        </row>
        <row r="226">
          <cell r="A226" t="str">
            <v>FX Exposure - Sales</v>
          </cell>
        </row>
        <row r="227">
          <cell r="B227" t="str">
            <v>Sales - % FX: British Pounds/Pence</v>
          </cell>
          <cell r="C227" t="str">
            <v>SALES_FX_GPB</v>
          </cell>
        </row>
        <row r="228">
          <cell r="B228" t="str">
            <v>Sales - % FX: Euro</v>
          </cell>
          <cell r="C228" t="str">
            <v>SALES_FX_EUR</v>
          </cell>
        </row>
        <row r="229">
          <cell r="B229" t="str">
            <v>Sales - % FX: New Russian Ruble</v>
          </cell>
          <cell r="C229" t="str">
            <v>SALES_FX_RUB</v>
          </cell>
        </row>
        <row r="230">
          <cell r="B230" t="str">
            <v>Sales - % FX: U.S. Dollar</v>
          </cell>
          <cell r="C230" t="str">
            <v>SALES_FX_USD</v>
          </cell>
        </row>
        <row r="231">
          <cell r="B231" t="str">
            <v>Sales - % FX: Brazilian Real</v>
          </cell>
          <cell r="C231" t="str">
            <v>SALES_FX_BRL</v>
          </cell>
        </row>
        <row r="232">
          <cell r="B232" t="str">
            <v>Sales - % FX: Japanese Yen</v>
          </cell>
          <cell r="C232" t="str">
            <v>SALES_FX_YEN</v>
          </cell>
        </row>
        <row r="233">
          <cell r="B233" t="str">
            <v>Sales - % FX: Chinese Renminbi</v>
          </cell>
          <cell r="C233" t="str">
            <v>SALES_FX_CNY</v>
          </cell>
        </row>
        <row r="234">
          <cell r="B234" t="str">
            <v>Sales - % FX: Indian Rupee</v>
          </cell>
          <cell r="C234" t="str">
            <v>SALES_FX_INR</v>
          </cell>
        </row>
        <row r="235">
          <cell r="B235" t="str">
            <v>Sales - % FX: South African Rand</v>
          </cell>
          <cell r="C235" t="str">
            <v>SALES_FX_ZAR</v>
          </cell>
        </row>
        <row r="236">
          <cell r="B236" t="str">
            <v>Sales - % FX: Nigerian Naira</v>
          </cell>
          <cell r="C236" t="str">
            <v>SALES_FX_NGN</v>
          </cell>
        </row>
        <row r="237">
          <cell r="B237" t="str">
            <v>Sales - % FX: Swiss Franc</v>
          </cell>
          <cell r="C237" t="str">
            <v>SALES_FX_CHF</v>
          </cell>
        </row>
        <row r="238">
          <cell r="B238" t="str">
            <v>Sales - % FX: UAE Dirham</v>
          </cell>
          <cell r="C238" t="str">
            <v>SALES_FX_AED</v>
          </cell>
        </row>
        <row r="239">
          <cell r="B239" t="str">
            <v>Sales - % FX: New Turkish Lira</v>
          </cell>
          <cell r="C239" t="str">
            <v>SALES_FX_TRY</v>
          </cell>
        </row>
        <row r="240">
          <cell r="B240" t="str">
            <v>Sales - % FX: Other Currency</v>
          </cell>
          <cell r="C240" t="str">
            <v>SALES_FX_OTH</v>
          </cell>
        </row>
        <row r="241">
          <cell r="A241" t="str">
            <v>Items to be removed</v>
          </cell>
        </row>
        <row r="242">
          <cell r="B242" t="str">
            <v>Sales - Total % Americas</v>
          </cell>
          <cell r="C242" t="str">
            <v>SALES_TOT_AM</v>
          </cell>
        </row>
        <row r="243">
          <cell r="B243" t="str">
            <v>Sales - % Other Americas</v>
          </cell>
          <cell r="C243" t="str">
            <v>SALES_OTH_AM</v>
          </cell>
        </row>
        <row r="244">
          <cell r="B244" t="str">
            <v>Sales - Total % EMEA</v>
          </cell>
          <cell r="C244" t="str">
            <v>SALES_TOT_EMEA</v>
          </cell>
        </row>
        <row r="245">
          <cell r="B245" t="str">
            <v>Sales - % Western Europe-Ex UK</v>
          </cell>
          <cell r="C245" t="str">
            <v>SALES_EU_EX_UK</v>
          </cell>
        </row>
        <row r="246">
          <cell r="B246" t="str">
            <v>Sales - % Other Western Europe-Ex UK</v>
          </cell>
          <cell r="C246" t="str">
            <v>SALES_OTH_EU_EX_UK</v>
          </cell>
        </row>
        <row r="247">
          <cell r="B247" t="str">
            <v>Sales - % Central &amp; Eastern Europe</v>
          </cell>
          <cell r="C247" t="str">
            <v>SALES_CEE</v>
          </cell>
        </row>
        <row r="248">
          <cell r="B248" t="str">
            <v>Sales - % Middle East</v>
          </cell>
          <cell r="C248" t="str">
            <v>SALES_ME</v>
          </cell>
        </row>
        <row r="249">
          <cell r="B249" t="str">
            <v>Sales - % Total Africa</v>
          </cell>
          <cell r="C249" t="str">
            <v>SALES_TOT_AFRICA</v>
          </cell>
        </row>
        <row r="250">
          <cell r="B250" t="str">
            <v>Sales - % Other EMEA</v>
          </cell>
          <cell r="C250" t="str">
            <v>SALES_OTH_EMEA</v>
          </cell>
        </row>
        <row r="251">
          <cell r="B251" t="str">
            <v>Sales - Total % Asia (incl Australia &amp; New Zealand)</v>
          </cell>
          <cell r="C251" t="str">
            <v>SALES_TOT_ASIA</v>
          </cell>
        </row>
        <row r="252">
          <cell r="B252" t="str">
            <v>Sales - % Other Asia</v>
          </cell>
          <cell r="C252" t="str">
            <v>SALES_OTH_AEJ</v>
          </cell>
        </row>
        <row r="253">
          <cell r="B253" t="str">
            <v>Indirect Sales - % Brazil</v>
          </cell>
          <cell r="C253" t="str">
            <v>IND_SALES_BRAZIL</v>
          </cell>
        </row>
        <row r="254">
          <cell r="B254" t="str">
            <v>Indirect Sales - % United States</v>
          </cell>
          <cell r="C254" t="str">
            <v>IND_SALES_US</v>
          </cell>
        </row>
        <row r="255">
          <cell r="B255" t="str">
            <v>Indirect Sales - % Other Americas</v>
          </cell>
          <cell r="C255" t="str">
            <v>IND_SALES_OTH_AM</v>
          </cell>
        </row>
        <row r="256">
          <cell r="B256" t="str">
            <v>Indirect Sales - Total % Americas</v>
          </cell>
          <cell r="C256" t="str">
            <v>IND_SALES_TOT_AM</v>
          </cell>
        </row>
        <row r="257">
          <cell r="B257" t="str">
            <v>Indirect Sales - % France</v>
          </cell>
          <cell r="C257" t="str">
            <v>IND_SALES_FRA</v>
          </cell>
        </row>
        <row r="258">
          <cell r="B258" t="str">
            <v>Indirect Sales - % Germany</v>
          </cell>
          <cell r="C258" t="str">
            <v>IND_SALES_GER</v>
          </cell>
        </row>
        <row r="259">
          <cell r="B259" t="str">
            <v>Indirect Sales - % Italy</v>
          </cell>
          <cell r="C259" t="str">
            <v>IND_SALES_ITA</v>
          </cell>
        </row>
        <row r="260">
          <cell r="B260" t="str">
            <v>Indirect Sales - % Spain</v>
          </cell>
          <cell r="C260" t="str">
            <v>IND_SALES_SPA</v>
          </cell>
        </row>
        <row r="261">
          <cell r="B261" t="str">
            <v>Indirect Sales - % UK</v>
          </cell>
          <cell r="C261" t="str">
            <v>IND_SALES_UK</v>
          </cell>
        </row>
        <row r="262">
          <cell r="B262" t="str">
            <v>Indirect Sales - % Western Europe-Ex UK</v>
          </cell>
          <cell r="C262" t="str">
            <v>IND_SALES_EU_EX_UK</v>
          </cell>
        </row>
        <row r="263">
          <cell r="B263" t="str">
            <v>Indirect Sales - % Other Western Europe-Ex UK</v>
          </cell>
          <cell r="C263" t="str">
            <v>IND_SALES_OTH_EU_EX_UK</v>
          </cell>
        </row>
        <row r="264">
          <cell r="B264" t="str">
            <v>Indirect Sales - % Russia</v>
          </cell>
          <cell r="C264" t="str">
            <v>IND_SALES_RUSSIA</v>
          </cell>
        </row>
        <row r="265">
          <cell r="B265" t="str">
            <v>Indirect Sales - % Central &amp; Eastern Europe</v>
          </cell>
          <cell r="C265" t="str">
            <v>IND_SALES_CEE</v>
          </cell>
        </row>
        <row r="266">
          <cell r="B266" t="str">
            <v>Indirect Sales - % Other EMEA</v>
          </cell>
          <cell r="C266" t="str">
            <v>IND_SALES_OTH_EMEA</v>
          </cell>
        </row>
        <row r="267">
          <cell r="B267" t="str">
            <v>Indirect Sales - Total % EMEA</v>
          </cell>
          <cell r="C267" t="str">
            <v>IND_SALES_TOT_EMEA</v>
          </cell>
        </row>
        <row r="268">
          <cell r="B268" t="str">
            <v>Indirect Sales - % Middle East</v>
          </cell>
          <cell r="C268" t="str">
            <v>IND_SALES_ME</v>
          </cell>
        </row>
        <row r="269">
          <cell r="B269" t="str">
            <v>Indirect sales - % Nigeria</v>
          </cell>
          <cell r="C269" t="str">
            <v>IND_SALES_NIGERIA</v>
          </cell>
        </row>
        <row r="270">
          <cell r="B270" t="str">
            <v>Indirect sales - % South Africa</v>
          </cell>
          <cell r="C270" t="str">
            <v>IND_SALES_SO_AFRICA</v>
          </cell>
        </row>
        <row r="271">
          <cell r="B271" t="str">
            <v>Indirect sales - % Other Africa</v>
          </cell>
          <cell r="C271" t="str">
            <v>IND_SALES_OTH_AFRICA</v>
          </cell>
        </row>
        <row r="272">
          <cell r="B272" t="str">
            <v>Indirect sales - % Total Africa</v>
          </cell>
          <cell r="C272" t="str">
            <v>IND_SALES_TOT_AFRICA</v>
          </cell>
        </row>
        <row r="273">
          <cell r="B273" t="str">
            <v>Indirect Sales - % China</v>
          </cell>
          <cell r="C273" t="str">
            <v>IND_SALES_CHINA</v>
          </cell>
        </row>
        <row r="274">
          <cell r="B274" t="str">
            <v>Indirect Sales - % India</v>
          </cell>
          <cell r="C274" t="str">
            <v>IND_SALES_INDIA</v>
          </cell>
        </row>
        <row r="275">
          <cell r="B275" t="str">
            <v>Indirect Sales - % Japan</v>
          </cell>
          <cell r="C275" t="str">
            <v>IND_SALES_JAPAN</v>
          </cell>
        </row>
        <row r="276">
          <cell r="B276" t="str">
            <v>Indirect Sales - % Other Asia</v>
          </cell>
          <cell r="C276" t="str">
            <v>IND_SALES_OTH_AEJ</v>
          </cell>
        </row>
        <row r="277">
          <cell r="B277" t="str">
            <v>Indirect Sales - Total % Asia (incl Australia &amp; New Zealand)</v>
          </cell>
          <cell r="C277" t="str">
            <v>IND_SALES_TOT_ASIA</v>
          </cell>
        </row>
        <row r="278">
          <cell r="B278" t="str">
            <v>Indirect Sales - % Others</v>
          </cell>
          <cell r="C278" t="str">
            <v>IND_SALES_OTHER</v>
          </cell>
        </row>
        <row r="279">
          <cell r="B279" t="str">
            <v>Indirect Sales -% Consumer (C)</v>
          </cell>
          <cell r="C279" t="str">
            <v>IND_SALES_CONS</v>
          </cell>
        </row>
        <row r="280">
          <cell r="B280" t="str">
            <v>Indirect Sales -% Industry (I)</v>
          </cell>
          <cell r="C280" t="str">
            <v>IND_SALES_IND</v>
          </cell>
        </row>
        <row r="281">
          <cell r="B281" t="str">
            <v>Indirect Sales -% Government (G)</v>
          </cell>
          <cell r="C281" t="str">
            <v>IND_SALES_GOV</v>
          </cell>
        </row>
        <row r="282">
          <cell r="B282" t="str">
            <v>Indirect Sales -% Industry Sub-Segment: Financial Services</v>
          </cell>
          <cell r="C282" t="str">
            <v>IND_SALES_FINAN</v>
          </cell>
        </row>
        <row r="283">
          <cell r="A283" t="str">
            <v>Analyst Defined Items</v>
          </cell>
        </row>
        <row r="284">
          <cell r="B284" t="str">
            <v>Currency Neutral Sales Growth</v>
          </cell>
          <cell r="C284" t="str">
            <v>RETAIL_CN_PCT_CHG</v>
          </cell>
        </row>
        <row r="285">
          <cell r="A285" t="str">
            <v>Security: ABOUT YOU Holding</v>
          </cell>
        </row>
        <row r="286">
          <cell r="A286" t="str">
            <v>Reference Data</v>
          </cell>
        </row>
        <row r="287">
          <cell r="B287" t="str">
            <v>Ticker</v>
          </cell>
          <cell r="C287" t="str">
            <v>Ticker</v>
          </cell>
          <cell r="E287" t="str">
            <v>YOUG.DE</v>
          </cell>
        </row>
        <row r="288">
          <cell r="B288" t="str">
            <v>Security Name</v>
          </cell>
          <cell r="C288" t="str">
            <v>Security Name</v>
          </cell>
          <cell r="E288" t="str">
            <v>ABOUT YOU Holding</v>
          </cell>
        </row>
        <row r="289">
          <cell r="B289" t="str">
            <v>Interim Type</v>
          </cell>
          <cell r="C289" t="str">
            <v>Interim Type</v>
          </cell>
          <cell r="E289" t="str">
            <v>Q</v>
          </cell>
        </row>
        <row r="290">
          <cell r="B290" t="str">
            <v>Publishing Currency</v>
          </cell>
          <cell r="C290" t="str">
            <v>PUB_CURRENCY_ISO</v>
          </cell>
          <cell r="E290" t="str">
            <v>EUR</v>
          </cell>
        </row>
        <row r="291">
          <cell r="B291" t="str">
            <v>Pricing Currency</v>
          </cell>
          <cell r="C291" t="str">
            <v>PRICE_CURRENCY_ISO</v>
          </cell>
          <cell r="E291" t="str">
            <v>EUR</v>
          </cell>
        </row>
        <row r="292">
          <cell r="B292" t="str">
            <v>Reporting Currency</v>
          </cell>
          <cell r="C292" t="str">
            <v>CURRENCY_ISO</v>
          </cell>
          <cell r="E292" t="str">
            <v>EUR</v>
          </cell>
        </row>
        <row r="293">
          <cell r="A293" t="str">
            <v>General Information</v>
          </cell>
        </row>
        <row r="294">
          <cell r="B294" t="str">
            <v>Pan Europe Investment List</v>
          </cell>
          <cell r="C294" t="str">
            <v>EURO_LIST</v>
          </cell>
        </row>
        <row r="295">
          <cell r="B295" t="str">
            <v>Pan Europe Conviction List</v>
          </cell>
          <cell r="C295" t="str">
            <v>EURO_CONVICTION</v>
          </cell>
        </row>
        <row r="296">
          <cell r="B296" t="str">
            <v>Legal rating</v>
          </cell>
          <cell r="C296" t="str">
            <v>LEGAL_RATING</v>
          </cell>
        </row>
        <row r="297">
          <cell r="B297" t="str">
            <v>Target price</v>
          </cell>
          <cell r="C297" t="str">
            <v>TARGET_PRICE</v>
          </cell>
          <cell r="D297" t="e">
            <v>#NAME?</v>
          </cell>
        </row>
        <row r="298">
          <cell r="B298" t="str">
            <v>Target price period</v>
          </cell>
          <cell r="C298" t="str">
            <v>TP_PERIOD</v>
          </cell>
        </row>
        <row r="299">
          <cell r="B299" t="str">
            <v>Fundamental value</v>
          </cell>
          <cell r="C299" t="str">
            <v>TARGET_PRICE_FUNDAMENTAL</v>
          </cell>
          <cell r="D299" t="e">
            <v>#NAME?</v>
          </cell>
        </row>
        <row r="300">
          <cell r="B300" t="str">
            <v>M&amp;A value</v>
          </cell>
          <cell r="C300" t="str">
            <v>TARGET_PRICE_MA</v>
          </cell>
          <cell r="D300" t="e">
            <v>#NAME?</v>
          </cell>
        </row>
        <row r="301">
          <cell r="B301" t="str">
            <v>Current shares outstanding (mn)</v>
          </cell>
          <cell r="C301" t="str">
            <v>NUM_SH</v>
          </cell>
        </row>
        <row r="302">
          <cell r="B302" t="str">
            <v>Free float</v>
          </cell>
          <cell r="C302" t="str">
            <v>FREE_FLOAT</v>
          </cell>
        </row>
        <row r="303">
          <cell r="A303" t="str">
            <v>Publishing Items</v>
          </cell>
        </row>
        <row r="304">
          <cell r="B304" t="str">
            <v>Book value per share, BVPS (Pub)</v>
          </cell>
          <cell r="C304" t="str">
            <v>BVPS_PUB</v>
          </cell>
          <cell r="D304" t="e">
            <v>#NAME?</v>
          </cell>
        </row>
        <row r="305">
          <cell r="B305" t="str">
            <v>DPS, dividend per share (Pub)</v>
          </cell>
          <cell r="C305" t="str">
            <v>DPS_PUB</v>
          </cell>
          <cell r="D305" t="e">
            <v>#NAME?</v>
          </cell>
        </row>
        <row r="306">
          <cell r="B306" t="str">
            <v>Special dividend per share</v>
          </cell>
          <cell r="C306" t="str">
            <v>DPS_SPECIAL_PUB</v>
          </cell>
          <cell r="D306" t="e">
            <v>#NAME?</v>
          </cell>
        </row>
        <row r="307">
          <cell r="B307" t="str">
            <v>EBITDA (Pub)</v>
          </cell>
          <cell r="C307" t="str">
            <v>EBITDA_PUB</v>
          </cell>
          <cell r="D307" t="e">
            <v>#NAME?</v>
          </cell>
        </row>
        <row r="308">
          <cell r="B308" t="str">
            <v>EPS (Pub)</v>
          </cell>
          <cell r="C308" t="str">
            <v>EPS_PUB</v>
          </cell>
          <cell r="D308" t="e">
            <v>#NAME?</v>
          </cell>
        </row>
        <row r="309">
          <cell r="B309" t="str">
            <v>EV adjustment (Pub)</v>
          </cell>
          <cell r="C309" t="str">
            <v>EV_ADJ_PUB</v>
          </cell>
          <cell r="D309" t="e">
            <v>#NAME?</v>
          </cell>
        </row>
        <row r="310">
          <cell r="B310" t="str">
            <v>Net debt (Pub)</v>
          </cell>
          <cell r="C310" t="str">
            <v>NET_DEBT_PUB</v>
          </cell>
          <cell r="D310" t="e">
            <v>#NAME?</v>
          </cell>
        </row>
        <row r="311">
          <cell r="B311" t="str">
            <v>Net Debt (ex leases) (Pub)</v>
          </cell>
          <cell r="C311" t="str">
            <v>NET_DEBT_EX_LEASES_PUB</v>
          </cell>
          <cell r="D311" t="e">
            <v>#NAME?</v>
          </cell>
        </row>
        <row r="312">
          <cell r="B312" t="str">
            <v>Consensus equivalent net debt</v>
          </cell>
          <cell r="C312" t="str">
            <v>CEEE_NDEBT</v>
          </cell>
          <cell r="D312" t="e">
            <v>#NAME?</v>
          </cell>
        </row>
        <row r="313">
          <cell r="B313" t="str">
            <v>Net income (Pub)</v>
          </cell>
          <cell r="C313" t="str">
            <v>NI_PUB</v>
          </cell>
          <cell r="D313" t="e">
            <v>#NAME?</v>
          </cell>
        </row>
        <row r="314">
          <cell r="B314" t="str">
            <v>EBIT, operating profit (Pub)</v>
          </cell>
          <cell r="C314" t="str">
            <v>EBIT_PUB</v>
          </cell>
          <cell r="D314" t="e">
            <v>#NAME?</v>
          </cell>
        </row>
        <row r="315">
          <cell r="B315" t="str">
            <v>Pre-tax profit (Pub)</v>
          </cell>
          <cell r="C315" t="str">
            <v>PTP_PUB</v>
          </cell>
          <cell r="D315" t="e">
            <v>#NAME?</v>
          </cell>
        </row>
        <row r="316">
          <cell r="B316" t="str">
            <v>Sales, revenue (Pub)</v>
          </cell>
          <cell r="C316" t="str">
            <v>REVS_PUB</v>
          </cell>
          <cell r="D316" t="e">
            <v>#NAME?</v>
          </cell>
        </row>
        <row r="317">
          <cell r="B317" t="str">
            <v>Total shareholders' equity (Pub)</v>
          </cell>
          <cell r="C317" t="str">
            <v>EQ_PUB</v>
          </cell>
          <cell r="D317" t="e">
            <v>#NAME?</v>
          </cell>
        </row>
        <row r="318">
          <cell r="A318" t="str">
            <v>Income Statement</v>
          </cell>
        </row>
        <row r="319">
          <cell r="B319" t="str">
            <v>Provision for income tax</v>
          </cell>
          <cell r="C319" t="str">
            <v>PROV_INC_TAX</v>
          </cell>
          <cell r="D319" t="e">
            <v>#NAME?</v>
          </cell>
        </row>
        <row r="320">
          <cell r="B320" t="str">
            <v>Minority interest</v>
          </cell>
          <cell r="C320" t="str">
            <v>INC_MINORITY</v>
          </cell>
          <cell r="D320" t="e">
            <v>#NAME?</v>
          </cell>
        </row>
        <row r="321">
          <cell r="B321" t="str">
            <v>Net income (pre-preferred dividends)</v>
          </cell>
          <cell r="C321" t="str">
            <v>NI_PRE_PREF</v>
          </cell>
          <cell r="D321" t="e">
            <v>#NAME?</v>
          </cell>
        </row>
        <row r="322">
          <cell r="B322" t="str">
            <v>Preferred dividends</v>
          </cell>
          <cell r="C322" t="str">
            <v>PREF_DIV</v>
          </cell>
          <cell r="D322" t="e">
            <v>#NAME?</v>
          </cell>
        </row>
        <row r="323">
          <cell r="B323" t="str">
            <v>Net income (pre-exceptionals)</v>
          </cell>
          <cell r="C323" t="str">
            <v>NET_EARNING</v>
          </cell>
          <cell r="D323" t="e">
            <v>#NAME?</v>
          </cell>
        </row>
        <row r="324">
          <cell r="B324" t="str">
            <v>Post-tax exceptionals</v>
          </cell>
          <cell r="C324" t="str">
            <v>TAX_EXC</v>
          </cell>
          <cell r="D324" t="e">
            <v>#NAME?</v>
          </cell>
        </row>
        <row r="325">
          <cell r="B325" t="str">
            <v>Net income (post-exceptionals)</v>
          </cell>
          <cell r="C325" t="str">
            <v>NET_INC</v>
          </cell>
          <cell r="D325" t="e">
            <v>#NAME?</v>
          </cell>
        </row>
        <row r="326">
          <cell r="B326" t="str">
            <v>EPS (pre-exceptionals, basic)</v>
          </cell>
          <cell r="C326" t="str">
            <v>EPS</v>
          </cell>
          <cell r="D326" t="e">
            <v>#NAME?</v>
          </cell>
        </row>
        <row r="327">
          <cell r="B327" t="str">
            <v>EPS (pre-exceptionals, diluted)</v>
          </cell>
          <cell r="C327" t="str">
            <v>EPS_FUL_DIL</v>
          </cell>
          <cell r="D327" t="e">
            <v>#NAME?</v>
          </cell>
        </row>
        <row r="328">
          <cell r="B328" t="str">
            <v>EPS (post-exceptionals, basic)</v>
          </cell>
          <cell r="C328" t="str">
            <v>EPS_POST_BASIC</v>
          </cell>
          <cell r="D328" t="e">
            <v>#NAME?</v>
          </cell>
        </row>
        <row r="329">
          <cell r="B329" t="str">
            <v>EPS (post-exceptionals, diluted)</v>
          </cell>
          <cell r="C329" t="str">
            <v>FULLY_DIL_EPS</v>
          </cell>
          <cell r="D329" t="e">
            <v>#NAME?</v>
          </cell>
        </row>
        <row r="330">
          <cell r="B330" t="str">
            <v>Common dividends paid</v>
          </cell>
          <cell r="C330" t="str">
            <v>COMMON_DIV_PAID</v>
          </cell>
          <cell r="D330" t="e">
            <v>#NAME?</v>
          </cell>
        </row>
        <row r="331">
          <cell r="B331" t="str">
            <v>DPS, dividend per share</v>
          </cell>
          <cell r="C331" t="str">
            <v>DPS</v>
          </cell>
          <cell r="D331" t="e">
            <v>#NAME?</v>
          </cell>
        </row>
        <row r="332">
          <cell r="B332" t="str">
            <v>Weighted average shares outstanding, basic</v>
          </cell>
          <cell r="C332" t="str">
            <v>SH</v>
          </cell>
        </row>
        <row r="333">
          <cell r="B333" t="str">
            <v>Diluted average shares outstanding (mn)</v>
          </cell>
          <cell r="C333" t="str">
            <v>DILUTE_SHARES</v>
          </cell>
        </row>
        <row r="334">
          <cell r="B334" t="str">
            <v>Period-end shares outstanding</v>
          </cell>
          <cell r="C334" t="str">
            <v>NON_OP_ADD</v>
          </cell>
        </row>
        <row r="335">
          <cell r="A335" t="str">
            <v>Additional Income Statement Items</v>
          </cell>
        </row>
        <row r="336">
          <cell r="B336" t="str">
            <v>Organic net income (excl. acquisitions)</v>
          </cell>
          <cell r="C336" t="str">
            <v>ORG_NI</v>
          </cell>
          <cell r="D336" t="e">
            <v>#NAME?</v>
          </cell>
        </row>
        <row r="337">
          <cell r="B337" t="str">
            <v>Organic EPS (excl. acquisitions)</v>
          </cell>
          <cell r="C337" t="str">
            <v>ORG_EPS</v>
          </cell>
          <cell r="D337" t="e">
            <v>#NAME?</v>
          </cell>
        </row>
        <row r="338">
          <cell r="B338" t="str">
            <v>Marginal tax rate</v>
          </cell>
          <cell r="C338" t="str">
            <v>MARGIN_TAX_RATE</v>
          </cell>
        </row>
        <row r="339">
          <cell r="A339" t="str">
            <v>Balance Sheet</v>
          </cell>
        </row>
        <row r="340">
          <cell r="B340" t="str">
            <v>BVPS, book value per share</v>
          </cell>
          <cell r="C340" t="str">
            <v>BVPS</v>
          </cell>
          <cell r="D340" t="e">
            <v>#NAME?</v>
          </cell>
        </row>
        <row r="341">
          <cell r="A341" t="str">
            <v>Cash Flow Statement</v>
          </cell>
        </row>
        <row r="342">
          <cell r="B342" t="str">
            <v>Net income (pre-preferred dividends)</v>
          </cell>
          <cell r="C342" t="str">
            <v>CF_NI_PRE_PREF</v>
          </cell>
          <cell r="D342" t="e">
            <v>#NAME?</v>
          </cell>
        </row>
        <row r="343">
          <cell r="A343" t="str">
            <v>Other Items</v>
          </cell>
        </row>
        <row r="344">
          <cell r="B344" t="str">
            <v>Beta</v>
          </cell>
          <cell r="C344" t="str">
            <v>BETA_ANALYST</v>
          </cell>
        </row>
        <row r="345">
          <cell r="B345" t="str">
            <v>Market equity risk premium</v>
          </cell>
          <cell r="C345" t="str">
            <v>MKT_EQ_RISK_PREM</v>
          </cell>
        </row>
        <row r="346">
          <cell r="B346" t="str">
            <v>Risk-free rate</v>
          </cell>
          <cell r="C346" t="str">
            <v>RISK_FR_RATE</v>
          </cell>
        </row>
      </sheetData>
      <sheetData sheetId="3"/>
      <sheetData sheetId="4"/>
      <sheetData sheetId="5"/>
      <sheetData sheetId="6">
        <row r="1">
          <cell r="A1" t="str">
            <v>Issuer: ABOUT YOU Holding</v>
          </cell>
          <cell r="F1" t="str">
            <v>2019</v>
          </cell>
          <cell r="G1" t="str">
            <v>2020 Q1</v>
          </cell>
          <cell r="H1" t="str">
            <v>2020 Q2</v>
          </cell>
          <cell r="I1" t="str">
            <v>2020 Q3</v>
          </cell>
          <cell r="J1" t="str">
            <v>2020 Q4</v>
          </cell>
          <cell r="K1" t="str">
            <v>2020</v>
          </cell>
          <cell r="L1" t="str">
            <v>2021 Q1</v>
          </cell>
          <cell r="M1" t="str">
            <v>2021 Q2</v>
          </cell>
          <cell r="N1" t="str">
            <v>2021 Q3</v>
          </cell>
          <cell r="O1" t="str">
            <v>2021 Q4</v>
          </cell>
          <cell r="P1">
            <v>2021</v>
          </cell>
          <cell r="Q1" t="str">
            <v>2022 Q1</v>
          </cell>
          <cell r="R1" t="str">
            <v>2022 Q2</v>
          </cell>
          <cell r="S1" t="str">
            <v>2022 Q3</v>
          </cell>
          <cell r="T1" t="str">
            <v>2022 Q4</v>
          </cell>
          <cell r="U1" t="str">
            <v>2022</v>
          </cell>
        </row>
        <row r="2">
          <cell r="F2" t="str">
            <v>Actual</v>
          </cell>
          <cell r="G2" t="str">
            <v>Actual</v>
          </cell>
          <cell r="H2" t="str">
            <v>Actual</v>
          </cell>
          <cell r="I2" t="str">
            <v>Actual</v>
          </cell>
          <cell r="J2" t="str">
            <v>Actual</v>
          </cell>
          <cell r="K2" t="str">
            <v>Actual</v>
          </cell>
          <cell r="L2" t="str">
            <v>Actual</v>
          </cell>
          <cell r="M2" t="str">
            <v>Actual</v>
          </cell>
          <cell r="N2" t="str">
            <v>Actual</v>
          </cell>
          <cell r="O2" t="str">
            <v>Actual</v>
          </cell>
          <cell r="P2" t="str">
            <v>Actual</v>
          </cell>
          <cell r="Q2" t="str">
            <v>Actual</v>
          </cell>
          <cell r="R2" t="str">
            <v>Estimate</v>
          </cell>
          <cell r="S2" t="str">
            <v>Estimate</v>
          </cell>
          <cell r="T2" t="str">
            <v>Estimate</v>
          </cell>
          <cell r="U2" t="str">
            <v>Estimate</v>
          </cell>
        </row>
        <row r="3">
          <cell r="F3">
            <v>43524</v>
          </cell>
          <cell r="G3">
            <v>43613</v>
          </cell>
          <cell r="H3">
            <v>43705</v>
          </cell>
          <cell r="I3">
            <v>43797</v>
          </cell>
          <cell r="J3">
            <v>43889</v>
          </cell>
          <cell r="K3">
            <v>43889</v>
          </cell>
          <cell r="L3">
            <v>43982</v>
          </cell>
          <cell r="M3">
            <v>44074</v>
          </cell>
          <cell r="N3">
            <v>44165</v>
          </cell>
          <cell r="O3">
            <v>44255</v>
          </cell>
          <cell r="P3">
            <v>44255</v>
          </cell>
          <cell r="Q3">
            <v>44347</v>
          </cell>
          <cell r="R3">
            <v>44439</v>
          </cell>
          <cell r="S3">
            <v>44530</v>
          </cell>
          <cell r="T3">
            <v>44620</v>
          </cell>
          <cell r="U3">
            <v>44620</v>
          </cell>
        </row>
        <row r="4">
          <cell r="A4" t="str">
            <v>Issuer: ABOUT YOU Holding</v>
          </cell>
        </row>
        <row r="5">
          <cell r="A5" t="str">
            <v>Reference Data</v>
          </cell>
        </row>
        <row r="6">
          <cell r="B6" t="str">
            <v>Issuer Name</v>
          </cell>
          <cell r="C6" t="str">
            <v>Issuer Name</v>
          </cell>
          <cell r="E6" t="str">
            <v>ABOUT YOU Holding</v>
          </cell>
        </row>
        <row r="7">
          <cell r="B7" t="str">
            <v>Reporting Currency</v>
          </cell>
          <cell r="C7" t="str">
            <v>CURRENCY_ISO</v>
          </cell>
          <cell r="E7" t="str">
            <v>EUR</v>
          </cell>
        </row>
        <row r="8">
          <cell r="A8" t="str">
            <v>General Information</v>
          </cell>
        </row>
        <row r="9">
          <cell r="B9" t="str">
            <v>M&amp;A probability (1 = high, 3 = low)</v>
          </cell>
          <cell r="C9" t="str">
            <v>MA_PROB</v>
          </cell>
          <cell r="E9">
            <v>3</v>
          </cell>
        </row>
        <row r="10">
          <cell r="A10" t="str">
            <v>Income Statement</v>
          </cell>
        </row>
        <row r="11">
          <cell r="B11" t="str">
            <v>Sales, net revenue</v>
          </cell>
          <cell r="C11" t="str">
            <v>SALES</v>
          </cell>
          <cell r="D11" t="str">
            <v>EUR</v>
          </cell>
          <cell r="F11">
            <v>461.20100000000002</v>
          </cell>
          <cell r="G11">
            <v>153</v>
          </cell>
          <cell r="H11">
            <v>154.30000000000001</v>
          </cell>
          <cell r="I11">
            <v>228</v>
          </cell>
          <cell r="J11">
            <v>208.1</v>
          </cell>
          <cell r="K11">
            <v>743.39099999999996</v>
          </cell>
          <cell r="L11">
            <v>255.1</v>
          </cell>
          <cell r="M11">
            <v>258</v>
          </cell>
          <cell r="N11">
            <v>346.2</v>
          </cell>
          <cell r="O11">
            <v>307.10000000000002</v>
          </cell>
          <cell r="P11">
            <v>1166.4549999999999</v>
          </cell>
          <cell r="Q11">
            <v>422.1</v>
          </cell>
          <cell r="R11">
            <v>361.2</v>
          </cell>
          <cell r="S11">
            <v>501.98999999999995</v>
          </cell>
          <cell r="T11">
            <v>452.97714999999994</v>
          </cell>
          <cell r="U11">
            <v>1738.2671499999999</v>
          </cell>
        </row>
        <row r="12">
          <cell r="B12" t="str">
            <v>Cost of goods sold, COGS</v>
          </cell>
          <cell r="C12" t="str">
            <v>COST_GD_SD</v>
          </cell>
          <cell r="D12" t="str">
            <v>EUR</v>
          </cell>
          <cell r="F12">
            <v>-273.11799999999999</v>
          </cell>
          <cell r="K12">
            <v>-425.036</v>
          </cell>
          <cell r="P12">
            <v>-693.33799999999997</v>
          </cell>
          <cell r="U12">
            <v>-994.97942306974858</v>
          </cell>
        </row>
        <row r="13">
          <cell r="B13" t="str">
            <v>SG&amp;A, selling, general and admin. expense</v>
          </cell>
          <cell r="C13" t="str">
            <v>SEL_GL_AD</v>
          </cell>
          <cell r="D13" t="str">
            <v>EUR</v>
          </cell>
          <cell r="F13">
            <v>-294.577</v>
          </cell>
          <cell r="K13">
            <v>-388.23299999999995</v>
          </cell>
          <cell r="P13">
            <v>-508.62099999999998</v>
          </cell>
          <cell r="U13">
            <v>-813.50902619999988</v>
          </cell>
        </row>
        <row r="14">
          <cell r="B14" t="str">
            <v>Total operating expense</v>
          </cell>
          <cell r="C14" t="str">
            <v>OP_COST</v>
          </cell>
          <cell r="D14" t="str">
            <v>EUR</v>
          </cell>
          <cell r="F14">
            <v>-567.69499999999994</v>
          </cell>
          <cell r="K14">
            <v>-813.26900000000001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-1201.9589999999998</v>
          </cell>
          <cell r="U14">
            <v>-1808.4884492697483</v>
          </cell>
        </row>
        <row r="15">
          <cell r="B15" t="str">
            <v>R&amp;D expense</v>
          </cell>
          <cell r="C15" t="str">
            <v>RD_EXP</v>
          </cell>
          <cell r="D15" t="str">
            <v>EUR</v>
          </cell>
        </row>
        <row r="16">
          <cell r="B16" t="str">
            <v>Other operating income/(expense) (incl. leases)</v>
          </cell>
          <cell r="C16" t="str">
            <v>OTH_OP_INC_EXP</v>
          </cell>
          <cell r="D16" t="str">
            <v>EUR</v>
          </cell>
          <cell r="F16">
            <v>0</v>
          </cell>
          <cell r="K16">
            <v>0</v>
          </cell>
          <cell r="P16">
            <v>-8.6</v>
          </cell>
          <cell r="U16">
            <v>-3.4765343</v>
          </cell>
        </row>
        <row r="17">
          <cell r="B17" t="str">
            <v>Total operating expense (incl. D&amp;A)</v>
          </cell>
          <cell r="C17" t="str">
            <v>TOT_OPS_EXP_DDA</v>
          </cell>
          <cell r="D17" t="str">
            <v>EUR</v>
          </cell>
          <cell r="F17">
            <v>-573.58499999999992</v>
          </cell>
          <cell r="K17">
            <v>-822.76800000000003</v>
          </cell>
          <cell r="P17">
            <v>-1221.9989999999998</v>
          </cell>
          <cell r="U17">
            <v>-1832.8241893697482</v>
          </cell>
        </row>
        <row r="18">
          <cell r="B18" t="str">
            <v>Total operating expense (excl. D&amp;A)</v>
          </cell>
          <cell r="C18" t="str">
            <v>TOT_OPS_EXP</v>
          </cell>
          <cell r="D18" t="str">
            <v>EUR</v>
          </cell>
          <cell r="F18">
            <v>-567.69499999999994</v>
          </cell>
          <cell r="K18">
            <v>-813.26900000000001</v>
          </cell>
          <cell r="P18">
            <v>-1210.5589999999997</v>
          </cell>
          <cell r="U18">
            <v>-1811.9649835697483</v>
          </cell>
        </row>
        <row r="19">
          <cell r="B19" t="str">
            <v>EBITDA</v>
          </cell>
          <cell r="C19" t="str">
            <v>EBITDA_CALC</v>
          </cell>
          <cell r="D19" t="str">
            <v>EUR</v>
          </cell>
          <cell r="F19">
            <v>-106.494</v>
          </cell>
          <cell r="G19">
            <v>-21.199999999999992</v>
          </cell>
          <cell r="H19">
            <v>-30.699999999999996</v>
          </cell>
          <cell r="I19">
            <v>-12.099999999999993</v>
          </cell>
          <cell r="J19">
            <v>-5.8000000000000078</v>
          </cell>
          <cell r="K19">
            <v>-69.878</v>
          </cell>
          <cell r="L19">
            <v>-10.800000000000011</v>
          </cell>
          <cell r="M19">
            <v>-12.900000000000006</v>
          </cell>
          <cell r="N19">
            <v>-14.300000000000029</v>
          </cell>
          <cell r="O19">
            <v>2.4000000000000057</v>
          </cell>
          <cell r="P19">
            <v>-35.503999999999998</v>
          </cell>
          <cell r="Q19">
            <v>-12.3</v>
          </cell>
          <cell r="R19">
            <v>-20</v>
          </cell>
          <cell r="S19">
            <v>-20</v>
          </cell>
          <cell r="T19">
            <v>-17.921299269748616</v>
          </cell>
          <cell r="U19">
            <v>-70.221299269748613</v>
          </cell>
        </row>
        <row r="20">
          <cell r="B20" t="str">
            <v>Depreciation</v>
          </cell>
          <cell r="C20" t="str">
            <v>DEPREC</v>
          </cell>
          <cell r="D20" t="str">
            <v>EUR</v>
          </cell>
          <cell r="F20">
            <v>-5.89</v>
          </cell>
          <cell r="K20">
            <v>-9.4990000000000006</v>
          </cell>
          <cell r="P20">
            <v>-11.44</v>
          </cell>
          <cell r="U20">
            <v>-20.859205799999998</v>
          </cell>
        </row>
        <row r="21">
          <cell r="B21" t="str">
            <v>Amortization</v>
          </cell>
          <cell r="C21" t="str">
            <v>GOODWILL_AMORT</v>
          </cell>
          <cell r="D21" t="str">
            <v>EUR</v>
          </cell>
        </row>
        <row r="22">
          <cell r="B22" t="str">
            <v>EBIT, operating profit</v>
          </cell>
          <cell r="C22" t="str">
            <v>EBIT</v>
          </cell>
          <cell r="D22" t="str">
            <v>EUR</v>
          </cell>
          <cell r="F22">
            <v>-112.384</v>
          </cell>
          <cell r="K22">
            <v>-79.399000000000001</v>
          </cell>
          <cell r="P22">
            <v>-55.489999999999995</v>
          </cell>
          <cell r="U22">
            <v>-94.557039369748608</v>
          </cell>
        </row>
        <row r="23">
          <cell r="B23" t="str">
            <v>Interest income</v>
          </cell>
          <cell r="C23" t="str">
            <v>INT_INC_IND</v>
          </cell>
          <cell r="D23" t="str">
            <v>EUR</v>
          </cell>
          <cell r="F23">
            <v>0</v>
          </cell>
          <cell r="K23">
            <v>0</v>
          </cell>
          <cell r="P23">
            <v>0</v>
          </cell>
          <cell r="U23">
            <v>0</v>
          </cell>
        </row>
        <row r="24">
          <cell r="B24" t="str">
            <v>Interest expense</v>
          </cell>
          <cell r="C24" t="str">
            <v>INT_EXP_IND</v>
          </cell>
          <cell r="D24" t="str">
            <v>EUR</v>
          </cell>
          <cell r="F24">
            <v>-1.772</v>
          </cell>
          <cell r="K24">
            <v>-0.9</v>
          </cell>
          <cell r="P24">
            <v>-1.6</v>
          </cell>
          <cell r="U24">
            <v>-1.6</v>
          </cell>
        </row>
        <row r="25">
          <cell r="B25" t="str">
            <v>Net interest income/(expense)</v>
          </cell>
          <cell r="C25" t="str">
            <v>NET_INT_EXP</v>
          </cell>
          <cell r="D25" t="str">
            <v>EUR</v>
          </cell>
          <cell r="F25">
            <v>-1.772</v>
          </cell>
          <cell r="K25">
            <v>-0.9</v>
          </cell>
          <cell r="P25">
            <v>-1.6</v>
          </cell>
          <cell r="U25">
            <v>-1.6</v>
          </cell>
        </row>
        <row r="26">
          <cell r="B26" t="str">
            <v>Income/(loss) from unconsolidated subs &amp; associates</v>
          </cell>
          <cell r="C26" t="str">
            <v>ASSOCIATE</v>
          </cell>
          <cell r="D26" t="str">
            <v>EUR</v>
          </cell>
        </row>
        <row r="27">
          <cell r="B27" t="str">
            <v>Profit/(loss) on disposals of assets, pre-tax</v>
          </cell>
          <cell r="C27" t="str">
            <v>PROFIT_ON_DISP</v>
          </cell>
          <cell r="D27" t="str">
            <v>EUR</v>
          </cell>
        </row>
        <row r="28">
          <cell r="B28" t="str">
            <v>Other non-ops income/(expense)</v>
          </cell>
          <cell r="C28" t="str">
            <v>OTH_COST_INC</v>
          </cell>
          <cell r="D28" t="str">
            <v>EUR</v>
          </cell>
        </row>
        <row r="29">
          <cell r="B29" t="str">
            <v>Pre-tax profit</v>
          </cell>
          <cell r="C29" t="str">
            <v>PT_PROF</v>
          </cell>
          <cell r="D29" t="str">
            <v>EUR</v>
          </cell>
          <cell r="F29">
            <v>-114.155</v>
          </cell>
          <cell r="K29">
            <v>-80.299000000000007</v>
          </cell>
          <cell r="P29">
            <v>-57.089999999999996</v>
          </cell>
          <cell r="U29">
            <v>-96.157039369748603</v>
          </cell>
        </row>
        <row r="30">
          <cell r="A30" t="str">
            <v>Additional Income Statement Items</v>
          </cell>
        </row>
        <row r="31">
          <cell r="B31" t="str">
            <v>Organic revenues (excl. acquisitions)</v>
          </cell>
          <cell r="C31" t="str">
            <v>ORG_REV</v>
          </cell>
          <cell r="D31" t="str">
            <v>EUR</v>
          </cell>
        </row>
        <row r="32">
          <cell r="B32" t="str">
            <v>Organic sales growth (excl. acquisitions)</v>
          </cell>
          <cell r="C32" t="str">
            <v>ORG_REV_GRTH</v>
          </cell>
        </row>
        <row r="33">
          <cell r="B33" t="str">
            <v>Operating lease cost</v>
          </cell>
          <cell r="C33" t="str">
            <v>LEASE_PAY</v>
          </cell>
          <cell r="D33" t="str">
            <v>EUR</v>
          </cell>
        </row>
        <row r="34">
          <cell r="B34" t="str">
            <v>Lease payments (deemed interest portion)</v>
          </cell>
          <cell r="C34" t="str">
            <v>LEASE_DEEM_INT</v>
          </cell>
          <cell r="D34" t="str">
            <v>EUR</v>
          </cell>
        </row>
        <row r="35">
          <cell r="B35" t="str">
            <v>Lease payments (deemed depreciation portion)</v>
          </cell>
          <cell r="C35" t="str">
            <v>LEASE_DEEM_DEPR</v>
          </cell>
          <cell r="D35" t="str">
            <v>EUR</v>
          </cell>
        </row>
        <row r="36">
          <cell r="B36" t="str">
            <v>Gross interest charge</v>
          </cell>
          <cell r="C36" t="str">
            <v>NET_INT_CH</v>
          </cell>
          <cell r="D36" t="str">
            <v>EUR</v>
          </cell>
        </row>
        <row r="37">
          <cell r="B37" t="str">
            <v>Income from associates (operating)</v>
          </cell>
          <cell r="C37" t="str">
            <v>ASSOCIATE_OP</v>
          </cell>
          <cell r="D37" t="str">
            <v>EUR</v>
          </cell>
        </row>
        <row r="38">
          <cell r="B38" t="str">
            <v>Goodwill amortization</v>
          </cell>
          <cell r="C38" t="str">
            <v>GW_AMORT</v>
          </cell>
          <cell r="D38" t="str">
            <v>EUR</v>
          </cell>
        </row>
        <row r="39">
          <cell r="B39" t="str">
            <v>Other intangible amortization</v>
          </cell>
          <cell r="C39" t="str">
            <v>OTH_INT_AMORT</v>
          </cell>
          <cell r="D39" t="str">
            <v>EUR</v>
          </cell>
        </row>
        <row r="40">
          <cell r="B40" t="str">
            <v>Depreciation ROU assets   (applicable to IFRS cos.)</v>
          </cell>
          <cell r="C40" t="str">
            <v>DEPR_ROU_ASSETS</v>
          </cell>
          <cell r="D40" t="str">
            <v>EUR</v>
          </cell>
        </row>
        <row r="41">
          <cell r="B41" t="str">
            <v>Lease interest charge  (applicable to IFRS cos.)</v>
          </cell>
          <cell r="C41" t="str">
            <v>LEASE_INT_CHG</v>
          </cell>
          <cell r="D41" t="str">
            <v>EUR</v>
          </cell>
        </row>
        <row r="42">
          <cell r="B42" t="str">
            <v>Lease standard adopted (US GAAP ASC 842/ IFRS 16)</v>
          </cell>
          <cell r="C42" t="str">
            <v>LEASE_ADOPT</v>
          </cell>
          <cell r="E42" t="str">
            <v>Y</v>
          </cell>
        </row>
        <row r="43">
          <cell r="A43" t="str">
            <v>Balance Sheet</v>
          </cell>
        </row>
        <row r="44">
          <cell r="B44" t="str">
            <v>Cash &amp; cash equivalents</v>
          </cell>
          <cell r="C44" t="str">
            <v>CASH_EQ</v>
          </cell>
          <cell r="D44" t="str">
            <v>EUR</v>
          </cell>
          <cell r="F44">
            <v>123.346</v>
          </cell>
          <cell r="K44">
            <v>62.4</v>
          </cell>
          <cell r="P44">
            <v>107.9</v>
          </cell>
          <cell r="U44">
            <v>601.08545413172908</v>
          </cell>
        </row>
        <row r="45">
          <cell r="B45" t="str">
            <v>Accounts receivable</v>
          </cell>
          <cell r="C45" t="str">
            <v>DEBTORS</v>
          </cell>
          <cell r="D45" t="str">
            <v>EUR</v>
          </cell>
          <cell r="F45">
            <v>42.970999999999997</v>
          </cell>
          <cell r="K45">
            <v>69.8</v>
          </cell>
          <cell r="P45">
            <v>50.9</v>
          </cell>
          <cell r="U45">
            <v>150.95864160640576</v>
          </cell>
        </row>
        <row r="46">
          <cell r="B46" t="str">
            <v>Inventory</v>
          </cell>
          <cell r="C46" t="str">
            <v>STOCKS</v>
          </cell>
          <cell r="D46" t="str">
            <v>EUR</v>
          </cell>
          <cell r="F46">
            <v>79.013999999999996</v>
          </cell>
          <cell r="K46">
            <v>94.2</v>
          </cell>
          <cell r="P46">
            <v>199.6</v>
          </cell>
          <cell r="U46">
            <v>297.44664229653097</v>
          </cell>
        </row>
        <row r="47">
          <cell r="B47" t="str">
            <v>Other current assets</v>
          </cell>
          <cell r="C47" t="str">
            <v>OTH_CUR_ASS</v>
          </cell>
          <cell r="D47" t="str">
            <v>EUR</v>
          </cell>
          <cell r="F47">
            <v>31.629000000000001</v>
          </cell>
          <cell r="K47">
            <v>41.199999999999996</v>
          </cell>
          <cell r="P47">
            <v>50.400000000000006</v>
          </cell>
          <cell r="U47">
            <v>50.400000000000006</v>
          </cell>
        </row>
        <row r="48">
          <cell r="B48" t="str">
            <v>Total current assets</v>
          </cell>
          <cell r="C48" t="str">
            <v>CUR_ASS</v>
          </cell>
          <cell r="D48" t="str">
            <v>EUR</v>
          </cell>
          <cell r="F48">
            <v>276.95999999999998</v>
          </cell>
          <cell r="K48">
            <v>267.59999999999997</v>
          </cell>
          <cell r="P48">
            <v>408.8</v>
          </cell>
          <cell r="U48">
            <v>1099.8907380346659</v>
          </cell>
        </row>
        <row r="49">
          <cell r="B49" t="str">
            <v>Gross fixed assets, PP&amp;E</v>
          </cell>
          <cell r="C49" t="str">
            <v>GR_FIX_ASS</v>
          </cell>
          <cell r="D49" t="str">
            <v>EUR</v>
          </cell>
          <cell r="F49">
            <v>2.4620000000000002</v>
          </cell>
          <cell r="K49">
            <v>14.4</v>
          </cell>
          <cell r="P49">
            <v>13.7</v>
          </cell>
          <cell r="U49">
            <v>26.840794200000001</v>
          </cell>
        </row>
        <row r="50">
          <cell r="B50" t="str">
            <v>Accumulated depreciation</v>
          </cell>
          <cell r="C50" t="str">
            <v>ACC_DDA</v>
          </cell>
          <cell r="D50" t="str">
            <v>EUR</v>
          </cell>
        </row>
        <row r="51">
          <cell r="B51" t="str">
            <v>Net PP&amp;E</v>
          </cell>
          <cell r="C51" t="str">
            <v>NET_FIX_ASS</v>
          </cell>
          <cell r="D51" t="str">
            <v>EUR</v>
          </cell>
          <cell r="F51">
            <v>2.4620000000000002</v>
          </cell>
          <cell r="K51">
            <v>14.4</v>
          </cell>
          <cell r="P51">
            <v>13.7</v>
          </cell>
          <cell r="U51">
            <v>26.840794200000001</v>
          </cell>
        </row>
        <row r="52">
          <cell r="B52" t="str">
            <v>Gross intangibles</v>
          </cell>
          <cell r="C52" t="str">
            <v>GR_INTANG</v>
          </cell>
          <cell r="D52" t="str">
            <v>EUR</v>
          </cell>
          <cell r="F52">
            <v>15.189</v>
          </cell>
          <cell r="K52">
            <v>23.4</v>
          </cell>
          <cell r="P52">
            <v>32.6</v>
          </cell>
          <cell r="U52">
            <v>32.6</v>
          </cell>
        </row>
        <row r="53">
          <cell r="B53" t="str">
            <v>Accumulated amortization</v>
          </cell>
          <cell r="C53" t="str">
            <v>ACC_AMORT</v>
          </cell>
          <cell r="D53" t="str">
            <v>EUR</v>
          </cell>
        </row>
        <row r="54">
          <cell r="B54" t="str">
            <v>Net intangible assets</v>
          </cell>
          <cell r="C54" t="str">
            <v>NET_INTANG</v>
          </cell>
          <cell r="D54" t="str">
            <v>EUR</v>
          </cell>
          <cell r="F54">
            <v>15.189</v>
          </cell>
          <cell r="K54">
            <v>23.4</v>
          </cell>
          <cell r="P54">
            <v>32.6</v>
          </cell>
          <cell r="U54">
            <v>32.6</v>
          </cell>
        </row>
        <row r="55">
          <cell r="B55" t="str">
            <v>Equity method investments</v>
          </cell>
          <cell r="C55" t="str">
            <v>FIX_ASS_INV</v>
          </cell>
          <cell r="D55" t="str">
            <v>EUR</v>
          </cell>
        </row>
        <row r="56">
          <cell r="B56" t="str">
            <v>Investments in securities</v>
          </cell>
          <cell r="C56" t="str">
            <v>INV_SECUR</v>
          </cell>
          <cell r="D56" t="str">
            <v>EUR</v>
          </cell>
          <cell r="F56">
            <v>0</v>
          </cell>
          <cell r="K56">
            <v>0</v>
          </cell>
          <cell r="P56">
            <v>1.9</v>
          </cell>
          <cell r="U56">
            <v>1.9</v>
          </cell>
        </row>
        <row r="57">
          <cell r="B57" t="str">
            <v>Other long-term assets</v>
          </cell>
          <cell r="C57" t="str">
            <v>OTH_LT_ASS</v>
          </cell>
          <cell r="D57" t="str">
            <v>EUR</v>
          </cell>
          <cell r="F57">
            <v>8.1000000000000003E-2</v>
          </cell>
          <cell r="K57">
            <v>1.5</v>
          </cell>
          <cell r="P57">
            <v>0.1</v>
          </cell>
          <cell r="U57">
            <v>0.1</v>
          </cell>
        </row>
        <row r="58">
          <cell r="B58" t="str">
            <v>Total assets</v>
          </cell>
          <cell r="C58" t="str">
            <v>TOT_ASSET</v>
          </cell>
          <cell r="D58" t="str">
            <v>EUR</v>
          </cell>
          <cell r="F58">
            <v>294.69200000000001</v>
          </cell>
          <cell r="K58">
            <v>306.89999999999998</v>
          </cell>
          <cell r="P58">
            <v>457.1</v>
          </cell>
          <cell r="U58">
            <v>1161.3315322346659</v>
          </cell>
        </row>
        <row r="59">
          <cell r="B59" t="str">
            <v>Accounts payable</v>
          </cell>
          <cell r="C59" t="str">
            <v>ACC_PAY_GQ</v>
          </cell>
          <cell r="D59" t="str">
            <v>EUR</v>
          </cell>
          <cell r="F59">
            <v>68.872</v>
          </cell>
          <cell r="K59">
            <v>126.1</v>
          </cell>
          <cell r="P59">
            <v>209.8</v>
          </cell>
          <cell r="U59">
            <v>451.28857160441447</v>
          </cell>
        </row>
        <row r="60">
          <cell r="B60" t="str">
            <v>Short-term debt</v>
          </cell>
          <cell r="C60" t="str">
            <v>SHORT_T_DEBT</v>
          </cell>
          <cell r="D60" t="str">
            <v>EUR</v>
          </cell>
        </row>
        <row r="61">
          <cell r="B61" t="str">
            <v>Current lease liabilities (op lease: US GAAP)</v>
          </cell>
          <cell r="C61" t="str">
            <v>ST_LEASE_LIAB</v>
          </cell>
          <cell r="D61" t="str">
            <v>EUR</v>
          </cell>
          <cell r="F61">
            <v>0</v>
          </cell>
          <cell r="K61">
            <v>3.2</v>
          </cell>
          <cell r="P61">
            <v>3.2</v>
          </cell>
          <cell r="U61">
            <v>3.2</v>
          </cell>
        </row>
        <row r="62">
          <cell r="B62" t="str">
            <v>Other current liabilities</v>
          </cell>
          <cell r="C62" t="str">
            <v>OTH_CUR_LIABS</v>
          </cell>
          <cell r="D62" t="str">
            <v>EUR</v>
          </cell>
          <cell r="F62">
            <v>46.970999999999989</v>
          </cell>
          <cell r="K62">
            <v>65.200000000000017</v>
          </cell>
          <cell r="P62">
            <v>101.10000000000002</v>
          </cell>
          <cell r="U62">
            <v>101.19999999999993</v>
          </cell>
        </row>
        <row r="63">
          <cell r="B63" t="str">
            <v>Total current liabilities</v>
          </cell>
          <cell r="C63" t="str">
            <v>SHORT_TERM_LIABS</v>
          </cell>
          <cell r="D63" t="str">
            <v>EUR</v>
          </cell>
          <cell r="F63">
            <v>115.84299999999999</v>
          </cell>
          <cell r="K63">
            <v>194.5</v>
          </cell>
          <cell r="P63">
            <v>314.10000000000002</v>
          </cell>
          <cell r="U63">
            <v>555.68857160441439</v>
          </cell>
        </row>
        <row r="64">
          <cell r="B64" t="str">
            <v>Long-term  debt</v>
          </cell>
          <cell r="C64" t="str">
            <v>LT_DEBT</v>
          </cell>
          <cell r="D64" t="str">
            <v>EUR</v>
          </cell>
        </row>
        <row r="65">
          <cell r="B65" t="str">
            <v>Non-current lease liabilities (op lease: US GAAP)</v>
          </cell>
          <cell r="C65" t="str">
            <v>LT_LEASE_LIAB</v>
          </cell>
          <cell r="D65" t="str">
            <v>EUR</v>
          </cell>
          <cell r="F65">
            <v>0</v>
          </cell>
          <cell r="K65">
            <v>8.5</v>
          </cell>
          <cell r="P65">
            <v>7.6</v>
          </cell>
          <cell r="U65">
            <v>7.6</v>
          </cell>
        </row>
        <row r="66">
          <cell r="B66" t="str">
            <v>Other long-term liabilities</v>
          </cell>
          <cell r="C66" t="str">
            <v>OTH_LT_CRED_GQ</v>
          </cell>
          <cell r="D66" t="str">
            <v>EUR</v>
          </cell>
          <cell r="F66">
            <v>1.7509999999999999</v>
          </cell>
          <cell r="K66">
            <v>1.6999999999999993</v>
          </cell>
          <cell r="P66">
            <v>80</v>
          </cell>
          <cell r="U66">
            <v>80.100000000000009</v>
          </cell>
        </row>
        <row r="67">
          <cell r="B67" t="str">
            <v>Total long-term liabilities</v>
          </cell>
          <cell r="C67" t="str">
            <v>TOT_LT_LIAB</v>
          </cell>
          <cell r="D67" t="str">
            <v>EUR</v>
          </cell>
          <cell r="F67">
            <v>1.7509999999999999</v>
          </cell>
          <cell r="K67">
            <v>10.199999999999999</v>
          </cell>
          <cell r="P67">
            <v>87.6</v>
          </cell>
          <cell r="U67">
            <v>87.7</v>
          </cell>
        </row>
        <row r="68">
          <cell r="B68" t="str">
            <v>Total liabilities</v>
          </cell>
          <cell r="C68" t="str">
            <v>TOT_LIAB</v>
          </cell>
          <cell r="D68" t="str">
            <v>EUR</v>
          </cell>
          <cell r="F68">
            <v>117.59399999999999</v>
          </cell>
          <cell r="K68">
            <v>204.7</v>
          </cell>
          <cell r="P68">
            <v>401.70000000000005</v>
          </cell>
          <cell r="U68">
            <v>643.38857160441444</v>
          </cell>
        </row>
        <row r="69">
          <cell r="B69" t="str">
            <v>Preferred shares</v>
          </cell>
          <cell r="C69" t="str">
            <v>PREF_SH</v>
          </cell>
          <cell r="D69" t="str">
            <v>EUR</v>
          </cell>
        </row>
        <row r="70">
          <cell r="B70" t="str">
            <v>Total common equity</v>
          </cell>
          <cell r="C70" t="str">
            <v>ORD_SH_FUND</v>
          </cell>
          <cell r="D70" t="str">
            <v>EUR</v>
          </cell>
          <cell r="F70">
            <v>177.09800000000001</v>
          </cell>
          <cell r="K70">
            <v>102.2</v>
          </cell>
          <cell r="P70">
            <v>55.4</v>
          </cell>
          <cell r="U70">
            <v>517.94296063025149</v>
          </cell>
        </row>
        <row r="71">
          <cell r="B71" t="str">
            <v>Minority interest</v>
          </cell>
          <cell r="C71" t="str">
            <v>MINORITIES</v>
          </cell>
          <cell r="D71" t="str">
            <v>EUR</v>
          </cell>
        </row>
        <row r="72">
          <cell r="B72" t="str">
            <v>Total shareholders' equity</v>
          </cell>
          <cell r="C72" t="str">
            <v>EQ</v>
          </cell>
          <cell r="D72" t="str">
            <v>EUR</v>
          </cell>
          <cell r="F72">
            <v>177.09800000000001</v>
          </cell>
          <cell r="K72">
            <v>102.2</v>
          </cell>
          <cell r="P72">
            <v>55.4</v>
          </cell>
          <cell r="U72">
            <v>517.94296063025149</v>
          </cell>
        </row>
        <row r="73">
          <cell r="B73" t="str">
            <v>Total liabilities and equity</v>
          </cell>
          <cell r="C73" t="str">
            <v>TOT_LIAB_EQ</v>
          </cell>
          <cell r="D73" t="str">
            <v>EUR</v>
          </cell>
          <cell r="F73">
            <v>294.69200000000001</v>
          </cell>
          <cell r="K73">
            <v>306.89999999999998</v>
          </cell>
          <cell r="P73">
            <v>457.1</v>
          </cell>
          <cell r="U73">
            <v>1161.3315322346659</v>
          </cell>
        </row>
        <row r="74">
          <cell r="A74" t="str">
            <v>Additional Balance Sheet Items</v>
          </cell>
        </row>
        <row r="75">
          <cell r="B75" t="str">
            <v>Total US$ debt (in US$)</v>
          </cell>
          <cell r="C75" t="str">
            <v>TOT_USD_DEBT</v>
          </cell>
          <cell r="F75">
            <v>0</v>
          </cell>
          <cell r="K75">
            <v>0</v>
          </cell>
          <cell r="P75">
            <v>0</v>
          </cell>
        </row>
        <row r="76">
          <cell r="B76" t="str">
            <v>% US$ debt hedged (principal)</v>
          </cell>
          <cell r="C76" t="str">
            <v>TOT_PCT_USD_DEBT_HEDGED</v>
          </cell>
          <cell r="F76">
            <v>0</v>
          </cell>
          <cell r="K76">
            <v>0</v>
          </cell>
          <cell r="P76">
            <v>0</v>
          </cell>
        </row>
        <row r="77">
          <cell r="B77" t="str">
            <v>% Floating debt (local currency debt)</v>
          </cell>
          <cell r="C77" t="str">
            <v>FLOATING_PCT_LOCAL_DEBT</v>
          </cell>
          <cell r="F77">
            <v>0</v>
          </cell>
          <cell r="K77">
            <v>0</v>
          </cell>
          <cell r="P77">
            <v>0</v>
          </cell>
        </row>
        <row r="78">
          <cell r="B78" t="str">
            <v>% floating debt hedged (rates)</v>
          </cell>
          <cell r="C78" t="str">
            <v>FLOATING_PCT_LOCAL_DEBT_HEDGED</v>
          </cell>
        </row>
        <row r="79">
          <cell r="B79" t="str">
            <v>Net debt</v>
          </cell>
          <cell r="C79" t="str">
            <v>NET_DEBT</v>
          </cell>
          <cell r="D79" t="str">
            <v>EUR</v>
          </cell>
          <cell r="F79">
            <v>-123.346</v>
          </cell>
          <cell r="K79">
            <v>-50.7</v>
          </cell>
          <cell r="P79">
            <v>-97.100000000000009</v>
          </cell>
          <cell r="U79">
            <v>-590.28545413172913</v>
          </cell>
        </row>
        <row r="80">
          <cell r="B80" t="str">
            <v>Capitalized operating leases (off-balance sheet)</v>
          </cell>
          <cell r="C80" t="str">
            <v>CAP_LEASES</v>
          </cell>
          <cell r="D80" t="str">
            <v>EUR</v>
          </cell>
        </row>
        <row r="81">
          <cell r="B81" t="str">
            <v>Deferred income taxes</v>
          </cell>
          <cell r="C81" t="str">
            <v>DEF_INC_TAX</v>
          </cell>
          <cell r="D81" t="str">
            <v>EUR</v>
          </cell>
        </row>
        <row r="82">
          <cell r="B82" t="str">
            <v>Associates (mkt value) used in EV calculation</v>
          </cell>
          <cell r="C82" t="str">
            <v>MV_ASSOCIATES</v>
          </cell>
          <cell r="D82" t="str">
            <v>EUR</v>
          </cell>
        </row>
        <row r="83">
          <cell r="B83" t="str">
            <v>Net debt adjustment</v>
          </cell>
          <cell r="C83" t="str">
            <v>NET_DEBT_ADJ</v>
          </cell>
          <cell r="D83" t="str">
            <v>EUR</v>
          </cell>
        </row>
        <row r="84">
          <cell r="B84" t="str">
            <v>Company borrowing margin</v>
          </cell>
          <cell r="C84" t="str">
            <v>CO_BOR_MARGIN</v>
          </cell>
        </row>
        <row r="85">
          <cell r="B85" t="str">
            <v>Unfunded pensions &amp; other provisions</v>
          </cell>
          <cell r="C85" t="str">
            <v>UNF_PENS</v>
          </cell>
          <cell r="D85" t="str">
            <v>EUR</v>
          </cell>
        </row>
        <row r="86">
          <cell r="B86" t="str">
            <v>Unfunded pension liabilities (off balance sheet)</v>
          </cell>
          <cell r="C86" t="str">
            <v>UNF_PENS_OFF</v>
          </cell>
          <cell r="D86" t="str">
            <v>EUR</v>
          </cell>
        </row>
        <row r="87">
          <cell r="B87" t="str">
            <v>Unfunded pension liabilities &amp; other, used in EV</v>
          </cell>
          <cell r="C87" t="str">
            <v>UNF_PENS_LIAB_OTH</v>
          </cell>
          <cell r="D87" t="str">
            <v>EUR</v>
          </cell>
        </row>
        <row r="88">
          <cell r="B88" t="str">
            <v>Adjustment for unfunded pensions &amp; goodwill</v>
          </cell>
          <cell r="C88" t="str">
            <v>ADJ_UNF_PENS_GOOD</v>
          </cell>
          <cell r="D88" t="str">
            <v>EUR</v>
          </cell>
        </row>
        <row r="89">
          <cell r="B89" t="str">
            <v>Other GCI adjustments</v>
          </cell>
          <cell r="C89" t="str">
            <v>OTH_GCI_ADJ</v>
          </cell>
          <cell r="D89" t="str">
            <v>EUR</v>
          </cell>
        </row>
        <row r="90">
          <cell r="B90" t="str">
            <v>GCI inflator</v>
          </cell>
          <cell r="C90" t="str">
            <v>GCI_INFL</v>
          </cell>
        </row>
        <row r="91">
          <cell r="B91" t="str">
            <v>Minority interest</v>
          </cell>
          <cell r="C91" t="str">
            <v>BAL_MINO_INT</v>
          </cell>
          <cell r="D91" t="str">
            <v>EUR</v>
          </cell>
        </row>
        <row r="92">
          <cell r="B92" t="str">
            <v>Right-of-use assets (op lease assets under US GAAP)</v>
          </cell>
          <cell r="C92" t="str">
            <v>ROU_ASSET</v>
          </cell>
          <cell r="D92" t="str">
            <v>EUR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11.8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10.199999999999999</v>
          </cell>
          <cell r="U92">
            <v>10.199999999999999</v>
          </cell>
        </row>
        <row r="93">
          <cell r="A93" t="str">
            <v>Cash Flow Statement</v>
          </cell>
        </row>
        <row r="94">
          <cell r="B94" t="str">
            <v>Minority interest add-back</v>
          </cell>
          <cell r="C94" t="str">
            <v>CF_INC_MINORITY</v>
          </cell>
          <cell r="D94" t="str">
            <v>EUR</v>
          </cell>
        </row>
        <row r="95">
          <cell r="B95" t="str">
            <v>Depreciation &amp; amortization add-back</v>
          </cell>
          <cell r="C95" t="str">
            <v>DEPR_AMORT</v>
          </cell>
          <cell r="D95" t="str">
            <v>EUR</v>
          </cell>
          <cell r="F95">
            <v>5.89</v>
          </cell>
          <cell r="K95">
            <v>9.4990000000000006</v>
          </cell>
          <cell r="P95">
            <v>11.44</v>
          </cell>
          <cell r="U95">
            <v>20.859205799999998</v>
          </cell>
        </row>
        <row r="96">
          <cell r="B96" t="str">
            <v>(Increase)/decrease in working capital</v>
          </cell>
          <cell r="C96" t="str">
            <v>WORK_CAP</v>
          </cell>
          <cell r="D96" t="str">
            <v>EUR</v>
          </cell>
          <cell r="F96">
            <v>-9.9</v>
          </cell>
          <cell r="K96">
            <v>27</v>
          </cell>
          <cell r="P96">
            <v>23.9</v>
          </cell>
          <cell r="U96">
            <v>-7.2167122985222818</v>
          </cell>
        </row>
        <row r="97">
          <cell r="B97" t="str">
            <v>Other operating cash flow items</v>
          </cell>
          <cell r="C97" t="str">
            <v>OTH_OP_CF</v>
          </cell>
          <cell r="D97" t="str">
            <v>EUR</v>
          </cell>
          <cell r="F97">
            <v>11.293999999999999</v>
          </cell>
          <cell r="K97">
            <v>0.90000000000000036</v>
          </cell>
          <cell r="P97">
            <v>18.099999999999998</v>
          </cell>
          <cell r="U97">
            <v>1.6</v>
          </cell>
        </row>
        <row r="98">
          <cell r="B98" t="str">
            <v>Cash flow from operating activities</v>
          </cell>
          <cell r="C98" t="str">
            <v>CF_OPS</v>
          </cell>
          <cell r="D98" t="str">
            <v>EUR</v>
          </cell>
          <cell r="F98">
            <v>-107.37000000000002</v>
          </cell>
          <cell r="K98">
            <v>-42.500000000000014</v>
          </cell>
          <cell r="P98">
            <v>-6.4499999999999975</v>
          </cell>
          <cell r="U98">
            <v>-80.914545868270892</v>
          </cell>
        </row>
        <row r="99">
          <cell r="B99" t="str">
            <v>Capital expenditures, Capex</v>
          </cell>
          <cell r="C99" t="str">
            <v>CAPEX</v>
          </cell>
          <cell r="D99" t="str">
            <v>EUR</v>
          </cell>
          <cell r="F99">
            <v>-9.5</v>
          </cell>
          <cell r="K99">
            <v>-10.5</v>
          </cell>
          <cell r="P99">
            <v>-16.899999999999999</v>
          </cell>
          <cell r="U99">
            <v>-34</v>
          </cell>
        </row>
        <row r="100">
          <cell r="B100" t="str">
            <v>Acquisitions</v>
          </cell>
          <cell r="C100" t="str">
            <v>ACQ</v>
          </cell>
          <cell r="D100" t="str">
            <v>EUR</v>
          </cell>
          <cell r="F100">
            <v>-9.5</v>
          </cell>
          <cell r="K100">
            <v>-4.2</v>
          </cell>
          <cell r="P100">
            <v>-1.9</v>
          </cell>
          <cell r="U100">
            <v>0</v>
          </cell>
        </row>
        <row r="101">
          <cell r="B101" t="str">
            <v>Divestitures</v>
          </cell>
          <cell r="C101" t="str">
            <v>DIVEST</v>
          </cell>
          <cell r="D101" t="str">
            <v>EUR</v>
          </cell>
        </row>
        <row r="102">
          <cell r="B102" t="str">
            <v>Other investing cash flow items</v>
          </cell>
          <cell r="C102" t="str">
            <v>OTH_INV_CF</v>
          </cell>
          <cell r="D102" t="str">
            <v>EUR</v>
          </cell>
          <cell r="F102">
            <v>0</v>
          </cell>
          <cell r="K102">
            <v>-0.5</v>
          </cell>
          <cell r="P102">
            <v>-0.1</v>
          </cell>
          <cell r="U102">
            <v>-45</v>
          </cell>
        </row>
        <row r="103">
          <cell r="B103" t="str">
            <v>Cash flow from investing</v>
          </cell>
          <cell r="C103" t="str">
            <v>CF_INV</v>
          </cell>
          <cell r="D103" t="str">
            <v>EUR</v>
          </cell>
          <cell r="F103">
            <v>-19</v>
          </cell>
          <cell r="K103">
            <v>-15.2</v>
          </cell>
          <cell r="P103">
            <v>-18.899999999999999</v>
          </cell>
          <cell r="U103">
            <v>-79</v>
          </cell>
        </row>
        <row r="104">
          <cell r="B104" t="str">
            <v>Dividends paid</v>
          </cell>
          <cell r="C104" t="str">
            <v>DIV_PAID</v>
          </cell>
          <cell r="D104" t="str">
            <v>EUR</v>
          </cell>
        </row>
        <row r="105">
          <cell r="B105" t="str">
            <v>Common stock issuance/(repurchase)</v>
          </cell>
          <cell r="C105" t="str">
            <v>SH_REPUR</v>
          </cell>
          <cell r="D105" t="str">
            <v>EUR</v>
          </cell>
          <cell r="F105">
            <v>250</v>
          </cell>
          <cell r="K105">
            <v>0</v>
          </cell>
          <cell r="P105">
            <v>0</v>
          </cell>
          <cell r="U105">
            <v>657</v>
          </cell>
        </row>
        <row r="106">
          <cell r="B106" t="str">
            <v>Increase/(decrease) in total debt</v>
          </cell>
          <cell r="C106" t="str">
            <v>CHG_LT_DEBT</v>
          </cell>
          <cell r="D106" t="str">
            <v>EUR</v>
          </cell>
          <cell r="F106">
            <v>-13.6</v>
          </cell>
          <cell r="K106">
            <v>0</v>
          </cell>
          <cell r="P106">
            <v>75</v>
          </cell>
          <cell r="U106">
            <v>0</v>
          </cell>
        </row>
        <row r="107">
          <cell r="B107" t="str">
            <v>Lease principal payments  (applicable to IFRS cos.)</v>
          </cell>
          <cell r="C107" t="str">
            <v>LEASE_PRINCIPAL_CASH</v>
          </cell>
          <cell r="D107" t="str">
            <v>EUR</v>
          </cell>
          <cell r="F107">
            <v>0</v>
          </cell>
          <cell r="K107">
            <v>-3.3</v>
          </cell>
          <cell r="P107">
            <v>-3.9</v>
          </cell>
          <cell r="U107">
            <v>-3.9</v>
          </cell>
        </row>
        <row r="108">
          <cell r="B108" t="str">
            <v>Other financing cash flow items</v>
          </cell>
          <cell r="C108" t="str">
            <v>OTH_FIN_CF</v>
          </cell>
          <cell r="D108" t="str">
            <v>EUR</v>
          </cell>
          <cell r="F108">
            <v>-2.007000000000005</v>
          </cell>
          <cell r="K108">
            <v>4.9999999999999822E-2</v>
          </cell>
          <cell r="P108">
            <v>-0.25</v>
          </cell>
          <cell r="U108">
            <v>0</v>
          </cell>
        </row>
        <row r="109">
          <cell r="B109" t="str">
            <v>Cash flow from financing</v>
          </cell>
          <cell r="C109" t="str">
            <v>CF_FIN</v>
          </cell>
          <cell r="D109" t="str">
            <v>EUR</v>
          </cell>
          <cell r="F109">
            <v>234.393</v>
          </cell>
          <cell r="K109">
            <v>-3.25</v>
          </cell>
          <cell r="P109">
            <v>70.849999999999994</v>
          </cell>
          <cell r="U109">
            <v>653.1</v>
          </cell>
        </row>
        <row r="110">
          <cell r="B110" t="str">
            <v>Other items net cash flow</v>
          </cell>
          <cell r="C110" t="str">
            <v>OTH_ITEM_NCF</v>
          </cell>
          <cell r="D110" t="str">
            <v>EUR</v>
          </cell>
        </row>
        <row r="111">
          <cell r="B111" t="str">
            <v>Total cash flow</v>
          </cell>
          <cell r="C111" t="str">
            <v>TOT_CF</v>
          </cell>
          <cell r="D111" t="str">
            <v>EUR</v>
          </cell>
          <cell r="F111">
            <v>108.02299999999998</v>
          </cell>
          <cell r="K111">
            <v>-60.950000000000017</v>
          </cell>
          <cell r="P111">
            <v>45.5</v>
          </cell>
          <cell r="U111">
            <v>493.1854541317291</v>
          </cell>
        </row>
        <row r="112">
          <cell r="A112" t="str">
            <v>Additional Cash Flow Items</v>
          </cell>
        </row>
        <row r="113">
          <cell r="B113" t="str">
            <v>Associate and JV add-back</v>
          </cell>
          <cell r="C113" t="str">
            <v>ASSOC_JV_ADDBK</v>
          </cell>
          <cell r="D113" t="str">
            <v>EUR</v>
          </cell>
        </row>
        <row r="114">
          <cell r="B114" t="str">
            <v>Cash interest income/(expense)</v>
          </cell>
          <cell r="C114" t="str">
            <v>CASH_INT_INC_EXP</v>
          </cell>
          <cell r="D114" t="str">
            <v>EUR</v>
          </cell>
        </row>
        <row r="115">
          <cell r="B115" t="str">
            <v>Cash taxes paid</v>
          </cell>
          <cell r="C115" t="str">
            <v>CASH_TAX_PD</v>
          </cell>
          <cell r="D115" t="str">
            <v>EUR</v>
          </cell>
        </row>
        <row r="116">
          <cell r="B116" t="str">
            <v>Profit/(loss) on sale of assets</v>
          </cell>
          <cell r="C116" t="str">
            <v>PL_SALE_ASSETS</v>
          </cell>
          <cell r="D116" t="str">
            <v>EUR</v>
          </cell>
        </row>
        <row r="117">
          <cell r="B117" t="str">
            <v>Other non-cash adjustments</v>
          </cell>
          <cell r="C117" t="str">
            <v>OTH_NONCASH_ADJ</v>
          </cell>
          <cell r="D117" t="str">
            <v>EUR</v>
          </cell>
        </row>
        <row r="118">
          <cell r="B118" t="str">
            <v>Other DACF adjustments</v>
          </cell>
          <cell r="C118" t="str">
            <v>OTH_DACF_ADJ</v>
          </cell>
          <cell r="D118" t="str">
            <v>EUR</v>
          </cell>
        </row>
        <row r="119">
          <cell r="B119" t="str">
            <v>Cash interest expense</v>
          </cell>
          <cell r="C119" t="str">
            <v>CASH_INT_EXP</v>
          </cell>
          <cell r="D119" t="str">
            <v>EUR</v>
          </cell>
        </row>
        <row r="120">
          <cell r="B120" t="str">
            <v>Cash tax expense</v>
          </cell>
          <cell r="C120" t="str">
            <v>CASH_TAX_EXP</v>
          </cell>
          <cell r="D120" t="str">
            <v>EUR</v>
          </cell>
        </row>
        <row r="121">
          <cell r="B121" t="str">
            <v>Dividends received from associates/JVs</v>
          </cell>
          <cell r="C121" t="str">
            <v>DIVDS_ASSOC_JV</v>
          </cell>
          <cell r="D121" t="str">
            <v>EUR</v>
          </cell>
        </row>
        <row r="122">
          <cell r="B122" t="str">
            <v>Capex maintenance</v>
          </cell>
          <cell r="C122" t="str">
            <v>CAPEX_MAINTENANCE</v>
          </cell>
          <cell r="D122" t="str">
            <v>EUR</v>
          </cell>
        </row>
        <row r="123">
          <cell r="B123" t="str">
            <v>Capex expansion</v>
          </cell>
          <cell r="C123" t="str">
            <v>CAPEX_EXPANSION</v>
          </cell>
          <cell r="D123" t="str">
            <v>EUR</v>
          </cell>
        </row>
        <row r="124">
          <cell r="B124" t="str">
            <v>Non-PP&amp;E capex</v>
          </cell>
          <cell r="C124" t="str">
            <v>NONPPE_CAPEX</v>
          </cell>
          <cell r="D124" t="str">
            <v>EUR</v>
          </cell>
        </row>
        <row r="125">
          <cell r="B125" t="str">
            <v>Dividends paid to minorities</v>
          </cell>
          <cell r="C125" t="str">
            <v>DIVDS_PD_MINORITIES</v>
          </cell>
          <cell r="D125" t="str">
            <v>EUR</v>
          </cell>
        </row>
        <row r="126">
          <cell r="A126" t="str">
            <v>Other Items</v>
          </cell>
        </row>
        <row r="127">
          <cell r="B127" t="str">
            <v>Number of employees</v>
          </cell>
          <cell r="C127" t="str">
            <v>EMPLOYEES</v>
          </cell>
          <cell r="F127">
            <v>0.56999999999999995</v>
          </cell>
          <cell r="K127">
            <v>0.68600000000000005</v>
          </cell>
          <cell r="P127">
            <v>1.0489999999999999</v>
          </cell>
        </row>
        <row r="128">
          <cell r="A128" t="str">
            <v>Operating Metrics</v>
          </cell>
        </row>
        <row r="129">
          <cell r="B129" t="str">
            <v>Same store sales growth</v>
          </cell>
          <cell r="C129" t="str">
            <v>RETAIL_SSS_PCT_CHG</v>
          </cell>
        </row>
        <row r="130">
          <cell r="A130" t="str">
            <v>Geographical Breakdown</v>
          </cell>
        </row>
        <row r="131">
          <cell r="B131" t="str">
            <v>Sales - % Canada</v>
          </cell>
          <cell r="C131" t="str">
            <v>SALES_CANADA</v>
          </cell>
        </row>
        <row r="132">
          <cell r="B132" t="str">
            <v>Sales - % United States</v>
          </cell>
          <cell r="C132" t="str">
            <v>SALES_US</v>
          </cell>
        </row>
        <row r="133">
          <cell r="B133" t="str">
            <v>Sales - % Other North Americas</v>
          </cell>
          <cell r="C133" t="str">
            <v>SALES_OTH_NO_AMER</v>
          </cell>
        </row>
        <row r="134">
          <cell r="B134" t="str">
            <v>Sales - % Argentina</v>
          </cell>
          <cell r="C134" t="str">
            <v>SALES_ARGENTINA</v>
          </cell>
        </row>
        <row r="135">
          <cell r="B135" t="str">
            <v>Sales - % Brazil</v>
          </cell>
          <cell r="C135" t="str">
            <v>SALES_BRAZIL</v>
          </cell>
        </row>
        <row r="136">
          <cell r="B136" t="str">
            <v>Sales - % Chile</v>
          </cell>
          <cell r="C136" t="str">
            <v>SALES_CHILE</v>
          </cell>
        </row>
        <row r="137">
          <cell r="B137" t="str">
            <v>Sales - % Colombia</v>
          </cell>
          <cell r="C137" t="str">
            <v>SALES_COLOMBIA</v>
          </cell>
        </row>
        <row r="138">
          <cell r="B138" t="str">
            <v>Sales - % Mexico</v>
          </cell>
          <cell r="C138" t="str">
            <v>SALES_MEXICO</v>
          </cell>
        </row>
        <row r="139">
          <cell r="B139" t="str">
            <v>Sales - % Venezuela</v>
          </cell>
          <cell r="C139" t="str">
            <v>SALES_VENEZUELA</v>
          </cell>
        </row>
        <row r="140">
          <cell r="B140" t="str">
            <v>Sales - % Other Latin Americas</v>
          </cell>
          <cell r="C140" t="str">
            <v>SALES_OTH_LATAM</v>
          </cell>
        </row>
        <row r="141">
          <cell r="B141" t="str">
            <v>Sales - % Austria</v>
          </cell>
          <cell r="C141" t="str">
            <v>SALES_AUSTRIA</v>
          </cell>
          <cell r="F141">
            <v>0.18666666666666668</v>
          </cell>
          <cell r="K141">
            <v>0.18666666666666668</v>
          </cell>
          <cell r="P141">
            <v>0.18666666666666668</v>
          </cell>
          <cell r="U141">
            <v>0.18666666666666668</v>
          </cell>
        </row>
        <row r="142">
          <cell r="B142" t="str">
            <v>Sales - % Belgium</v>
          </cell>
          <cell r="C142" t="str">
            <v>SALES_BEL</v>
          </cell>
        </row>
        <row r="143">
          <cell r="B143" t="str">
            <v>Sales - % France</v>
          </cell>
          <cell r="C143" t="str">
            <v>SALES_FRA</v>
          </cell>
        </row>
        <row r="144">
          <cell r="B144" t="str">
            <v>Sales - % Germany</v>
          </cell>
          <cell r="C144" t="str">
            <v>SALES_GER</v>
          </cell>
          <cell r="F144">
            <v>0.18666666666666668</v>
          </cell>
          <cell r="K144">
            <v>0.18666666666666668</v>
          </cell>
          <cell r="P144">
            <v>0.18666666666666668</v>
          </cell>
          <cell r="U144">
            <v>0.18666666666666668</v>
          </cell>
        </row>
        <row r="145">
          <cell r="B145" t="str">
            <v>Sales - % Greece</v>
          </cell>
          <cell r="C145" t="str">
            <v>SALES_GRE</v>
          </cell>
        </row>
        <row r="146">
          <cell r="B146" t="str">
            <v>Sales - % Ireland</v>
          </cell>
          <cell r="C146" t="str">
            <v>SALES_IRE</v>
          </cell>
        </row>
        <row r="147">
          <cell r="B147" t="str">
            <v>Sales - % Italy</v>
          </cell>
          <cell r="C147" t="str">
            <v>SALES_ITA</v>
          </cell>
        </row>
        <row r="148">
          <cell r="B148" t="str">
            <v>Sales - % Netherlands</v>
          </cell>
          <cell r="C148" t="str">
            <v>SALES_NETH</v>
          </cell>
        </row>
        <row r="149">
          <cell r="B149" t="str">
            <v>Sales - % Norway</v>
          </cell>
          <cell r="C149" t="str">
            <v>SALES_NOR</v>
          </cell>
        </row>
        <row r="150">
          <cell r="B150" t="str">
            <v>Sales - % Portugal</v>
          </cell>
          <cell r="C150" t="str">
            <v>SALES_POR</v>
          </cell>
        </row>
        <row r="151">
          <cell r="B151" t="str">
            <v>Sales - % Spain</v>
          </cell>
          <cell r="C151" t="str">
            <v>SALES_SPA</v>
          </cell>
        </row>
        <row r="152">
          <cell r="B152" t="str">
            <v>Sales - % Sweden</v>
          </cell>
          <cell r="C152" t="str">
            <v>SALES_SWE</v>
          </cell>
        </row>
        <row r="153">
          <cell r="B153" t="str">
            <v>Sales - % Switzerland</v>
          </cell>
          <cell r="C153" t="str">
            <v>SALES_SWIT</v>
          </cell>
          <cell r="F153">
            <v>0.18666666666666668</v>
          </cell>
          <cell r="K153">
            <v>0.18666666666666668</v>
          </cell>
          <cell r="P153">
            <v>0.18666666666666668</v>
          </cell>
          <cell r="U153">
            <v>0.18666666666666668</v>
          </cell>
        </row>
        <row r="154">
          <cell r="B154" t="str">
            <v>Sales - % UK</v>
          </cell>
          <cell r="C154" t="str">
            <v>SALES_UK</v>
          </cell>
        </row>
        <row r="155">
          <cell r="B155" t="str">
            <v>Sales - % Other Western Europe</v>
          </cell>
          <cell r="C155" t="str">
            <v>SALES_OTH_WEST_EURO</v>
          </cell>
          <cell r="F155">
            <v>0.185</v>
          </cell>
          <cell r="K155">
            <v>0.185</v>
          </cell>
          <cell r="P155">
            <v>0.185</v>
          </cell>
          <cell r="U155">
            <v>0.185</v>
          </cell>
        </row>
        <row r="156">
          <cell r="B156" t="str">
            <v>Sales - % Poland</v>
          </cell>
          <cell r="C156" t="str">
            <v>SALES_POLAND</v>
          </cell>
        </row>
        <row r="157">
          <cell r="B157" t="str">
            <v>Sales - % Russia</v>
          </cell>
          <cell r="C157" t="str">
            <v>SALES_RUSSIA</v>
          </cell>
        </row>
        <row r="158">
          <cell r="B158" t="str">
            <v>Sales - % Turkey</v>
          </cell>
          <cell r="C158" t="str">
            <v>SALES_TURKEY</v>
          </cell>
        </row>
        <row r="159">
          <cell r="B159" t="str">
            <v>Sales - % Other CEE</v>
          </cell>
          <cell r="C159" t="str">
            <v>SALES_OTH_CEE</v>
          </cell>
          <cell r="F159">
            <v>0.185</v>
          </cell>
          <cell r="K159">
            <v>0.185</v>
          </cell>
          <cell r="P159">
            <v>0.185</v>
          </cell>
          <cell r="U159">
            <v>0.185</v>
          </cell>
        </row>
        <row r="160">
          <cell r="B160" t="str">
            <v>Sales - % Saudi Arabia</v>
          </cell>
          <cell r="C160" t="str">
            <v>SALES_SAUDI_ARABIA</v>
          </cell>
        </row>
        <row r="161">
          <cell r="B161" t="str">
            <v>Sales - % United Arab Emirates</v>
          </cell>
          <cell r="C161" t="str">
            <v>SALES_UAE</v>
          </cell>
        </row>
        <row r="162">
          <cell r="B162" t="str">
            <v>Sales - % Other Middle East</v>
          </cell>
          <cell r="C162" t="str">
            <v>SALES_OTH_ME</v>
          </cell>
        </row>
        <row r="163">
          <cell r="B163" t="str">
            <v>Sales - % Nigeria</v>
          </cell>
          <cell r="C163" t="str">
            <v>SALES_NIGERIA</v>
          </cell>
        </row>
        <row r="164">
          <cell r="B164" t="str">
            <v>Sales - % South Africa</v>
          </cell>
          <cell r="C164" t="str">
            <v>SALES_SO_AFRICA</v>
          </cell>
        </row>
        <row r="165">
          <cell r="B165" t="str">
            <v>Sales - % Other Africa</v>
          </cell>
          <cell r="C165" t="str">
            <v>SALES_OTH_AFRICA</v>
          </cell>
        </row>
        <row r="166">
          <cell r="B166" t="str">
            <v>Sales - % Hong Kong</v>
          </cell>
          <cell r="C166" t="str">
            <v>SALES_HONG_KONG</v>
          </cell>
        </row>
        <row r="167">
          <cell r="B167" t="str">
            <v>Sales - % Japan</v>
          </cell>
          <cell r="C167" t="str">
            <v>SALES_JAPAN</v>
          </cell>
        </row>
        <row r="168">
          <cell r="B168" t="str">
            <v>Sales - % Singapore</v>
          </cell>
          <cell r="C168" t="str">
            <v>SALES_SINGAPORE</v>
          </cell>
        </row>
        <row r="169">
          <cell r="B169" t="str">
            <v>Sales - % South Korea</v>
          </cell>
          <cell r="C169" t="str">
            <v>SALES_SK</v>
          </cell>
        </row>
        <row r="170">
          <cell r="B170" t="str">
            <v>Sales - % Taiwan</v>
          </cell>
          <cell r="C170" t="str">
            <v>SALES_TAIWAN</v>
          </cell>
        </row>
        <row r="171">
          <cell r="B171" t="str">
            <v>Sales - % Other Developed Asia</v>
          </cell>
          <cell r="C171" t="str">
            <v>SALES_OTH_DEV_ASIA</v>
          </cell>
        </row>
        <row r="172">
          <cell r="B172" t="str">
            <v>Sales - % China</v>
          </cell>
          <cell r="C172" t="str">
            <v>SALES_CHINA</v>
          </cell>
        </row>
        <row r="173">
          <cell r="B173" t="str">
            <v>Sales - % India</v>
          </cell>
          <cell r="C173" t="str">
            <v>SALES_INDIA</v>
          </cell>
        </row>
        <row r="174">
          <cell r="B174" t="str">
            <v>Sales - % Indonesia</v>
          </cell>
          <cell r="C174" t="str">
            <v>SALES_INDONESIA</v>
          </cell>
        </row>
        <row r="175">
          <cell r="B175" t="str">
            <v>Sales - % Thailand</v>
          </cell>
          <cell r="C175" t="str">
            <v>SALES_THAILAND</v>
          </cell>
        </row>
        <row r="176">
          <cell r="B176" t="str">
            <v>Sales - % Other Emerging Asia</v>
          </cell>
          <cell r="C176" t="str">
            <v>SALES_OTH_EMERG_ASIA</v>
          </cell>
        </row>
        <row r="177">
          <cell r="B177" t="str">
            <v>Sales - % Australia</v>
          </cell>
          <cell r="C177" t="str">
            <v>SALES_AUSTRA</v>
          </cell>
        </row>
        <row r="178">
          <cell r="B178" t="str">
            <v>Sales - % New Zealand</v>
          </cell>
          <cell r="C178" t="str">
            <v>SALES_NZ</v>
          </cell>
        </row>
        <row r="179">
          <cell r="B179" t="str">
            <v>Sales - % Others</v>
          </cell>
          <cell r="C179" t="str">
            <v>SALES_OTHER</v>
          </cell>
          <cell r="F179">
            <v>6.999999999999984E-2</v>
          </cell>
          <cell r="K179">
            <v>6.999999999999984E-2</v>
          </cell>
          <cell r="P179">
            <v>6.999999999999984E-2</v>
          </cell>
          <cell r="U179">
            <v>6.999999999999984E-2</v>
          </cell>
        </row>
        <row r="180">
          <cell r="B180" t="str">
            <v>% of CoGS from U.S. (GS estimate)</v>
          </cell>
          <cell r="C180" t="str">
            <v>COGS_PCT_US</v>
          </cell>
          <cell r="F180">
            <v>0</v>
          </cell>
          <cell r="K180">
            <v>0</v>
          </cell>
          <cell r="P180">
            <v>0</v>
          </cell>
        </row>
        <row r="181">
          <cell r="B181" t="str">
            <v>% of CoGS from non-U.S. (GS estimate)</v>
          </cell>
          <cell r="C181" t="str">
            <v>COGS_PCT_ROW</v>
          </cell>
          <cell r="F181">
            <v>1</v>
          </cell>
          <cell r="K181">
            <v>1</v>
          </cell>
          <cell r="P181">
            <v>1</v>
          </cell>
        </row>
        <row r="182">
          <cell r="B182" t="str">
            <v>% of SG&amp;A from U.S. (GS estimate)</v>
          </cell>
          <cell r="C182" t="str">
            <v>SGA_PCT_US</v>
          </cell>
          <cell r="F182">
            <v>0</v>
          </cell>
          <cell r="K182">
            <v>0</v>
          </cell>
          <cell r="P182">
            <v>0</v>
          </cell>
        </row>
        <row r="183">
          <cell r="B183" t="str">
            <v>% of SG&amp;A from non-U.S. (GS estimate)</v>
          </cell>
          <cell r="C183" t="str">
            <v>SGA_PCT_ROW</v>
          </cell>
          <cell r="F183">
            <v>1</v>
          </cell>
          <cell r="K183">
            <v>1</v>
          </cell>
          <cell r="P183">
            <v>1</v>
          </cell>
        </row>
        <row r="184">
          <cell r="B184" t="str">
            <v>Sales -% Consumer (C)</v>
          </cell>
          <cell r="C184" t="str">
            <v>SALES_CONS</v>
          </cell>
          <cell r="F184">
            <v>1</v>
          </cell>
          <cell r="K184">
            <v>1</v>
          </cell>
          <cell r="P184">
            <v>1</v>
          </cell>
          <cell r="U184">
            <v>1</v>
          </cell>
        </row>
        <row r="185">
          <cell r="B185" t="str">
            <v>Sales -% Industry (I)</v>
          </cell>
          <cell r="C185" t="str">
            <v>SALES_IND</v>
          </cell>
          <cell r="F185">
            <v>0</v>
          </cell>
          <cell r="K185">
            <v>0</v>
          </cell>
          <cell r="P185">
            <v>0</v>
          </cell>
          <cell r="U185">
            <v>0</v>
          </cell>
        </row>
        <row r="186">
          <cell r="B186" t="str">
            <v>Sales -% Government (G)</v>
          </cell>
          <cell r="C186" t="str">
            <v>SALES_GOV</v>
          </cell>
          <cell r="F186">
            <v>0</v>
          </cell>
          <cell r="K186">
            <v>0</v>
          </cell>
          <cell r="P186">
            <v>0</v>
          </cell>
          <cell r="U186">
            <v>0</v>
          </cell>
        </row>
        <row r="187">
          <cell r="B187" t="str">
            <v>Sales - % Industry Sub-Segment: Financial Services</v>
          </cell>
          <cell r="C187" t="str">
            <v>SALES_FINAN</v>
          </cell>
          <cell r="F187">
            <v>0</v>
          </cell>
          <cell r="K187">
            <v>0</v>
          </cell>
          <cell r="P187">
            <v>0</v>
          </cell>
          <cell r="U187">
            <v>0</v>
          </cell>
        </row>
        <row r="188">
          <cell r="B188" t="str">
            <v>Sales - % Industry Sub-Segment: Oil &amp; Gas</v>
          </cell>
          <cell r="C188" t="str">
            <v>SALES_OIL_GAS</v>
          </cell>
          <cell r="F188">
            <v>0</v>
          </cell>
          <cell r="K188">
            <v>0</v>
          </cell>
          <cell r="P188">
            <v>0</v>
          </cell>
          <cell r="U188">
            <v>0</v>
          </cell>
        </row>
        <row r="189">
          <cell r="A189" t="str">
            <v>Commodities Exposure - Sales</v>
          </cell>
        </row>
        <row r="190">
          <cell r="B190" t="str">
            <v>Sales - % Oil/Petrol/Fuel</v>
          </cell>
          <cell r="C190" t="str">
            <v>SALES_OIL_PETRO_FUEL</v>
          </cell>
        </row>
        <row r="191">
          <cell r="B191" t="str">
            <v>Sales - % Steel</v>
          </cell>
          <cell r="C191" t="str">
            <v>SALES_STEEL</v>
          </cell>
        </row>
        <row r="192">
          <cell r="B192" t="str">
            <v>Sales - % Paper/pulp</v>
          </cell>
          <cell r="C192" t="str">
            <v>SALES_PAPER_PULP</v>
          </cell>
        </row>
        <row r="193">
          <cell r="B193" t="str">
            <v>Sales - % Lumber</v>
          </cell>
          <cell r="C193" t="str">
            <v>SALES_LUMBER</v>
          </cell>
        </row>
        <row r="194">
          <cell r="B194" t="str">
            <v>Sales - % Glass</v>
          </cell>
          <cell r="C194" t="str">
            <v>SALES_GLASS</v>
          </cell>
        </row>
        <row r="195">
          <cell r="B195" t="str">
            <v>Sales - % Cement</v>
          </cell>
          <cell r="C195" t="str">
            <v>SALES_CEMENT</v>
          </cell>
        </row>
        <row r="196">
          <cell r="B196" t="str">
            <v>Sales - % Tobacco leaf</v>
          </cell>
          <cell r="C196" t="str">
            <v>SALES_TOBACCO_LEAF</v>
          </cell>
        </row>
        <row r="197">
          <cell r="B197" t="str">
            <v>Sales - % Other commodity</v>
          </cell>
          <cell r="C197" t="str">
            <v>SALES_OTH_COMMODITY</v>
          </cell>
        </row>
        <row r="198">
          <cell r="B198" t="str">
            <v>Sales - % Other (Non-Commodity) sales sources</v>
          </cell>
          <cell r="C198" t="str">
            <v>SALES_OTH_SALES_SOURCES</v>
          </cell>
        </row>
        <row r="199">
          <cell r="A199" t="str">
            <v>Commodities Exposure - Expense</v>
          </cell>
        </row>
        <row r="200">
          <cell r="B200" t="str">
            <v>Expense - % Oil/Petrol/Fuel</v>
          </cell>
          <cell r="C200" t="str">
            <v>EXP_OIL_PETRO_FUEL</v>
          </cell>
          <cell r="F200">
            <v>0</v>
          </cell>
          <cell r="K200">
            <v>0</v>
          </cell>
          <cell r="P200">
            <v>0</v>
          </cell>
          <cell r="U200">
            <v>0</v>
          </cell>
        </row>
        <row r="201">
          <cell r="B201" t="str">
            <v>Expense - % Oil derivatives/NGLs/plastics</v>
          </cell>
          <cell r="C201" t="str">
            <v>EXP_OIL_DERIV_NGLS_PLASTICS</v>
          </cell>
          <cell r="F201">
            <v>0</v>
          </cell>
          <cell r="K201">
            <v>0</v>
          </cell>
          <cell r="P201">
            <v>0</v>
          </cell>
          <cell r="U201">
            <v>0</v>
          </cell>
        </row>
        <row r="202">
          <cell r="B202" t="str">
            <v>Expense - % Gold</v>
          </cell>
          <cell r="C202" t="str">
            <v>EXP_GOLD</v>
          </cell>
        </row>
        <row r="203">
          <cell r="B203" t="str">
            <v>Expense - % Copper</v>
          </cell>
          <cell r="C203" t="str">
            <v>EXP_COPPER</v>
          </cell>
        </row>
        <row r="204">
          <cell r="B204" t="str">
            <v>Expense - % Silver</v>
          </cell>
          <cell r="C204" t="str">
            <v>EXP_SILVER</v>
          </cell>
        </row>
        <row r="205">
          <cell r="B205" t="str">
            <v>Expense - % Platinum</v>
          </cell>
          <cell r="C205" t="str">
            <v>EXP_PLATINUM</v>
          </cell>
        </row>
        <row r="206">
          <cell r="B206" t="str">
            <v>Expense - % Aluminium</v>
          </cell>
          <cell r="C206" t="str">
            <v>EXP_ALUMINIUM</v>
          </cell>
        </row>
        <row r="207">
          <cell r="B207" t="str">
            <v>Expense - % Diamonds</v>
          </cell>
          <cell r="C207" t="str">
            <v>EXP_DIAMONDS</v>
          </cell>
        </row>
        <row r="208">
          <cell r="B208" t="str">
            <v>Expense - % Paper/pulp</v>
          </cell>
          <cell r="C208" t="str">
            <v>EXP_PAPER_PULP</v>
          </cell>
        </row>
        <row r="209">
          <cell r="B209" t="str">
            <v>Expense - % Wheat</v>
          </cell>
          <cell r="C209" t="str">
            <v>EXP_WHEAT</v>
          </cell>
        </row>
        <row r="210">
          <cell r="B210" t="str">
            <v>Expense - % Sugar</v>
          </cell>
          <cell r="C210" t="str">
            <v>EXP_SUGAR</v>
          </cell>
        </row>
        <row r="211">
          <cell r="B211" t="str">
            <v>Expense - % Soybean</v>
          </cell>
          <cell r="C211" t="str">
            <v>EXP_SOYBEAN</v>
          </cell>
        </row>
        <row r="212">
          <cell r="B212" t="str">
            <v>Expense - % Corn</v>
          </cell>
          <cell r="C212" t="str">
            <v>EXP_CORN</v>
          </cell>
        </row>
        <row r="213">
          <cell r="B213" t="str">
            <v>Expense - % Cotton</v>
          </cell>
          <cell r="C213" t="str">
            <v>EXP_COTTON</v>
          </cell>
        </row>
        <row r="214">
          <cell r="B214" t="str">
            <v>Expense - % Coffee</v>
          </cell>
          <cell r="C214" t="str">
            <v>EXP_COFFEE</v>
          </cell>
        </row>
        <row r="215">
          <cell r="B215" t="str">
            <v>Expense - % Cocoa</v>
          </cell>
          <cell r="C215" t="str">
            <v>EXP_COCOA</v>
          </cell>
        </row>
        <row r="216">
          <cell r="B216" t="str">
            <v>Expense - % Beef</v>
          </cell>
          <cell r="C216" t="str">
            <v>EXP_BEEF</v>
          </cell>
        </row>
        <row r="217">
          <cell r="B217" t="str">
            <v>Expense - % Pork</v>
          </cell>
          <cell r="C217" t="str">
            <v>EXP_PORK</v>
          </cell>
        </row>
        <row r="218">
          <cell r="B218" t="str">
            <v>Expense - % Chicken</v>
          </cell>
          <cell r="C218" t="str">
            <v>EXP_CHICKEN</v>
          </cell>
        </row>
        <row r="219">
          <cell r="B219" t="str">
            <v>Expense - % Dairy</v>
          </cell>
          <cell r="C219" t="str">
            <v>EXP_DAIRY</v>
          </cell>
        </row>
        <row r="220">
          <cell r="B220" t="str">
            <v>Expense - % Nuts</v>
          </cell>
          <cell r="C220" t="str">
            <v>EXP_NUTS</v>
          </cell>
        </row>
        <row r="221">
          <cell r="B221" t="str">
            <v>Expense - % Palm oil</v>
          </cell>
          <cell r="C221" t="str">
            <v>EXP_PALM_OIL</v>
          </cell>
        </row>
        <row r="222">
          <cell r="B222" t="str">
            <v>Expense - % Tobacco leaf</v>
          </cell>
          <cell r="C222" t="str">
            <v>EXP_TOBACCO_LEAF</v>
          </cell>
        </row>
        <row r="223">
          <cell r="B223" t="str">
            <v>Expense - % Water</v>
          </cell>
          <cell r="C223" t="str">
            <v>EXP_WATER</v>
          </cell>
        </row>
        <row r="224">
          <cell r="B224" t="str">
            <v>Expense - % Other commodity</v>
          </cell>
          <cell r="C224" t="str">
            <v>EXP_OTH_COMMODITY</v>
          </cell>
        </row>
        <row r="225">
          <cell r="B225" t="str">
            <v>Expense - % Other (Non-Commodity) cost</v>
          </cell>
          <cell r="C225" t="str">
            <v>EXP_OTH_COST</v>
          </cell>
        </row>
        <row r="226">
          <cell r="A226" t="str">
            <v>FX Exposure - Sales</v>
          </cell>
        </row>
        <row r="227">
          <cell r="B227" t="str">
            <v>Sales - % FX: British Pounds/Pence</v>
          </cell>
          <cell r="C227" t="str">
            <v>SALES_FX_GPB</v>
          </cell>
        </row>
        <row r="228">
          <cell r="B228" t="str">
            <v>Sales - % FX: Euro</v>
          </cell>
          <cell r="C228" t="str">
            <v>SALES_FX_EUR</v>
          </cell>
        </row>
        <row r="229">
          <cell r="B229" t="str">
            <v>Sales - % FX: New Russian Ruble</v>
          </cell>
          <cell r="C229" t="str">
            <v>SALES_FX_RUB</v>
          </cell>
        </row>
        <row r="230">
          <cell r="B230" t="str">
            <v>Sales - % FX: U.S. Dollar</v>
          </cell>
          <cell r="C230" t="str">
            <v>SALES_FX_USD</v>
          </cell>
        </row>
        <row r="231">
          <cell r="B231" t="str">
            <v>Sales - % FX: Brazilian Real</v>
          </cell>
          <cell r="C231" t="str">
            <v>SALES_FX_BRL</v>
          </cell>
        </row>
        <row r="232">
          <cell r="B232" t="str">
            <v>Sales - % FX: Japanese Yen</v>
          </cell>
          <cell r="C232" t="str">
            <v>SALES_FX_YEN</v>
          </cell>
        </row>
        <row r="233">
          <cell r="B233" t="str">
            <v>Sales - % FX: Chinese Renminbi</v>
          </cell>
          <cell r="C233" t="str">
            <v>SALES_FX_CNY</v>
          </cell>
        </row>
        <row r="234">
          <cell r="B234" t="str">
            <v>Sales - % FX: Indian Rupee</v>
          </cell>
          <cell r="C234" t="str">
            <v>SALES_FX_INR</v>
          </cell>
        </row>
        <row r="235">
          <cell r="B235" t="str">
            <v>Sales - % FX: South African Rand</v>
          </cell>
          <cell r="C235" t="str">
            <v>SALES_FX_ZAR</v>
          </cell>
        </row>
        <row r="236">
          <cell r="B236" t="str">
            <v>Sales - % FX: Nigerian Naira</v>
          </cell>
          <cell r="C236" t="str">
            <v>SALES_FX_NGN</v>
          </cell>
        </row>
        <row r="237">
          <cell r="B237" t="str">
            <v>Sales - % FX: Swiss Franc</v>
          </cell>
          <cell r="C237" t="str">
            <v>SALES_FX_CHF</v>
          </cell>
        </row>
        <row r="238">
          <cell r="B238" t="str">
            <v>Sales - % FX: UAE Dirham</v>
          </cell>
          <cell r="C238" t="str">
            <v>SALES_FX_AED</v>
          </cell>
        </row>
        <row r="239">
          <cell r="B239" t="str">
            <v>Sales - % FX: New Turkish Lira</v>
          </cell>
          <cell r="C239" t="str">
            <v>SALES_FX_TRY</v>
          </cell>
        </row>
        <row r="240">
          <cell r="B240" t="str">
            <v>Sales - % FX: Other Currency</v>
          </cell>
          <cell r="C240" t="str">
            <v>SALES_FX_OTH</v>
          </cell>
        </row>
        <row r="241">
          <cell r="A241" t="str">
            <v>Items to be removed</v>
          </cell>
        </row>
        <row r="242">
          <cell r="B242" t="str">
            <v>Sales - Total % Americas</v>
          </cell>
          <cell r="C242" t="str">
            <v>SALES_TOT_AM</v>
          </cell>
        </row>
        <row r="243">
          <cell r="B243" t="str">
            <v>Sales - % Other Americas</v>
          </cell>
          <cell r="C243" t="str">
            <v>SALES_OTH_AM</v>
          </cell>
        </row>
        <row r="244">
          <cell r="B244" t="str">
            <v>Sales - Total % EMEA</v>
          </cell>
          <cell r="C244" t="str">
            <v>SALES_TOT_EMEA</v>
          </cell>
        </row>
        <row r="245">
          <cell r="B245" t="str">
            <v>Sales - % Western Europe-Ex UK</v>
          </cell>
          <cell r="C245" t="str">
            <v>SALES_EU_EX_UK</v>
          </cell>
        </row>
        <row r="246">
          <cell r="B246" t="str">
            <v>Sales - % Other Western Europe-Ex UK</v>
          </cell>
          <cell r="C246" t="str">
            <v>SALES_OTH_EU_EX_UK</v>
          </cell>
        </row>
        <row r="247">
          <cell r="B247" t="str">
            <v>Sales - % Central &amp; Eastern Europe</v>
          </cell>
          <cell r="C247" t="str">
            <v>SALES_CEE</v>
          </cell>
        </row>
        <row r="248">
          <cell r="B248" t="str">
            <v>Sales - % Middle East</v>
          </cell>
          <cell r="C248" t="str">
            <v>SALES_ME</v>
          </cell>
        </row>
        <row r="249">
          <cell r="B249" t="str">
            <v>Sales - % Total Africa</v>
          </cell>
          <cell r="C249" t="str">
            <v>SALES_TOT_AFRICA</v>
          </cell>
        </row>
        <row r="250">
          <cell r="B250" t="str">
            <v>Sales - % Other EMEA</v>
          </cell>
          <cell r="C250" t="str">
            <v>SALES_OTH_EMEA</v>
          </cell>
        </row>
        <row r="251">
          <cell r="B251" t="str">
            <v>Sales - Total % Asia (incl Australia &amp; New Zealand)</v>
          </cell>
          <cell r="C251" t="str">
            <v>SALES_TOT_ASIA</v>
          </cell>
        </row>
        <row r="252">
          <cell r="B252" t="str">
            <v>Sales - % Other Asia</v>
          </cell>
          <cell r="C252" t="str">
            <v>SALES_OTH_AEJ</v>
          </cell>
        </row>
        <row r="253">
          <cell r="B253" t="str">
            <v>Indirect Sales - % Brazil</v>
          </cell>
          <cell r="C253" t="str">
            <v>IND_SALES_BRAZIL</v>
          </cell>
        </row>
        <row r="254">
          <cell r="B254" t="str">
            <v>Indirect Sales - % United States</v>
          </cell>
          <cell r="C254" t="str">
            <v>IND_SALES_US</v>
          </cell>
        </row>
        <row r="255">
          <cell r="B255" t="str">
            <v>Indirect Sales - % Other Americas</v>
          </cell>
          <cell r="C255" t="str">
            <v>IND_SALES_OTH_AM</v>
          </cell>
        </row>
        <row r="256">
          <cell r="B256" t="str">
            <v>Indirect Sales - Total % Americas</v>
          </cell>
          <cell r="C256" t="str">
            <v>IND_SALES_TOT_AM</v>
          </cell>
        </row>
        <row r="257">
          <cell r="B257" t="str">
            <v>Indirect Sales - % France</v>
          </cell>
          <cell r="C257" t="str">
            <v>IND_SALES_FRA</v>
          </cell>
        </row>
        <row r="258">
          <cell r="B258" t="str">
            <v>Indirect Sales - % Germany</v>
          </cell>
          <cell r="C258" t="str">
            <v>IND_SALES_GER</v>
          </cell>
        </row>
        <row r="259">
          <cell r="B259" t="str">
            <v>Indirect Sales - % Italy</v>
          </cell>
          <cell r="C259" t="str">
            <v>IND_SALES_ITA</v>
          </cell>
        </row>
        <row r="260">
          <cell r="B260" t="str">
            <v>Indirect Sales - % Spain</v>
          </cell>
          <cell r="C260" t="str">
            <v>IND_SALES_SPA</v>
          </cell>
        </row>
        <row r="261">
          <cell r="B261" t="str">
            <v>Indirect Sales - % UK</v>
          </cell>
          <cell r="C261" t="str">
            <v>IND_SALES_UK</v>
          </cell>
        </row>
        <row r="262">
          <cell r="B262" t="str">
            <v>Indirect Sales - % Western Europe-Ex UK</v>
          </cell>
          <cell r="C262" t="str">
            <v>IND_SALES_EU_EX_UK</v>
          </cell>
        </row>
        <row r="263">
          <cell r="B263" t="str">
            <v>Indirect Sales - % Other Western Europe-Ex UK</v>
          </cell>
          <cell r="C263" t="str">
            <v>IND_SALES_OTH_EU_EX_UK</v>
          </cell>
        </row>
        <row r="264">
          <cell r="B264" t="str">
            <v>Indirect Sales - % Russia</v>
          </cell>
          <cell r="C264" t="str">
            <v>IND_SALES_RUSSIA</v>
          </cell>
        </row>
        <row r="265">
          <cell r="B265" t="str">
            <v>Indirect Sales - % Central &amp; Eastern Europe</v>
          </cell>
          <cell r="C265" t="str">
            <v>IND_SALES_CEE</v>
          </cell>
        </row>
        <row r="266">
          <cell r="B266" t="str">
            <v>Indirect Sales - % Other EMEA</v>
          </cell>
          <cell r="C266" t="str">
            <v>IND_SALES_OTH_EMEA</v>
          </cell>
        </row>
        <row r="267">
          <cell r="B267" t="str">
            <v>Indirect Sales - Total % EMEA</v>
          </cell>
          <cell r="C267" t="str">
            <v>IND_SALES_TOT_EMEA</v>
          </cell>
        </row>
        <row r="268">
          <cell r="B268" t="str">
            <v>Indirect Sales - % Middle East</v>
          </cell>
          <cell r="C268" t="str">
            <v>IND_SALES_ME</v>
          </cell>
        </row>
        <row r="269">
          <cell r="B269" t="str">
            <v>Indirect sales - % Nigeria</v>
          </cell>
          <cell r="C269" t="str">
            <v>IND_SALES_NIGERIA</v>
          </cell>
        </row>
        <row r="270">
          <cell r="B270" t="str">
            <v>Indirect sales - % South Africa</v>
          </cell>
          <cell r="C270" t="str">
            <v>IND_SALES_SO_AFRICA</v>
          </cell>
        </row>
        <row r="271">
          <cell r="B271" t="str">
            <v>Indirect sales - % Other Africa</v>
          </cell>
          <cell r="C271" t="str">
            <v>IND_SALES_OTH_AFRICA</v>
          </cell>
        </row>
        <row r="272">
          <cell r="B272" t="str">
            <v>Indirect sales - % Total Africa</v>
          </cell>
          <cell r="C272" t="str">
            <v>IND_SALES_TOT_AFRICA</v>
          </cell>
        </row>
        <row r="273">
          <cell r="B273" t="str">
            <v>Indirect Sales - % China</v>
          </cell>
          <cell r="C273" t="str">
            <v>IND_SALES_CHINA</v>
          </cell>
        </row>
        <row r="274">
          <cell r="B274" t="str">
            <v>Indirect Sales - % India</v>
          </cell>
          <cell r="C274" t="str">
            <v>IND_SALES_INDIA</v>
          </cell>
        </row>
        <row r="275">
          <cell r="B275" t="str">
            <v>Indirect Sales - % Japan</v>
          </cell>
          <cell r="C275" t="str">
            <v>IND_SALES_JAPAN</v>
          </cell>
        </row>
        <row r="276">
          <cell r="B276" t="str">
            <v>Indirect Sales - % Other Asia</v>
          </cell>
          <cell r="C276" t="str">
            <v>IND_SALES_OTH_AEJ</v>
          </cell>
        </row>
        <row r="277">
          <cell r="B277" t="str">
            <v>Indirect Sales - Total % Asia (incl Australia &amp; New Zealand)</v>
          </cell>
          <cell r="C277" t="str">
            <v>IND_SALES_TOT_ASIA</v>
          </cell>
        </row>
        <row r="278">
          <cell r="B278" t="str">
            <v>Indirect Sales - % Others</v>
          </cell>
          <cell r="C278" t="str">
            <v>IND_SALES_OTHER</v>
          </cell>
        </row>
        <row r="279">
          <cell r="B279" t="str">
            <v>Indirect Sales -% Consumer (C)</v>
          </cell>
          <cell r="C279" t="str">
            <v>IND_SALES_CONS</v>
          </cell>
        </row>
        <row r="280">
          <cell r="B280" t="str">
            <v>Indirect Sales -% Industry (I)</v>
          </cell>
          <cell r="C280" t="str">
            <v>IND_SALES_IND</v>
          </cell>
        </row>
        <row r="281">
          <cell r="B281" t="str">
            <v>Indirect Sales -% Government (G)</v>
          </cell>
          <cell r="C281" t="str">
            <v>IND_SALES_GOV</v>
          </cell>
        </row>
        <row r="282">
          <cell r="B282" t="str">
            <v>Indirect Sales -% Industry Sub-Segment: Financial Services</v>
          </cell>
          <cell r="C282" t="str">
            <v>IND_SALES_FINAN</v>
          </cell>
        </row>
        <row r="283">
          <cell r="A283" t="str">
            <v>Analyst Defined Items</v>
          </cell>
        </row>
        <row r="284">
          <cell r="B284" t="str">
            <v>Currency Neutral Sales Growth</v>
          </cell>
          <cell r="C284" t="str">
            <v>RETAIL_CN_PCT_CHG</v>
          </cell>
        </row>
        <row r="285">
          <cell r="A285" t="str">
            <v>Security: ABOUT YOU Holding</v>
          </cell>
        </row>
        <row r="286">
          <cell r="A286" t="str">
            <v>Reference Data</v>
          </cell>
        </row>
        <row r="287">
          <cell r="B287" t="str">
            <v>Ticker</v>
          </cell>
          <cell r="C287" t="str">
            <v>Ticker</v>
          </cell>
          <cell r="E287" t="str">
            <v>YOUG.DE</v>
          </cell>
        </row>
        <row r="288">
          <cell r="B288" t="str">
            <v>Security Name</v>
          </cell>
          <cell r="C288" t="str">
            <v>Security Name</v>
          </cell>
          <cell r="E288" t="str">
            <v>ABOUT YOU Holding</v>
          </cell>
        </row>
        <row r="289">
          <cell r="B289" t="str">
            <v>Interim Type</v>
          </cell>
          <cell r="C289" t="str">
            <v>Interim Type</v>
          </cell>
          <cell r="E289" t="str">
            <v>Q</v>
          </cell>
        </row>
        <row r="290">
          <cell r="B290" t="str">
            <v>Publishing Currency</v>
          </cell>
          <cell r="C290" t="str">
            <v>PUB_CURRENCY_ISO</v>
          </cell>
          <cell r="E290" t="str">
            <v>EUR</v>
          </cell>
        </row>
        <row r="291">
          <cell r="B291" t="str">
            <v>Pricing Currency</v>
          </cell>
          <cell r="C291" t="str">
            <v>PRICE_CURRENCY_ISO</v>
          </cell>
          <cell r="E291" t="str">
            <v>EUR</v>
          </cell>
        </row>
        <row r="292">
          <cell r="B292" t="str">
            <v>Reporting Currency</v>
          </cell>
          <cell r="C292" t="str">
            <v>CURRENCY_ISO</v>
          </cell>
          <cell r="E292" t="str">
            <v>EUR</v>
          </cell>
        </row>
        <row r="293">
          <cell r="A293" t="str">
            <v>General Information</v>
          </cell>
        </row>
        <row r="294">
          <cell r="B294" t="str">
            <v>Pan Europe Investment List</v>
          </cell>
          <cell r="C294" t="str">
            <v>EURO_LIST</v>
          </cell>
          <cell r="E294" t="str">
            <v>Buy</v>
          </cell>
        </row>
        <row r="295">
          <cell r="B295" t="str">
            <v>Pan Europe Conviction List</v>
          </cell>
          <cell r="C295" t="str">
            <v>EURO_CONVICTION</v>
          </cell>
        </row>
        <row r="296">
          <cell r="B296" t="str">
            <v>Legal rating</v>
          </cell>
          <cell r="C296" t="str">
            <v>LEGAL_RATING</v>
          </cell>
        </row>
        <row r="297">
          <cell r="B297" t="str">
            <v>Target price</v>
          </cell>
          <cell r="C297" t="str">
            <v>TARGET_PRICE</v>
          </cell>
          <cell r="D297" t="str">
            <v>EUR</v>
          </cell>
          <cell r="E297">
            <v>37</v>
          </cell>
        </row>
        <row r="298">
          <cell r="B298" t="str">
            <v>Target price period</v>
          </cell>
          <cell r="C298" t="str">
            <v>TP_PERIOD</v>
          </cell>
          <cell r="E298" t="str">
            <v>12 months</v>
          </cell>
        </row>
        <row r="299">
          <cell r="B299" t="str">
            <v>Fundamental value</v>
          </cell>
          <cell r="C299" t="str">
            <v>TARGET_PRICE_FUNDAMENTAL</v>
          </cell>
          <cell r="D299" t="str">
            <v>EUR</v>
          </cell>
        </row>
        <row r="300">
          <cell r="B300" t="str">
            <v>M&amp;A value</v>
          </cell>
          <cell r="C300" t="str">
            <v>TARGET_PRICE_MA</v>
          </cell>
          <cell r="D300" t="str">
            <v>EUR</v>
          </cell>
        </row>
        <row r="301">
          <cell r="B301" t="str">
            <v>Current shares outstanding (mn)</v>
          </cell>
          <cell r="C301" t="str">
            <v>NUM_SH</v>
          </cell>
          <cell r="E301">
            <v>170.39541500000001</v>
          </cell>
        </row>
        <row r="302">
          <cell r="B302" t="str">
            <v>Free float</v>
          </cell>
          <cell r="C302" t="str">
            <v>FREE_FLOAT</v>
          </cell>
          <cell r="E302">
            <v>0.192</v>
          </cell>
        </row>
        <row r="303">
          <cell r="A303" t="str">
            <v>Publishing Items</v>
          </cell>
        </row>
        <row r="304">
          <cell r="B304" t="str">
            <v>Book value per share, BVPS (Pub)</v>
          </cell>
          <cell r="C304" t="str">
            <v>BVPS_PUB</v>
          </cell>
          <cell r="D304" t="str">
            <v>EUR</v>
          </cell>
          <cell r="F304">
            <v>0</v>
          </cell>
          <cell r="K304">
            <v>0</v>
          </cell>
          <cell r="P304">
            <v>0</v>
          </cell>
          <cell r="U304">
            <v>3.0396531539903902</v>
          </cell>
        </row>
        <row r="305">
          <cell r="B305" t="str">
            <v>DPS, dividend per share (Pub)</v>
          </cell>
          <cell r="C305" t="str">
            <v>DPS_PUB</v>
          </cell>
          <cell r="D305" t="str">
            <v>EUR</v>
          </cell>
          <cell r="U305">
            <v>0</v>
          </cell>
        </row>
        <row r="306">
          <cell r="B306" t="str">
            <v>Special dividend per share</v>
          </cell>
          <cell r="C306" t="str">
            <v>DPS_SPECIAL_PUB</v>
          </cell>
          <cell r="D306" t="str">
            <v>EUR</v>
          </cell>
        </row>
        <row r="307">
          <cell r="B307" t="str">
            <v>EBITDA (Pub)</v>
          </cell>
          <cell r="C307" t="str">
            <v>EBITDA_PUB</v>
          </cell>
          <cell r="D307" t="str">
            <v>EUR</v>
          </cell>
          <cell r="F307">
            <v>-106.494</v>
          </cell>
          <cell r="G307">
            <v>-21.199999999999992</v>
          </cell>
          <cell r="H307">
            <v>-30.699999999999996</v>
          </cell>
          <cell r="I307">
            <v>-12.099999999999993</v>
          </cell>
          <cell r="J307">
            <v>-5.8000000000000078</v>
          </cell>
          <cell r="K307">
            <v>-69.878</v>
          </cell>
          <cell r="L307">
            <v>-10.800000000000011</v>
          </cell>
          <cell r="M307">
            <v>-12.900000000000006</v>
          </cell>
          <cell r="N307">
            <v>-14.300000000000029</v>
          </cell>
          <cell r="O307">
            <v>2.4000000000000057</v>
          </cell>
          <cell r="P307">
            <v>-35.503999999999998</v>
          </cell>
          <cell r="Q307">
            <v>-12.3</v>
          </cell>
          <cell r="R307">
            <v>-20</v>
          </cell>
          <cell r="S307">
            <v>-20</v>
          </cell>
          <cell r="T307">
            <v>-17.921299269748616</v>
          </cell>
          <cell r="U307">
            <v>-70.221299269748613</v>
          </cell>
        </row>
        <row r="308">
          <cell r="B308" t="str">
            <v>EPS (Pub)</v>
          </cell>
          <cell r="C308" t="str">
            <v>EPS_PUB</v>
          </cell>
          <cell r="D308" t="str">
            <v>EUR</v>
          </cell>
          <cell r="Q308">
            <v>-0.11009099892740658</v>
          </cell>
          <cell r="R308">
            <v>-0.15456520030189777</v>
          </cell>
          <cell r="S308">
            <v>-0.15621770955515438</v>
          </cell>
          <cell r="T308">
            <v>-0.14344314968656058</v>
          </cell>
          <cell r="U308">
            <v>-0.56431705847101932</v>
          </cell>
        </row>
        <row r="309">
          <cell r="B309" t="str">
            <v>EV adjustment (Pub)</v>
          </cell>
          <cell r="C309" t="str">
            <v>EV_ADJ_PUB</v>
          </cell>
          <cell r="D309" t="str">
            <v>EUR</v>
          </cell>
        </row>
        <row r="310">
          <cell r="B310" t="str">
            <v>Net debt (Pub)</v>
          </cell>
          <cell r="C310" t="str">
            <v>NET_DEBT_PUB</v>
          </cell>
          <cell r="D310" t="str">
            <v>EUR</v>
          </cell>
          <cell r="F310">
            <v>-123.346</v>
          </cell>
          <cell r="K310">
            <v>-50.7</v>
          </cell>
          <cell r="P310">
            <v>-97.100000000000009</v>
          </cell>
          <cell r="U310">
            <v>-590.28545413172913</v>
          </cell>
        </row>
        <row r="311">
          <cell r="B311" t="str">
            <v>Net Debt (ex leases) (Pub)</v>
          </cell>
          <cell r="C311" t="str">
            <v>NET_DEBT_EX_LEASES_PUB</v>
          </cell>
          <cell r="D311" t="str">
            <v>EUR</v>
          </cell>
          <cell r="F311">
            <v>-123.346</v>
          </cell>
          <cell r="K311">
            <v>-62.400000000000006</v>
          </cell>
          <cell r="P311">
            <v>-107.9</v>
          </cell>
          <cell r="U311">
            <v>-601.08545413172919</v>
          </cell>
        </row>
        <row r="312">
          <cell r="B312" t="str">
            <v>Consensus equivalent net debt</v>
          </cell>
          <cell r="C312" t="str">
            <v>CEEE_NDEBT</v>
          </cell>
          <cell r="D312" t="str">
            <v>EUR</v>
          </cell>
          <cell r="F312">
            <v>-123.346</v>
          </cell>
          <cell r="K312">
            <v>-50.7</v>
          </cell>
          <cell r="P312">
            <v>-97.100000000000009</v>
          </cell>
          <cell r="U312">
            <v>-590.28545413172913</v>
          </cell>
        </row>
        <row r="313">
          <cell r="B313" t="str">
            <v>Net income (Pub)</v>
          </cell>
          <cell r="C313" t="str">
            <v>NI_PUB</v>
          </cell>
          <cell r="D313" t="str">
            <v>EUR</v>
          </cell>
          <cell r="F313">
            <v>-114.654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-79.899000000000001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-59.889999999999993</v>
          </cell>
          <cell r="Q313">
            <v>-18.75900145</v>
          </cell>
          <cell r="R313">
            <v>-26.337201449999998</v>
          </cell>
          <cell r="S313">
            <v>-26.618781449999997</v>
          </cell>
          <cell r="T313">
            <v>-24.442055019748615</v>
          </cell>
          <cell r="U313">
            <v>-96.157039369748603</v>
          </cell>
        </row>
        <row r="314">
          <cell r="B314" t="str">
            <v>EBIT, operating profit (Pub)</v>
          </cell>
          <cell r="C314" t="str">
            <v>EBIT_PUB</v>
          </cell>
          <cell r="D314" t="str">
            <v>EUR</v>
          </cell>
          <cell r="F314">
            <v>-112.384</v>
          </cell>
          <cell r="K314">
            <v>-79.399000000000001</v>
          </cell>
          <cell r="P314">
            <v>-55.489999999999995</v>
          </cell>
          <cell r="U314">
            <v>-94.557039369748608</v>
          </cell>
        </row>
        <row r="315">
          <cell r="B315" t="str">
            <v>Pre-tax profit (Pub)</v>
          </cell>
          <cell r="C315" t="str">
            <v>PTP_PUB</v>
          </cell>
          <cell r="D315" t="str">
            <v>EUR</v>
          </cell>
          <cell r="F315">
            <v>-114.155</v>
          </cell>
          <cell r="K315">
            <v>-80.299000000000007</v>
          </cell>
          <cell r="P315">
            <v>-57.089999999999996</v>
          </cell>
          <cell r="U315">
            <v>-96.157039369748603</v>
          </cell>
        </row>
        <row r="316">
          <cell r="B316" t="str">
            <v>Sales, revenue (Pub)</v>
          </cell>
          <cell r="C316" t="str">
            <v>REVS_PUB</v>
          </cell>
          <cell r="D316" t="str">
            <v>EUR</v>
          </cell>
          <cell r="F316">
            <v>461.20100000000002</v>
          </cell>
          <cell r="G316">
            <v>153</v>
          </cell>
          <cell r="H316">
            <v>154.30000000000001</v>
          </cell>
          <cell r="I316">
            <v>228</v>
          </cell>
          <cell r="J316">
            <v>208.1</v>
          </cell>
          <cell r="K316">
            <v>743.39099999999996</v>
          </cell>
          <cell r="L316">
            <v>255.1</v>
          </cell>
          <cell r="M316">
            <v>258</v>
          </cell>
          <cell r="N316">
            <v>346.2</v>
          </cell>
          <cell r="O316">
            <v>307.10000000000002</v>
          </cell>
          <cell r="P316">
            <v>1166.4549999999999</v>
          </cell>
          <cell r="Q316">
            <v>422.1</v>
          </cell>
          <cell r="R316">
            <v>361.2</v>
          </cell>
          <cell r="S316">
            <v>501.98999999999995</v>
          </cell>
          <cell r="T316">
            <v>452.97714999999994</v>
          </cell>
          <cell r="U316">
            <v>1738.2671499999999</v>
          </cell>
        </row>
        <row r="317">
          <cell r="B317" t="str">
            <v>Total shareholders' equity (Pub)</v>
          </cell>
          <cell r="C317" t="str">
            <v>EQ_PUB</v>
          </cell>
          <cell r="D317" t="str">
            <v>EUR</v>
          </cell>
          <cell r="F317">
            <v>177.09800000000001</v>
          </cell>
          <cell r="K317">
            <v>102.2</v>
          </cell>
          <cell r="P317">
            <v>55.4</v>
          </cell>
          <cell r="U317">
            <v>517.94296063025149</v>
          </cell>
        </row>
        <row r="318">
          <cell r="A318" t="str">
            <v>Income Statement</v>
          </cell>
        </row>
        <row r="319">
          <cell r="B319" t="str">
            <v>Provision for income tax</v>
          </cell>
          <cell r="C319" t="str">
            <v>PROV_INC_TAX</v>
          </cell>
          <cell r="D319" t="str">
            <v>EUR</v>
          </cell>
          <cell r="F319">
            <v>-0.499</v>
          </cell>
          <cell r="K319">
            <v>0.4</v>
          </cell>
          <cell r="P319">
            <v>-2.8</v>
          </cell>
          <cell r="U319">
            <v>0</v>
          </cell>
        </row>
        <row r="320">
          <cell r="B320" t="str">
            <v>Minority interest</v>
          </cell>
          <cell r="C320" t="str">
            <v>INC_MINORITY</v>
          </cell>
          <cell r="D320" t="str">
            <v>EUR</v>
          </cell>
        </row>
        <row r="321">
          <cell r="B321" t="str">
            <v>Net income (pre-preferred dividends)</v>
          </cell>
          <cell r="C321" t="str">
            <v>NI_PRE_PREF</v>
          </cell>
          <cell r="D321" t="str">
            <v>EUR</v>
          </cell>
          <cell r="F321">
            <v>-114.654</v>
          </cell>
          <cell r="K321">
            <v>-79.899000000000001</v>
          </cell>
          <cell r="P321">
            <v>-59.889999999999993</v>
          </cell>
          <cell r="U321">
            <v>-96.157039369748603</v>
          </cell>
        </row>
        <row r="322">
          <cell r="B322" t="str">
            <v>Preferred dividends</v>
          </cell>
          <cell r="C322" t="str">
            <v>PREF_DIV</v>
          </cell>
          <cell r="D322" t="str">
            <v>EUR</v>
          </cell>
        </row>
        <row r="323">
          <cell r="B323" t="str">
            <v>Net income (pre-exceptionals)</v>
          </cell>
          <cell r="C323" t="str">
            <v>NET_EARNING</v>
          </cell>
          <cell r="D323" t="str">
            <v>EUR</v>
          </cell>
          <cell r="F323">
            <v>-114.654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-79.899000000000001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-59.889999999999993</v>
          </cell>
          <cell r="Q323">
            <v>-18.75900145</v>
          </cell>
          <cell r="R323">
            <v>-26.337201449999998</v>
          </cell>
          <cell r="S323">
            <v>-26.618781449999997</v>
          </cell>
          <cell r="T323">
            <v>-24.442055019748615</v>
          </cell>
          <cell r="U323">
            <v>-96.157039369748603</v>
          </cell>
        </row>
        <row r="324">
          <cell r="B324" t="str">
            <v>Post-tax exceptionals</v>
          </cell>
          <cell r="C324" t="str">
            <v>TAX_EXC</v>
          </cell>
          <cell r="D324" t="str">
            <v>EUR</v>
          </cell>
          <cell r="F324">
            <v>0</v>
          </cell>
          <cell r="K324">
            <v>0</v>
          </cell>
          <cell r="P324">
            <v>0</v>
          </cell>
          <cell r="U324">
            <v>0</v>
          </cell>
        </row>
        <row r="325">
          <cell r="B325" t="str">
            <v>Net income (post-exceptionals)</v>
          </cell>
          <cell r="C325" t="str">
            <v>NET_INC</v>
          </cell>
          <cell r="D325" t="str">
            <v>EUR</v>
          </cell>
          <cell r="F325">
            <v>-114.655</v>
          </cell>
          <cell r="K325">
            <v>-79.876999999999995</v>
          </cell>
          <cell r="P325">
            <v>-59.889999999999993</v>
          </cell>
          <cell r="U325">
            <v>-96.157039369748603</v>
          </cell>
        </row>
        <row r="326">
          <cell r="B326" t="str">
            <v>EPS (pre-exceptionals, basic)</v>
          </cell>
          <cell r="C326" t="str">
            <v>EPS</v>
          </cell>
          <cell r="D326" t="str">
            <v>EUR</v>
          </cell>
          <cell r="Q326">
            <v>-0.11009099892740658</v>
          </cell>
          <cell r="R326">
            <v>-0.15456520030189777</v>
          </cell>
          <cell r="S326">
            <v>-0.15621770955515438</v>
          </cell>
          <cell r="T326">
            <v>-0.14344314968656058</v>
          </cell>
          <cell r="U326">
            <v>-0.56431705847101932</v>
          </cell>
        </row>
        <row r="327">
          <cell r="B327" t="str">
            <v>EPS (pre-exceptionals, diluted)</v>
          </cell>
          <cell r="C327" t="str">
            <v>EPS_FUL_DIL</v>
          </cell>
          <cell r="D327" t="str">
            <v>EUR</v>
          </cell>
          <cell r="Q327">
            <v>-0.10077168981529741</v>
          </cell>
          <cell r="R327">
            <v>-0.14148110720053284</v>
          </cell>
          <cell r="S327">
            <v>-0.1429937299536054</v>
          </cell>
          <cell r="T327">
            <v>-0.1313005488838821</v>
          </cell>
          <cell r="U327">
            <v>-0.51654707585331772</v>
          </cell>
        </row>
        <row r="328">
          <cell r="B328" t="str">
            <v>EPS (post-exceptionals, basic)</v>
          </cell>
          <cell r="C328" t="str">
            <v>EPS_POST_BASIC</v>
          </cell>
          <cell r="D328" t="str">
            <v>EUR</v>
          </cell>
          <cell r="Q328">
            <v>-0.11009099892740658</v>
          </cell>
          <cell r="R328">
            <v>-0.15456520030189777</v>
          </cell>
          <cell r="S328">
            <v>-0.15621770955515438</v>
          </cell>
          <cell r="T328">
            <v>-0.14344314968656058</v>
          </cell>
          <cell r="U328">
            <v>-0.56431705847101932</v>
          </cell>
        </row>
        <row r="329">
          <cell r="B329" t="str">
            <v>EPS (post-exceptionals, diluted)</v>
          </cell>
          <cell r="C329" t="str">
            <v>FULLY_DIL_EPS</v>
          </cell>
          <cell r="D329" t="str">
            <v>EUR</v>
          </cell>
          <cell r="Q329">
            <v>-0.10077168981529741</v>
          </cell>
          <cell r="R329">
            <v>-0.14148110720053284</v>
          </cell>
          <cell r="S329">
            <v>-0.1429937299536054</v>
          </cell>
          <cell r="T329">
            <v>-0.1313005488838821</v>
          </cell>
          <cell r="U329">
            <v>-0.51654707585331772</v>
          </cell>
        </row>
        <row r="330">
          <cell r="B330" t="str">
            <v>Common dividends paid</v>
          </cell>
          <cell r="C330" t="str">
            <v>COMMON_DIV_PAID</v>
          </cell>
          <cell r="D330" t="str">
            <v>EUR</v>
          </cell>
          <cell r="U330">
            <v>0</v>
          </cell>
        </row>
        <row r="331">
          <cell r="B331" t="str">
            <v>DPS, dividend per share</v>
          </cell>
          <cell r="C331" t="str">
            <v>DPS</v>
          </cell>
          <cell r="D331" t="str">
            <v>EUR</v>
          </cell>
          <cell r="U331">
            <v>0</v>
          </cell>
        </row>
        <row r="332">
          <cell r="B332" t="str">
            <v>Weighted average shares outstanding, basic</v>
          </cell>
          <cell r="C332" t="str">
            <v>SH</v>
          </cell>
          <cell r="U332">
            <v>170.39541500000001</v>
          </cell>
        </row>
        <row r="333">
          <cell r="B333" t="str">
            <v>Diluted average shares outstanding (mn)</v>
          </cell>
          <cell r="C333" t="str">
            <v>DILUTE_SHARES</v>
          </cell>
          <cell r="U333">
            <v>186.15348700000001</v>
          </cell>
        </row>
        <row r="334">
          <cell r="B334" t="str">
            <v>Period-end shares outstanding</v>
          </cell>
          <cell r="C334" t="str">
            <v>NON_OP_ADD</v>
          </cell>
          <cell r="U334">
            <v>170.39541500000001</v>
          </cell>
        </row>
        <row r="335">
          <cell r="A335" t="str">
            <v>Additional Income Statement Items</v>
          </cell>
        </row>
        <row r="336">
          <cell r="B336" t="str">
            <v>Organic net income (excl. acquisitions)</v>
          </cell>
          <cell r="C336" t="str">
            <v>ORG_NI</v>
          </cell>
          <cell r="D336" t="str">
            <v>EUR</v>
          </cell>
        </row>
        <row r="337">
          <cell r="B337" t="str">
            <v>Organic EPS (excl. acquisitions)</v>
          </cell>
          <cell r="C337" t="str">
            <v>ORG_EPS</v>
          </cell>
          <cell r="D337" t="str">
            <v>EUR</v>
          </cell>
        </row>
        <row r="338">
          <cell r="B338" t="str">
            <v>Marginal tax rate</v>
          </cell>
          <cell r="C338" t="str">
            <v>MARGIN_TAX_RATE</v>
          </cell>
          <cell r="F338">
            <v>4.3712496167491567E-3</v>
          </cell>
          <cell r="K338">
            <v>0</v>
          </cell>
          <cell r="P338">
            <v>4.9045366964442109E-2</v>
          </cell>
          <cell r="U338">
            <v>0</v>
          </cell>
        </row>
        <row r="339">
          <cell r="A339" t="str">
            <v>Balance Sheet</v>
          </cell>
        </row>
        <row r="340">
          <cell r="B340" t="str">
            <v>BVPS, book value per share</v>
          </cell>
          <cell r="C340" t="str">
            <v>BVPS</v>
          </cell>
          <cell r="D340" t="str">
            <v>EUR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U340">
            <v>3.0396531539903902</v>
          </cell>
        </row>
        <row r="341">
          <cell r="A341" t="str">
            <v>Cash Flow Statement</v>
          </cell>
        </row>
        <row r="342">
          <cell r="B342" t="str">
            <v>Net income (pre-preferred dividends)</v>
          </cell>
          <cell r="C342" t="str">
            <v>CF_NI_PRE_PREF</v>
          </cell>
          <cell r="D342" t="str">
            <v>EUR</v>
          </cell>
          <cell r="F342">
            <v>-114.654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-79.899000000000001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-59.889999999999993</v>
          </cell>
          <cell r="U342">
            <v>-96.157039369748603</v>
          </cell>
        </row>
        <row r="343">
          <cell r="A343" t="str">
            <v>Other Items</v>
          </cell>
        </row>
        <row r="344">
          <cell r="B344" t="str">
            <v>Beta</v>
          </cell>
          <cell r="C344" t="str">
            <v>BETA_ANALYST</v>
          </cell>
          <cell r="E344">
            <v>1</v>
          </cell>
        </row>
        <row r="345">
          <cell r="B345" t="str">
            <v>Market equity risk premium</v>
          </cell>
          <cell r="C345" t="str">
            <v>MKT_EQ_RISK_PREM</v>
          </cell>
          <cell r="E345">
            <v>8.5999999999999993E-2</v>
          </cell>
        </row>
        <row r="346">
          <cell r="B346" t="str">
            <v>Risk-free rate</v>
          </cell>
          <cell r="C346" t="str">
            <v>RISK_FR_RATE</v>
          </cell>
          <cell r="E346">
            <v>0</v>
          </cell>
        </row>
      </sheetData>
      <sheetData sheetId="7"/>
      <sheetData sheetId="8"/>
      <sheetData sheetId="9"/>
      <sheetData sheetId="10">
        <row r="42">
          <cell r="C42">
            <v>0.77423516485763744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G.DE_Live_Sheet"/>
      <sheetName val="GFG.DE_Validation_Sheet"/>
      <sheetName val="GFG.DE_Annotation_Sheet"/>
      <sheetName val="GFG.DE_Exchange_Sheet"/>
      <sheetName val="Model"/>
      <sheetName val="Val"/>
      <sheetName val="Output"/>
      <sheetName val="Graphs"/>
      <sheetName val="FX and inflation"/>
      <sheetName val="GFG historicals"/>
      <sheetName val="GFG Graphs -old"/>
      <sheetName val="Market data"/>
    </sheetNames>
    <sheetDataSet>
      <sheetData sheetId="0">
        <row r="1">
          <cell r="A1" t="str">
            <v>Issuer: Global Fashion Group</v>
          </cell>
          <cell r="C1">
            <v>798730996</v>
          </cell>
          <cell r="F1">
            <v>2016</v>
          </cell>
          <cell r="G1">
            <v>2017</v>
          </cell>
          <cell r="H1" t="str">
            <v>2018 Q1</v>
          </cell>
          <cell r="I1" t="str">
            <v>2018 Q2</v>
          </cell>
          <cell r="J1" t="str">
            <v>2018 Q3</v>
          </cell>
          <cell r="K1" t="str">
            <v>2018 Q4</v>
          </cell>
          <cell r="L1">
            <v>2018</v>
          </cell>
          <cell r="M1" t="str">
            <v>2019 Q1</v>
          </cell>
          <cell r="N1" t="str">
            <v>2019 Q2</v>
          </cell>
          <cell r="O1" t="str">
            <v>2019 Q3</v>
          </cell>
          <cell r="P1" t="str">
            <v>2019 Q4</v>
          </cell>
          <cell r="Q1">
            <v>2019</v>
          </cell>
          <cell r="R1">
            <v>2020</v>
          </cell>
          <cell r="S1">
            <v>2021</v>
          </cell>
          <cell r="T1">
            <v>2022</v>
          </cell>
          <cell r="U1">
            <v>2023</v>
          </cell>
        </row>
        <row r="2">
          <cell r="F2" t="str">
            <v>Actual</v>
          </cell>
          <cell r="G2" t="str">
            <v>Actual</v>
          </cell>
          <cell r="H2" t="str">
            <v>Actual</v>
          </cell>
          <cell r="I2" t="str">
            <v>Actual</v>
          </cell>
          <cell r="J2" t="str">
            <v>Actual</v>
          </cell>
          <cell r="K2" t="str">
            <v>Actual</v>
          </cell>
          <cell r="L2" t="str">
            <v>Actual</v>
          </cell>
          <cell r="M2" t="str">
            <v>Estimate</v>
          </cell>
          <cell r="N2" t="str">
            <v>Estimate</v>
          </cell>
          <cell r="O2" t="str">
            <v>Estimate</v>
          </cell>
          <cell r="P2" t="str">
            <v>Estimate</v>
          </cell>
          <cell r="R2" t="str">
            <v>Estimate</v>
          </cell>
          <cell r="S2" t="str">
            <v>Estimate</v>
          </cell>
          <cell r="T2" t="str">
            <v>Estimate</v>
          </cell>
          <cell r="U2" t="str">
            <v>Estimate</v>
          </cell>
        </row>
        <row r="3">
          <cell r="F3">
            <v>42735</v>
          </cell>
          <cell r="G3">
            <v>43100</v>
          </cell>
          <cell r="H3">
            <v>43190</v>
          </cell>
          <cell r="I3">
            <v>43281</v>
          </cell>
          <cell r="J3">
            <v>43373</v>
          </cell>
          <cell r="K3">
            <v>43465</v>
          </cell>
          <cell r="L3">
            <v>43465</v>
          </cell>
          <cell r="M3">
            <v>43555</v>
          </cell>
          <cell r="N3">
            <v>43646</v>
          </cell>
          <cell r="O3">
            <v>43738</v>
          </cell>
          <cell r="P3">
            <v>43830</v>
          </cell>
          <cell r="R3">
            <v>44196</v>
          </cell>
          <cell r="S3">
            <v>44561</v>
          </cell>
          <cell r="T3">
            <v>44926</v>
          </cell>
          <cell r="U3">
            <v>45291</v>
          </cell>
        </row>
        <row r="4">
          <cell r="A4" t="str">
            <v>Issuer: Global Fashion Group</v>
          </cell>
        </row>
        <row r="5">
          <cell r="A5" t="str">
            <v>Reference Data</v>
          </cell>
        </row>
        <row r="6">
          <cell r="B6" t="str">
            <v>Issuer Name</v>
          </cell>
          <cell r="C6" t="str">
            <v>Issuer Name</v>
          </cell>
          <cell r="E6" t="str">
            <v>Global Fashion Group</v>
          </cell>
        </row>
        <row r="7">
          <cell r="B7" t="str">
            <v>Reporting Currency</v>
          </cell>
          <cell r="C7" t="str">
            <v>CURRENCY_ISO</v>
          </cell>
        </row>
        <row r="8">
          <cell r="A8" t="str">
            <v>General Information</v>
          </cell>
        </row>
        <row r="9">
          <cell r="B9" t="str">
            <v>M&amp;A probability (1 = high, 3 = low)</v>
          </cell>
          <cell r="C9" t="str">
            <v>MA_PROB</v>
          </cell>
        </row>
        <row r="10">
          <cell r="A10" t="str">
            <v>Income Statement</v>
          </cell>
        </row>
        <row r="11">
          <cell r="B11" t="str">
            <v>Sales, net revenue</v>
          </cell>
          <cell r="C11" t="str">
            <v>SALES</v>
          </cell>
          <cell r="D11">
            <v>0</v>
          </cell>
        </row>
        <row r="12">
          <cell r="B12" t="str">
            <v>Cost of goods sold, COGS</v>
          </cell>
          <cell r="C12" t="str">
            <v>COST_GD_SD</v>
          </cell>
          <cell r="D12">
            <v>0</v>
          </cell>
        </row>
        <row r="13">
          <cell r="B13" t="str">
            <v>SG&amp;A, selling, general and admin. expense</v>
          </cell>
          <cell r="C13" t="str">
            <v>SEL_GL_AD</v>
          </cell>
          <cell r="D13">
            <v>0</v>
          </cell>
        </row>
        <row r="14">
          <cell r="B14" t="str">
            <v>Total operating expense</v>
          </cell>
          <cell r="C14" t="str">
            <v>OP_COST</v>
          </cell>
          <cell r="D14">
            <v>0</v>
          </cell>
        </row>
        <row r="15">
          <cell r="B15" t="str">
            <v>R&amp;D expense</v>
          </cell>
          <cell r="C15" t="str">
            <v>RD_EXP</v>
          </cell>
          <cell r="D15">
            <v>0</v>
          </cell>
        </row>
        <row r="16">
          <cell r="B16" t="str">
            <v>Other operating income/(expense) (incl. leases)</v>
          </cell>
          <cell r="C16" t="str">
            <v>OTH_OP_INC_EXP</v>
          </cell>
          <cell r="D16">
            <v>0</v>
          </cell>
        </row>
        <row r="17">
          <cell r="B17" t="str">
            <v>Total operating expense (incl. D&amp;A)</v>
          </cell>
          <cell r="C17" t="str">
            <v>TOT_OPS_EXP_DDA</v>
          </cell>
          <cell r="D17">
            <v>0</v>
          </cell>
        </row>
        <row r="18">
          <cell r="B18" t="str">
            <v>Total operating expense (excl. D&amp;A)</v>
          </cell>
          <cell r="C18" t="str">
            <v>TOT_OPS_EXP</v>
          </cell>
          <cell r="D18">
            <v>0</v>
          </cell>
        </row>
        <row r="19">
          <cell r="B19" t="str">
            <v>EBITDA</v>
          </cell>
          <cell r="C19" t="str">
            <v>EBITDA_CALC</v>
          </cell>
          <cell r="D19">
            <v>0</v>
          </cell>
        </row>
        <row r="20">
          <cell r="B20" t="str">
            <v>Depreciation</v>
          </cell>
          <cell r="C20" t="str">
            <v>DEPREC</v>
          </cell>
          <cell r="D20">
            <v>0</v>
          </cell>
        </row>
        <row r="21">
          <cell r="B21" t="str">
            <v>Amortization</v>
          </cell>
          <cell r="C21" t="str">
            <v>GOODWILL_AMORT</v>
          </cell>
          <cell r="D21">
            <v>0</v>
          </cell>
        </row>
        <row r="22">
          <cell r="B22" t="str">
            <v>EBIT, operating profit</v>
          </cell>
          <cell r="C22" t="str">
            <v>EBIT</v>
          </cell>
          <cell r="D22">
            <v>0</v>
          </cell>
        </row>
        <row r="23">
          <cell r="B23" t="str">
            <v>Interest income</v>
          </cell>
          <cell r="C23" t="str">
            <v>INT_INC_IND</v>
          </cell>
          <cell r="D23">
            <v>0</v>
          </cell>
        </row>
        <row r="24">
          <cell r="B24" t="str">
            <v>Interest expense</v>
          </cell>
          <cell r="C24" t="str">
            <v>INT_EXP_IND</v>
          </cell>
          <cell r="D24">
            <v>0</v>
          </cell>
        </row>
        <row r="25">
          <cell r="B25" t="str">
            <v>Net interest income/(expense)</v>
          </cell>
          <cell r="C25" t="str">
            <v>NET_INT_EXP</v>
          </cell>
          <cell r="D25">
            <v>0</v>
          </cell>
        </row>
        <row r="26">
          <cell r="B26" t="str">
            <v>Income/(loss) from unconsolidated subs &amp; associates</v>
          </cell>
          <cell r="C26" t="str">
            <v>ASSOCIATE</v>
          </cell>
          <cell r="D26">
            <v>0</v>
          </cell>
        </row>
        <row r="27">
          <cell r="B27" t="str">
            <v>Profit/(loss) on disposals of assets, pre-tax</v>
          </cell>
          <cell r="C27" t="str">
            <v>PROFIT_ON_DISP</v>
          </cell>
          <cell r="D27">
            <v>0</v>
          </cell>
        </row>
        <row r="28">
          <cell r="B28" t="str">
            <v>Other non-ops income/(expense)</v>
          </cell>
          <cell r="C28" t="str">
            <v>OTH_COST_INC</v>
          </cell>
          <cell r="D28">
            <v>0</v>
          </cell>
        </row>
        <row r="29">
          <cell r="B29" t="str">
            <v>Pre-tax profit</v>
          </cell>
          <cell r="C29" t="str">
            <v>PT_PROF</v>
          </cell>
          <cell r="D29">
            <v>0</v>
          </cell>
        </row>
        <row r="30">
          <cell r="A30" t="str">
            <v>Additional Income Statement Items</v>
          </cell>
        </row>
        <row r="31">
          <cell r="B31" t="str">
            <v>Organic revenues (excl. acquisitions)</v>
          </cell>
          <cell r="C31" t="str">
            <v>ORG_REV</v>
          </cell>
          <cell r="D31">
            <v>0</v>
          </cell>
        </row>
        <row r="32">
          <cell r="B32" t="str">
            <v>Organic sales growth (excl. acquisitions)</v>
          </cell>
          <cell r="C32" t="str">
            <v>ORG_REV_GRTH</v>
          </cell>
        </row>
        <row r="33">
          <cell r="B33" t="str">
            <v>Operating lease cost</v>
          </cell>
          <cell r="C33" t="str">
            <v>LEASE_PAY</v>
          </cell>
          <cell r="D33">
            <v>0</v>
          </cell>
        </row>
        <row r="34">
          <cell r="B34" t="str">
            <v>Lease payments (deemed interest portion)</v>
          </cell>
          <cell r="C34" t="str">
            <v>LEASE_DEEM_INT</v>
          </cell>
          <cell r="D34">
            <v>0</v>
          </cell>
        </row>
        <row r="35">
          <cell r="B35" t="str">
            <v>Lease payments (deemed depreciation portion)</v>
          </cell>
          <cell r="C35" t="str">
            <v>LEASE_DEEM_DEPR</v>
          </cell>
          <cell r="D35">
            <v>0</v>
          </cell>
        </row>
        <row r="36">
          <cell r="B36" t="str">
            <v>Gross interest charge</v>
          </cell>
          <cell r="C36" t="str">
            <v>NET_INT_CH</v>
          </cell>
          <cell r="D36">
            <v>0</v>
          </cell>
        </row>
        <row r="37">
          <cell r="B37" t="str">
            <v>Income from associates (operating)</v>
          </cell>
          <cell r="C37" t="str">
            <v>ASSOCIATE_OP</v>
          </cell>
          <cell r="D37">
            <v>0</v>
          </cell>
        </row>
        <row r="38">
          <cell r="B38" t="str">
            <v>Goodwill amortization</v>
          </cell>
          <cell r="C38" t="str">
            <v>GW_AMORT</v>
          </cell>
          <cell r="D38">
            <v>0</v>
          </cell>
        </row>
        <row r="39">
          <cell r="B39" t="str">
            <v>Other intangible amortization</v>
          </cell>
          <cell r="C39" t="str">
            <v>OTH_INT_AMORT</v>
          </cell>
          <cell r="D39">
            <v>0</v>
          </cell>
        </row>
        <row r="40">
          <cell r="B40" t="str">
            <v>Depreciation ROU assets   (applicable to IFRS cos.)</v>
          </cell>
          <cell r="C40" t="str">
            <v>DEPR_ROU_ASSETS</v>
          </cell>
          <cell r="D40">
            <v>0</v>
          </cell>
        </row>
        <row r="41">
          <cell r="B41" t="str">
            <v>Lease interest charge  (applicable to IFRS cos.)</v>
          </cell>
          <cell r="C41" t="str">
            <v>LEASE_INT_CHG</v>
          </cell>
          <cell r="D41">
            <v>0</v>
          </cell>
        </row>
        <row r="42">
          <cell r="B42" t="str">
            <v>Lease standard adopted (US GAAP ASC 842/ IFRS 16)</v>
          </cell>
          <cell r="C42" t="str">
            <v>LEASE_ADOPT</v>
          </cell>
        </row>
        <row r="43">
          <cell r="A43" t="str">
            <v>Balance Sheet</v>
          </cell>
        </row>
        <row r="44">
          <cell r="B44" t="str">
            <v>Cash &amp; cash equivalents</v>
          </cell>
          <cell r="C44" t="str">
            <v>CASH_EQ</v>
          </cell>
          <cell r="D44">
            <v>0</v>
          </cell>
        </row>
        <row r="45">
          <cell r="B45" t="str">
            <v>Accounts receivable</v>
          </cell>
          <cell r="C45" t="str">
            <v>DEBTORS</v>
          </cell>
          <cell r="D45">
            <v>0</v>
          </cell>
        </row>
        <row r="46">
          <cell r="B46" t="str">
            <v>Inventory</v>
          </cell>
          <cell r="C46" t="str">
            <v>STOCKS</v>
          </cell>
          <cell r="D46">
            <v>0</v>
          </cell>
        </row>
        <row r="47">
          <cell r="B47" t="str">
            <v>Other current assets</v>
          </cell>
          <cell r="C47" t="str">
            <v>OTH_CUR_ASS</v>
          </cell>
          <cell r="D47">
            <v>0</v>
          </cell>
        </row>
        <row r="48">
          <cell r="B48" t="str">
            <v>Total current assets</v>
          </cell>
          <cell r="C48" t="str">
            <v>CUR_ASS</v>
          </cell>
          <cell r="D48">
            <v>0</v>
          </cell>
        </row>
        <row r="49">
          <cell r="B49" t="str">
            <v>Gross fixed assets, PP&amp;E</v>
          </cell>
          <cell r="C49" t="str">
            <v>GR_FIX_ASS</v>
          </cell>
          <cell r="D49">
            <v>0</v>
          </cell>
        </row>
        <row r="50">
          <cell r="B50" t="str">
            <v>Accumulated depreciation</v>
          </cell>
          <cell r="C50" t="str">
            <v>ACC_DDA</v>
          </cell>
          <cell r="D50">
            <v>0</v>
          </cell>
        </row>
        <row r="51">
          <cell r="B51" t="str">
            <v>Net PP&amp;E</v>
          </cell>
          <cell r="C51" t="str">
            <v>NET_FIX_ASS</v>
          </cell>
          <cell r="D51">
            <v>0</v>
          </cell>
        </row>
        <row r="52">
          <cell r="B52" t="str">
            <v>Gross intangibles</v>
          </cell>
          <cell r="C52" t="str">
            <v>GR_INTANG</v>
          </cell>
          <cell r="D52">
            <v>0</v>
          </cell>
        </row>
        <row r="53">
          <cell r="B53" t="str">
            <v>Accumulated amortization</v>
          </cell>
          <cell r="C53" t="str">
            <v>ACC_AMORT</v>
          </cell>
          <cell r="D53">
            <v>0</v>
          </cell>
        </row>
        <row r="54">
          <cell r="B54" t="str">
            <v>Net intangible assets</v>
          </cell>
          <cell r="C54" t="str">
            <v>NET_INTANG</v>
          </cell>
          <cell r="D54">
            <v>0</v>
          </cell>
        </row>
        <row r="55">
          <cell r="B55" t="str">
            <v>Equity method investments</v>
          </cell>
          <cell r="C55" t="str">
            <v>FIX_ASS_INV</v>
          </cell>
          <cell r="D55">
            <v>0</v>
          </cell>
        </row>
        <row r="56">
          <cell r="B56" t="str">
            <v>Investments in securities</v>
          </cell>
          <cell r="C56" t="str">
            <v>INV_SECUR</v>
          </cell>
          <cell r="D56">
            <v>0</v>
          </cell>
        </row>
        <row r="57">
          <cell r="B57" t="str">
            <v>Other long-term assets</v>
          </cell>
          <cell r="C57" t="str">
            <v>OTH_LT_ASS</v>
          </cell>
          <cell r="D57">
            <v>0</v>
          </cell>
        </row>
        <row r="58">
          <cell r="B58" t="str">
            <v>Total assets</v>
          </cell>
          <cell r="C58" t="str">
            <v>TOT_ASSET</v>
          </cell>
          <cell r="D58">
            <v>0</v>
          </cell>
        </row>
        <row r="59">
          <cell r="B59" t="str">
            <v>Accounts payable</v>
          </cell>
          <cell r="C59" t="str">
            <v>ACC_PAY_GQ</v>
          </cell>
          <cell r="D59">
            <v>0</v>
          </cell>
        </row>
        <row r="60">
          <cell r="B60" t="str">
            <v>Short-term debt</v>
          </cell>
          <cell r="C60" t="str">
            <v>SHORT_T_DEBT</v>
          </cell>
          <cell r="D60">
            <v>0</v>
          </cell>
        </row>
        <row r="61">
          <cell r="B61" t="str">
            <v>Current lease liabilities (op lease: US GAAP)</v>
          </cell>
          <cell r="C61" t="str">
            <v>ST_LEASE_LIAB</v>
          </cell>
          <cell r="D61">
            <v>0</v>
          </cell>
        </row>
        <row r="62">
          <cell r="B62" t="str">
            <v>Other current liabilities</v>
          </cell>
          <cell r="C62" t="str">
            <v>OTH_CUR_LIABS</v>
          </cell>
          <cell r="D62">
            <v>0</v>
          </cell>
        </row>
        <row r="63">
          <cell r="B63" t="str">
            <v>Total current liabilities</v>
          </cell>
          <cell r="C63" t="str">
            <v>SHORT_TERM_LIABS</v>
          </cell>
          <cell r="D63">
            <v>0</v>
          </cell>
        </row>
        <row r="64">
          <cell r="B64" t="str">
            <v>Long-term  debt</v>
          </cell>
          <cell r="C64" t="str">
            <v>LT_DEBT</v>
          </cell>
          <cell r="D64">
            <v>0</v>
          </cell>
        </row>
        <row r="65">
          <cell r="B65" t="str">
            <v>Non-current lease liabilities (op lease: US GAAP)</v>
          </cell>
          <cell r="C65" t="str">
            <v>LT_LEASE_LIAB</v>
          </cell>
          <cell r="D65">
            <v>0</v>
          </cell>
        </row>
        <row r="66">
          <cell r="B66" t="str">
            <v>Other long-term liabilities</v>
          </cell>
          <cell r="C66" t="str">
            <v>OTH_LT_CRED_GQ</v>
          </cell>
          <cell r="D66">
            <v>0</v>
          </cell>
        </row>
        <row r="67">
          <cell r="B67" t="str">
            <v>Total long-term liabilities</v>
          </cell>
          <cell r="C67" t="str">
            <v>TOT_LT_LIAB</v>
          </cell>
          <cell r="D67">
            <v>0</v>
          </cell>
        </row>
        <row r="68">
          <cell r="B68" t="str">
            <v>Total liabilities</v>
          </cell>
          <cell r="C68" t="str">
            <v>TOT_LIAB</v>
          </cell>
          <cell r="D68">
            <v>0</v>
          </cell>
        </row>
        <row r="69">
          <cell r="B69" t="str">
            <v>Preferred shares</v>
          </cell>
          <cell r="C69" t="str">
            <v>PREF_SH</v>
          </cell>
          <cell r="D69">
            <v>0</v>
          </cell>
        </row>
        <row r="70">
          <cell r="B70" t="str">
            <v>Total common equity</v>
          </cell>
          <cell r="C70" t="str">
            <v>ORD_SH_FUND</v>
          </cell>
          <cell r="D70">
            <v>0</v>
          </cell>
        </row>
        <row r="71">
          <cell r="B71" t="str">
            <v>Minority interest</v>
          </cell>
          <cell r="C71" t="str">
            <v>MINORITIES</v>
          </cell>
          <cell r="D71">
            <v>0</v>
          </cell>
        </row>
        <row r="72">
          <cell r="B72" t="str">
            <v>Total shareholders' equity</v>
          </cell>
          <cell r="C72" t="str">
            <v>EQ</v>
          </cell>
          <cell r="D72">
            <v>0</v>
          </cell>
        </row>
        <row r="73">
          <cell r="B73" t="str">
            <v>Total liabilities and equity</v>
          </cell>
          <cell r="C73" t="str">
            <v>TOT_LIAB_EQ</v>
          </cell>
          <cell r="D73">
            <v>0</v>
          </cell>
        </row>
        <row r="74">
          <cell r="A74" t="str">
            <v>Additional Balance Sheet Items</v>
          </cell>
        </row>
        <row r="75">
          <cell r="B75" t="str">
            <v>Total US$ debt (in US$)</v>
          </cell>
          <cell r="C75" t="str">
            <v>TOT_USD_DEBT</v>
          </cell>
        </row>
        <row r="76">
          <cell r="B76" t="str">
            <v>% US$ debt hedged (principal)</v>
          </cell>
          <cell r="C76" t="str">
            <v>TOT_PCT_USD_DEBT_HEDGED</v>
          </cell>
        </row>
        <row r="77">
          <cell r="B77" t="str">
            <v>% Floating debt (local currency debt)</v>
          </cell>
          <cell r="C77" t="str">
            <v>FLOATING_PCT_LOCAL_DEBT</v>
          </cell>
        </row>
        <row r="78">
          <cell r="B78" t="str">
            <v>% floating debt hedged (rates)</v>
          </cell>
          <cell r="C78" t="str">
            <v>FLOATING_PCT_LOCAL_DEBT_HEDGED</v>
          </cell>
        </row>
        <row r="79">
          <cell r="B79" t="str">
            <v>Net debt</v>
          </cell>
          <cell r="C79" t="str">
            <v>NET_DEBT</v>
          </cell>
          <cell r="D79">
            <v>0</v>
          </cell>
        </row>
        <row r="80">
          <cell r="B80" t="str">
            <v>Capitalized operating leases (off-balance sheet)</v>
          </cell>
          <cell r="C80" t="str">
            <v>CAP_LEASES</v>
          </cell>
          <cell r="D80">
            <v>0</v>
          </cell>
        </row>
        <row r="81">
          <cell r="B81" t="str">
            <v>Deferred income taxes</v>
          </cell>
          <cell r="C81" t="str">
            <v>DEF_INC_TAX</v>
          </cell>
          <cell r="D81">
            <v>0</v>
          </cell>
        </row>
        <row r="82">
          <cell r="B82" t="str">
            <v>Associates (mkt value) used in EV calculation</v>
          </cell>
          <cell r="C82" t="str">
            <v>MV_ASSOCIATES</v>
          </cell>
          <cell r="D82">
            <v>0</v>
          </cell>
        </row>
        <row r="83">
          <cell r="B83" t="str">
            <v>Net debt adjustment</v>
          </cell>
          <cell r="C83" t="str">
            <v>NET_DEBT_ADJ</v>
          </cell>
          <cell r="D83">
            <v>0</v>
          </cell>
        </row>
        <row r="84">
          <cell r="B84" t="str">
            <v>Company borrowing margin</v>
          </cell>
          <cell r="C84" t="str">
            <v>CO_BOR_MARGIN</v>
          </cell>
        </row>
        <row r="85">
          <cell r="B85" t="str">
            <v>Unfunded pensions &amp; other provisions</v>
          </cell>
          <cell r="C85" t="str">
            <v>UNF_PENS</v>
          </cell>
          <cell r="D85">
            <v>0</v>
          </cell>
        </row>
        <row r="86">
          <cell r="B86" t="str">
            <v>Unfunded pension liabilities (off balance sheet)</v>
          </cell>
          <cell r="C86" t="str">
            <v>UNF_PENS_OFF</v>
          </cell>
          <cell r="D86">
            <v>0</v>
          </cell>
        </row>
        <row r="87">
          <cell r="B87" t="str">
            <v>Unfunded pension liabilities &amp; other, used in EV</v>
          </cell>
          <cell r="C87" t="str">
            <v>UNF_PENS_LIAB_OTH</v>
          </cell>
          <cell r="D87">
            <v>0</v>
          </cell>
        </row>
        <row r="88">
          <cell r="B88" t="str">
            <v>Adjustment for unfunded pensions &amp; goodwill</v>
          </cell>
          <cell r="C88" t="str">
            <v>ADJ_UNF_PENS_GOOD</v>
          </cell>
          <cell r="D88">
            <v>0</v>
          </cell>
        </row>
        <row r="89">
          <cell r="B89" t="str">
            <v>Other GCI adjustments</v>
          </cell>
          <cell r="C89" t="str">
            <v>OTH_GCI_ADJ</v>
          </cell>
          <cell r="D89">
            <v>0</v>
          </cell>
        </row>
        <row r="90">
          <cell r="B90" t="str">
            <v>GCI inflator</v>
          </cell>
          <cell r="C90" t="str">
            <v>GCI_INFL</v>
          </cell>
        </row>
        <row r="91">
          <cell r="B91" t="str">
            <v>Minority interest</v>
          </cell>
          <cell r="C91" t="str">
            <v>BAL_MINO_INT</v>
          </cell>
          <cell r="D91">
            <v>0</v>
          </cell>
        </row>
        <row r="92">
          <cell r="B92" t="str">
            <v>Right-of-use assets (op lease assets under US GAAP)</v>
          </cell>
          <cell r="C92" t="str">
            <v>ROU_ASSET</v>
          </cell>
          <cell r="D92">
            <v>0</v>
          </cell>
        </row>
        <row r="93">
          <cell r="A93" t="str">
            <v>Cash Flow Statement</v>
          </cell>
        </row>
        <row r="94">
          <cell r="B94" t="str">
            <v>Minority interest add-back</v>
          </cell>
          <cell r="C94" t="str">
            <v>CF_INC_MINORITY</v>
          </cell>
          <cell r="D94">
            <v>0</v>
          </cell>
        </row>
        <row r="95">
          <cell r="B95" t="str">
            <v>Depreciation &amp; amortization add-back</v>
          </cell>
          <cell r="C95" t="str">
            <v>DEPR_AMORT</v>
          </cell>
          <cell r="D95">
            <v>0</v>
          </cell>
        </row>
        <row r="96">
          <cell r="B96" t="str">
            <v>(Increase)/decrease in working capital</v>
          </cell>
          <cell r="C96" t="str">
            <v>WORK_CAP</v>
          </cell>
          <cell r="D96">
            <v>0</v>
          </cell>
        </row>
        <row r="97">
          <cell r="B97" t="str">
            <v>Other operating cash flow items</v>
          </cell>
          <cell r="C97" t="str">
            <v>OTH_OP_CF</v>
          </cell>
          <cell r="D97">
            <v>0</v>
          </cell>
        </row>
        <row r="98">
          <cell r="B98" t="str">
            <v>Cash flow from operating activities</v>
          </cell>
          <cell r="C98" t="str">
            <v>CF_OPS</v>
          </cell>
          <cell r="D98">
            <v>0</v>
          </cell>
        </row>
        <row r="99">
          <cell r="B99" t="str">
            <v>Capital expenditures, Capex</v>
          </cell>
          <cell r="C99" t="str">
            <v>CAPEX</v>
          </cell>
          <cell r="D99">
            <v>0</v>
          </cell>
        </row>
        <row r="100">
          <cell r="B100" t="str">
            <v>Acquisitions</v>
          </cell>
          <cell r="C100" t="str">
            <v>ACQ</v>
          </cell>
          <cell r="D100">
            <v>0</v>
          </cell>
        </row>
        <row r="101">
          <cell r="B101" t="str">
            <v>Divestitures</v>
          </cell>
          <cell r="C101" t="str">
            <v>DIVEST</v>
          </cell>
          <cell r="D101">
            <v>0</v>
          </cell>
        </row>
        <row r="102">
          <cell r="B102" t="str">
            <v>Other investing cash flow items</v>
          </cell>
          <cell r="C102" t="str">
            <v>OTH_INV_CF</v>
          </cell>
          <cell r="D102">
            <v>0</v>
          </cell>
        </row>
        <row r="103">
          <cell r="B103" t="str">
            <v>Cash flow from investing</v>
          </cell>
          <cell r="C103" t="str">
            <v>CF_INV</v>
          </cell>
          <cell r="D103">
            <v>0</v>
          </cell>
        </row>
        <row r="104">
          <cell r="B104" t="str">
            <v>Dividends paid</v>
          </cell>
          <cell r="C104" t="str">
            <v>DIV_PAID</v>
          </cell>
          <cell r="D104">
            <v>0</v>
          </cell>
        </row>
        <row r="105">
          <cell r="B105" t="str">
            <v>Common stock issuance/(repurchase)</v>
          </cell>
          <cell r="C105" t="str">
            <v>SH_REPUR</v>
          </cell>
          <cell r="D105">
            <v>0</v>
          </cell>
        </row>
        <row r="106">
          <cell r="B106" t="str">
            <v>Increase/(decrease) in total debt</v>
          </cell>
          <cell r="C106" t="str">
            <v>CHG_LT_DEBT</v>
          </cell>
          <cell r="D106">
            <v>0</v>
          </cell>
        </row>
        <row r="107">
          <cell r="B107" t="str">
            <v>Lease principal payments  (applicable to IFRS cos.)</v>
          </cell>
          <cell r="C107" t="str">
            <v>LEASE_PRINCIPAL_CASH</v>
          </cell>
          <cell r="D107">
            <v>0</v>
          </cell>
        </row>
        <row r="108">
          <cell r="B108" t="str">
            <v>Other financing cash flow items</v>
          </cell>
          <cell r="C108" t="str">
            <v>OTH_FIN_CF</v>
          </cell>
          <cell r="D108">
            <v>0</v>
          </cell>
        </row>
        <row r="109">
          <cell r="B109" t="str">
            <v>Cash flow from financing</v>
          </cell>
          <cell r="C109" t="str">
            <v>CF_FIN</v>
          </cell>
          <cell r="D109">
            <v>0</v>
          </cell>
        </row>
        <row r="110">
          <cell r="B110" t="str">
            <v>Other items net cash flow</v>
          </cell>
          <cell r="C110" t="str">
            <v>OTH_ITEM_NCF</v>
          </cell>
          <cell r="D110">
            <v>0</v>
          </cell>
        </row>
        <row r="111">
          <cell r="B111" t="str">
            <v>Total cash flow</v>
          </cell>
          <cell r="C111" t="str">
            <v>TOT_CF</v>
          </cell>
          <cell r="D111">
            <v>0</v>
          </cell>
        </row>
        <row r="112">
          <cell r="A112" t="str">
            <v>Additional Cash Flow Items</v>
          </cell>
        </row>
        <row r="113">
          <cell r="B113" t="str">
            <v>Associate and JV add-back</v>
          </cell>
          <cell r="C113" t="str">
            <v>ASSOC_JV_ADDBK</v>
          </cell>
          <cell r="D113">
            <v>0</v>
          </cell>
        </row>
        <row r="114">
          <cell r="B114" t="str">
            <v>Cash interest income/(expense)</v>
          </cell>
          <cell r="C114" t="str">
            <v>CASH_INT_INC_EXP</v>
          </cell>
          <cell r="D114">
            <v>0</v>
          </cell>
        </row>
        <row r="115">
          <cell r="B115" t="str">
            <v>Cash taxes paid</v>
          </cell>
          <cell r="C115" t="str">
            <v>CASH_TAX_PD</v>
          </cell>
          <cell r="D115">
            <v>0</v>
          </cell>
        </row>
        <row r="116">
          <cell r="B116" t="str">
            <v>Profit/(loss) on sale of assets</v>
          </cell>
          <cell r="C116" t="str">
            <v>PL_SALE_ASSETS</v>
          </cell>
          <cell r="D116">
            <v>0</v>
          </cell>
        </row>
        <row r="117">
          <cell r="B117" t="str">
            <v>Other non-cash adjustments</v>
          </cell>
          <cell r="C117" t="str">
            <v>OTH_NONCASH_ADJ</v>
          </cell>
          <cell r="D117">
            <v>0</v>
          </cell>
        </row>
        <row r="118">
          <cell r="B118" t="str">
            <v>Other DACF adjustments</v>
          </cell>
          <cell r="C118" t="str">
            <v>OTH_DACF_ADJ</v>
          </cell>
          <cell r="D118">
            <v>0</v>
          </cell>
        </row>
        <row r="119">
          <cell r="B119" t="str">
            <v>Cash interest expense</v>
          </cell>
          <cell r="C119" t="str">
            <v>CASH_INT_EXP</v>
          </cell>
          <cell r="D119">
            <v>0</v>
          </cell>
        </row>
        <row r="120">
          <cell r="B120" t="str">
            <v>Cash tax expense</v>
          </cell>
          <cell r="C120" t="str">
            <v>CASH_TAX_EXP</v>
          </cell>
          <cell r="D120">
            <v>0</v>
          </cell>
        </row>
        <row r="121">
          <cell r="B121" t="str">
            <v>Dividends received from associates/JVs</v>
          </cell>
          <cell r="C121" t="str">
            <v>DIVDS_ASSOC_JV</v>
          </cell>
          <cell r="D121">
            <v>0</v>
          </cell>
        </row>
        <row r="122">
          <cell r="B122" t="str">
            <v>Capex maintenance</v>
          </cell>
          <cell r="C122" t="str">
            <v>CAPEX_MAINTENANCE</v>
          </cell>
          <cell r="D122">
            <v>0</v>
          </cell>
        </row>
        <row r="123">
          <cell r="B123" t="str">
            <v>Capex expansion</v>
          </cell>
          <cell r="C123" t="str">
            <v>CAPEX_EXPANSION</v>
          </cell>
          <cell r="D123">
            <v>0</v>
          </cell>
        </row>
        <row r="124">
          <cell r="B124" t="str">
            <v>Non-PP&amp;E capex</v>
          </cell>
          <cell r="C124" t="str">
            <v>NONPPE_CAPEX</v>
          </cell>
          <cell r="D124">
            <v>0</v>
          </cell>
        </row>
        <row r="125">
          <cell r="B125" t="str">
            <v>Dividends paid to minorities</v>
          </cell>
          <cell r="C125" t="str">
            <v>DIVDS_PD_MINORITIES</v>
          </cell>
          <cell r="D125">
            <v>0</v>
          </cell>
        </row>
        <row r="126">
          <cell r="A126" t="str">
            <v>Other Items</v>
          </cell>
        </row>
        <row r="127">
          <cell r="B127" t="str">
            <v>Number of employees</v>
          </cell>
          <cell r="C127" t="str">
            <v>EMPLOYEES</v>
          </cell>
        </row>
        <row r="128">
          <cell r="A128" t="str">
            <v>Operating Metrics</v>
          </cell>
        </row>
        <row r="129">
          <cell r="B129" t="str">
            <v>Same store sales growth</v>
          </cell>
          <cell r="C129" t="str">
            <v>RETAIL_SSS_PCT_CHG</v>
          </cell>
        </row>
        <row r="130">
          <cell r="A130" t="str">
            <v>Geographical Breakdown</v>
          </cell>
        </row>
        <row r="131">
          <cell r="B131" t="str">
            <v>Sales - % Canada</v>
          </cell>
          <cell r="C131" t="str">
            <v>SALES_CANADA</v>
          </cell>
        </row>
        <row r="132">
          <cell r="B132" t="str">
            <v>Sales - % United States</v>
          </cell>
          <cell r="C132" t="str">
            <v>SALES_US</v>
          </cell>
        </row>
        <row r="133">
          <cell r="B133" t="str">
            <v>Sales - % Other North Americas</v>
          </cell>
          <cell r="C133" t="str">
            <v>SALES_OTH_NO_AMER</v>
          </cell>
        </row>
        <row r="134">
          <cell r="B134" t="str">
            <v>Sales - % Argentina</v>
          </cell>
          <cell r="C134" t="str">
            <v>SALES_ARGENTINA</v>
          </cell>
        </row>
        <row r="135">
          <cell r="B135" t="str">
            <v>Sales - % Brazil</v>
          </cell>
          <cell r="C135" t="str">
            <v>SALES_BRAZIL</v>
          </cell>
        </row>
        <row r="136">
          <cell r="B136" t="str">
            <v>Sales - % Chile</v>
          </cell>
          <cell r="C136" t="str">
            <v>SALES_CHILE</v>
          </cell>
        </row>
        <row r="137">
          <cell r="B137" t="str">
            <v>Sales - % Colombia</v>
          </cell>
          <cell r="C137" t="str">
            <v>SALES_COLOMBIA</v>
          </cell>
        </row>
        <row r="138">
          <cell r="B138" t="str">
            <v>Sales - % Mexico</v>
          </cell>
          <cell r="C138" t="str">
            <v>SALES_MEXICO</v>
          </cell>
        </row>
        <row r="139">
          <cell r="B139" t="str">
            <v>Sales - % Venezuela</v>
          </cell>
          <cell r="C139" t="str">
            <v>SALES_VENEZUELA</v>
          </cell>
        </row>
        <row r="140">
          <cell r="B140" t="str">
            <v>Sales - % Other Latin Americas</v>
          </cell>
          <cell r="C140" t="str">
            <v>SALES_OTH_LATAM</v>
          </cell>
        </row>
        <row r="141">
          <cell r="B141" t="str">
            <v>Sales - % Austria</v>
          </cell>
          <cell r="C141" t="str">
            <v>SALES_AUSTRIA</v>
          </cell>
        </row>
        <row r="142">
          <cell r="B142" t="str">
            <v>Sales - % Belgium</v>
          </cell>
          <cell r="C142" t="str">
            <v>SALES_BEL</v>
          </cell>
        </row>
        <row r="143">
          <cell r="B143" t="str">
            <v>Sales - % France</v>
          </cell>
          <cell r="C143" t="str">
            <v>SALES_FRA</v>
          </cell>
        </row>
        <row r="144">
          <cell r="B144" t="str">
            <v>Sales - % Germany</v>
          </cell>
          <cell r="C144" t="str">
            <v>SALES_GER</v>
          </cell>
        </row>
        <row r="145">
          <cell r="B145" t="str">
            <v>Sales - % Greece</v>
          </cell>
          <cell r="C145" t="str">
            <v>SALES_GRE</v>
          </cell>
        </row>
        <row r="146">
          <cell r="B146" t="str">
            <v>Sales - % Ireland</v>
          </cell>
          <cell r="C146" t="str">
            <v>SALES_IRE</v>
          </cell>
        </row>
        <row r="147">
          <cell r="B147" t="str">
            <v>Sales - % Italy</v>
          </cell>
          <cell r="C147" t="str">
            <v>SALES_ITA</v>
          </cell>
        </row>
        <row r="148">
          <cell r="B148" t="str">
            <v>Sales - % Netherlands</v>
          </cell>
          <cell r="C148" t="str">
            <v>SALES_NETH</v>
          </cell>
        </row>
        <row r="149">
          <cell r="B149" t="str">
            <v>Sales - % Norway</v>
          </cell>
          <cell r="C149" t="str">
            <v>SALES_NOR</v>
          </cell>
        </row>
        <row r="150">
          <cell r="B150" t="str">
            <v>Sales - % Portugal</v>
          </cell>
          <cell r="C150" t="str">
            <v>SALES_POR</v>
          </cell>
        </row>
        <row r="151">
          <cell r="B151" t="str">
            <v>Sales - % Spain</v>
          </cell>
          <cell r="C151" t="str">
            <v>SALES_SPA</v>
          </cell>
        </row>
        <row r="152">
          <cell r="B152" t="str">
            <v>Sales - % Sweden</v>
          </cell>
          <cell r="C152" t="str">
            <v>SALES_SWE</v>
          </cell>
        </row>
        <row r="153">
          <cell r="B153" t="str">
            <v>Sales - % Switzerland</v>
          </cell>
          <cell r="C153" t="str">
            <v>SALES_SWIT</v>
          </cell>
        </row>
        <row r="154">
          <cell r="B154" t="str">
            <v>Sales - % UK</v>
          </cell>
          <cell r="C154" t="str">
            <v>SALES_UK</v>
          </cell>
        </row>
        <row r="155">
          <cell r="B155" t="str">
            <v>Sales - % Other Western Europe</v>
          </cell>
          <cell r="C155" t="str">
            <v>SALES_OTH_WEST_EURO</v>
          </cell>
        </row>
        <row r="156">
          <cell r="B156" t="str">
            <v>Sales - % Poland</v>
          </cell>
          <cell r="C156" t="str">
            <v>SALES_POLAND</v>
          </cell>
        </row>
        <row r="157">
          <cell r="B157" t="str">
            <v>Sales - % Russia</v>
          </cell>
          <cell r="C157" t="str">
            <v>SALES_RUSSIA</v>
          </cell>
        </row>
        <row r="158">
          <cell r="B158" t="str">
            <v>Sales - % Turkey</v>
          </cell>
          <cell r="C158" t="str">
            <v>SALES_TURKEY</v>
          </cell>
        </row>
        <row r="159">
          <cell r="B159" t="str">
            <v>Sales - % Other CEE</v>
          </cell>
          <cell r="C159" t="str">
            <v>SALES_OTH_CEE</v>
          </cell>
        </row>
        <row r="160">
          <cell r="B160" t="str">
            <v>Sales - % Saudi Arabia</v>
          </cell>
          <cell r="C160" t="str">
            <v>SALES_SAUDI_ARABIA</v>
          </cell>
        </row>
        <row r="161">
          <cell r="B161" t="str">
            <v>Sales - % United Arab Emirates</v>
          </cell>
          <cell r="C161" t="str">
            <v>SALES_UAE</v>
          </cell>
        </row>
        <row r="162">
          <cell r="B162" t="str">
            <v>Sales - % Other Middle East</v>
          </cell>
          <cell r="C162" t="str">
            <v>SALES_OTH_ME</v>
          </cell>
        </row>
        <row r="163">
          <cell r="B163" t="str">
            <v>Sales - % Nigeria</v>
          </cell>
          <cell r="C163" t="str">
            <v>SALES_NIGERIA</v>
          </cell>
        </row>
        <row r="164">
          <cell r="B164" t="str">
            <v>Sales - % South Africa</v>
          </cell>
          <cell r="C164" t="str">
            <v>SALES_SO_AFRICA</v>
          </cell>
        </row>
        <row r="165">
          <cell r="B165" t="str">
            <v>Sales - % Other Africa</v>
          </cell>
          <cell r="C165" t="str">
            <v>SALES_OTH_AFRICA</v>
          </cell>
        </row>
        <row r="166">
          <cell r="B166" t="str">
            <v>Sales - % Hong Kong</v>
          </cell>
          <cell r="C166" t="str">
            <v>SALES_HONG_KONG</v>
          </cell>
        </row>
        <row r="167">
          <cell r="B167" t="str">
            <v>Sales - % Japan</v>
          </cell>
          <cell r="C167" t="str">
            <v>SALES_JAPAN</v>
          </cell>
        </row>
        <row r="168">
          <cell r="B168" t="str">
            <v>Sales - % Singapore</v>
          </cell>
          <cell r="C168" t="str">
            <v>SALES_SINGAPORE</v>
          </cell>
        </row>
        <row r="169">
          <cell r="B169" t="str">
            <v>Sales - % South Korea</v>
          </cell>
          <cell r="C169" t="str">
            <v>SALES_SK</v>
          </cell>
        </row>
        <row r="170">
          <cell r="B170" t="str">
            <v>Sales - % Taiwan</v>
          </cell>
          <cell r="C170" t="str">
            <v>SALES_TAIWAN</v>
          </cell>
        </row>
        <row r="171">
          <cell r="B171" t="str">
            <v>Sales - % Other Developed Asia</v>
          </cell>
          <cell r="C171" t="str">
            <v>SALES_OTH_DEV_ASIA</v>
          </cell>
        </row>
        <row r="172">
          <cell r="B172" t="str">
            <v>Sales - % China</v>
          </cell>
          <cell r="C172" t="str">
            <v>SALES_CHINA</v>
          </cell>
        </row>
        <row r="173">
          <cell r="B173" t="str">
            <v>Sales - % India</v>
          </cell>
          <cell r="C173" t="str">
            <v>SALES_INDIA</v>
          </cell>
        </row>
        <row r="174">
          <cell r="B174" t="str">
            <v>Sales - % Indonesia</v>
          </cell>
          <cell r="C174" t="str">
            <v>SALES_INDONESIA</v>
          </cell>
        </row>
        <row r="175">
          <cell r="B175" t="str">
            <v>Sales - % Thailand</v>
          </cell>
          <cell r="C175" t="str">
            <v>SALES_THAILAND</v>
          </cell>
        </row>
        <row r="176">
          <cell r="B176" t="str">
            <v>Sales - % Other Emerging Asia</v>
          </cell>
          <cell r="C176" t="str">
            <v>SALES_OTH_EMERG_ASIA</v>
          </cell>
        </row>
        <row r="177">
          <cell r="B177" t="str">
            <v>Sales - % Australia</v>
          </cell>
          <cell r="C177" t="str">
            <v>SALES_AUSTRA</v>
          </cell>
        </row>
        <row r="178">
          <cell r="B178" t="str">
            <v>Sales - % New Zealand</v>
          </cell>
          <cell r="C178" t="str">
            <v>SALES_NZ</v>
          </cell>
        </row>
        <row r="179">
          <cell r="B179" t="str">
            <v>Sales - % Others</v>
          </cell>
          <cell r="C179" t="str">
            <v>SALES_OTHER</v>
          </cell>
        </row>
        <row r="180">
          <cell r="B180" t="str">
            <v>% of CoGS from U.S. (GS estimate)</v>
          </cell>
          <cell r="C180" t="str">
            <v>COGS_PCT_US</v>
          </cell>
        </row>
        <row r="181">
          <cell r="B181" t="str">
            <v>% of CoGS from non-U.S. (GS estimate)</v>
          </cell>
          <cell r="C181" t="str">
            <v>COGS_PCT_ROW</v>
          </cell>
        </row>
        <row r="182">
          <cell r="B182" t="str">
            <v>% of SG&amp;A from U.S. (GS estimate)</v>
          </cell>
          <cell r="C182" t="str">
            <v>SGA_PCT_US</v>
          </cell>
        </row>
        <row r="183">
          <cell r="B183" t="str">
            <v>% of SG&amp;A from non-U.S. (GS estimate)</v>
          </cell>
          <cell r="C183" t="str">
            <v>SGA_PCT_ROW</v>
          </cell>
        </row>
        <row r="184">
          <cell r="B184" t="str">
            <v>Sales -% Consumer (C)</v>
          </cell>
          <cell r="C184" t="str">
            <v>SALES_CONS</v>
          </cell>
        </row>
        <row r="185">
          <cell r="B185" t="str">
            <v>Sales -% Industry (I)</v>
          </cell>
          <cell r="C185" t="str">
            <v>SALES_IND</v>
          </cell>
        </row>
        <row r="186">
          <cell r="B186" t="str">
            <v>Sales -% Government (G)</v>
          </cell>
          <cell r="C186" t="str">
            <v>SALES_GOV</v>
          </cell>
        </row>
        <row r="187">
          <cell r="B187" t="str">
            <v>Sales - % Industry Sub-Segment: Financial Services</v>
          </cell>
          <cell r="C187" t="str">
            <v>SALES_FINAN</v>
          </cell>
        </row>
        <row r="188">
          <cell r="B188" t="str">
            <v>Sales - % Industry Sub-Segment: Oil &amp; Gas</v>
          </cell>
          <cell r="C188" t="str">
            <v>SALES_OIL_GAS</v>
          </cell>
        </row>
        <row r="189">
          <cell r="A189" t="str">
            <v>Commodities Exposure - Sales</v>
          </cell>
        </row>
        <row r="190">
          <cell r="B190" t="str">
            <v>Sales - % Oil/Petrol/Fuel</v>
          </cell>
          <cell r="C190" t="str">
            <v>SALES_OIL_PETRO_FUEL</v>
          </cell>
        </row>
        <row r="191">
          <cell r="B191" t="str">
            <v>Sales - % Steel</v>
          </cell>
          <cell r="C191" t="str">
            <v>SALES_STEEL</v>
          </cell>
        </row>
        <row r="192">
          <cell r="B192" t="str">
            <v>Sales - % Paper/pulp</v>
          </cell>
          <cell r="C192" t="str">
            <v>SALES_PAPER_PULP</v>
          </cell>
        </row>
        <row r="193">
          <cell r="B193" t="str">
            <v>Sales - % Lumber</v>
          </cell>
          <cell r="C193" t="str">
            <v>SALES_LUMBER</v>
          </cell>
        </row>
        <row r="194">
          <cell r="B194" t="str">
            <v>Sales - % Glass</v>
          </cell>
          <cell r="C194" t="str">
            <v>SALES_GLASS</v>
          </cell>
        </row>
        <row r="195">
          <cell r="B195" t="str">
            <v>Sales - % Cement</v>
          </cell>
          <cell r="C195" t="str">
            <v>SALES_CEMENT</v>
          </cell>
        </row>
        <row r="196">
          <cell r="B196" t="str">
            <v>Sales - % Tobacco leaf</v>
          </cell>
          <cell r="C196" t="str">
            <v>SALES_TOBACCO_LEAF</v>
          </cell>
        </row>
        <row r="197">
          <cell r="B197" t="str">
            <v>Sales - % Other commodity</v>
          </cell>
          <cell r="C197" t="str">
            <v>SALES_OTH_COMMODITY</v>
          </cell>
        </row>
        <row r="198">
          <cell r="B198" t="str">
            <v>Sales - % Other (Non-Commodity) sales sources</v>
          </cell>
          <cell r="C198" t="str">
            <v>SALES_OTH_SALES_SOURCES</v>
          </cell>
        </row>
        <row r="199">
          <cell r="A199" t="str">
            <v>Commodities Exposure - Expense</v>
          </cell>
        </row>
        <row r="200">
          <cell r="B200" t="str">
            <v>Expense - % Oil/Petrol/Fuel</v>
          </cell>
          <cell r="C200" t="str">
            <v>EXP_OIL_PETRO_FUEL</v>
          </cell>
        </row>
        <row r="201">
          <cell r="B201" t="str">
            <v>Expense - % Oil derivatives/NGLs/plastics</v>
          </cell>
          <cell r="C201" t="str">
            <v>EXP_OIL_DERIV_NGLS_PLASTICS</v>
          </cell>
        </row>
        <row r="202">
          <cell r="B202" t="str">
            <v>Expense - % Gold</v>
          </cell>
          <cell r="C202" t="str">
            <v>EXP_GOLD</v>
          </cell>
        </row>
        <row r="203">
          <cell r="B203" t="str">
            <v>Expense - % Copper</v>
          </cell>
          <cell r="C203" t="str">
            <v>EXP_COPPER</v>
          </cell>
        </row>
        <row r="204">
          <cell r="B204" t="str">
            <v>Expense - % Silver</v>
          </cell>
          <cell r="C204" t="str">
            <v>EXP_SILVER</v>
          </cell>
        </row>
        <row r="205">
          <cell r="B205" t="str">
            <v>Expense - % Platinum</v>
          </cell>
          <cell r="C205" t="str">
            <v>EXP_PLATINUM</v>
          </cell>
        </row>
        <row r="206">
          <cell r="B206" t="str">
            <v>Expense - % Aluminium</v>
          </cell>
          <cell r="C206" t="str">
            <v>EXP_ALUMINIUM</v>
          </cell>
        </row>
        <row r="207">
          <cell r="B207" t="str">
            <v>Expense - % Diamonds</v>
          </cell>
          <cell r="C207" t="str">
            <v>EXP_DIAMONDS</v>
          </cell>
        </row>
        <row r="208">
          <cell r="B208" t="str">
            <v>Expense - % Paper/pulp</v>
          </cell>
          <cell r="C208" t="str">
            <v>EXP_PAPER_PULP</v>
          </cell>
        </row>
        <row r="209">
          <cell r="B209" t="str">
            <v>Expense - % Wheat</v>
          </cell>
          <cell r="C209" t="str">
            <v>EXP_WHEAT</v>
          </cell>
        </row>
        <row r="210">
          <cell r="B210" t="str">
            <v>Expense - % Sugar</v>
          </cell>
          <cell r="C210" t="str">
            <v>EXP_SUGAR</v>
          </cell>
        </row>
        <row r="211">
          <cell r="B211" t="str">
            <v>Expense - % Soybean</v>
          </cell>
          <cell r="C211" t="str">
            <v>EXP_SOYBEAN</v>
          </cell>
        </row>
        <row r="212">
          <cell r="B212" t="str">
            <v>Expense - % Corn</v>
          </cell>
          <cell r="C212" t="str">
            <v>EXP_CORN</v>
          </cell>
        </row>
        <row r="213">
          <cell r="B213" t="str">
            <v>Expense - % Cotton</v>
          </cell>
          <cell r="C213" t="str">
            <v>EXP_COTTON</v>
          </cell>
        </row>
        <row r="214">
          <cell r="B214" t="str">
            <v>Expense - % Coffee</v>
          </cell>
          <cell r="C214" t="str">
            <v>EXP_COFFEE</v>
          </cell>
        </row>
        <row r="215">
          <cell r="B215" t="str">
            <v>Expense - % Cocoa</v>
          </cell>
          <cell r="C215" t="str">
            <v>EXP_COCOA</v>
          </cell>
        </row>
        <row r="216">
          <cell r="B216" t="str">
            <v>Expense - % Beef</v>
          </cell>
          <cell r="C216" t="str">
            <v>EXP_BEEF</v>
          </cell>
        </row>
        <row r="217">
          <cell r="B217" t="str">
            <v>Expense - % Pork</v>
          </cell>
          <cell r="C217" t="str">
            <v>EXP_PORK</v>
          </cell>
        </row>
        <row r="218">
          <cell r="B218" t="str">
            <v>Expense - % Chicken</v>
          </cell>
          <cell r="C218" t="str">
            <v>EXP_CHICKEN</v>
          </cell>
        </row>
        <row r="219">
          <cell r="B219" t="str">
            <v>Expense - % Dairy</v>
          </cell>
          <cell r="C219" t="str">
            <v>EXP_DAIRY</v>
          </cell>
        </row>
        <row r="220">
          <cell r="B220" t="str">
            <v>Expense - % Nuts</v>
          </cell>
          <cell r="C220" t="str">
            <v>EXP_NUTS</v>
          </cell>
        </row>
        <row r="221">
          <cell r="B221" t="str">
            <v>Expense - % Palm oil</v>
          </cell>
          <cell r="C221" t="str">
            <v>EXP_PALM_OIL</v>
          </cell>
        </row>
        <row r="222">
          <cell r="B222" t="str">
            <v>Expense - % Tobacco leaf</v>
          </cell>
          <cell r="C222" t="str">
            <v>EXP_TOBACCO_LEAF</v>
          </cell>
        </row>
        <row r="223">
          <cell r="B223" t="str">
            <v>Expense - % Water</v>
          </cell>
          <cell r="C223" t="str">
            <v>EXP_WATER</v>
          </cell>
        </row>
        <row r="224">
          <cell r="B224" t="str">
            <v>Expense - % Other commodity</v>
          </cell>
          <cell r="C224" t="str">
            <v>EXP_OTH_COMMODITY</v>
          </cell>
        </row>
        <row r="225">
          <cell r="B225" t="str">
            <v>Expense - % Other (Non-Commodity) cost</v>
          </cell>
          <cell r="C225" t="str">
            <v>EXP_OTH_COST</v>
          </cell>
        </row>
        <row r="226">
          <cell r="A226" t="str">
            <v>FX Exposure - Sales</v>
          </cell>
        </row>
        <row r="227">
          <cell r="B227" t="str">
            <v>Sales - % FX: British Pounds/Pence</v>
          </cell>
          <cell r="C227" t="str">
            <v>SALES_FX_GPB</v>
          </cell>
        </row>
        <row r="228">
          <cell r="B228" t="str">
            <v>Sales - % FX: Euro</v>
          </cell>
          <cell r="C228" t="str">
            <v>SALES_FX_EUR</v>
          </cell>
        </row>
        <row r="229">
          <cell r="B229" t="str">
            <v>Sales - % FX: New Russian Ruble</v>
          </cell>
          <cell r="C229" t="str">
            <v>SALES_FX_RUB</v>
          </cell>
        </row>
        <row r="230">
          <cell r="B230" t="str">
            <v>Sales - % FX: U.S. Dollar</v>
          </cell>
          <cell r="C230" t="str">
            <v>SALES_FX_USD</v>
          </cell>
        </row>
        <row r="231">
          <cell r="B231" t="str">
            <v>Sales - % FX: Brazilian Real</v>
          </cell>
          <cell r="C231" t="str">
            <v>SALES_FX_BRL</v>
          </cell>
        </row>
        <row r="232">
          <cell r="B232" t="str">
            <v>Sales - % FX: Japanese Yen</v>
          </cell>
          <cell r="C232" t="str">
            <v>SALES_FX_YEN</v>
          </cell>
        </row>
        <row r="233">
          <cell r="B233" t="str">
            <v>Sales - % FX: Chinese Renminbi</v>
          </cell>
          <cell r="C233" t="str">
            <v>SALES_FX_CNY</v>
          </cell>
        </row>
        <row r="234">
          <cell r="B234" t="str">
            <v>Sales - % FX: Indian Rupee</v>
          </cell>
          <cell r="C234" t="str">
            <v>SALES_FX_INR</v>
          </cell>
        </row>
        <row r="235">
          <cell r="B235" t="str">
            <v>Sales - % FX: South African Rand</v>
          </cell>
          <cell r="C235" t="str">
            <v>SALES_FX_ZAR</v>
          </cell>
        </row>
        <row r="236">
          <cell r="B236" t="str">
            <v>Sales - % FX: Nigerian Naira</v>
          </cell>
          <cell r="C236" t="str">
            <v>SALES_FX_NGN</v>
          </cell>
        </row>
        <row r="237">
          <cell r="B237" t="str">
            <v>Sales - % FX: Swiss Franc</v>
          </cell>
          <cell r="C237" t="str">
            <v>SALES_FX_CHF</v>
          </cell>
        </row>
        <row r="238">
          <cell r="B238" t="str">
            <v>Sales - % FX: UAE Dirham</v>
          </cell>
          <cell r="C238" t="str">
            <v>SALES_FX_AED</v>
          </cell>
        </row>
        <row r="239">
          <cell r="B239" t="str">
            <v>Sales - % FX: New Turkish Lira</v>
          </cell>
          <cell r="C239" t="str">
            <v>SALES_FX_TRY</v>
          </cell>
        </row>
        <row r="240">
          <cell r="B240" t="str">
            <v>Sales - % FX: Other Currency</v>
          </cell>
          <cell r="C240" t="str">
            <v>SALES_FX_OTH</v>
          </cell>
        </row>
        <row r="241">
          <cell r="A241" t="str">
            <v>Items to be removed</v>
          </cell>
        </row>
        <row r="242">
          <cell r="B242" t="str">
            <v>Sales - Total % Americas</v>
          </cell>
          <cell r="C242" t="str">
            <v>SALES_TOT_AM</v>
          </cell>
        </row>
        <row r="243">
          <cell r="B243" t="str">
            <v>Sales - % Other Americas</v>
          </cell>
          <cell r="C243" t="str">
            <v>SALES_OTH_AM</v>
          </cell>
        </row>
        <row r="244">
          <cell r="B244" t="str">
            <v>Sales - Total % EMEA</v>
          </cell>
          <cell r="C244" t="str">
            <v>SALES_TOT_EMEA</v>
          </cell>
        </row>
        <row r="245">
          <cell r="B245" t="str">
            <v>Sales - % Western Europe-Ex UK</v>
          </cell>
          <cell r="C245" t="str">
            <v>SALES_EU_EX_UK</v>
          </cell>
        </row>
        <row r="246">
          <cell r="B246" t="str">
            <v>Sales - % Other Western Europe-Ex UK</v>
          </cell>
          <cell r="C246" t="str">
            <v>SALES_OTH_EU_EX_UK</v>
          </cell>
        </row>
        <row r="247">
          <cell r="B247" t="str">
            <v>Sales - % Central &amp; Eastern Europe</v>
          </cell>
          <cell r="C247" t="str">
            <v>SALES_CEE</v>
          </cell>
        </row>
        <row r="248">
          <cell r="B248" t="str">
            <v>Sales - % Middle East</v>
          </cell>
          <cell r="C248" t="str">
            <v>SALES_ME</v>
          </cell>
        </row>
        <row r="249">
          <cell r="B249" t="str">
            <v>Sales - % Total Africa</v>
          </cell>
          <cell r="C249" t="str">
            <v>SALES_TOT_AFRICA</v>
          </cell>
        </row>
        <row r="250">
          <cell r="B250" t="str">
            <v>Sales - % Other EMEA</v>
          </cell>
          <cell r="C250" t="str">
            <v>SALES_OTH_EMEA</v>
          </cell>
        </row>
        <row r="251">
          <cell r="B251" t="str">
            <v>Sales - Total % Asia (incl Australia &amp; New Zealand)</v>
          </cell>
          <cell r="C251" t="str">
            <v>SALES_TOT_ASIA</v>
          </cell>
        </row>
        <row r="252">
          <cell r="B252" t="str">
            <v>Sales - % Other Asia</v>
          </cell>
          <cell r="C252" t="str">
            <v>SALES_OTH_AEJ</v>
          </cell>
        </row>
        <row r="253">
          <cell r="B253" t="str">
            <v>Indirect Sales - % Brazil</v>
          </cell>
          <cell r="C253" t="str">
            <v>IND_SALES_BRAZIL</v>
          </cell>
        </row>
        <row r="254">
          <cell r="B254" t="str">
            <v>Indirect Sales - % United States</v>
          </cell>
          <cell r="C254" t="str">
            <v>IND_SALES_US</v>
          </cell>
        </row>
        <row r="255">
          <cell r="B255" t="str">
            <v>Indirect Sales - % Other Americas</v>
          </cell>
          <cell r="C255" t="str">
            <v>IND_SALES_OTH_AM</v>
          </cell>
        </row>
        <row r="256">
          <cell r="B256" t="str">
            <v>Indirect Sales - Total % Americas</v>
          </cell>
          <cell r="C256" t="str">
            <v>IND_SALES_TOT_AM</v>
          </cell>
        </row>
        <row r="257">
          <cell r="B257" t="str">
            <v>Indirect Sales - % France</v>
          </cell>
          <cell r="C257" t="str">
            <v>IND_SALES_FRA</v>
          </cell>
        </row>
        <row r="258">
          <cell r="B258" t="str">
            <v>Indirect Sales - % Germany</v>
          </cell>
          <cell r="C258" t="str">
            <v>IND_SALES_GER</v>
          </cell>
        </row>
        <row r="259">
          <cell r="B259" t="str">
            <v>Indirect Sales - % Italy</v>
          </cell>
          <cell r="C259" t="str">
            <v>IND_SALES_ITA</v>
          </cell>
        </row>
        <row r="260">
          <cell r="B260" t="str">
            <v>Indirect Sales - % Spain</v>
          </cell>
          <cell r="C260" t="str">
            <v>IND_SALES_SPA</v>
          </cell>
        </row>
        <row r="261">
          <cell r="B261" t="str">
            <v>Indirect Sales - % UK</v>
          </cell>
          <cell r="C261" t="str">
            <v>IND_SALES_UK</v>
          </cell>
        </row>
        <row r="262">
          <cell r="B262" t="str">
            <v>Indirect Sales - % Western Europe-Ex UK</v>
          </cell>
          <cell r="C262" t="str">
            <v>IND_SALES_EU_EX_UK</v>
          </cell>
        </row>
        <row r="263">
          <cell r="B263" t="str">
            <v>Indirect Sales - % Other Western Europe-Ex UK</v>
          </cell>
          <cell r="C263" t="str">
            <v>IND_SALES_OTH_EU_EX_UK</v>
          </cell>
        </row>
        <row r="264">
          <cell r="B264" t="str">
            <v>Indirect Sales - % Russia</v>
          </cell>
          <cell r="C264" t="str">
            <v>IND_SALES_RUSSIA</v>
          </cell>
        </row>
        <row r="265">
          <cell r="B265" t="str">
            <v>Indirect Sales - % Central &amp; Eastern Europe</v>
          </cell>
          <cell r="C265" t="str">
            <v>IND_SALES_CEE</v>
          </cell>
        </row>
        <row r="266">
          <cell r="B266" t="str">
            <v>Indirect Sales - % Other EMEA</v>
          </cell>
          <cell r="C266" t="str">
            <v>IND_SALES_OTH_EMEA</v>
          </cell>
        </row>
        <row r="267">
          <cell r="B267" t="str">
            <v>Indirect Sales - Total % EMEA</v>
          </cell>
          <cell r="C267" t="str">
            <v>IND_SALES_TOT_EMEA</v>
          </cell>
        </row>
        <row r="268">
          <cell r="B268" t="str">
            <v>Indirect Sales - % Middle East</v>
          </cell>
          <cell r="C268" t="str">
            <v>IND_SALES_ME</v>
          </cell>
        </row>
        <row r="269">
          <cell r="B269" t="str">
            <v>Indirect sales - % Nigeria</v>
          </cell>
          <cell r="C269" t="str">
            <v>IND_SALES_NIGERIA</v>
          </cell>
        </row>
        <row r="270">
          <cell r="B270" t="str">
            <v>Indirect sales - % South Africa</v>
          </cell>
          <cell r="C270" t="str">
            <v>IND_SALES_SO_AFRICA</v>
          </cell>
        </row>
        <row r="271">
          <cell r="B271" t="str">
            <v>Indirect sales - % Other Africa</v>
          </cell>
          <cell r="C271" t="str">
            <v>IND_SALES_OTH_AFRICA</v>
          </cell>
        </row>
        <row r="272">
          <cell r="B272" t="str">
            <v>Indirect sales - % Total Africa</v>
          </cell>
          <cell r="C272" t="str">
            <v>IND_SALES_TOT_AFRICA</v>
          </cell>
        </row>
        <row r="273">
          <cell r="B273" t="str">
            <v>Indirect Sales - % China</v>
          </cell>
          <cell r="C273" t="str">
            <v>IND_SALES_CHINA</v>
          </cell>
        </row>
        <row r="274">
          <cell r="B274" t="str">
            <v>Indirect Sales - % India</v>
          </cell>
          <cell r="C274" t="str">
            <v>IND_SALES_INDIA</v>
          </cell>
        </row>
        <row r="275">
          <cell r="B275" t="str">
            <v>Indirect Sales - % Japan</v>
          </cell>
          <cell r="C275" t="str">
            <v>IND_SALES_JAPAN</v>
          </cell>
        </row>
        <row r="276">
          <cell r="B276" t="str">
            <v>Indirect Sales - % Other Asia</v>
          </cell>
          <cell r="C276" t="str">
            <v>IND_SALES_OTH_AEJ</v>
          </cell>
        </row>
        <row r="277">
          <cell r="B277" t="str">
            <v>Indirect Sales - Total % Asia (incl Australia &amp; New Zealand)</v>
          </cell>
          <cell r="C277" t="str">
            <v>IND_SALES_TOT_ASIA</v>
          </cell>
        </row>
        <row r="278">
          <cell r="B278" t="str">
            <v>Indirect Sales - % Others</v>
          </cell>
          <cell r="C278" t="str">
            <v>IND_SALES_OTHER</v>
          </cell>
        </row>
        <row r="279">
          <cell r="B279" t="str">
            <v>Indirect Sales -% Consumer (C)</v>
          </cell>
          <cell r="C279" t="str">
            <v>IND_SALES_CONS</v>
          </cell>
        </row>
        <row r="280">
          <cell r="B280" t="str">
            <v>Indirect Sales -% Industry (I)</v>
          </cell>
          <cell r="C280" t="str">
            <v>IND_SALES_IND</v>
          </cell>
        </row>
        <row r="281">
          <cell r="B281" t="str">
            <v>Indirect Sales -% Government (G)</v>
          </cell>
          <cell r="C281" t="str">
            <v>IND_SALES_GOV</v>
          </cell>
        </row>
        <row r="282">
          <cell r="B282" t="str">
            <v>Indirect Sales -% Industry Sub-Segment: Financial Services</v>
          </cell>
          <cell r="C282" t="str">
            <v>IND_SALES_FINAN</v>
          </cell>
        </row>
        <row r="283">
          <cell r="A283" t="str">
            <v>Analyst Defined Items</v>
          </cell>
        </row>
        <row r="284">
          <cell r="B284" t="str">
            <v>Currency Neutral Sales Growth</v>
          </cell>
          <cell r="C284" t="str">
            <v>RETAIL_CN_PCT_CHG</v>
          </cell>
        </row>
        <row r="285">
          <cell r="A285" t="str">
            <v>Security: Global Fashion Group</v>
          </cell>
        </row>
        <row r="286">
          <cell r="A286" t="str">
            <v>Reference Data</v>
          </cell>
        </row>
        <row r="287">
          <cell r="B287" t="str">
            <v>Ticker</v>
          </cell>
          <cell r="C287" t="str">
            <v>Ticker</v>
          </cell>
          <cell r="E287" t="str">
            <v>GFG.DE</v>
          </cell>
        </row>
        <row r="288">
          <cell r="B288" t="str">
            <v>Security Name</v>
          </cell>
          <cell r="C288" t="str">
            <v>Security Name</v>
          </cell>
          <cell r="E288" t="str">
            <v>Global Fashion Group</v>
          </cell>
        </row>
        <row r="289">
          <cell r="B289" t="str">
            <v>Interim Type</v>
          </cell>
          <cell r="C289" t="str">
            <v>Interim Type</v>
          </cell>
          <cell r="E289" t="str">
            <v>Q</v>
          </cell>
        </row>
        <row r="290">
          <cell r="B290" t="str">
            <v>Publishing Currency</v>
          </cell>
          <cell r="C290" t="str">
            <v>PUB_CURRENCY_ISO</v>
          </cell>
        </row>
        <row r="291">
          <cell r="B291" t="str">
            <v>Pricing Currency</v>
          </cell>
          <cell r="C291" t="str">
            <v>PRICE_CURRENCY_ISO</v>
          </cell>
        </row>
        <row r="292">
          <cell r="B292" t="str">
            <v>Reporting Currency</v>
          </cell>
          <cell r="C292" t="str">
            <v>CURRENCY_ISO</v>
          </cell>
        </row>
        <row r="293">
          <cell r="A293" t="str">
            <v>General Information</v>
          </cell>
        </row>
        <row r="294">
          <cell r="B294" t="str">
            <v>Pan Europe Investment List</v>
          </cell>
          <cell r="C294" t="str">
            <v>EURO_LIST</v>
          </cell>
        </row>
        <row r="295">
          <cell r="B295" t="str">
            <v>Pan Europe Conviction List</v>
          </cell>
          <cell r="C295" t="str">
            <v>EURO_CONVICTION</v>
          </cell>
        </row>
        <row r="296">
          <cell r="B296" t="str">
            <v>Legal rating</v>
          </cell>
          <cell r="C296" t="str">
            <v>LEGAL_RATING</v>
          </cell>
        </row>
        <row r="297">
          <cell r="B297" t="str">
            <v>Target price</v>
          </cell>
          <cell r="C297" t="str">
            <v>TARGET_PRICE</v>
          </cell>
          <cell r="D297">
            <v>0</v>
          </cell>
        </row>
        <row r="298">
          <cell r="B298" t="str">
            <v>Target price period</v>
          </cell>
          <cell r="C298" t="str">
            <v>TP_PERIOD</v>
          </cell>
        </row>
        <row r="299">
          <cell r="B299" t="str">
            <v>Fundamental value</v>
          </cell>
          <cell r="C299" t="str">
            <v>TARGET_PRICE_FUNDAMENTAL</v>
          </cell>
          <cell r="D299">
            <v>0</v>
          </cell>
        </row>
        <row r="300">
          <cell r="B300" t="str">
            <v>M&amp;A value</v>
          </cell>
          <cell r="C300" t="str">
            <v>TARGET_PRICE_MA</v>
          </cell>
          <cell r="D300">
            <v>0</v>
          </cell>
        </row>
        <row r="301">
          <cell r="B301" t="str">
            <v>Current shares outstanding (mn)</v>
          </cell>
          <cell r="C301" t="str">
            <v>NUM_SH</v>
          </cell>
        </row>
        <row r="302">
          <cell r="B302" t="str">
            <v>Free float</v>
          </cell>
          <cell r="C302" t="str">
            <v>FREE_FLOAT</v>
          </cell>
        </row>
        <row r="303">
          <cell r="A303" t="str">
            <v>Publishing Items</v>
          </cell>
        </row>
        <row r="304">
          <cell r="B304" t="str">
            <v>Book value per share, BVPS (Pub)</v>
          </cell>
          <cell r="C304" t="str">
            <v>BVPS_PUB</v>
          </cell>
          <cell r="D304">
            <v>0</v>
          </cell>
        </row>
        <row r="305">
          <cell r="B305" t="str">
            <v>DPS, dividend per share (Pub)</v>
          </cell>
          <cell r="C305" t="str">
            <v>DPS_PUB</v>
          </cell>
          <cell r="D305">
            <v>0</v>
          </cell>
        </row>
        <row r="306">
          <cell r="B306" t="str">
            <v>Special dividend per share</v>
          </cell>
          <cell r="C306" t="str">
            <v>DPS_SPECIAL_PUB</v>
          </cell>
          <cell r="D306">
            <v>0</v>
          </cell>
        </row>
        <row r="307">
          <cell r="B307" t="str">
            <v>EBITDA (Pub)</v>
          </cell>
          <cell r="C307" t="str">
            <v>EBITDA_PUB</v>
          </cell>
          <cell r="D307">
            <v>0</v>
          </cell>
        </row>
        <row r="308">
          <cell r="B308" t="str">
            <v>EPS (Pub)</v>
          </cell>
          <cell r="C308" t="str">
            <v>EPS_PUB</v>
          </cell>
          <cell r="D308">
            <v>0</v>
          </cell>
        </row>
        <row r="309">
          <cell r="B309" t="str">
            <v>EV adjustment (Pub)</v>
          </cell>
          <cell r="C309" t="str">
            <v>EV_ADJ_PUB</v>
          </cell>
          <cell r="D309">
            <v>0</v>
          </cell>
        </row>
        <row r="310">
          <cell r="B310" t="str">
            <v>Net debt (Pub)</v>
          </cell>
          <cell r="C310" t="str">
            <v>NET_DEBT_PUB</v>
          </cell>
          <cell r="D310">
            <v>0</v>
          </cell>
        </row>
        <row r="311">
          <cell r="B311" t="str">
            <v>Net Debt (ex leases) (Pub)</v>
          </cell>
          <cell r="C311" t="str">
            <v>NET_DEBT_EX_LEASES_PUB</v>
          </cell>
          <cell r="D311">
            <v>0</v>
          </cell>
        </row>
        <row r="312">
          <cell r="B312" t="str">
            <v>Consensus equivalent net debt</v>
          </cell>
          <cell r="C312" t="str">
            <v>CEEE_NDEBT</v>
          </cell>
          <cell r="D312">
            <v>0</v>
          </cell>
        </row>
        <row r="313">
          <cell r="B313" t="str">
            <v>Net income (Pub)</v>
          </cell>
          <cell r="C313" t="str">
            <v>NI_PUB</v>
          </cell>
          <cell r="D313">
            <v>0</v>
          </cell>
        </row>
        <row r="314">
          <cell r="B314" t="str">
            <v>EBIT, operating profit (Pub)</v>
          </cell>
          <cell r="C314" t="str">
            <v>EBIT_PUB</v>
          </cell>
          <cell r="D314">
            <v>0</v>
          </cell>
        </row>
        <row r="315">
          <cell r="B315" t="str">
            <v>Pre-tax profit (Pub)</v>
          </cell>
          <cell r="C315" t="str">
            <v>PTP_PUB</v>
          </cell>
          <cell r="D315">
            <v>0</v>
          </cell>
        </row>
        <row r="316">
          <cell r="B316" t="str">
            <v>Sales, revenue (Pub)</v>
          </cell>
          <cell r="C316" t="str">
            <v>REVS_PUB</v>
          </cell>
          <cell r="D316">
            <v>0</v>
          </cell>
        </row>
        <row r="317">
          <cell r="B317" t="str">
            <v>Total shareholders' equity (Pub)</v>
          </cell>
          <cell r="C317" t="str">
            <v>EQ_PUB</v>
          </cell>
          <cell r="D317">
            <v>0</v>
          </cell>
        </row>
        <row r="318">
          <cell r="A318" t="str">
            <v>Income Statement</v>
          </cell>
        </row>
        <row r="319">
          <cell r="B319" t="str">
            <v>Provision for income tax</v>
          </cell>
          <cell r="C319" t="str">
            <v>PROV_INC_TAX</v>
          </cell>
          <cell r="D319">
            <v>0</v>
          </cell>
        </row>
        <row r="320">
          <cell r="B320" t="str">
            <v>Minority interest</v>
          </cell>
          <cell r="C320" t="str">
            <v>INC_MINORITY</v>
          </cell>
          <cell r="D320">
            <v>0</v>
          </cell>
        </row>
        <row r="321">
          <cell r="B321" t="str">
            <v>Net income (pre-preferred dividends)</v>
          </cell>
          <cell r="C321" t="str">
            <v>NI_PRE_PREF</v>
          </cell>
          <cell r="D321">
            <v>0</v>
          </cell>
        </row>
        <row r="322">
          <cell r="B322" t="str">
            <v>Preferred dividends</v>
          </cell>
          <cell r="C322" t="str">
            <v>PREF_DIV</v>
          </cell>
          <cell r="D322">
            <v>0</v>
          </cell>
        </row>
        <row r="323">
          <cell r="B323" t="str">
            <v>Net income (pre-exceptionals)</v>
          </cell>
          <cell r="C323" t="str">
            <v>NET_EARNING</v>
          </cell>
          <cell r="D323">
            <v>0</v>
          </cell>
        </row>
        <row r="324">
          <cell r="B324" t="str">
            <v>Post-tax exceptionals</v>
          </cell>
          <cell r="C324" t="str">
            <v>TAX_EXC</v>
          </cell>
          <cell r="D324">
            <v>0</v>
          </cell>
        </row>
        <row r="325">
          <cell r="B325" t="str">
            <v>Net income (post-exceptionals)</v>
          </cell>
          <cell r="C325" t="str">
            <v>NET_INC</v>
          </cell>
          <cell r="D325">
            <v>0</v>
          </cell>
        </row>
        <row r="326">
          <cell r="B326" t="str">
            <v>EPS (pre-exceptionals, basic)</v>
          </cell>
          <cell r="C326" t="str">
            <v>EPS</v>
          </cell>
          <cell r="D326">
            <v>0</v>
          </cell>
        </row>
        <row r="327">
          <cell r="B327" t="str">
            <v>EPS (pre-exceptionals, diluted)</v>
          </cell>
          <cell r="C327" t="str">
            <v>EPS_FUL_DIL</v>
          </cell>
          <cell r="D327">
            <v>0</v>
          </cell>
        </row>
        <row r="328">
          <cell r="B328" t="str">
            <v>EPS (post-exceptionals, basic)</v>
          </cell>
          <cell r="C328" t="str">
            <v>EPS_POST_BASIC</v>
          </cell>
          <cell r="D328">
            <v>0</v>
          </cell>
        </row>
        <row r="329">
          <cell r="B329" t="str">
            <v>EPS (post-exceptionals, diluted)</v>
          </cell>
          <cell r="C329" t="str">
            <v>FULLY_DIL_EPS</v>
          </cell>
          <cell r="D329">
            <v>0</v>
          </cell>
        </row>
        <row r="330">
          <cell r="B330" t="str">
            <v>Common dividends paid</v>
          </cell>
          <cell r="C330" t="str">
            <v>COMMON_DIV_PAID</v>
          </cell>
          <cell r="D330">
            <v>0</v>
          </cell>
        </row>
        <row r="331">
          <cell r="B331" t="str">
            <v>DPS, dividend per share</v>
          </cell>
          <cell r="C331" t="str">
            <v>DPS</v>
          </cell>
          <cell r="D331">
            <v>0</v>
          </cell>
        </row>
        <row r="332">
          <cell r="B332" t="str">
            <v>Weighted average shares outstanding, basic</v>
          </cell>
          <cell r="C332" t="str">
            <v>SH</v>
          </cell>
        </row>
        <row r="333">
          <cell r="B333" t="str">
            <v>Diluted average shares outstanding (mn)</v>
          </cell>
          <cell r="C333" t="str">
            <v>DILUTE_SHARES</v>
          </cell>
        </row>
        <row r="334">
          <cell r="B334" t="str">
            <v>Period-end shares outstanding</v>
          </cell>
          <cell r="C334" t="str">
            <v>NON_OP_ADD</v>
          </cell>
        </row>
        <row r="335">
          <cell r="A335" t="str">
            <v>Additional Income Statement Items</v>
          </cell>
        </row>
        <row r="336">
          <cell r="B336" t="str">
            <v>Organic net income (excl. acquisitions)</v>
          </cell>
          <cell r="C336" t="str">
            <v>ORG_NI</v>
          </cell>
          <cell r="D336">
            <v>0</v>
          </cell>
        </row>
        <row r="337">
          <cell r="B337" t="str">
            <v>Organic EPS (excl. acquisitions)</v>
          </cell>
          <cell r="C337" t="str">
            <v>ORG_EPS</v>
          </cell>
          <cell r="D337">
            <v>0</v>
          </cell>
        </row>
        <row r="338">
          <cell r="B338" t="str">
            <v>Marginal tax rate</v>
          </cell>
          <cell r="C338" t="str">
            <v>MARGIN_TAX_RATE</v>
          </cell>
        </row>
        <row r="339">
          <cell r="A339" t="str">
            <v>Balance Sheet</v>
          </cell>
        </row>
        <row r="340">
          <cell r="B340" t="str">
            <v>BVPS, book value per share</v>
          </cell>
          <cell r="C340" t="str">
            <v>BVPS</v>
          </cell>
          <cell r="D340">
            <v>0</v>
          </cell>
        </row>
        <row r="341">
          <cell r="A341" t="str">
            <v>Cash Flow Statement</v>
          </cell>
        </row>
        <row r="342">
          <cell r="B342" t="str">
            <v>Net income (pre-preferred dividends)</v>
          </cell>
          <cell r="C342" t="str">
            <v>CF_NI_PRE_PREF</v>
          </cell>
          <cell r="D342">
            <v>0</v>
          </cell>
        </row>
        <row r="343">
          <cell r="A343" t="str">
            <v>Other Items</v>
          </cell>
        </row>
        <row r="344">
          <cell r="B344" t="str">
            <v>Beta</v>
          </cell>
          <cell r="C344" t="str">
            <v>BETA_ANALYST</v>
          </cell>
        </row>
        <row r="345">
          <cell r="B345" t="str">
            <v>Market equity risk premium</v>
          </cell>
          <cell r="C345" t="str">
            <v>MKT_EQ_RISK_PREM</v>
          </cell>
        </row>
        <row r="346">
          <cell r="B346" t="str">
            <v>Risk-free rate</v>
          </cell>
          <cell r="C346" t="str">
            <v>RISK_FR_RATE</v>
          </cell>
        </row>
      </sheetData>
      <sheetData sheetId="1">
        <row r="1">
          <cell r="A1" t="str">
            <v>5f94a791-8206-4185-8b0d-3bf61c92623f</v>
          </cell>
        </row>
        <row r="2">
          <cell r="A2" t="str">
            <v>\\firmwide.corp.gs.com\irroot\Projects\worldshare\Quantum Data Quality (Europe)\Europe-General Retail\Exchange sheet Linking\GFG\[GFG WIP_V3.xlsx]GFG.DE_Validation_Sheet</v>
          </cell>
        </row>
        <row r="3">
          <cell r="A3" t="str">
            <v>Enabled</v>
          </cell>
        </row>
        <row r="7">
          <cell r="A7" t="str">
            <v>Scalar|||208019265|||ISSR|||CURRENCY_ISO|||False|||</v>
          </cell>
          <cell r="C7" t="str">
            <v>V_KEYWORD_ISSR_208019265_CURRENCY_ISO</v>
          </cell>
          <cell r="E7" t="str">
            <v>ERROR</v>
          </cell>
        </row>
        <row r="9">
          <cell r="A9" t="str">
            <v>Scalar|||208019265|||ISSR|||MA_PROB|||False|||</v>
          </cell>
          <cell r="C9" t="str">
            <v>V_KEYWORD_ISSR_208019265_MA_PROB</v>
          </cell>
          <cell r="E9" t="str">
            <v>ERROR</v>
          </cell>
        </row>
        <row r="11">
          <cell r="A11" t="str">
            <v>Vector|||208019265|||ISSR|||SALES|||False|||</v>
          </cell>
          <cell r="C11" t="str">
            <v>V_KEYWORD_ISSR_208019265_SALES</v>
          </cell>
        </row>
        <row r="12">
          <cell r="A12" t="str">
            <v>Vector|||208019265|||ISSR|||COST_GD_SD|||False|||</v>
          </cell>
          <cell r="C12" t="str">
            <v>V_KEYWORD_ISSR_208019265_COST_GD_SD</v>
          </cell>
        </row>
        <row r="13">
          <cell r="A13" t="str">
            <v>Vector|||208019265|||ISSR|||SEL_GL_AD|||False|||</v>
          </cell>
          <cell r="C13" t="str">
            <v>V_KEYWORD_ISSR_208019265_SEL_GL_AD</v>
          </cell>
        </row>
        <row r="14">
          <cell r="A14" t="str">
            <v>Vector|||208019265|||ISSR|||OP_COST|||False|||</v>
          </cell>
          <cell r="C14" t="str">
            <v>V_KEYWORD_ISSR_208019265_OP_COST</v>
          </cell>
        </row>
        <row r="15">
          <cell r="A15" t="str">
            <v>Vector|||208019265|||ISSR|||RD_EXP|||False|||</v>
          </cell>
          <cell r="C15" t="str">
            <v>V_KEYWORD_ISSR_208019265_RD_EXP</v>
          </cell>
        </row>
        <row r="16">
          <cell r="A16" t="str">
            <v>Vector|||208019265|||ISSR|||OTH_OP_INC_EXP|||False|||</v>
          </cell>
          <cell r="C16" t="str">
            <v>V_KEYWORD_ISSR_208019265_OTH_OP_INC_EXP</v>
          </cell>
        </row>
        <row r="17">
          <cell r="A17" t="str">
            <v>Vector|||208019265|||ISSR|||TOT_OPS_EXP_DDA|||False|||</v>
          </cell>
          <cell r="C17" t="str">
            <v>V_KEYWORD_ISSR_208019265_TOT_OPS_EXP_DDA</v>
          </cell>
        </row>
        <row r="18">
          <cell r="A18" t="str">
            <v>Vector|||208019265|||ISSR|||TOT_OPS_EXP|||False|||</v>
          </cell>
          <cell r="C18" t="str">
            <v>V_KEYWORD_ISSR_208019265_TOT_OPS_EXP</v>
          </cell>
        </row>
        <row r="19">
          <cell r="A19" t="str">
            <v>Vector|||208019265|||ISSR|||EBITDA_CALC|||False|||</v>
          </cell>
          <cell r="C19" t="str">
            <v>V_KEYWORD_ISSR_208019265_EBITDA_CALC</v>
          </cell>
        </row>
        <row r="20">
          <cell r="A20" t="str">
            <v>Vector|||208019265|||ISSR|||DEPREC|||False|||</v>
          </cell>
          <cell r="C20" t="str">
            <v>V_KEYWORD_ISSR_208019265_DEPREC</v>
          </cell>
        </row>
        <row r="21">
          <cell r="A21" t="str">
            <v>Vector|||208019265|||ISSR|||GOODWILL_AMORT|||False|||</v>
          </cell>
          <cell r="C21" t="str">
            <v>V_KEYWORD_ISSR_208019265_GOODWILL_AMORT</v>
          </cell>
        </row>
        <row r="22">
          <cell r="A22" t="str">
            <v>Vector|||208019265|||ISSR|||EBIT|||False|||</v>
          </cell>
          <cell r="C22" t="str">
            <v>V_KEYWORD_ISSR_208019265_EBIT</v>
          </cell>
        </row>
        <row r="23">
          <cell r="A23" t="str">
            <v>Vector|||208019265|||ISSR|||INT_INC_IND|||False|||</v>
          </cell>
          <cell r="C23" t="str">
            <v>V_KEYWORD_ISSR_208019265_INT_INC_IND</v>
          </cell>
        </row>
        <row r="24">
          <cell r="A24" t="str">
            <v>Vector|||208019265|||ISSR|||INT_EXP_IND|||False|||</v>
          </cell>
          <cell r="C24" t="str">
            <v>V_KEYWORD_ISSR_208019265_INT_EXP_IND</v>
          </cell>
        </row>
        <row r="25">
          <cell r="A25" t="str">
            <v>Vector|||208019265|||ISSR|||NET_INT_EXP|||False|||</v>
          </cell>
          <cell r="C25" t="str">
            <v>V_KEYWORD_ISSR_208019265_NET_INT_EXP</v>
          </cell>
        </row>
        <row r="26">
          <cell r="A26" t="str">
            <v>Vector|||208019265|||ISSR|||ASSOCIATE|||False|||</v>
          </cell>
          <cell r="C26" t="str">
            <v>V_KEYWORD_ISSR_208019265_ASSOCIATE</v>
          </cell>
        </row>
        <row r="27">
          <cell r="A27" t="str">
            <v>Vector|||208019265|||ISSR|||PROFIT_ON_DISP|||False|||</v>
          </cell>
          <cell r="C27" t="str">
            <v>V_KEYWORD_ISSR_208019265_PROFIT_ON_DISP</v>
          </cell>
        </row>
        <row r="28">
          <cell r="A28" t="str">
            <v>Vector|||208019265|||ISSR|||OTH_COST_INC|||False|||</v>
          </cell>
          <cell r="C28" t="str">
            <v>V_KEYWORD_ISSR_208019265_OTH_COST_INC</v>
          </cell>
        </row>
        <row r="29">
          <cell r="A29" t="str">
            <v>Vector|||208019265|||ISSR|||PT_PROF|||False|||</v>
          </cell>
          <cell r="C29" t="str">
            <v>V_KEYWORD_ISSR_208019265_PT_PROF</v>
          </cell>
        </row>
        <row r="31">
          <cell r="A31" t="str">
            <v>Vector|||208019265|||ISSR|||ORG_REV|||False|||</v>
          </cell>
          <cell r="C31" t="str">
            <v>V_KEYWORD_ISSR_208019265_ORG_REV</v>
          </cell>
        </row>
        <row r="32">
          <cell r="A32" t="str">
            <v>Vector|||208019265|||ISSR|||ORG_REV_GRTH|||False|||</v>
          </cell>
          <cell r="C32" t="str">
            <v>V_KEYWORD_ISSR_208019265_ORG_REV_GRTH</v>
          </cell>
        </row>
        <row r="33">
          <cell r="A33" t="str">
            <v>Vector|||208019265|||ISSR|||LEASE_PAY|||False|||</v>
          </cell>
          <cell r="C33" t="str">
            <v>V_KEYWORD_ISSR_208019265_LEASE_PAY</v>
          </cell>
        </row>
        <row r="34">
          <cell r="A34" t="str">
            <v>Vector|||208019265|||ISSR|||LEASE_DEEM_INT|||False|||</v>
          </cell>
          <cell r="C34" t="str">
            <v>V_KEYWORD_ISSR_208019265_LEASE_DEEM_INT</v>
          </cell>
        </row>
        <row r="35">
          <cell r="A35" t="str">
            <v>Vector|||208019265|||ISSR|||LEASE_DEEM_DEPR|||False|||</v>
          </cell>
          <cell r="C35" t="str">
            <v>V_KEYWORD_ISSR_208019265_LEASE_DEEM_DEPR</v>
          </cell>
        </row>
        <row r="36">
          <cell r="A36" t="str">
            <v>Vector|||208019265|||ISSR|||NET_INT_CH|||False|||</v>
          </cell>
          <cell r="C36" t="str">
            <v>V_KEYWORD_ISSR_208019265_NET_INT_CH</v>
          </cell>
        </row>
        <row r="37">
          <cell r="A37" t="str">
            <v>Vector|||208019265|||ISSR|||ASSOCIATE_OP|||False|||</v>
          </cell>
          <cell r="C37" t="str">
            <v>V_KEYWORD_ISSR_208019265_ASSOCIATE_OP</v>
          </cell>
        </row>
        <row r="38">
          <cell r="A38" t="str">
            <v>Vector|||208019265|||ISSR|||GW_AMORT|||False|||</v>
          </cell>
          <cell r="C38" t="str">
            <v>V_KEYWORD_ISSR_208019265_GW_AMORT</v>
          </cell>
        </row>
        <row r="39">
          <cell r="A39" t="str">
            <v>Vector|||208019265|||ISSR|||OTH_INT_AMORT|||False|||</v>
          </cell>
          <cell r="C39" t="str">
            <v>V_KEYWORD_ISSR_208019265_OTH_INT_AMORT</v>
          </cell>
        </row>
        <row r="40">
          <cell r="A40" t="str">
            <v>Vector|||208019265|||ISSR|||DEPR_ROU_ASSETS|||False|||</v>
          </cell>
          <cell r="C40" t="str">
            <v>V_KEYWORD_ISSR_208019265_DEPR_ROU_ASSETS</v>
          </cell>
        </row>
        <row r="41">
          <cell r="A41" t="str">
            <v>Vector|||208019265|||ISSR|||LEASE_INT_CHG|||False|||</v>
          </cell>
          <cell r="C41" t="str">
            <v>V_KEYWORD_ISSR_208019265_LEASE_INT_CHG</v>
          </cell>
        </row>
        <row r="42">
          <cell r="A42" t="str">
            <v>Scalar|||208019265|||ISSR|||LEASE_ADOPT|||False|||</v>
          </cell>
          <cell r="C42" t="str">
            <v>V_KEYWORD_ISSR_208019265_LEASE_ADOPT</v>
          </cell>
        </row>
        <row r="44">
          <cell r="A44" t="str">
            <v>Vector|||208019265|||ISSR|||CASH_EQ|||False|||</v>
          </cell>
          <cell r="C44" t="str">
            <v>V_KEYWORD_ISSR_208019265_CASH_EQ</v>
          </cell>
        </row>
        <row r="45">
          <cell r="A45" t="str">
            <v>Vector|||208019265|||ISSR|||DEBTORS|||False|||</v>
          </cell>
          <cell r="C45" t="str">
            <v>V_KEYWORD_ISSR_208019265_DEBTORS</v>
          </cell>
        </row>
        <row r="46">
          <cell r="A46" t="str">
            <v>Vector|||208019265|||ISSR|||STOCKS|||False|||</v>
          </cell>
          <cell r="C46" t="str">
            <v>V_KEYWORD_ISSR_208019265_STOCKS</v>
          </cell>
        </row>
        <row r="47">
          <cell r="A47" t="str">
            <v>Vector|||208019265|||ISSR|||OTH_CUR_ASS|||False|||</v>
          </cell>
          <cell r="C47" t="str">
            <v>V_KEYWORD_ISSR_208019265_OTH_CUR_ASS</v>
          </cell>
        </row>
        <row r="48">
          <cell r="A48" t="str">
            <v>Vector|||208019265|||ISSR|||CUR_ASS|||False|||</v>
          </cell>
          <cell r="C48" t="str">
            <v>V_KEYWORD_ISSR_208019265_CUR_ASS</v>
          </cell>
        </row>
        <row r="49">
          <cell r="A49" t="str">
            <v>Vector|||208019265|||ISSR|||GR_FIX_ASS|||False|||</v>
          </cell>
          <cell r="C49" t="str">
            <v>V_KEYWORD_ISSR_208019265_GR_FIX_ASS</v>
          </cell>
        </row>
        <row r="50">
          <cell r="A50" t="str">
            <v>Vector|||208019265|||ISSR|||ACC_DDA|||False|||</v>
          </cell>
          <cell r="C50" t="str">
            <v>V_KEYWORD_ISSR_208019265_ACC_DDA</v>
          </cell>
        </row>
        <row r="51">
          <cell r="A51" t="str">
            <v>Vector|||208019265|||ISSR|||NET_FIX_ASS|||False|||</v>
          </cell>
          <cell r="C51" t="str">
            <v>V_KEYWORD_ISSR_208019265_NET_FIX_ASS</v>
          </cell>
        </row>
        <row r="52">
          <cell r="A52" t="str">
            <v>Vector|||208019265|||ISSR|||GR_INTANG|||False|||</v>
          </cell>
          <cell r="C52" t="str">
            <v>V_KEYWORD_ISSR_208019265_GR_INTANG</v>
          </cell>
        </row>
        <row r="53">
          <cell r="A53" t="str">
            <v>Vector|||208019265|||ISSR|||ACC_AMORT|||False|||</v>
          </cell>
          <cell r="C53" t="str">
            <v>V_KEYWORD_ISSR_208019265_ACC_AMORT</v>
          </cell>
        </row>
        <row r="54">
          <cell r="A54" t="str">
            <v>Vector|||208019265|||ISSR|||NET_INTANG|||False|||</v>
          </cell>
          <cell r="C54" t="str">
            <v>V_KEYWORD_ISSR_208019265_NET_INTANG</v>
          </cell>
        </row>
        <row r="55">
          <cell r="A55" t="str">
            <v>Vector|||208019265|||ISSR|||FIX_ASS_INV|||False|||</v>
          </cell>
          <cell r="C55" t="str">
            <v>V_KEYWORD_ISSR_208019265_FIX_ASS_INV</v>
          </cell>
        </row>
        <row r="56">
          <cell r="A56" t="str">
            <v>Vector|||208019265|||ISSR|||INV_SECUR|||False|||</v>
          </cell>
          <cell r="C56" t="str">
            <v>V_KEYWORD_ISSR_208019265_INV_SECUR</v>
          </cell>
        </row>
        <row r="57">
          <cell r="A57" t="str">
            <v>Vector|||208019265|||ISSR|||OTH_LT_ASS|||False|||</v>
          </cell>
          <cell r="C57" t="str">
            <v>V_KEYWORD_ISSR_208019265_OTH_LT_ASS</v>
          </cell>
        </row>
        <row r="58">
          <cell r="A58" t="str">
            <v>Vector|||208019265|||ISSR|||TOT_ASSET|||False|||</v>
          </cell>
          <cell r="C58" t="str">
            <v>V_KEYWORD_ISSR_208019265_TOT_ASSET</v>
          </cell>
        </row>
        <row r="59">
          <cell r="A59" t="str">
            <v>Vector|||208019265|||ISSR|||ACC_PAY_GQ|||False|||</v>
          </cell>
          <cell r="C59" t="str">
            <v>V_KEYWORD_ISSR_208019265_ACC_PAY_GQ</v>
          </cell>
        </row>
        <row r="60">
          <cell r="A60" t="str">
            <v>Vector|||208019265|||ISSR|||SHORT_T_DEBT|||False|||</v>
          </cell>
          <cell r="C60" t="str">
            <v>V_KEYWORD_ISSR_208019265_SHORT_T_DEBT</v>
          </cell>
        </row>
        <row r="61">
          <cell r="A61" t="str">
            <v>Vector|||208019265|||ISSR|||ST_LEASE_LIAB|||False|||</v>
          </cell>
          <cell r="C61" t="str">
            <v>V_KEYWORD_ISSR_208019265_ST_LEASE_LIAB</v>
          </cell>
        </row>
        <row r="62">
          <cell r="A62" t="str">
            <v>Vector|||208019265|||ISSR|||OTH_CUR_LIABS|||False|||</v>
          </cell>
          <cell r="C62" t="str">
            <v>V_KEYWORD_ISSR_208019265_OTH_CUR_LIABS</v>
          </cell>
        </row>
        <row r="63">
          <cell r="A63" t="str">
            <v>Vector|||208019265|||ISSR|||SHORT_TERM_LIABS|||False|||</v>
          </cell>
          <cell r="C63" t="str">
            <v>V_KEYWORD_ISSR_208019265_SHORT_TERM_LIABS</v>
          </cell>
        </row>
        <row r="64">
          <cell r="A64" t="str">
            <v>Vector|||208019265|||ISSR|||LT_DEBT|||False|||</v>
          </cell>
          <cell r="C64" t="str">
            <v>V_KEYWORD_ISSR_208019265_LT_DEBT</v>
          </cell>
        </row>
        <row r="65">
          <cell r="A65" t="str">
            <v>Vector|||208019265|||ISSR|||LT_LEASE_LIAB|||False|||</v>
          </cell>
          <cell r="C65" t="str">
            <v>V_KEYWORD_ISSR_208019265_LT_LEASE_LIAB</v>
          </cell>
        </row>
        <row r="66">
          <cell r="A66" t="str">
            <v>Vector|||208019265|||ISSR|||OTH_LT_CRED_GQ|||False|||</v>
          </cell>
          <cell r="C66" t="str">
            <v>V_KEYWORD_ISSR_208019265_OTH_LT_CRED_GQ</v>
          </cell>
        </row>
        <row r="67">
          <cell r="A67" t="str">
            <v>Vector|||208019265|||ISSR|||TOT_LT_LIAB|||False|||</v>
          </cell>
          <cell r="C67" t="str">
            <v>V_KEYWORD_ISSR_208019265_TOT_LT_LIAB</v>
          </cell>
        </row>
        <row r="68">
          <cell r="A68" t="str">
            <v>Vector|||208019265|||ISSR|||TOT_LIAB|||False|||</v>
          </cell>
          <cell r="C68" t="str">
            <v>V_KEYWORD_ISSR_208019265_TOT_LIAB</v>
          </cell>
        </row>
        <row r="69">
          <cell r="A69" t="str">
            <v>Vector|||208019265|||ISSR|||PREF_SH|||False|||</v>
          </cell>
          <cell r="C69" t="str">
            <v>V_KEYWORD_ISSR_208019265_PREF_SH</v>
          </cell>
        </row>
        <row r="70">
          <cell r="A70" t="str">
            <v>Vector|||208019265|||ISSR|||ORD_SH_FUND|||False|||</v>
          </cell>
          <cell r="C70" t="str">
            <v>V_KEYWORD_ISSR_208019265_ORD_SH_FUND</v>
          </cell>
        </row>
        <row r="71">
          <cell r="A71" t="str">
            <v>Vector|||208019265|||ISSR|||MINORITIES|||False|||</v>
          </cell>
          <cell r="C71" t="str">
            <v>V_KEYWORD_ISSR_208019265_MINORITIES</v>
          </cell>
        </row>
        <row r="72">
          <cell r="A72" t="str">
            <v>Vector|||208019265|||ISSR|||EQ|||False|||</v>
          </cell>
          <cell r="C72" t="str">
            <v>V_KEYWORD_ISSR_208019265_EQ</v>
          </cell>
        </row>
        <row r="73">
          <cell r="A73" t="str">
            <v>Vector|||208019265|||ISSR|||TOT_LIAB_EQ|||False|||</v>
          </cell>
          <cell r="C73" t="str">
            <v>V_KEYWORD_ISSR_208019265_TOT_LIAB_EQ</v>
          </cell>
        </row>
        <row r="75">
          <cell r="A75" t="str">
            <v>Vector|||208019265|||ISSR|||TOT_USD_DEBT|||False|||</v>
          </cell>
          <cell r="C75" t="str">
            <v>V_KEYWORD_ISSR_208019265_TOT_USD_DEBT</v>
          </cell>
        </row>
        <row r="76">
          <cell r="A76" t="str">
            <v>Vector|||208019265|||ISSR|||TOT_PCT_USD_DEBT_HEDGED|||False|||</v>
          </cell>
          <cell r="C76" t="str">
            <v>V_KEYWORD_ISSR_208019265_TOT_PCT_USD_DEBT_HEDGED</v>
          </cell>
        </row>
        <row r="77">
          <cell r="A77" t="str">
            <v>Vector|||208019265|||ISSR|||FLOATING_PCT_LOCAL_DEBT|||False|||</v>
          </cell>
          <cell r="C77" t="str">
            <v>V_KEYWORD_ISSR_208019265_FLOATING_PCT_LOCAL_DEBT</v>
          </cell>
        </row>
        <row r="78">
          <cell r="A78" t="str">
            <v>Vector|||208019265|||ISSR|||FLOATING_PCT_LOCAL_DEBT_HEDGED|||False|||</v>
          </cell>
          <cell r="C78" t="str">
            <v>V_KEYWORD_ISSR_208019265_FLOATING_PCT_LOCAL_DEBT_HEDGED</v>
          </cell>
        </row>
        <row r="79">
          <cell r="A79" t="str">
            <v>Vector|||208019265|||ISSR|||NET_DEBT|||False|||</v>
          </cell>
          <cell r="C79" t="str">
            <v>V_KEYWORD_ISSR_208019265_NET_DEBT</v>
          </cell>
        </row>
        <row r="80">
          <cell r="A80" t="str">
            <v>Vector|||208019265|||ISSR|||CAP_LEASES|||False|||</v>
          </cell>
          <cell r="C80" t="str">
            <v>V_KEYWORD_ISSR_208019265_CAP_LEASES</v>
          </cell>
        </row>
        <row r="81">
          <cell r="A81" t="str">
            <v>Vector|||208019265|||ISSR|||DEF_INC_TAX|||False|||</v>
          </cell>
          <cell r="C81" t="str">
            <v>V_KEYWORD_ISSR_208019265_DEF_INC_TAX</v>
          </cell>
        </row>
        <row r="82">
          <cell r="A82" t="str">
            <v>Vector|||208019265|||ISSR|||MV_ASSOCIATES|||False|||</v>
          </cell>
          <cell r="C82" t="str">
            <v>V_KEYWORD_ISSR_208019265_MV_ASSOCIATES</v>
          </cell>
        </row>
        <row r="83">
          <cell r="A83" t="str">
            <v>Vector|||208019265|||ISSR|||NET_DEBT_ADJ|||False|||</v>
          </cell>
          <cell r="C83" t="str">
            <v>V_KEYWORD_ISSR_208019265_NET_DEBT_ADJ</v>
          </cell>
        </row>
        <row r="84">
          <cell r="A84" t="str">
            <v>Vector|||208019265|||ISSR|||CO_BOR_MARGIN|||False|||</v>
          </cell>
          <cell r="C84" t="str">
            <v>V_KEYWORD_ISSR_208019265_CO_BOR_MARGIN</v>
          </cell>
        </row>
        <row r="85">
          <cell r="A85" t="str">
            <v>Vector|||208019265|||ISSR|||UNF_PENS|||False|||</v>
          </cell>
          <cell r="C85" t="str">
            <v>V_KEYWORD_ISSR_208019265_UNF_PENS</v>
          </cell>
        </row>
        <row r="86">
          <cell r="A86" t="str">
            <v>Vector|||208019265|||ISSR|||UNF_PENS_OFF|||False|||</v>
          </cell>
          <cell r="C86" t="str">
            <v>V_KEYWORD_ISSR_208019265_UNF_PENS_OFF</v>
          </cell>
        </row>
        <row r="87">
          <cell r="A87" t="str">
            <v>Vector|||208019265|||ISSR|||UNF_PENS_LIAB_OTH|||False|||</v>
          </cell>
          <cell r="C87" t="str">
            <v>V_KEYWORD_ISSR_208019265_UNF_PENS_LIAB_OTH</v>
          </cell>
        </row>
        <row r="88">
          <cell r="A88" t="str">
            <v>Vector|||208019265|||ISSR|||ADJ_UNF_PENS_GOOD|||False|||</v>
          </cell>
          <cell r="C88" t="str">
            <v>V_KEYWORD_ISSR_208019265_ADJ_UNF_PENS_GOOD</v>
          </cell>
        </row>
        <row r="89">
          <cell r="A89" t="str">
            <v>Vector|||208019265|||ISSR|||OTH_GCI_ADJ|||False|||</v>
          </cell>
          <cell r="C89" t="str">
            <v>V_KEYWORD_ISSR_208019265_OTH_GCI_ADJ</v>
          </cell>
        </row>
        <row r="90">
          <cell r="A90" t="str">
            <v>Vector|||208019265|||ISSR|||GCI_INFL|||False|||</v>
          </cell>
          <cell r="C90" t="str">
            <v>V_KEYWORD_ISSR_208019265_GCI_INFL</v>
          </cell>
        </row>
        <row r="91">
          <cell r="A91" t="str">
            <v>Vector|||208019265|||ISSR|||BAL_MINO_INT|||False|||</v>
          </cell>
          <cell r="C91" t="str">
            <v>V_KEYWORD_ISSR_208019265_BAL_MINO_INT</v>
          </cell>
        </row>
        <row r="92">
          <cell r="A92" t="str">
            <v>Vector|||208019265|||ISSR|||ROU_ASSET|||False|||</v>
          </cell>
          <cell r="C92" t="str">
            <v>V_KEYWORD_ISSR_208019265_ROU_ASSET</v>
          </cell>
        </row>
        <row r="94">
          <cell r="A94" t="str">
            <v>Vector|||208019265|||ISSR|||CF_INC_MINORITY|||False|||</v>
          </cell>
          <cell r="C94" t="str">
            <v>V_KEYWORD_ISSR_208019265_CF_INC_MINORITY</v>
          </cell>
        </row>
        <row r="95">
          <cell r="A95" t="str">
            <v>Vector|||208019265|||ISSR|||DEPR_AMORT|||False|||</v>
          </cell>
          <cell r="C95" t="str">
            <v>V_KEYWORD_ISSR_208019265_DEPR_AMORT</v>
          </cell>
        </row>
        <row r="96">
          <cell r="A96" t="str">
            <v>Vector|||208019265|||ISSR|||WORK_CAP|||False|||</v>
          </cell>
          <cell r="C96" t="str">
            <v>V_KEYWORD_ISSR_208019265_WORK_CAP</v>
          </cell>
        </row>
        <row r="97">
          <cell r="A97" t="str">
            <v>Vector|||208019265|||ISSR|||OTH_OP_CF|||False|||</v>
          </cell>
          <cell r="C97" t="str">
            <v>V_KEYWORD_ISSR_208019265_OTH_OP_CF</v>
          </cell>
        </row>
        <row r="98">
          <cell r="A98" t="str">
            <v>Vector|||208019265|||ISSR|||CF_OPS|||False|||</v>
          </cell>
          <cell r="C98" t="str">
            <v>V_KEYWORD_ISSR_208019265_CF_OPS</v>
          </cell>
        </row>
        <row r="99">
          <cell r="A99" t="str">
            <v>Vector|||208019265|||ISSR|||CAPEX|||False|||</v>
          </cell>
          <cell r="C99" t="str">
            <v>V_KEYWORD_ISSR_208019265_CAPEX</v>
          </cell>
        </row>
        <row r="100">
          <cell r="A100" t="str">
            <v>Vector|||208019265|||ISSR|||ACQ|||False|||</v>
          </cell>
          <cell r="C100" t="str">
            <v>V_KEYWORD_ISSR_208019265_ACQ</v>
          </cell>
        </row>
        <row r="101">
          <cell r="A101" t="str">
            <v>Vector|||208019265|||ISSR|||DIVEST|||False|||</v>
          </cell>
          <cell r="C101" t="str">
            <v>V_KEYWORD_ISSR_208019265_DIVEST</v>
          </cell>
        </row>
        <row r="102">
          <cell r="A102" t="str">
            <v>Vector|||208019265|||ISSR|||OTH_INV_CF|||False|||</v>
          </cell>
          <cell r="C102" t="str">
            <v>V_KEYWORD_ISSR_208019265_OTH_INV_CF</v>
          </cell>
        </row>
        <row r="103">
          <cell r="A103" t="str">
            <v>Vector|||208019265|||ISSR|||CF_INV|||False|||</v>
          </cell>
          <cell r="C103" t="str">
            <v>V_KEYWORD_ISSR_208019265_CF_INV</v>
          </cell>
        </row>
        <row r="104">
          <cell r="A104" t="str">
            <v>Vector|||208019265|||ISSR|||DIV_PAID|||False|||</v>
          </cell>
          <cell r="C104" t="str">
            <v>V_KEYWORD_ISSR_208019265_DIV_PAID</v>
          </cell>
        </row>
        <row r="105">
          <cell r="A105" t="str">
            <v>Vector|||208019265|||ISSR|||SH_REPUR|||False|||</v>
          </cell>
          <cell r="C105" t="str">
            <v>V_KEYWORD_ISSR_208019265_SH_REPUR</v>
          </cell>
        </row>
        <row r="106">
          <cell r="A106" t="str">
            <v>Vector|||208019265|||ISSR|||CHG_LT_DEBT|||False|||</v>
          </cell>
          <cell r="C106" t="str">
            <v>V_KEYWORD_ISSR_208019265_CHG_LT_DEBT</v>
          </cell>
        </row>
        <row r="107">
          <cell r="A107" t="str">
            <v>Vector|||208019265|||ISSR|||LEASE_PRINCIPAL_CASH|||False|||</v>
          </cell>
          <cell r="C107" t="str">
            <v>V_KEYWORD_ISSR_208019265_LEASE_PRINCIPAL_CASH</v>
          </cell>
        </row>
        <row r="108">
          <cell r="A108" t="str">
            <v>Vector|||208019265|||ISSR|||OTH_FIN_CF|||False|||</v>
          </cell>
          <cell r="C108" t="str">
            <v>V_KEYWORD_ISSR_208019265_OTH_FIN_CF</v>
          </cell>
        </row>
        <row r="109">
          <cell r="A109" t="str">
            <v>Vector|||208019265|||ISSR|||CF_FIN|||False|||</v>
          </cell>
          <cell r="C109" t="str">
            <v>V_KEYWORD_ISSR_208019265_CF_FIN</v>
          </cell>
        </row>
        <row r="110">
          <cell r="A110" t="str">
            <v>Vector|||208019265|||ISSR|||OTH_ITEM_NCF|||False|||</v>
          </cell>
          <cell r="C110" t="str">
            <v>V_KEYWORD_ISSR_208019265_OTH_ITEM_NCF</v>
          </cell>
        </row>
        <row r="111">
          <cell r="A111" t="str">
            <v>Vector|||208019265|||ISSR|||TOT_CF|||False|||</v>
          </cell>
          <cell r="C111" t="str">
            <v>V_KEYWORD_ISSR_208019265_TOT_CF</v>
          </cell>
        </row>
        <row r="113">
          <cell r="A113" t="str">
            <v>Vector|||208019265|||ISSR|||ASSOC_JV_ADDBK|||False|||</v>
          </cell>
          <cell r="C113" t="str">
            <v>V_KEYWORD_ISSR_208019265_ASSOC_JV_ADDBK</v>
          </cell>
        </row>
        <row r="114">
          <cell r="A114" t="str">
            <v>Vector|||208019265|||ISSR|||CASH_INT_INC_EXP|||False|||</v>
          </cell>
          <cell r="C114" t="str">
            <v>V_KEYWORD_ISSR_208019265_CASH_INT_INC_EXP</v>
          </cell>
        </row>
        <row r="115">
          <cell r="A115" t="str">
            <v>Vector|||208019265|||ISSR|||CASH_TAX_PD|||False|||</v>
          </cell>
          <cell r="C115" t="str">
            <v>V_KEYWORD_ISSR_208019265_CASH_TAX_PD</v>
          </cell>
        </row>
        <row r="116">
          <cell r="A116" t="str">
            <v>Vector|||208019265|||ISSR|||PL_SALE_ASSETS|||False|||</v>
          </cell>
          <cell r="C116" t="str">
            <v>V_KEYWORD_ISSR_208019265_PL_SALE_ASSETS</v>
          </cell>
        </row>
        <row r="117">
          <cell r="A117" t="str">
            <v>Vector|||208019265|||ISSR|||OTH_NONCASH_ADJ|||False|||</v>
          </cell>
          <cell r="C117" t="str">
            <v>V_KEYWORD_ISSR_208019265_OTH_NONCASH_ADJ</v>
          </cell>
        </row>
        <row r="118">
          <cell r="A118" t="str">
            <v>Vector|||208019265|||ISSR|||OTH_DACF_ADJ|||False|||</v>
          </cell>
          <cell r="C118" t="str">
            <v>V_KEYWORD_ISSR_208019265_OTH_DACF_ADJ</v>
          </cell>
        </row>
        <row r="119">
          <cell r="A119" t="str">
            <v>Vector|||208019265|||ISSR|||CASH_INT_EXP|||False|||</v>
          </cell>
          <cell r="C119" t="str">
            <v>V_KEYWORD_ISSR_208019265_CASH_INT_EXP</v>
          </cell>
        </row>
        <row r="120">
          <cell r="A120" t="str">
            <v>Vector|||208019265|||ISSR|||CASH_TAX_EXP|||False|||</v>
          </cell>
          <cell r="C120" t="str">
            <v>V_KEYWORD_ISSR_208019265_CASH_TAX_EXP</v>
          </cell>
        </row>
        <row r="121">
          <cell r="A121" t="str">
            <v>Vector|||208019265|||ISSR|||DIVDS_ASSOC_JV|||False|||</v>
          </cell>
          <cell r="C121" t="str">
            <v>V_KEYWORD_ISSR_208019265_DIVDS_ASSOC_JV</v>
          </cell>
        </row>
        <row r="122">
          <cell r="A122" t="str">
            <v>Vector|||208019265|||ISSR|||CAPEX_MAINTENANCE|||False|||</v>
          </cell>
          <cell r="C122" t="str">
            <v>V_KEYWORD_ISSR_208019265_CAPEX_MAINTENANCE</v>
          </cell>
        </row>
        <row r="123">
          <cell r="A123" t="str">
            <v>Vector|||208019265|||ISSR|||CAPEX_EXPANSION|||False|||</v>
          </cell>
          <cell r="C123" t="str">
            <v>V_KEYWORD_ISSR_208019265_CAPEX_EXPANSION</v>
          </cell>
        </row>
        <row r="124">
          <cell r="A124" t="str">
            <v>Vector|||208019265|||ISSR|||NONPPE_CAPEX|||False|||</v>
          </cell>
          <cell r="C124" t="str">
            <v>V_KEYWORD_ISSR_208019265_NONPPE_CAPEX</v>
          </cell>
        </row>
        <row r="125">
          <cell r="A125" t="str">
            <v>Vector|||208019265|||ISSR|||DIVDS_PD_MINORITIES|||False|||</v>
          </cell>
          <cell r="C125" t="str">
            <v>V_KEYWORD_ISSR_208019265_DIVDS_PD_MINORITIES</v>
          </cell>
        </row>
        <row r="127">
          <cell r="A127" t="str">
            <v>Vector|||208019265|||ISSR|||EMPLOYEES|||False|||</v>
          </cell>
          <cell r="C127" t="str">
            <v>V_KEYWORD_ISSR_208019265_EMPLOYEES</v>
          </cell>
        </row>
        <row r="129">
          <cell r="A129" t="str">
            <v>Vector|||208019265|||ISSR|||RETAIL_SSS_PCT_CHG|||False|||</v>
          </cell>
          <cell r="C129" t="str">
            <v>V_KEYWORD_ISSR_208019265_RETAIL_SSS_PCT_CHG</v>
          </cell>
        </row>
        <row r="131">
          <cell r="A131" t="str">
            <v>Vector|||208019265|||ISSR|||SALES_CANADA|||False|||</v>
          </cell>
          <cell r="C131" t="str">
            <v>V_KEYWORD_ISSR_208019265_SALES_CANADA</v>
          </cell>
        </row>
        <row r="132">
          <cell r="A132" t="str">
            <v>Vector|||208019265|||ISSR|||SALES_US|||False|||</v>
          </cell>
          <cell r="C132" t="str">
            <v>V_KEYWORD_ISSR_208019265_SALES_US</v>
          </cell>
        </row>
        <row r="133">
          <cell r="A133" t="str">
            <v>Vector|||208019265|||ISSR|||SALES_OTH_NO_AMER|||False|||</v>
          </cell>
          <cell r="C133" t="str">
            <v>V_KEYWORD_ISSR_208019265_SALES_OTH_NO_AMER</v>
          </cell>
        </row>
        <row r="134">
          <cell r="A134" t="str">
            <v>Vector|||208019265|||ISSR|||SALES_ARGENTINA|||False|||</v>
          </cell>
          <cell r="C134" t="str">
            <v>V_KEYWORD_ISSR_208019265_SALES_ARGENTINA</v>
          </cell>
        </row>
        <row r="135">
          <cell r="A135" t="str">
            <v>Vector|||208019265|||ISSR|||SALES_BRAZIL|||False|||</v>
          </cell>
          <cell r="C135" t="str">
            <v>V_KEYWORD_ISSR_208019265_SALES_BRAZIL</v>
          </cell>
        </row>
        <row r="136">
          <cell r="A136" t="str">
            <v>Vector|||208019265|||ISSR|||SALES_CHILE|||False|||</v>
          </cell>
          <cell r="C136" t="str">
            <v>V_KEYWORD_ISSR_208019265_SALES_CHILE</v>
          </cell>
        </row>
        <row r="137">
          <cell r="A137" t="str">
            <v>Vector|||208019265|||ISSR|||SALES_COLOMBIA|||False|||</v>
          </cell>
          <cell r="C137" t="str">
            <v>V_KEYWORD_ISSR_208019265_SALES_COLOMBIA</v>
          </cell>
        </row>
        <row r="138">
          <cell r="A138" t="str">
            <v>Vector|||208019265|||ISSR|||SALES_MEXICO|||False|||</v>
          </cell>
          <cell r="C138" t="str">
            <v>V_KEYWORD_ISSR_208019265_SALES_MEXICO</v>
          </cell>
        </row>
        <row r="139">
          <cell r="A139" t="str">
            <v>Vector|||208019265|||ISSR|||SALES_VENEZUELA|||False|||</v>
          </cell>
          <cell r="C139" t="str">
            <v>V_KEYWORD_ISSR_208019265_SALES_VENEZUELA</v>
          </cell>
        </row>
        <row r="140">
          <cell r="A140" t="str">
            <v>Vector|||208019265|||ISSR|||SALES_OTH_LATAM|||False|||</v>
          </cell>
          <cell r="C140" t="str">
            <v>V_KEYWORD_ISSR_208019265_SALES_OTH_LATAM</v>
          </cell>
        </row>
        <row r="141">
          <cell r="A141" t="str">
            <v>Vector|||208019265|||ISSR|||SALES_AUSTRIA|||False|||</v>
          </cell>
          <cell r="C141" t="str">
            <v>V_KEYWORD_ISSR_208019265_SALES_AUSTRIA</v>
          </cell>
        </row>
        <row r="142">
          <cell r="A142" t="str">
            <v>Vector|||208019265|||ISSR|||SALES_BEL|||False|||</v>
          </cell>
          <cell r="C142" t="str">
            <v>V_KEYWORD_ISSR_208019265_SALES_BEL</v>
          </cell>
        </row>
        <row r="143">
          <cell r="A143" t="str">
            <v>Vector|||208019265|||ISSR|||SALES_FRA|||False|||</v>
          </cell>
          <cell r="C143" t="str">
            <v>V_KEYWORD_ISSR_208019265_SALES_FRA</v>
          </cell>
        </row>
        <row r="144">
          <cell r="A144" t="str">
            <v>Vector|||208019265|||ISSR|||SALES_GER|||False|||</v>
          </cell>
          <cell r="C144" t="str">
            <v>V_KEYWORD_ISSR_208019265_SALES_GER</v>
          </cell>
        </row>
        <row r="145">
          <cell r="A145" t="str">
            <v>Vector|||208019265|||ISSR|||SALES_GRE|||False|||</v>
          </cell>
          <cell r="C145" t="str">
            <v>V_KEYWORD_ISSR_208019265_SALES_GRE</v>
          </cell>
        </row>
        <row r="146">
          <cell r="A146" t="str">
            <v>Vector|||208019265|||ISSR|||SALES_IRE|||False|||</v>
          </cell>
          <cell r="C146" t="str">
            <v>V_KEYWORD_ISSR_208019265_SALES_IRE</v>
          </cell>
        </row>
        <row r="147">
          <cell r="A147" t="str">
            <v>Vector|||208019265|||ISSR|||SALES_ITA|||False|||</v>
          </cell>
          <cell r="C147" t="str">
            <v>V_KEYWORD_ISSR_208019265_SALES_ITA</v>
          </cell>
        </row>
        <row r="148">
          <cell r="A148" t="str">
            <v>Vector|||208019265|||ISSR|||SALES_NETH|||False|||</v>
          </cell>
          <cell r="C148" t="str">
            <v>V_KEYWORD_ISSR_208019265_SALES_NETH</v>
          </cell>
        </row>
        <row r="149">
          <cell r="A149" t="str">
            <v>Vector|||208019265|||ISSR|||SALES_NOR|||False|||</v>
          </cell>
          <cell r="C149" t="str">
            <v>V_KEYWORD_ISSR_208019265_SALES_NOR</v>
          </cell>
        </row>
        <row r="150">
          <cell r="A150" t="str">
            <v>Vector|||208019265|||ISSR|||SALES_POR|||False|||</v>
          </cell>
          <cell r="C150" t="str">
            <v>V_KEYWORD_ISSR_208019265_SALES_POR</v>
          </cell>
        </row>
        <row r="151">
          <cell r="A151" t="str">
            <v>Vector|||208019265|||ISSR|||SALES_SPA|||False|||</v>
          </cell>
          <cell r="C151" t="str">
            <v>V_KEYWORD_ISSR_208019265_SALES_SPA</v>
          </cell>
        </row>
        <row r="152">
          <cell r="A152" t="str">
            <v>Vector|||208019265|||ISSR|||SALES_SWE|||False|||</v>
          </cell>
          <cell r="C152" t="str">
            <v>V_KEYWORD_ISSR_208019265_SALES_SWE</v>
          </cell>
        </row>
        <row r="153">
          <cell r="A153" t="str">
            <v>Vector|||208019265|||ISSR|||SALES_SWIT|||False|||</v>
          </cell>
          <cell r="C153" t="str">
            <v>V_KEYWORD_ISSR_208019265_SALES_SWIT</v>
          </cell>
        </row>
        <row r="154">
          <cell r="A154" t="str">
            <v>Vector|||208019265|||ISSR|||SALES_UK|||False|||</v>
          </cell>
          <cell r="C154" t="str">
            <v>V_KEYWORD_ISSR_208019265_SALES_UK</v>
          </cell>
        </row>
        <row r="155">
          <cell r="A155" t="str">
            <v>Vector|||208019265|||ISSR|||SALES_OTH_WEST_EURO|||False|||</v>
          </cell>
          <cell r="C155" t="str">
            <v>V_KEYWORD_ISSR_208019265_SALES_OTH_WEST_EURO</v>
          </cell>
        </row>
        <row r="156">
          <cell r="A156" t="str">
            <v>Vector|||208019265|||ISSR|||SALES_POLAND|||False|||</v>
          </cell>
          <cell r="C156" t="str">
            <v>V_KEYWORD_ISSR_208019265_SALES_POLAND</v>
          </cell>
        </row>
        <row r="157">
          <cell r="A157" t="str">
            <v>Vector|||208019265|||ISSR|||SALES_RUSSIA|||False|||</v>
          </cell>
          <cell r="C157" t="str">
            <v>V_KEYWORD_ISSR_208019265_SALES_RUSSIA</v>
          </cell>
        </row>
        <row r="158">
          <cell r="A158" t="str">
            <v>Vector|||208019265|||ISSR|||SALES_TURKEY|||False|||</v>
          </cell>
          <cell r="C158" t="str">
            <v>V_KEYWORD_ISSR_208019265_SALES_TURKEY</v>
          </cell>
        </row>
        <row r="159">
          <cell r="A159" t="str">
            <v>Vector|||208019265|||ISSR|||SALES_OTH_CEE|||False|||</v>
          </cell>
          <cell r="C159" t="str">
            <v>V_KEYWORD_ISSR_208019265_SALES_OTH_CEE</v>
          </cell>
        </row>
        <row r="160">
          <cell r="A160" t="str">
            <v>Vector|||208019265|||ISSR|||SALES_SAUDI_ARABIA|||False|||</v>
          </cell>
          <cell r="C160" t="str">
            <v>V_KEYWORD_ISSR_208019265_SALES_SAUDI_ARABIA</v>
          </cell>
        </row>
        <row r="161">
          <cell r="A161" t="str">
            <v>Vector|||208019265|||ISSR|||SALES_UAE|||False|||</v>
          </cell>
          <cell r="C161" t="str">
            <v>V_KEYWORD_ISSR_208019265_SALES_UAE</v>
          </cell>
        </row>
        <row r="162">
          <cell r="A162" t="str">
            <v>Vector|||208019265|||ISSR|||SALES_OTH_ME|||False|||</v>
          </cell>
          <cell r="C162" t="str">
            <v>V_KEYWORD_ISSR_208019265_SALES_OTH_ME</v>
          </cell>
        </row>
        <row r="163">
          <cell r="A163" t="str">
            <v>Vector|||208019265|||ISSR|||SALES_NIGERIA|||False|||</v>
          </cell>
          <cell r="C163" t="str">
            <v>V_KEYWORD_ISSR_208019265_SALES_NIGERIA</v>
          </cell>
        </row>
        <row r="164">
          <cell r="A164" t="str">
            <v>Vector|||208019265|||ISSR|||SALES_SO_AFRICA|||False|||</v>
          </cell>
          <cell r="C164" t="str">
            <v>V_KEYWORD_ISSR_208019265_SALES_SO_AFRICA</v>
          </cell>
        </row>
        <row r="165">
          <cell r="A165" t="str">
            <v>Vector|||208019265|||ISSR|||SALES_OTH_AFRICA|||False|||</v>
          </cell>
          <cell r="C165" t="str">
            <v>V_KEYWORD_ISSR_208019265_SALES_OTH_AFRICA</v>
          </cell>
        </row>
        <row r="166">
          <cell r="A166" t="str">
            <v>Vector|||208019265|||ISSR|||SALES_HONG_KONG|||False|||</v>
          </cell>
          <cell r="C166" t="str">
            <v>V_KEYWORD_ISSR_208019265_SALES_HONG_KONG</v>
          </cell>
        </row>
        <row r="167">
          <cell r="A167" t="str">
            <v>Vector|||208019265|||ISSR|||SALES_JAPAN|||False|||</v>
          </cell>
          <cell r="C167" t="str">
            <v>V_KEYWORD_ISSR_208019265_SALES_JAPAN</v>
          </cell>
        </row>
        <row r="168">
          <cell r="A168" t="str">
            <v>Vector|||208019265|||ISSR|||SALES_SINGAPORE|||False|||</v>
          </cell>
          <cell r="C168" t="str">
            <v>V_KEYWORD_ISSR_208019265_SALES_SINGAPORE</v>
          </cell>
        </row>
        <row r="169">
          <cell r="A169" t="str">
            <v>Vector|||208019265|||ISSR|||SALES_SK|||False|||</v>
          </cell>
          <cell r="C169" t="str">
            <v>V_KEYWORD_ISSR_208019265_SALES_SK</v>
          </cell>
        </row>
        <row r="170">
          <cell r="A170" t="str">
            <v>Vector|||208019265|||ISSR|||SALES_TAIWAN|||False|||</v>
          </cell>
          <cell r="C170" t="str">
            <v>V_KEYWORD_ISSR_208019265_SALES_TAIWAN</v>
          </cell>
        </row>
        <row r="171">
          <cell r="A171" t="str">
            <v>Vector|||208019265|||ISSR|||SALES_OTH_DEV_ASIA|||False|||</v>
          </cell>
          <cell r="C171" t="str">
            <v>V_KEYWORD_ISSR_208019265_SALES_OTH_DEV_ASIA</v>
          </cell>
        </row>
        <row r="172">
          <cell r="A172" t="str">
            <v>Vector|||208019265|||ISSR|||SALES_CHINA|||False|||</v>
          </cell>
          <cell r="C172" t="str">
            <v>V_KEYWORD_ISSR_208019265_SALES_CHINA</v>
          </cell>
        </row>
        <row r="173">
          <cell r="A173" t="str">
            <v>Vector|||208019265|||ISSR|||SALES_INDIA|||False|||</v>
          </cell>
          <cell r="C173" t="str">
            <v>V_KEYWORD_ISSR_208019265_SALES_INDIA</v>
          </cell>
        </row>
        <row r="174">
          <cell r="A174" t="str">
            <v>Vector|||208019265|||ISSR|||SALES_INDONESIA|||False|||</v>
          </cell>
          <cell r="C174" t="str">
            <v>V_KEYWORD_ISSR_208019265_SALES_INDONESIA</v>
          </cell>
        </row>
        <row r="175">
          <cell r="A175" t="str">
            <v>Vector|||208019265|||ISSR|||SALES_THAILAND|||False|||</v>
          </cell>
          <cell r="C175" t="str">
            <v>V_KEYWORD_ISSR_208019265_SALES_THAILAND</v>
          </cell>
        </row>
        <row r="176">
          <cell r="A176" t="str">
            <v>Vector|||208019265|||ISSR|||SALES_OTH_EMERG_ASIA|||False|||</v>
          </cell>
          <cell r="C176" t="str">
            <v>V_KEYWORD_ISSR_208019265_SALES_OTH_EMERG_ASIA</v>
          </cell>
        </row>
        <row r="177">
          <cell r="A177" t="str">
            <v>Vector|||208019265|||ISSR|||SALES_AUSTRA|||False|||</v>
          </cell>
          <cell r="C177" t="str">
            <v>V_KEYWORD_ISSR_208019265_SALES_AUSTRA</v>
          </cell>
        </row>
        <row r="178">
          <cell r="A178" t="str">
            <v>Vector|||208019265|||ISSR|||SALES_NZ|||False|||</v>
          </cell>
          <cell r="C178" t="str">
            <v>V_KEYWORD_ISSR_208019265_SALES_NZ</v>
          </cell>
        </row>
        <row r="179">
          <cell r="A179" t="str">
            <v>Vector|||208019265|||ISSR|||SALES_OTHER|||False|||</v>
          </cell>
          <cell r="C179" t="str">
            <v>V_KEYWORD_ISSR_208019265_SALES_OTHER</v>
          </cell>
        </row>
        <row r="180">
          <cell r="A180" t="str">
            <v>Vector|||208019265|||ISSR|||COGS_PCT_US|||False|||</v>
          </cell>
          <cell r="C180" t="str">
            <v>V_KEYWORD_ISSR_208019265_COGS_PCT_US</v>
          </cell>
        </row>
        <row r="181">
          <cell r="A181" t="str">
            <v>Vector|||208019265|||ISSR|||COGS_PCT_ROW|||False|||</v>
          </cell>
          <cell r="C181" t="str">
            <v>V_KEYWORD_ISSR_208019265_COGS_PCT_ROW</v>
          </cell>
        </row>
        <row r="182">
          <cell r="A182" t="str">
            <v>Vector|||208019265|||ISSR|||SGA_PCT_US|||False|||</v>
          </cell>
          <cell r="C182" t="str">
            <v>V_KEYWORD_ISSR_208019265_SGA_PCT_US</v>
          </cell>
        </row>
        <row r="183">
          <cell r="A183" t="str">
            <v>Vector|||208019265|||ISSR|||SGA_PCT_ROW|||False|||</v>
          </cell>
          <cell r="C183" t="str">
            <v>V_KEYWORD_ISSR_208019265_SGA_PCT_ROW</v>
          </cell>
        </row>
        <row r="184">
          <cell r="A184" t="str">
            <v>Vector|||208019265|||ISSR|||SALES_CONS|||False|||</v>
          </cell>
          <cell r="C184" t="str">
            <v>V_KEYWORD_ISSR_208019265_SALES_CONS</v>
          </cell>
        </row>
        <row r="185">
          <cell r="A185" t="str">
            <v>Vector|||208019265|||ISSR|||SALES_IND|||False|||</v>
          </cell>
          <cell r="C185" t="str">
            <v>V_KEYWORD_ISSR_208019265_SALES_IND</v>
          </cell>
        </row>
        <row r="186">
          <cell r="A186" t="str">
            <v>Vector|||208019265|||ISSR|||SALES_GOV|||False|||</v>
          </cell>
          <cell r="C186" t="str">
            <v>V_KEYWORD_ISSR_208019265_SALES_GOV</v>
          </cell>
        </row>
        <row r="187">
          <cell r="A187" t="str">
            <v>Vector|||208019265|||ISSR|||SALES_FINAN|||False|||</v>
          </cell>
          <cell r="C187" t="str">
            <v>V_KEYWORD_ISSR_208019265_SALES_FINAN</v>
          </cell>
        </row>
        <row r="188">
          <cell r="A188" t="str">
            <v>Vector|||208019265|||ISSR|||SALES_OIL_GAS|||False|||</v>
          </cell>
          <cell r="C188" t="str">
            <v>V_KEYWORD_ISSR_208019265_SALES_OIL_GAS</v>
          </cell>
        </row>
        <row r="190">
          <cell r="A190" t="str">
            <v>Vector|||208019265|||ISSR|||SALES_OIL_PETRO_FUEL|||False|||</v>
          </cell>
          <cell r="C190" t="str">
            <v>V_KEYWORD_ISSR_208019265_SALES_OIL_PETRO_FUEL</v>
          </cell>
        </row>
        <row r="191">
          <cell r="A191" t="str">
            <v>Vector|||208019265|||ISSR|||SALES_STEEL|||False|||</v>
          </cell>
          <cell r="C191" t="str">
            <v>V_KEYWORD_ISSR_208019265_SALES_STEEL</v>
          </cell>
        </row>
        <row r="192">
          <cell r="A192" t="str">
            <v>Vector|||208019265|||ISSR|||SALES_PAPER_PULP|||False|||</v>
          </cell>
          <cell r="C192" t="str">
            <v>V_KEYWORD_ISSR_208019265_SALES_PAPER_PULP</v>
          </cell>
        </row>
        <row r="193">
          <cell r="A193" t="str">
            <v>Vector|||208019265|||ISSR|||SALES_LUMBER|||False|||</v>
          </cell>
          <cell r="C193" t="str">
            <v>V_KEYWORD_ISSR_208019265_SALES_LUMBER</v>
          </cell>
        </row>
        <row r="194">
          <cell r="A194" t="str">
            <v>Vector|||208019265|||ISSR|||SALES_GLASS|||False|||</v>
          </cell>
          <cell r="C194" t="str">
            <v>V_KEYWORD_ISSR_208019265_SALES_GLASS</v>
          </cell>
        </row>
        <row r="195">
          <cell r="A195" t="str">
            <v>Vector|||208019265|||ISSR|||SALES_CEMENT|||False|||</v>
          </cell>
          <cell r="C195" t="str">
            <v>V_KEYWORD_ISSR_208019265_SALES_CEMENT</v>
          </cell>
        </row>
        <row r="196">
          <cell r="A196" t="str">
            <v>Vector|||208019265|||ISSR|||SALES_TOBACCO_LEAF|||False|||</v>
          </cell>
          <cell r="C196" t="str">
            <v>V_KEYWORD_ISSR_208019265_SALES_TOBACCO_LEAF</v>
          </cell>
        </row>
        <row r="197">
          <cell r="A197" t="str">
            <v>Vector|||208019265|||ISSR|||SALES_OTH_COMMODITY|||False|||</v>
          </cell>
          <cell r="C197" t="str">
            <v>V_KEYWORD_ISSR_208019265_SALES_OTH_COMMODITY</v>
          </cell>
        </row>
        <row r="198">
          <cell r="A198" t="str">
            <v>Vector|||208019265|||ISSR|||SALES_OTH_SALES_SOURCES|||False|||</v>
          </cell>
          <cell r="C198" t="str">
            <v>V_KEYWORD_ISSR_208019265_SALES_OTH_SALES_SOURCES</v>
          </cell>
        </row>
        <row r="200">
          <cell r="A200" t="str">
            <v>Vector|||208019265|||ISSR|||EXP_OIL_PETRO_FUEL|||False|||</v>
          </cell>
          <cell r="C200" t="str">
            <v>V_KEYWORD_ISSR_208019265_EXP_OIL_PETRO_FUEL</v>
          </cell>
        </row>
        <row r="201">
          <cell r="A201" t="str">
            <v>Vector|||208019265|||ISSR|||EXP_OIL_DERIV_NGLS_PLASTICS|||False|||</v>
          </cell>
          <cell r="C201" t="str">
            <v>V_KEYWORD_ISSR_208019265_EXP_OIL_DERIV_NGLS_PLASTICS</v>
          </cell>
        </row>
        <row r="202">
          <cell r="A202" t="str">
            <v>Vector|||208019265|||ISSR|||EXP_GOLD|||False|||</v>
          </cell>
          <cell r="C202" t="str">
            <v>V_KEYWORD_ISSR_208019265_EXP_GOLD</v>
          </cell>
        </row>
        <row r="203">
          <cell r="A203" t="str">
            <v>Vector|||208019265|||ISSR|||EXP_COPPER|||False|||</v>
          </cell>
          <cell r="C203" t="str">
            <v>V_KEYWORD_ISSR_208019265_EXP_COPPER</v>
          </cell>
        </row>
        <row r="204">
          <cell r="A204" t="str">
            <v>Vector|||208019265|||ISSR|||EXP_SILVER|||False|||</v>
          </cell>
          <cell r="C204" t="str">
            <v>V_KEYWORD_ISSR_208019265_EXP_SILVER</v>
          </cell>
        </row>
        <row r="205">
          <cell r="A205" t="str">
            <v>Vector|||208019265|||ISSR|||EXP_PLATINUM|||False|||</v>
          </cell>
          <cell r="C205" t="str">
            <v>V_KEYWORD_ISSR_208019265_EXP_PLATINUM</v>
          </cell>
        </row>
        <row r="206">
          <cell r="A206" t="str">
            <v>Vector|||208019265|||ISSR|||EXP_ALUMINIUM|||False|||</v>
          </cell>
          <cell r="C206" t="str">
            <v>V_KEYWORD_ISSR_208019265_EXP_ALUMINIUM</v>
          </cell>
        </row>
        <row r="207">
          <cell r="A207" t="str">
            <v>Vector|||208019265|||ISSR|||EXP_DIAMONDS|||False|||</v>
          </cell>
          <cell r="C207" t="str">
            <v>V_KEYWORD_ISSR_208019265_EXP_DIAMONDS</v>
          </cell>
        </row>
        <row r="208">
          <cell r="A208" t="str">
            <v>Vector|||208019265|||ISSR|||EXP_PAPER_PULP|||False|||</v>
          </cell>
          <cell r="C208" t="str">
            <v>V_KEYWORD_ISSR_208019265_EXP_PAPER_PULP</v>
          </cell>
        </row>
        <row r="209">
          <cell r="A209" t="str">
            <v>Vector|||208019265|||ISSR|||EXP_WHEAT|||False|||</v>
          </cell>
          <cell r="C209" t="str">
            <v>V_KEYWORD_ISSR_208019265_EXP_WHEAT</v>
          </cell>
        </row>
        <row r="210">
          <cell r="A210" t="str">
            <v>Vector|||208019265|||ISSR|||EXP_SUGAR|||False|||</v>
          </cell>
          <cell r="C210" t="str">
            <v>V_KEYWORD_ISSR_208019265_EXP_SUGAR</v>
          </cell>
        </row>
        <row r="211">
          <cell r="A211" t="str">
            <v>Vector|||208019265|||ISSR|||EXP_SOYBEAN|||False|||</v>
          </cell>
          <cell r="C211" t="str">
            <v>V_KEYWORD_ISSR_208019265_EXP_SOYBEAN</v>
          </cell>
        </row>
        <row r="212">
          <cell r="A212" t="str">
            <v>Vector|||208019265|||ISSR|||EXP_CORN|||False|||</v>
          </cell>
          <cell r="C212" t="str">
            <v>V_KEYWORD_ISSR_208019265_EXP_CORN</v>
          </cell>
        </row>
        <row r="213">
          <cell r="A213" t="str">
            <v>Vector|||208019265|||ISSR|||EXP_COTTON|||False|||</v>
          </cell>
          <cell r="C213" t="str">
            <v>V_KEYWORD_ISSR_208019265_EXP_COTTON</v>
          </cell>
        </row>
        <row r="214">
          <cell r="A214" t="str">
            <v>Vector|||208019265|||ISSR|||EXP_COFFEE|||False|||</v>
          </cell>
          <cell r="C214" t="str">
            <v>V_KEYWORD_ISSR_208019265_EXP_COFFEE</v>
          </cell>
        </row>
        <row r="215">
          <cell r="A215" t="str">
            <v>Vector|||208019265|||ISSR|||EXP_COCOA|||False|||</v>
          </cell>
          <cell r="C215" t="str">
            <v>V_KEYWORD_ISSR_208019265_EXP_COCOA</v>
          </cell>
        </row>
        <row r="216">
          <cell r="A216" t="str">
            <v>Vector|||208019265|||ISSR|||EXP_BEEF|||False|||</v>
          </cell>
          <cell r="C216" t="str">
            <v>V_KEYWORD_ISSR_208019265_EXP_BEEF</v>
          </cell>
        </row>
        <row r="217">
          <cell r="A217" t="str">
            <v>Vector|||208019265|||ISSR|||EXP_PORK|||False|||</v>
          </cell>
          <cell r="C217" t="str">
            <v>V_KEYWORD_ISSR_208019265_EXP_PORK</v>
          </cell>
        </row>
        <row r="218">
          <cell r="A218" t="str">
            <v>Vector|||208019265|||ISSR|||EXP_CHICKEN|||False|||</v>
          </cell>
          <cell r="C218" t="str">
            <v>V_KEYWORD_ISSR_208019265_EXP_CHICKEN</v>
          </cell>
        </row>
        <row r="219">
          <cell r="A219" t="str">
            <v>Vector|||208019265|||ISSR|||EXP_DAIRY|||False|||</v>
          </cell>
          <cell r="C219" t="str">
            <v>V_KEYWORD_ISSR_208019265_EXP_DAIRY</v>
          </cell>
        </row>
        <row r="220">
          <cell r="A220" t="str">
            <v>Vector|||208019265|||ISSR|||EXP_NUTS|||False|||</v>
          </cell>
          <cell r="C220" t="str">
            <v>V_KEYWORD_ISSR_208019265_EXP_NUTS</v>
          </cell>
        </row>
        <row r="221">
          <cell r="A221" t="str">
            <v>Vector|||208019265|||ISSR|||EXP_PALM_OIL|||False|||</v>
          </cell>
          <cell r="C221" t="str">
            <v>V_KEYWORD_ISSR_208019265_EXP_PALM_OIL</v>
          </cell>
        </row>
        <row r="222">
          <cell r="A222" t="str">
            <v>Vector|||208019265|||ISSR|||EXP_TOBACCO_LEAF|||False|||</v>
          </cell>
          <cell r="C222" t="str">
            <v>V_KEYWORD_ISSR_208019265_EXP_TOBACCO_LEAF</v>
          </cell>
        </row>
        <row r="223">
          <cell r="A223" t="str">
            <v>Vector|||208019265|||ISSR|||EXP_WATER|||False|||</v>
          </cell>
          <cell r="C223" t="str">
            <v>V_KEYWORD_ISSR_208019265_EXP_WATER</v>
          </cell>
        </row>
        <row r="224">
          <cell r="A224" t="str">
            <v>Vector|||208019265|||ISSR|||EXP_OTH_COMMODITY|||False|||</v>
          </cell>
          <cell r="C224" t="str">
            <v>V_KEYWORD_ISSR_208019265_EXP_OTH_COMMODITY</v>
          </cell>
        </row>
        <row r="225">
          <cell r="A225" t="str">
            <v>Vector|||208019265|||ISSR|||EXP_OTH_COST|||False|||</v>
          </cell>
          <cell r="C225" t="str">
            <v>V_KEYWORD_ISSR_208019265_EXP_OTH_COST</v>
          </cell>
        </row>
        <row r="227">
          <cell r="A227" t="str">
            <v>Vector|||208019265|||ISSR|||SALES_FX_GPB|||False|||</v>
          </cell>
          <cell r="C227" t="str">
            <v>V_KEYWORD_ISSR_208019265_SALES_FX_GPB</v>
          </cell>
        </row>
        <row r="228">
          <cell r="A228" t="str">
            <v>Vector|||208019265|||ISSR|||SALES_FX_EUR|||False|||</v>
          </cell>
          <cell r="C228" t="str">
            <v>V_KEYWORD_ISSR_208019265_SALES_FX_EUR</v>
          </cell>
        </row>
        <row r="229">
          <cell r="A229" t="str">
            <v>Vector|||208019265|||ISSR|||SALES_FX_RUB|||False|||</v>
          </cell>
          <cell r="C229" t="str">
            <v>V_KEYWORD_ISSR_208019265_SALES_FX_RUB</v>
          </cell>
        </row>
        <row r="230">
          <cell r="A230" t="str">
            <v>Vector|||208019265|||ISSR|||SALES_FX_USD|||False|||</v>
          </cell>
          <cell r="C230" t="str">
            <v>V_KEYWORD_ISSR_208019265_SALES_FX_USD</v>
          </cell>
        </row>
        <row r="231">
          <cell r="A231" t="str">
            <v>Vector|||208019265|||ISSR|||SALES_FX_BRL|||False|||</v>
          </cell>
          <cell r="C231" t="str">
            <v>V_KEYWORD_ISSR_208019265_SALES_FX_BRL</v>
          </cell>
        </row>
        <row r="232">
          <cell r="A232" t="str">
            <v>Vector|||208019265|||ISSR|||SALES_FX_YEN|||False|||</v>
          </cell>
          <cell r="C232" t="str">
            <v>V_KEYWORD_ISSR_208019265_SALES_FX_YEN</v>
          </cell>
        </row>
        <row r="233">
          <cell r="A233" t="str">
            <v>Vector|||208019265|||ISSR|||SALES_FX_CNY|||False|||</v>
          </cell>
          <cell r="C233" t="str">
            <v>V_KEYWORD_ISSR_208019265_SALES_FX_CNY</v>
          </cell>
        </row>
        <row r="234">
          <cell r="A234" t="str">
            <v>Vector|||208019265|||ISSR|||SALES_FX_INR|||False|||</v>
          </cell>
          <cell r="C234" t="str">
            <v>V_KEYWORD_ISSR_208019265_SALES_FX_INR</v>
          </cell>
        </row>
        <row r="235">
          <cell r="A235" t="str">
            <v>Vector|||208019265|||ISSR|||SALES_FX_ZAR|||False|||</v>
          </cell>
          <cell r="C235" t="str">
            <v>V_KEYWORD_ISSR_208019265_SALES_FX_ZAR</v>
          </cell>
        </row>
        <row r="236">
          <cell r="A236" t="str">
            <v>Vector|||208019265|||ISSR|||SALES_FX_NGN|||False|||</v>
          </cell>
          <cell r="C236" t="str">
            <v>V_KEYWORD_ISSR_208019265_SALES_FX_NGN</v>
          </cell>
        </row>
        <row r="237">
          <cell r="A237" t="str">
            <v>Vector|||208019265|||ISSR|||SALES_FX_CHF|||False|||</v>
          </cell>
          <cell r="C237" t="str">
            <v>V_KEYWORD_ISSR_208019265_SALES_FX_CHF</v>
          </cell>
        </row>
        <row r="238">
          <cell r="A238" t="str">
            <v>Vector|||208019265|||ISSR|||SALES_FX_AED|||False|||</v>
          </cell>
          <cell r="C238" t="str">
            <v>V_KEYWORD_ISSR_208019265_SALES_FX_AED</v>
          </cell>
        </row>
        <row r="239">
          <cell r="A239" t="str">
            <v>Vector|||208019265|||ISSR|||SALES_FX_TRY|||False|||</v>
          </cell>
          <cell r="C239" t="str">
            <v>V_KEYWORD_ISSR_208019265_SALES_FX_TRY</v>
          </cell>
        </row>
        <row r="240">
          <cell r="A240" t="str">
            <v>Vector|||208019265|||ISSR|||SALES_FX_OTH|||False|||</v>
          </cell>
          <cell r="C240" t="str">
            <v>V_KEYWORD_ISSR_208019265_SALES_FX_OTH</v>
          </cell>
        </row>
        <row r="242">
          <cell r="A242" t="str">
            <v>Vector|||208019265|||ISSR|||SALES_TOT_AM|||False|||</v>
          </cell>
          <cell r="C242" t="str">
            <v>V_KEYWORD_ISSR_208019265_SALES_TOT_AM</v>
          </cell>
        </row>
        <row r="243">
          <cell r="A243" t="str">
            <v>Vector|||208019265|||ISSR|||SALES_OTH_AM|||False|||</v>
          </cell>
          <cell r="C243" t="str">
            <v>V_KEYWORD_ISSR_208019265_SALES_OTH_AM</v>
          </cell>
        </row>
        <row r="244">
          <cell r="A244" t="str">
            <v>Vector|||208019265|||ISSR|||SALES_TOT_EMEA|||False|||</v>
          </cell>
          <cell r="C244" t="str">
            <v>V_KEYWORD_ISSR_208019265_SALES_TOT_EMEA</v>
          </cell>
        </row>
        <row r="245">
          <cell r="A245" t="str">
            <v>Vector|||208019265|||ISSR|||SALES_EU_EX_UK|||False|||</v>
          </cell>
          <cell r="C245" t="str">
            <v>V_KEYWORD_ISSR_208019265_SALES_EU_EX_UK</v>
          </cell>
        </row>
        <row r="246">
          <cell r="A246" t="str">
            <v>Vector|||208019265|||ISSR|||SALES_OTH_EU_EX_UK|||False|||</v>
          </cell>
          <cell r="C246" t="str">
            <v>V_KEYWORD_ISSR_208019265_SALES_OTH_EU_EX_UK</v>
          </cell>
        </row>
        <row r="247">
          <cell r="A247" t="str">
            <v>Vector|||208019265|||ISSR|||SALES_CEE|||False|||</v>
          </cell>
          <cell r="C247" t="str">
            <v>V_KEYWORD_ISSR_208019265_SALES_CEE</v>
          </cell>
        </row>
        <row r="248">
          <cell r="A248" t="str">
            <v>Vector|||208019265|||ISSR|||SALES_ME|||False|||</v>
          </cell>
          <cell r="C248" t="str">
            <v>V_KEYWORD_ISSR_208019265_SALES_ME</v>
          </cell>
        </row>
        <row r="249">
          <cell r="A249" t="str">
            <v>Vector|||208019265|||ISSR|||SALES_TOT_AFRICA|||False|||</v>
          </cell>
          <cell r="C249" t="str">
            <v>V_KEYWORD_ISSR_208019265_SALES_TOT_AFRICA</v>
          </cell>
        </row>
        <row r="250">
          <cell r="A250" t="str">
            <v>Vector|||208019265|||ISSR|||SALES_OTH_EMEA|||False|||</v>
          </cell>
          <cell r="C250" t="str">
            <v>V_KEYWORD_ISSR_208019265_SALES_OTH_EMEA</v>
          </cell>
        </row>
        <row r="251">
          <cell r="A251" t="str">
            <v>Vector|||208019265|||ISSR|||SALES_TOT_ASIA|||False|||</v>
          </cell>
          <cell r="C251" t="str">
            <v>V_KEYWORD_ISSR_208019265_SALES_TOT_ASIA</v>
          </cell>
        </row>
        <row r="252">
          <cell r="A252" t="str">
            <v>Vector|||208019265|||ISSR|||SALES_OTH_AEJ|||False|||</v>
          </cell>
          <cell r="C252" t="str">
            <v>V_KEYWORD_ISSR_208019265_SALES_OTH_AEJ</v>
          </cell>
        </row>
        <row r="253">
          <cell r="A253" t="str">
            <v>Vector|||208019265|||ISSR|||IND_SALES_BRAZIL|||False|||</v>
          </cell>
          <cell r="C253" t="str">
            <v>V_KEYWORD_ISSR_208019265_IND_SALES_BRAZIL</v>
          </cell>
        </row>
        <row r="254">
          <cell r="A254" t="str">
            <v>Vector|||208019265|||ISSR|||IND_SALES_US|||False|||</v>
          </cell>
          <cell r="C254" t="str">
            <v>V_KEYWORD_ISSR_208019265_IND_SALES_US</v>
          </cell>
        </row>
        <row r="255">
          <cell r="A255" t="str">
            <v>Vector|||208019265|||ISSR|||IND_SALES_OTH_AM|||False|||</v>
          </cell>
          <cell r="C255" t="str">
            <v>V_KEYWORD_ISSR_208019265_IND_SALES_OTH_AM</v>
          </cell>
        </row>
        <row r="256">
          <cell r="A256" t="str">
            <v>Vector|||208019265|||ISSR|||IND_SALES_TOT_AM|||False|||</v>
          </cell>
          <cell r="C256" t="str">
            <v>V_KEYWORD_ISSR_208019265_IND_SALES_TOT_AM</v>
          </cell>
        </row>
        <row r="257">
          <cell r="A257" t="str">
            <v>Vector|||208019265|||ISSR|||IND_SALES_FRA|||False|||</v>
          </cell>
          <cell r="C257" t="str">
            <v>V_KEYWORD_ISSR_208019265_IND_SALES_FRA</v>
          </cell>
        </row>
        <row r="258">
          <cell r="A258" t="str">
            <v>Vector|||208019265|||ISSR|||IND_SALES_GER|||False|||</v>
          </cell>
          <cell r="C258" t="str">
            <v>V_KEYWORD_ISSR_208019265_IND_SALES_GER</v>
          </cell>
        </row>
        <row r="259">
          <cell r="A259" t="str">
            <v>Vector|||208019265|||ISSR|||IND_SALES_ITA|||False|||</v>
          </cell>
          <cell r="C259" t="str">
            <v>V_KEYWORD_ISSR_208019265_IND_SALES_ITA</v>
          </cell>
        </row>
        <row r="260">
          <cell r="A260" t="str">
            <v>Vector|||208019265|||ISSR|||IND_SALES_SPA|||False|||</v>
          </cell>
          <cell r="C260" t="str">
            <v>V_KEYWORD_ISSR_208019265_IND_SALES_SPA</v>
          </cell>
        </row>
        <row r="261">
          <cell r="A261" t="str">
            <v>Vector|||208019265|||ISSR|||IND_SALES_UK|||False|||</v>
          </cell>
          <cell r="C261" t="str">
            <v>V_KEYWORD_ISSR_208019265_IND_SALES_UK</v>
          </cell>
        </row>
        <row r="262">
          <cell r="A262" t="str">
            <v>Vector|||208019265|||ISSR|||IND_SALES_EU_EX_UK|||False|||</v>
          </cell>
          <cell r="C262" t="str">
            <v>V_KEYWORD_ISSR_208019265_IND_SALES_EU_EX_UK</v>
          </cell>
        </row>
        <row r="263">
          <cell r="A263" t="str">
            <v>Vector|||208019265|||ISSR|||IND_SALES_OTH_EU_EX_UK|||False|||</v>
          </cell>
          <cell r="C263" t="str">
            <v>V_KEYWORD_ISSR_208019265_IND_SALES_OTH_EU_EX_UK</v>
          </cell>
        </row>
        <row r="264">
          <cell r="A264" t="str">
            <v>Vector|||208019265|||ISSR|||IND_SALES_RUSSIA|||False|||</v>
          </cell>
          <cell r="C264" t="str">
            <v>V_KEYWORD_ISSR_208019265_IND_SALES_RUSSIA</v>
          </cell>
        </row>
        <row r="265">
          <cell r="A265" t="str">
            <v>Vector|||208019265|||ISSR|||IND_SALES_CEE|||False|||</v>
          </cell>
          <cell r="C265" t="str">
            <v>V_KEYWORD_ISSR_208019265_IND_SALES_CEE</v>
          </cell>
        </row>
        <row r="266">
          <cell r="A266" t="str">
            <v>Vector|||208019265|||ISSR|||IND_SALES_OTH_EMEA|||False|||</v>
          </cell>
          <cell r="C266" t="str">
            <v>V_KEYWORD_ISSR_208019265_IND_SALES_OTH_EMEA</v>
          </cell>
        </row>
        <row r="267">
          <cell r="A267" t="str">
            <v>Vector|||208019265|||ISSR|||IND_SALES_TOT_EMEA|||False|||</v>
          </cell>
          <cell r="C267" t="str">
            <v>V_KEYWORD_ISSR_208019265_IND_SALES_TOT_EMEA</v>
          </cell>
        </row>
        <row r="268">
          <cell r="A268" t="str">
            <v>Vector|||208019265|||ISSR|||IND_SALES_ME|||False|||</v>
          </cell>
          <cell r="C268" t="str">
            <v>V_KEYWORD_ISSR_208019265_IND_SALES_ME</v>
          </cell>
        </row>
        <row r="269">
          <cell r="A269" t="str">
            <v>Vector|||208019265|||ISSR|||IND_SALES_NIGERIA|||False|||</v>
          </cell>
          <cell r="C269" t="str">
            <v>V_KEYWORD_ISSR_208019265_IND_SALES_NIGERIA</v>
          </cell>
        </row>
        <row r="270">
          <cell r="A270" t="str">
            <v>Vector|||208019265|||ISSR|||IND_SALES_SO_AFRICA|||False|||</v>
          </cell>
          <cell r="C270" t="str">
            <v>V_KEYWORD_ISSR_208019265_IND_SALES_SO_AFRICA</v>
          </cell>
        </row>
        <row r="271">
          <cell r="A271" t="str">
            <v>Vector|||208019265|||ISSR|||IND_SALES_OTH_AFRICA|||False|||</v>
          </cell>
          <cell r="C271" t="str">
            <v>V_KEYWORD_ISSR_208019265_IND_SALES_OTH_AFRICA</v>
          </cell>
        </row>
        <row r="272">
          <cell r="A272" t="str">
            <v>Vector|||208019265|||ISSR|||IND_SALES_TOT_AFRICA|||False|||</v>
          </cell>
          <cell r="C272" t="str">
            <v>V_KEYWORD_ISSR_208019265_IND_SALES_TOT_AFRICA</v>
          </cell>
        </row>
        <row r="273">
          <cell r="A273" t="str">
            <v>Vector|||208019265|||ISSR|||IND_SALES_CHINA|||False|||</v>
          </cell>
          <cell r="C273" t="str">
            <v>V_KEYWORD_ISSR_208019265_IND_SALES_CHINA</v>
          </cell>
        </row>
        <row r="274">
          <cell r="A274" t="str">
            <v>Vector|||208019265|||ISSR|||IND_SALES_INDIA|||False|||</v>
          </cell>
          <cell r="C274" t="str">
            <v>V_KEYWORD_ISSR_208019265_IND_SALES_INDIA</v>
          </cell>
        </row>
        <row r="275">
          <cell r="A275" t="str">
            <v>Vector|||208019265|||ISSR|||IND_SALES_JAPAN|||False|||</v>
          </cell>
          <cell r="C275" t="str">
            <v>V_KEYWORD_ISSR_208019265_IND_SALES_JAPAN</v>
          </cell>
        </row>
        <row r="276">
          <cell r="A276" t="str">
            <v>Vector|||208019265|||ISSR|||IND_SALES_OTH_AEJ|||False|||</v>
          </cell>
          <cell r="C276" t="str">
            <v>V_KEYWORD_ISSR_208019265_IND_SALES_OTH_AEJ</v>
          </cell>
        </row>
        <row r="277">
          <cell r="A277" t="str">
            <v>Vector|||208019265|||ISSR|||IND_SALES_TOT_ASIA|||False|||</v>
          </cell>
          <cell r="C277" t="str">
            <v>V_KEYWORD_ISSR_208019265_IND_SALES_TOT_ASIA</v>
          </cell>
        </row>
        <row r="278">
          <cell r="A278" t="str">
            <v>Vector|||208019265|||ISSR|||IND_SALES_OTHER|||False|||</v>
          </cell>
          <cell r="C278" t="str">
            <v>V_KEYWORD_ISSR_208019265_IND_SALES_OTHER</v>
          </cell>
        </row>
        <row r="279">
          <cell r="A279" t="str">
            <v>Vector|||208019265|||ISSR|||IND_SALES_CONS|||False|||</v>
          </cell>
          <cell r="C279" t="str">
            <v>V_KEYWORD_ISSR_208019265_IND_SALES_CONS</v>
          </cell>
        </row>
        <row r="280">
          <cell r="A280" t="str">
            <v>Vector|||208019265|||ISSR|||IND_SALES_IND|||False|||</v>
          </cell>
          <cell r="C280" t="str">
            <v>V_KEYWORD_ISSR_208019265_IND_SALES_IND</v>
          </cell>
        </row>
        <row r="281">
          <cell r="A281" t="str">
            <v>Vector|||208019265|||ISSR|||IND_SALES_GOV|||False|||</v>
          </cell>
          <cell r="C281" t="str">
            <v>V_KEYWORD_ISSR_208019265_IND_SALES_GOV</v>
          </cell>
        </row>
        <row r="282">
          <cell r="A282" t="str">
            <v>Vector|||208019265|||ISSR|||IND_SALES_FINAN|||False|||</v>
          </cell>
          <cell r="C282" t="str">
            <v>V_KEYWORD_ISSR_208019265_IND_SALES_FINAN</v>
          </cell>
        </row>
        <row r="284">
          <cell r="A284" t="str">
            <v>Vector|||208019265|||ISSR|||RETAIL_CN_PCT_CHG|||False|||</v>
          </cell>
          <cell r="C284" t="str">
            <v>V_KEYWORD_ISSR_208019265_RETAIL_CN_PCT_CHG</v>
          </cell>
        </row>
        <row r="290">
          <cell r="A290" t="str">
            <v>Scalar|||200020256|||EQTY|||PUB_CURRENCY_ISO|||False|||</v>
          </cell>
          <cell r="C290" t="str">
            <v>V_KEYWORD_EQTY_200020256_PUB_CURRENCY_ISO</v>
          </cell>
          <cell r="E290" t="str">
            <v>ERROR</v>
          </cell>
        </row>
        <row r="291">
          <cell r="A291" t="str">
            <v>Scalar|||200020256|||EQTY|||PRICE_CURRENCY_ISO|||False|||</v>
          </cell>
          <cell r="C291" t="str">
            <v>V_KEYWORD_EQTY_200020256_PRICE_CURRENCY_ISO</v>
          </cell>
          <cell r="E291" t="str">
            <v>ERROR</v>
          </cell>
        </row>
        <row r="292">
          <cell r="A292" t="str">
            <v>Scalar|||200020256|||EQTY|||CURRENCY_ISO|||False|||</v>
          </cell>
          <cell r="C292" t="str">
            <v>V_KEYWORD_EQTY_200020256_CURRENCY_ISO</v>
          </cell>
        </row>
        <row r="294">
          <cell r="A294" t="str">
            <v>Scalar|||200020256|||EQTY|||EURO_LIST|||False|||</v>
          </cell>
          <cell r="C294" t="str">
            <v>V_KEYWORD_EQTY_200020256_EURO_LIST</v>
          </cell>
        </row>
        <row r="295">
          <cell r="A295" t="str">
            <v>Scalar|||200020256|||EQTY|||EURO_CONVICTION|||False|||</v>
          </cell>
          <cell r="C295" t="str">
            <v>V_KEYWORD_EQTY_200020256_EURO_CONVICTION</v>
          </cell>
        </row>
        <row r="296">
          <cell r="A296" t="str">
            <v>Scalar|||200020256|||EQTY|||LEGAL_RATING|||False|||</v>
          </cell>
          <cell r="C296" t="str">
            <v>V_KEYWORD_EQTY_200020256_LEGAL_RATING</v>
          </cell>
          <cell r="E296" t="str">
            <v>ERROR</v>
          </cell>
        </row>
        <row r="297">
          <cell r="A297" t="str">
            <v>Scalar|||200020256|||EQTY|||TARGET_PRICE|||False|||</v>
          </cell>
          <cell r="C297" t="str">
            <v>V_KEYWORD_EQTY_200020256_TARGET_PRICE</v>
          </cell>
          <cell r="E297" t="str">
            <v>ERROR</v>
          </cell>
        </row>
        <row r="298">
          <cell r="A298" t="str">
            <v>Scalar|||200020256|||EQTY|||TP_PERIOD|||False|||</v>
          </cell>
          <cell r="C298" t="str">
            <v>V_KEYWORD_EQTY_200020256_TP_PERIOD</v>
          </cell>
        </row>
        <row r="299">
          <cell r="A299" t="str">
            <v>Scalar|||200020256|||EQTY|||TARGET_PRICE_FUNDAMENTAL|||False|||</v>
          </cell>
          <cell r="C299" t="str">
            <v>V_KEYWORD_EQTY_200020256_TARGET_PRICE_FUNDAMENTAL</v>
          </cell>
        </row>
        <row r="300">
          <cell r="A300" t="str">
            <v>Scalar|||200020256|||EQTY|||TARGET_PRICE_MA|||False|||</v>
          </cell>
          <cell r="C300" t="str">
            <v>V_KEYWORD_EQTY_200020256_TARGET_PRICE_MA</v>
          </cell>
        </row>
        <row r="301">
          <cell r="A301" t="str">
            <v>Scalar|||200020256|||EQTY|||NUM_SH|||False|||</v>
          </cell>
          <cell r="C301" t="str">
            <v>V_KEYWORD_EQTY_200020256_NUM_SH</v>
          </cell>
        </row>
        <row r="302">
          <cell r="A302" t="str">
            <v>Scalar|||200020256|||EQTY|||FREE_FLOAT|||False|||</v>
          </cell>
          <cell r="C302" t="str">
            <v>V_KEYWORD_EQTY_200020256_FREE_FLOAT</v>
          </cell>
        </row>
        <row r="304">
          <cell r="A304" t="str">
            <v>Vector|||200020256|||EQTY|||BVPS_PUB|||False|||</v>
          </cell>
          <cell r="C304" t="str">
            <v>V_KEYWORD_EQTY_200020256_BVPS_PUB</v>
          </cell>
        </row>
        <row r="305">
          <cell r="A305" t="str">
            <v>Vector|||200020256|||EQTY|||DPS_PUB|||False|||</v>
          </cell>
          <cell r="C305" t="str">
            <v>V_KEYWORD_EQTY_200020256_DPS_PUB</v>
          </cell>
        </row>
        <row r="306">
          <cell r="A306" t="str">
            <v>Vector|||200020256|||EQTY|||DPS_SPECIAL_PUB|||False|||</v>
          </cell>
          <cell r="C306" t="str">
            <v>V_KEYWORD_EQTY_200020256_DPS_SPECIAL_PUB</v>
          </cell>
        </row>
        <row r="307">
          <cell r="A307" t="str">
            <v>Vector|||200020256|||EQTY|||EBITDA_PUB|||False|||</v>
          </cell>
          <cell r="C307" t="str">
            <v>V_KEYWORD_EQTY_200020256_EBITDA_PUB</v>
          </cell>
        </row>
        <row r="308">
          <cell r="A308" t="str">
            <v>Vector|||200020256|||EQTY|||EPS_PUB|||False|||</v>
          </cell>
          <cell r="C308" t="str">
            <v>V_KEYWORD_EQTY_200020256_EPS_PUB</v>
          </cell>
          <cell r="F308" t="str">
            <v>ERROR</v>
          </cell>
          <cell r="G308" t="str">
            <v>ERROR</v>
          </cell>
          <cell r="H308" t="str">
            <v>ERROR</v>
          </cell>
          <cell r="I308" t="str">
            <v>ERROR</v>
          </cell>
          <cell r="J308" t="str">
            <v>ERROR</v>
          </cell>
          <cell r="K308" t="str">
            <v>ERROR</v>
          </cell>
          <cell r="L308" t="str">
            <v>ERROR</v>
          </cell>
          <cell r="M308" t="str">
            <v>ERROR</v>
          </cell>
          <cell r="N308" t="str">
            <v>ERROR</v>
          </cell>
          <cell r="O308" t="str">
            <v>ERROR</v>
          </cell>
          <cell r="P308" t="str">
            <v>ERROR</v>
          </cell>
          <cell r="Q308" t="str">
            <v>ERROR</v>
          </cell>
          <cell r="R308" t="str">
            <v>ERROR</v>
          </cell>
          <cell r="S308" t="str">
            <v>ERROR</v>
          </cell>
          <cell r="T308" t="str">
            <v>ERROR</v>
          </cell>
          <cell r="U308" t="str">
            <v>ERROR</v>
          </cell>
        </row>
        <row r="309">
          <cell r="A309" t="str">
            <v>Vector|||200020256|||EQTY|||EV_ADJ_PUB|||False|||</v>
          </cell>
          <cell r="C309" t="str">
            <v>V_KEYWORD_EQTY_200020256_EV_ADJ_PUB</v>
          </cell>
        </row>
        <row r="310">
          <cell r="A310" t="str">
            <v>Vector|||200020256|||EQTY|||NET_DEBT_PUB|||False|||</v>
          </cell>
          <cell r="C310" t="str">
            <v>V_KEYWORD_EQTY_200020256_NET_DEBT_PUB</v>
          </cell>
        </row>
        <row r="311">
          <cell r="A311" t="str">
            <v>Vector|||200020256|||EQTY|||NET_DEBT_EX_LEASES_PUB|||False|||</v>
          </cell>
          <cell r="C311" t="str">
            <v>V_KEYWORD_EQTY_200020256_NET_DEBT_EX_LEASES_PUB</v>
          </cell>
        </row>
        <row r="312">
          <cell r="A312" t="str">
            <v>Vector|||200020256|||EQTY|||CEEE_NDEBT|||False|||</v>
          </cell>
          <cell r="C312" t="str">
            <v>V_KEYWORD_EQTY_200020256_CEEE_NDEBT</v>
          </cell>
        </row>
        <row r="313">
          <cell r="A313" t="str">
            <v>Vector|||200020256|||EQTY|||NI_PUB|||False|||</v>
          </cell>
          <cell r="C313" t="str">
            <v>V_KEYWORD_EQTY_200020256_NI_PUB</v>
          </cell>
        </row>
        <row r="314">
          <cell r="A314" t="str">
            <v>Vector|||200020256|||EQTY|||EBIT_PUB|||False|||</v>
          </cell>
          <cell r="C314" t="str">
            <v>V_KEYWORD_EQTY_200020256_EBIT_PUB</v>
          </cell>
        </row>
        <row r="315">
          <cell r="A315" t="str">
            <v>Vector|||200020256|||EQTY|||PTP_PUB|||False|||</v>
          </cell>
          <cell r="C315" t="str">
            <v>V_KEYWORD_EQTY_200020256_PTP_PUB</v>
          </cell>
        </row>
        <row r="316">
          <cell r="A316" t="str">
            <v>Vector|||200020256|||EQTY|||REVS_PUB|||False|||</v>
          </cell>
          <cell r="C316" t="str">
            <v>V_KEYWORD_EQTY_200020256_REVS_PUB</v>
          </cell>
        </row>
        <row r="317">
          <cell r="A317" t="str">
            <v>Vector|||200020256|||EQTY|||EQ_PUB|||False|||</v>
          </cell>
          <cell r="C317" t="str">
            <v>V_KEYWORD_EQTY_200020256_EQ_PUB</v>
          </cell>
        </row>
        <row r="319">
          <cell r="A319" t="str">
            <v>Vector|||200020256|||EQTY|||PROV_INC_TAX|||False|||</v>
          </cell>
          <cell r="C319" t="str">
            <v>V_KEYWORD_EQTY_200020256_PROV_INC_TAX</v>
          </cell>
        </row>
        <row r="320">
          <cell r="A320" t="str">
            <v>Vector|||200020256|||EQTY|||INC_MINORITY|||False|||</v>
          </cell>
          <cell r="C320" t="str">
            <v>V_KEYWORD_EQTY_200020256_INC_MINORITY</v>
          </cell>
        </row>
        <row r="321">
          <cell r="A321" t="str">
            <v>Vector|||200020256|||EQTY|||NI_PRE_PREF|||False|||</v>
          </cell>
          <cell r="C321" t="str">
            <v>V_KEYWORD_EQTY_200020256_NI_PRE_PREF</v>
          </cell>
        </row>
        <row r="322">
          <cell r="A322" t="str">
            <v>Vector|||200020256|||EQTY|||PREF_DIV|||False|||</v>
          </cell>
          <cell r="C322" t="str">
            <v>V_KEYWORD_EQTY_200020256_PREF_DIV</v>
          </cell>
        </row>
        <row r="323">
          <cell r="A323" t="str">
            <v>Vector|||200020256|||EQTY|||NET_EARNING|||False|||</v>
          </cell>
          <cell r="C323" t="str">
            <v>V_KEYWORD_EQTY_200020256_NET_EARNING</v>
          </cell>
        </row>
        <row r="324">
          <cell r="A324" t="str">
            <v>Vector|||200020256|||EQTY|||TAX_EXC|||False|||</v>
          </cell>
          <cell r="C324" t="str">
            <v>V_KEYWORD_EQTY_200020256_TAX_EXC</v>
          </cell>
        </row>
        <row r="325">
          <cell r="A325" t="str">
            <v>Vector|||200020256|||EQTY|||NET_INC|||False|||</v>
          </cell>
          <cell r="C325" t="str">
            <v>V_KEYWORD_EQTY_200020256_NET_INC</v>
          </cell>
        </row>
        <row r="326">
          <cell r="A326" t="str">
            <v>Vector|||200020256|||EQTY|||EPS|||False|||</v>
          </cell>
          <cell r="C326" t="str">
            <v>V_KEYWORD_EQTY_200020256_EPS</v>
          </cell>
        </row>
        <row r="327">
          <cell r="A327" t="str">
            <v>Vector|||200020256|||EQTY|||EPS_FUL_DIL|||False|||</v>
          </cell>
          <cell r="C327" t="str">
            <v>V_KEYWORD_EQTY_200020256_EPS_FUL_DIL</v>
          </cell>
        </row>
        <row r="328">
          <cell r="A328" t="str">
            <v>Vector|||200020256|||EQTY|||EPS_POST_BASIC|||False|||</v>
          </cell>
          <cell r="C328" t="str">
            <v>V_KEYWORD_EQTY_200020256_EPS_POST_BASIC</v>
          </cell>
        </row>
        <row r="329">
          <cell r="A329" t="str">
            <v>Vector|||200020256|||EQTY|||FULLY_DIL_EPS|||False|||</v>
          </cell>
          <cell r="C329" t="str">
            <v>V_KEYWORD_EQTY_200020256_FULLY_DIL_EPS</v>
          </cell>
        </row>
        <row r="330">
          <cell r="A330" t="str">
            <v>Vector|||200020256|||EQTY|||COMMON_DIV_PAID|||False|||</v>
          </cell>
          <cell r="C330" t="str">
            <v>V_KEYWORD_EQTY_200020256_COMMON_DIV_PAID</v>
          </cell>
        </row>
        <row r="331">
          <cell r="A331" t="str">
            <v>Vector|||200020256|||EQTY|||DPS|||False|||</v>
          </cell>
          <cell r="C331" t="str">
            <v>V_KEYWORD_EQTY_200020256_DPS</v>
          </cell>
        </row>
        <row r="332">
          <cell r="A332" t="str">
            <v>Vector|||200020256|||EQTY|||SH|||False|||</v>
          </cell>
          <cell r="C332" t="str">
            <v>V_KEYWORD_EQTY_200020256_SH</v>
          </cell>
        </row>
        <row r="333">
          <cell r="A333" t="str">
            <v>Vector|||200020256|||EQTY|||DILUTE_SHARES|||False|||</v>
          </cell>
          <cell r="C333" t="str">
            <v>V_KEYWORD_EQTY_200020256_DILUTE_SHARES</v>
          </cell>
        </row>
        <row r="334">
          <cell r="A334" t="str">
            <v>Vector|||200020256|||EQTY|||NON_OP_ADD|||False|||</v>
          </cell>
          <cell r="C334" t="str">
            <v>V_KEYWORD_EQTY_200020256_NON_OP_ADD</v>
          </cell>
        </row>
        <row r="336">
          <cell r="A336" t="str">
            <v>Vector|||200020256|||EQTY|||ORG_NI|||False|||</v>
          </cell>
          <cell r="C336" t="str">
            <v>V_KEYWORD_EQTY_200020256_ORG_NI</v>
          </cell>
        </row>
        <row r="337">
          <cell r="A337" t="str">
            <v>Vector|||200020256|||EQTY|||ORG_EPS|||False|||</v>
          </cell>
          <cell r="C337" t="str">
            <v>V_KEYWORD_EQTY_200020256_ORG_EPS</v>
          </cell>
        </row>
        <row r="338">
          <cell r="A338" t="str">
            <v>Vector|||200020256|||EQTY|||MARGIN_TAX_RATE|||False|||</v>
          </cell>
          <cell r="C338" t="str">
            <v>V_KEYWORD_EQTY_200020256_MARGIN_TAX_RATE</v>
          </cell>
        </row>
        <row r="340">
          <cell r="A340" t="str">
            <v>Vector|||200020256|||EQTY|||BVPS|||False|||</v>
          </cell>
          <cell r="C340" t="str">
            <v>V_KEYWORD_EQTY_200020256_BVPS</v>
          </cell>
        </row>
        <row r="342">
          <cell r="A342" t="str">
            <v>Vector|||200020256|||EQTY|||CF_NI_PRE_PREF|||False|||</v>
          </cell>
          <cell r="C342" t="str">
            <v>V_KEYWORD_EQTY_200020256_CF_NI_PRE_PREF</v>
          </cell>
        </row>
        <row r="344">
          <cell r="A344" t="str">
            <v>Scalar|||200020256|||EQTY|||BETA_ANALYST|||False|||</v>
          </cell>
          <cell r="C344" t="str">
            <v>V_KEYWORD_EQTY_200020256_BETA_ANALYST</v>
          </cell>
        </row>
        <row r="345">
          <cell r="A345" t="str">
            <v>Scalar|||200020256|||EQTY|||MKT_EQ_RISK_PREM|||False|||</v>
          </cell>
          <cell r="C345" t="str">
            <v>V_KEYWORD_EQTY_200020256_MKT_EQ_RISK_PREM</v>
          </cell>
        </row>
        <row r="346">
          <cell r="A346" t="str">
            <v>Scalar|||200020256|||EQTY|||RISK_FR_RATE|||False|||</v>
          </cell>
          <cell r="C346" t="str">
            <v>V_KEYWORD_EQTY_200020256_RISK_FR_RATE</v>
          </cell>
        </row>
      </sheetData>
      <sheetData sheetId="2"/>
      <sheetData sheetId="3">
        <row r="1">
          <cell r="A1" t="str">
            <v>Issuer: Global Fashion Group</v>
          </cell>
          <cell r="F1" t="str">
            <v>2016</v>
          </cell>
          <cell r="G1" t="str">
            <v>2017</v>
          </cell>
          <cell r="H1" t="str">
            <v>2018 Q1</v>
          </cell>
          <cell r="I1" t="str">
            <v>2018 Q2</v>
          </cell>
          <cell r="J1" t="str">
            <v>2018 Q3</v>
          </cell>
          <cell r="K1" t="str">
            <v>2018 Q4</v>
          </cell>
          <cell r="L1" t="str">
            <v>2018</v>
          </cell>
          <cell r="M1" t="str">
            <v>2019 Q1</v>
          </cell>
          <cell r="N1" t="str">
            <v>2019 Q2</v>
          </cell>
          <cell r="O1" t="str">
            <v>2019 Q3</v>
          </cell>
          <cell r="P1" t="str">
            <v>2019 Q4</v>
          </cell>
          <cell r="Q1">
            <v>2019</v>
          </cell>
          <cell r="R1" t="str">
            <v>2020</v>
          </cell>
          <cell r="S1" t="str">
            <v>2021</v>
          </cell>
          <cell r="T1" t="str">
            <v>2022</v>
          </cell>
          <cell r="U1" t="str">
            <v>2023</v>
          </cell>
        </row>
        <row r="2">
          <cell r="A2"/>
          <cell r="B2"/>
          <cell r="C2"/>
          <cell r="D2"/>
          <cell r="F2" t="str">
            <v>Actual</v>
          </cell>
          <cell r="G2" t="str">
            <v>Actual</v>
          </cell>
          <cell r="H2" t="str">
            <v>Actual</v>
          </cell>
          <cell r="I2" t="str">
            <v>Actual</v>
          </cell>
          <cell r="J2" t="str">
            <v>Actual</v>
          </cell>
          <cell r="K2" t="str">
            <v>Actual</v>
          </cell>
          <cell r="L2" t="str">
            <v>Actual</v>
          </cell>
          <cell r="M2" t="str">
            <v>Actual</v>
          </cell>
          <cell r="N2" t="str">
            <v>Estimate</v>
          </cell>
          <cell r="O2" t="str">
            <v>Estimate</v>
          </cell>
          <cell r="P2" t="str">
            <v>Estimate</v>
          </cell>
          <cell r="Q2" t="str">
            <v>Estimate</v>
          </cell>
          <cell r="R2" t="str">
            <v>Estimate</v>
          </cell>
          <cell r="S2" t="str">
            <v>Estimate</v>
          </cell>
          <cell r="T2" t="str">
            <v>Estimate</v>
          </cell>
          <cell r="U2" t="str">
            <v>Estimate</v>
          </cell>
        </row>
        <row r="3">
          <cell r="A3"/>
          <cell r="B3"/>
          <cell r="C3"/>
          <cell r="D3"/>
          <cell r="F3">
            <v>42735</v>
          </cell>
          <cell r="G3">
            <v>43100</v>
          </cell>
          <cell r="H3">
            <v>43190</v>
          </cell>
          <cell r="I3">
            <v>43281</v>
          </cell>
          <cell r="J3">
            <v>43373</v>
          </cell>
          <cell r="K3">
            <v>43465</v>
          </cell>
          <cell r="L3">
            <v>43465</v>
          </cell>
          <cell r="M3">
            <v>43555</v>
          </cell>
          <cell r="N3">
            <v>43646</v>
          </cell>
          <cell r="O3">
            <v>43738</v>
          </cell>
          <cell r="P3">
            <v>43830</v>
          </cell>
          <cell r="Q3">
            <v>43830</v>
          </cell>
          <cell r="R3">
            <v>44196</v>
          </cell>
          <cell r="S3">
            <v>44561</v>
          </cell>
          <cell r="T3">
            <v>44926</v>
          </cell>
          <cell r="U3">
            <v>45291</v>
          </cell>
        </row>
        <row r="4">
          <cell r="A4" t="str">
            <v>Issuer: Global Fashion Group</v>
          </cell>
          <cell r="B4"/>
          <cell r="C4"/>
          <cell r="D4"/>
        </row>
        <row r="5">
          <cell r="A5" t="str">
            <v>Reference Data</v>
          </cell>
          <cell r="B5"/>
          <cell r="C5"/>
          <cell r="D5"/>
        </row>
        <row r="6">
          <cell r="B6" t="str">
            <v>Issuer Name</v>
          </cell>
          <cell r="C6" t="str">
            <v>Issuer Name</v>
          </cell>
          <cell r="E6" t="str">
            <v>Global Fashion Group</v>
          </cell>
        </row>
        <row r="7">
          <cell r="B7" t="str">
            <v>Reporting Currency</v>
          </cell>
          <cell r="C7" t="str">
            <v>CURRENCY_ISO</v>
          </cell>
          <cell r="E7" t="str">
            <v>EUR</v>
          </cell>
        </row>
        <row r="8">
          <cell r="A8" t="str">
            <v>General Information</v>
          </cell>
          <cell r="B8"/>
          <cell r="C8"/>
          <cell r="D8"/>
        </row>
        <row r="9">
          <cell r="B9" t="str">
            <v>M&amp;A probability (1 = high, 3 = low)</v>
          </cell>
          <cell r="C9" t="str">
            <v>MA_PROB</v>
          </cell>
          <cell r="E9">
            <v>3</v>
          </cell>
        </row>
        <row r="10">
          <cell r="A10" t="str">
            <v>Income Statement</v>
          </cell>
          <cell r="B10"/>
          <cell r="C10"/>
          <cell r="D10"/>
          <cell r="G10"/>
          <cell r="M10"/>
        </row>
        <row r="11">
          <cell r="B11" t="str">
            <v>Sales, net revenue</v>
          </cell>
          <cell r="C11" t="str">
            <v>SALES</v>
          </cell>
          <cell r="D11" t="str">
            <v>EUR</v>
          </cell>
          <cell r="F11">
            <v>886.9</v>
          </cell>
          <cell r="G11">
            <v>1095</v>
          </cell>
          <cell r="H11">
            <v>236.9</v>
          </cell>
          <cell r="I11">
            <v>297.8</v>
          </cell>
          <cell r="J11">
            <v>264.60000000000002</v>
          </cell>
          <cell r="K11">
            <v>356.6</v>
          </cell>
          <cell r="L11">
            <v>1155.9000000000001</v>
          </cell>
          <cell r="M11">
            <v>258.59999999999985</v>
          </cell>
          <cell r="N11">
            <v>333.54068230489077</v>
          </cell>
          <cell r="O11">
            <v>308.63308793010094</v>
          </cell>
          <cell r="P11">
            <v>415.22627189275818</v>
          </cell>
          <cell r="Q11">
            <v>1316.0000421277498</v>
          </cell>
          <cell r="R11">
            <v>1526.8563929292791</v>
          </cell>
          <cell r="S11">
            <v>1756.5058430216068</v>
          </cell>
          <cell r="T11">
            <v>1998.2836190011244</v>
          </cell>
          <cell r="U11">
            <v>2258.1809721589693</v>
          </cell>
        </row>
        <row r="12">
          <cell r="B12" t="str">
            <v>Cost of goods sold, COGS</v>
          </cell>
          <cell r="C12" t="str">
            <v>COST_GD_SD</v>
          </cell>
          <cell r="D12" t="str">
            <v>EUR</v>
          </cell>
          <cell r="F12">
            <v>-525.5</v>
          </cell>
          <cell r="G12">
            <v>-664.1</v>
          </cell>
          <cell r="H12"/>
          <cell r="I12"/>
          <cell r="J12"/>
          <cell r="K12"/>
          <cell r="L12">
            <v>-706.2</v>
          </cell>
          <cell r="M12"/>
          <cell r="N12"/>
          <cell r="O12"/>
          <cell r="P12"/>
          <cell r="Q12">
            <v>-795.5085406453976</v>
          </cell>
          <cell r="R12">
            <v>-905.09785863304478</v>
          </cell>
          <cell r="S12">
            <v>-1032.6972711804178</v>
          </cell>
          <cell r="T12">
            <v>-1164.6479619820418</v>
          </cell>
          <cell r="U12">
            <v>-1304.4730479319933</v>
          </cell>
        </row>
        <row r="13">
          <cell r="B13" t="str">
            <v>SG&amp;A, selling, general and admin. expense</v>
          </cell>
          <cell r="C13" t="str">
            <v>SEL_GL_AD</v>
          </cell>
          <cell r="D13" t="str">
            <v>EUR</v>
          </cell>
          <cell r="F13">
            <v>-532.4</v>
          </cell>
          <cell r="G13">
            <v>-557.6</v>
          </cell>
          <cell r="H13"/>
          <cell r="I13"/>
          <cell r="J13"/>
          <cell r="K13"/>
          <cell r="L13">
            <v>-592.90000000000009</v>
          </cell>
          <cell r="M13"/>
          <cell r="N13"/>
          <cell r="O13"/>
          <cell r="P13"/>
          <cell r="Q13">
            <v>-623.78401996855337</v>
          </cell>
          <cell r="R13">
            <v>-695.33040133999361</v>
          </cell>
          <cell r="S13">
            <v>-774.61907677252862</v>
          </cell>
          <cell r="T13">
            <v>-857.2636725514825</v>
          </cell>
          <cell r="U13">
            <v>-941.66146539029023</v>
          </cell>
        </row>
        <row r="14">
          <cell r="B14" t="str">
            <v>Total operating expense</v>
          </cell>
          <cell r="C14" t="str">
            <v>OP_COST</v>
          </cell>
          <cell r="D14" t="str">
            <v>EUR</v>
          </cell>
          <cell r="F14">
            <v>-1057.9000000000001</v>
          </cell>
          <cell r="G14">
            <v>-1221.7</v>
          </cell>
          <cell r="H14"/>
          <cell r="I14"/>
          <cell r="J14"/>
          <cell r="K14"/>
          <cell r="L14">
            <v>-1299.1000000000001</v>
          </cell>
          <cell r="M14"/>
          <cell r="N14"/>
          <cell r="O14"/>
          <cell r="P14"/>
          <cell r="Q14">
            <v>-1419.2925606139511</v>
          </cell>
          <cell r="R14">
            <v>-1600.4282599730384</v>
          </cell>
          <cell r="S14">
            <v>-1807.3163479529464</v>
          </cell>
          <cell r="T14">
            <v>-2021.9116345335242</v>
          </cell>
          <cell r="U14">
            <v>-2246.1345133222835</v>
          </cell>
        </row>
        <row r="15">
          <cell r="B15" t="str">
            <v>R&amp;D expense</v>
          </cell>
          <cell r="C15" t="str">
            <v>RD_EXP</v>
          </cell>
          <cell r="D15" t="str">
            <v>EUR</v>
          </cell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</row>
        <row r="16">
          <cell r="B16" t="str">
            <v>Other operating income/(expense) (incl. leases)</v>
          </cell>
          <cell r="C16" t="str">
            <v>OTH_OP_INC_EXP</v>
          </cell>
          <cell r="D16" t="str">
            <v>EUR</v>
          </cell>
          <cell r="F16">
            <v>-18.299999999999955</v>
          </cell>
          <cell r="G16">
            <v>-6</v>
          </cell>
          <cell r="H16"/>
          <cell r="I16"/>
          <cell r="J16"/>
          <cell r="K16"/>
          <cell r="L16">
            <v>-14.5</v>
          </cell>
          <cell r="M16"/>
          <cell r="N16"/>
          <cell r="O16"/>
          <cell r="P16"/>
          <cell r="Q16">
            <v>-13.160000421277346</v>
          </cell>
          <cell r="R16">
            <v>-15.268563929292895</v>
          </cell>
          <cell r="S16">
            <v>-15.808552587194526</v>
          </cell>
          <cell r="T16">
            <v>-13.987985333008055</v>
          </cell>
          <cell r="U16">
            <v>-13.549085832954006</v>
          </cell>
        </row>
        <row r="17">
          <cell r="B17" t="str">
            <v>Total operating expense (incl. D&amp;A)</v>
          </cell>
          <cell r="C17" t="str">
            <v>TOT_OPS_EXP_DDA</v>
          </cell>
          <cell r="D17" t="str">
            <v>EUR</v>
          </cell>
          <cell r="F17">
            <v>-1076.2</v>
          </cell>
          <cell r="G17">
            <v>-1227.7</v>
          </cell>
          <cell r="H17"/>
          <cell r="I17"/>
          <cell r="J17"/>
          <cell r="K17"/>
          <cell r="L17">
            <v>-1313.6000000000001</v>
          </cell>
          <cell r="M17"/>
          <cell r="N17"/>
          <cell r="O17"/>
          <cell r="P17"/>
          <cell r="Q17">
            <v>-1432.4525610352284</v>
          </cell>
          <cell r="R17">
            <v>-1615.6968239023313</v>
          </cell>
          <cell r="S17">
            <v>-1823.124900540141</v>
          </cell>
          <cell r="T17">
            <v>-2035.8996198665322</v>
          </cell>
          <cell r="U17">
            <v>-2259.6835991552375</v>
          </cell>
        </row>
        <row r="18">
          <cell r="B18" t="str">
            <v>Total operating expense (excl. D&amp;A)</v>
          </cell>
          <cell r="C18" t="str">
            <v>TOT_OPS_EXP</v>
          </cell>
          <cell r="D18" t="str">
            <v>EUR</v>
          </cell>
          <cell r="F18">
            <v>-1035.8000000000002</v>
          </cell>
          <cell r="G18">
            <v>-1202.4000000000001</v>
          </cell>
          <cell r="H18"/>
          <cell r="I18"/>
          <cell r="J18"/>
          <cell r="K18"/>
          <cell r="L18">
            <v>-1260.9000000000001</v>
          </cell>
          <cell r="M18"/>
          <cell r="N18"/>
          <cell r="O18"/>
          <cell r="P18"/>
          <cell r="Q18">
            <v>-1373.2325591394797</v>
          </cell>
          <cell r="R18">
            <v>-1546.9882862205136</v>
          </cell>
          <cell r="S18">
            <v>-1744.0821376041686</v>
          </cell>
          <cell r="T18">
            <v>-1947.9751406304827</v>
          </cell>
          <cell r="U18">
            <v>-2162.5818173524017</v>
          </cell>
        </row>
        <row r="19">
          <cell r="B19" t="str">
            <v>EBITDA</v>
          </cell>
          <cell r="C19" t="str">
            <v>EBITDA_CALC</v>
          </cell>
          <cell r="D19" t="str">
            <v>EUR</v>
          </cell>
          <cell r="F19">
            <v>-148.90000000000009</v>
          </cell>
          <cell r="G19">
            <v>-107.39999999999998</v>
          </cell>
          <cell r="H19"/>
          <cell r="I19"/>
          <cell r="J19"/>
          <cell r="K19"/>
          <cell r="L19">
            <v>-104.99999999999999</v>
          </cell>
          <cell r="M19"/>
          <cell r="N19"/>
          <cell r="O19"/>
          <cell r="P19"/>
          <cell r="Q19">
            <v>-57.232517011729925</v>
          </cell>
          <cell r="R19">
            <v>-20.131893291234533</v>
          </cell>
          <cell r="S19">
            <v>12.423705417438224</v>
          </cell>
          <cell r="T19">
            <v>50.308478370641723</v>
          </cell>
          <cell r="U19">
            <v>95.599154806567583</v>
          </cell>
        </row>
        <row r="20">
          <cell r="B20" t="str">
            <v>Depreciation</v>
          </cell>
          <cell r="C20" t="str">
            <v>DEPREC</v>
          </cell>
          <cell r="D20" t="str">
            <v>EUR</v>
          </cell>
          <cell r="F20">
            <v>-40.400000000000006</v>
          </cell>
          <cell r="G20">
            <v>-25.300000000000011</v>
          </cell>
          <cell r="H20"/>
          <cell r="I20"/>
          <cell r="J20"/>
          <cell r="K20"/>
          <cell r="L20">
            <v>-52.7</v>
          </cell>
          <cell r="M20"/>
          <cell r="N20"/>
          <cell r="O20"/>
          <cell r="P20"/>
          <cell r="Q20">
            <v>-59.220001895748737</v>
          </cell>
          <cell r="R20">
            <v>-68.70853768181756</v>
          </cell>
          <cell r="S20">
            <v>-79.042762935972306</v>
          </cell>
          <cell r="T20">
            <v>-87.924479236049464</v>
          </cell>
          <cell r="U20">
            <v>-97.101781802835674</v>
          </cell>
        </row>
        <row r="21">
          <cell r="B21" t="str">
            <v>Amortization</v>
          </cell>
          <cell r="C21" t="str">
            <v>GOODWILL_AMORT</v>
          </cell>
          <cell r="D21" t="str">
            <v>EUR</v>
          </cell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</row>
        <row r="22">
          <cell r="B22" t="str">
            <v>EBIT, operating profit</v>
          </cell>
          <cell r="C22" t="str">
            <v>EBIT</v>
          </cell>
          <cell r="D22" t="str">
            <v>EUR</v>
          </cell>
          <cell r="F22">
            <v>-189.3000000000001</v>
          </cell>
          <cell r="G22">
            <v>-132.69999999999999</v>
          </cell>
          <cell r="H22"/>
          <cell r="I22"/>
          <cell r="J22"/>
          <cell r="K22"/>
          <cell r="L22">
            <v>-157.69999999999999</v>
          </cell>
          <cell r="M22"/>
          <cell r="N22"/>
          <cell r="O22"/>
          <cell r="P22"/>
          <cell r="Q22">
            <v>-116.45251890747866</v>
          </cell>
          <cell r="R22">
            <v>-88.840430973052094</v>
          </cell>
          <cell r="S22">
            <v>-66.619057518534078</v>
          </cell>
          <cell r="T22">
            <v>-37.616000865407742</v>
          </cell>
          <cell r="U22">
            <v>-1.5026269962680878</v>
          </cell>
        </row>
        <row r="23">
          <cell r="B23" t="str">
            <v>Interest income</v>
          </cell>
          <cell r="C23" t="str">
            <v>INT_INC_IND</v>
          </cell>
          <cell r="D23" t="str">
            <v>EUR</v>
          </cell>
          <cell r="F23">
            <v>0</v>
          </cell>
          <cell r="G23">
            <v>8.5</v>
          </cell>
          <cell r="H23"/>
          <cell r="I23"/>
          <cell r="J23"/>
          <cell r="K23"/>
          <cell r="L23">
            <v>2.4</v>
          </cell>
          <cell r="M23"/>
          <cell r="N23"/>
          <cell r="O23"/>
          <cell r="P23"/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</row>
        <row r="24">
          <cell r="B24" t="str">
            <v>Interest expense</v>
          </cell>
          <cell r="C24" t="str">
            <v>INT_EXP_IND</v>
          </cell>
          <cell r="D24" t="str">
            <v>EUR</v>
          </cell>
          <cell r="F24">
            <v>0</v>
          </cell>
          <cell r="G24">
            <v>-20.100000000000001</v>
          </cell>
          <cell r="H24"/>
          <cell r="I24"/>
          <cell r="J24"/>
          <cell r="K24"/>
          <cell r="L24">
            <v>-32.299999999999997</v>
          </cell>
          <cell r="M24"/>
          <cell r="N24"/>
          <cell r="O24"/>
          <cell r="P24"/>
          <cell r="Q24">
            <v>-20</v>
          </cell>
          <cell r="R24">
            <v>-12</v>
          </cell>
          <cell r="S24">
            <v>-12</v>
          </cell>
          <cell r="T24">
            <v>-12</v>
          </cell>
          <cell r="U24">
            <v>-12</v>
          </cell>
        </row>
        <row r="25">
          <cell r="B25" t="str">
            <v>Net interest income/(expense)</v>
          </cell>
          <cell r="C25" t="str">
            <v>NET_INT_EXP</v>
          </cell>
          <cell r="D25" t="str">
            <v>EUR</v>
          </cell>
          <cell r="F25">
            <v>0</v>
          </cell>
          <cell r="G25">
            <v>-11.600000000000001</v>
          </cell>
          <cell r="H25"/>
          <cell r="I25"/>
          <cell r="J25"/>
          <cell r="K25"/>
          <cell r="L25">
            <v>-29.9</v>
          </cell>
          <cell r="M25"/>
          <cell r="N25"/>
          <cell r="O25"/>
          <cell r="P25"/>
          <cell r="Q25">
            <v>-19</v>
          </cell>
          <cell r="R25">
            <v>-11</v>
          </cell>
          <cell r="S25">
            <v>-11</v>
          </cell>
          <cell r="T25">
            <v>-11</v>
          </cell>
          <cell r="U25">
            <v>-11</v>
          </cell>
        </row>
        <row r="26">
          <cell r="B26" t="str">
            <v>Income/(loss) from unconsolidated subs &amp; associates</v>
          </cell>
          <cell r="C26" t="str">
            <v>ASSOCIATE</v>
          </cell>
          <cell r="D26" t="str">
            <v>EUR</v>
          </cell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</row>
        <row r="27">
          <cell r="B27" t="str">
            <v>Profit/(loss) on disposals of assets, pre-tax</v>
          </cell>
          <cell r="C27" t="str">
            <v>PROFIT_ON_DISP</v>
          </cell>
          <cell r="D27" t="str">
            <v>EUR</v>
          </cell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</row>
        <row r="28">
          <cell r="B28" t="str">
            <v>Other non-ops income/(expense)</v>
          </cell>
          <cell r="C28" t="str">
            <v>OTH_COST_INC</v>
          </cell>
          <cell r="D28" t="str">
            <v>EUR</v>
          </cell>
          <cell r="F28">
            <v>0</v>
          </cell>
          <cell r="G28">
            <v>-2.0999999999999996</v>
          </cell>
          <cell r="H28"/>
          <cell r="I28"/>
          <cell r="J28"/>
          <cell r="K28"/>
          <cell r="L28">
            <v>-9.1</v>
          </cell>
          <cell r="M28"/>
          <cell r="N28"/>
          <cell r="O28"/>
          <cell r="P28"/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B29" t="str">
            <v>Pre-tax profit</v>
          </cell>
          <cell r="C29" t="str">
            <v>PT_PROF</v>
          </cell>
          <cell r="D29" t="str">
            <v>EUR</v>
          </cell>
          <cell r="F29">
            <v>-189.3000000000001</v>
          </cell>
          <cell r="G29">
            <v>-146.39999999999998</v>
          </cell>
          <cell r="H29"/>
          <cell r="I29"/>
          <cell r="J29"/>
          <cell r="K29"/>
          <cell r="L29">
            <v>-196.7</v>
          </cell>
          <cell r="M29"/>
          <cell r="N29"/>
          <cell r="O29"/>
          <cell r="P29"/>
          <cell r="Q29">
            <v>-135.45251890747866</v>
          </cell>
          <cell r="R29">
            <v>-99.840430973052094</v>
          </cell>
          <cell r="S29">
            <v>-77.619057518534078</v>
          </cell>
          <cell r="T29">
            <v>-48.616000865407742</v>
          </cell>
          <cell r="U29">
            <v>-12.502626996268088</v>
          </cell>
        </row>
        <row r="30">
          <cell r="A30" t="str">
            <v>Additional Income Statement Items</v>
          </cell>
          <cell r="B30"/>
          <cell r="C30"/>
          <cell r="D30"/>
        </row>
        <row r="31">
          <cell r="B31" t="str">
            <v>Organic revenues (excl. acquisitions)</v>
          </cell>
          <cell r="C31" t="str">
            <v>ORG_REV</v>
          </cell>
          <cell r="D31" t="str">
            <v>EUR</v>
          </cell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</row>
        <row r="32">
          <cell r="B32" t="str">
            <v>Organic sales growth (excl. acquisitions)</v>
          </cell>
          <cell r="C32" t="str">
            <v>ORG_REV_GRTH</v>
          </cell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</row>
        <row r="33">
          <cell r="B33" t="str">
            <v>Operating lease cost</v>
          </cell>
          <cell r="C33" t="str">
            <v>LEASE_PAY</v>
          </cell>
          <cell r="D33" t="str">
            <v>EUR</v>
          </cell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</row>
        <row r="34">
          <cell r="B34" t="str">
            <v>Lease payments (deemed interest portion)</v>
          </cell>
          <cell r="C34" t="str">
            <v>LEASE_DEEM_INT</v>
          </cell>
          <cell r="D34" t="str">
            <v>EUR</v>
          </cell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</row>
        <row r="35">
          <cell r="B35" t="str">
            <v>Lease payments (deemed depreciation portion)</v>
          </cell>
          <cell r="C35" t="str">
            <v>LEASE_DEEM_DEPR</v>
          </cell>
          <cell r="D35" t="str">
            <v>EUR</v>
          </cell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</row>
        <row r="36">
          <cell r="B36" t="str">
            <v>Gross interest charge</v>
          </cell>
          <cell r="C36" t="str">
            <v>NET_INT_CH</v>
          </cell>
          <cell r="D36" t="str">
            <v>EUR</v>
          </cell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</row>
        <row r="37">
          <cell r="B37" t="str">
            <v>Income from associates (operating)</v>
          </cell>
          <cell r="C37" t="str">
            <v>ASSOCIATE_OP</v>
          </cell>
          <cell r="D37" t="str">
            <v>EUR</v>
          </cell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</row>
        <row r="38">
          <cell r="B38" t="str">
            <v>Goodwill amortization</v>
          </cell>
          <cell r="C38" t="str">
            <v>GW_AMORT</v>
          </cell>
          <cell r="D38" t="str">
            <v>EUR</v>
          </cell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</row>
        <row r="39">
          <cell r="B39" t="str">
            <v>Other intangible amortization</v>
          </cell>
          <cell r="C39" t="str">
            <v>OTH_INT_AMORT</v>
          </cell>
          <cell r="D39" t="str">
            <v>EUR</v>
          </cell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</row>
        <row r="40">
          <cell r="B40" t="str">
            <v>Depreciation ROU assets   (applicable to IFRS cos.)</v>
          </cell>
          <cell r="C40" t="str">
            <v>DEPR_ROU_ASSETS</v>
          </cell>
          <cell r="D40" t="str">
            <v>EUR</v>
          </cell>
          <cell r="F40">
            <v>0</v>
          </cell>
          <cell r="G40">
            <v>0</v>
          </cell>
          <cell r="H40"/>
          <cell r="I40"/>
          <cell r="J40"/>
          <cell r="K40"/>
          <cell r="L40">
            <v>0</v>
          </cell>
          <cell r="M40"/>
          <cell r="N40"/>
          <cell r="O40"/>
          <cell r="P40"/>
          <cell r="Q40">
            <v>-19.740000631916246</v>
          </cell>
          <cell r="R40">
            <v>-22.902845893939187</v>
          </cell>
          <cell r="S40">
            <v>-26.347587645324101</v>
          </cell>
          <cell r="T40">
            <v>-29.974254285016865</v>
          </cell>
          <cell r="U40">
            <v>-33.872714582384539</v>
          </cell>
        </row>
        <row r="41">
          <cell r="B41" t="str">
            <v>Lease interest charge  (applicable to IFRS cos.)</v>
          </cell>
          <cell r="C41" t="str">
            <v>LEASE_INT_CHG</v>
          </cell>
          <cell r="D41" t="str">
            <v>EUR</v>
          </cell>
          <cell r="F41">
            <v>0</v>
          </cell>
          <cell r="G41">
            <v>0</v>
          </cell>
          <cell r="H41"/>
          <cell r="I41"/>
          <cell r="J41"/>
          <cell r="K41"/>
          <cell r="L41">
            <v>-20.2</v>
          </cell>
          <cell r="M41"/>
          <cell r="N41"/>
          <cell r="O41"/>
          <cell r="P41"/>
          <cell r="Q41">
            <v>-2.6320000842555018</v>
          </cell>
          <cell r="R41">
            <v>-3.0537127858585578</v>
          </cell>
          <cell r="S41">
            <v>-3.5130116860432175</v>
          </cell>
          <cell r="T41">
            <v>-3.9965672380022532</v>
          </cell>
          <cell r="U41">
            <v>-4.5163619443179428</v>
          </cell>
        </row>
        <row r="42">
          <cell r="B42" t="str">
            <v>Lease standard adopted (US GAAP ASC 842/ IFRS 16)</v>
          </cell>
          <cell r="C42" t="str">
            <v>LEASE_ADOPT</v>
          </cell>
          <cell r="E42" t="str">
            <v>Y</v>
          </cell>
        </row>
        <row r="43">
          <cell r="A43" t="str">
            <v>Balance Sheet</v>
          </cell>
          <cell r="B43"/>
          <cell r="C43"/>
          <cell r="D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</row>
        <row r="44">
          <cell r="B44" t="str">
            <v>Cash &amp; cash equivalents</v>
          </cell>
          <cell r="C44" t="str">
            <v>CASH_EQ</v>
          </cell>
          <cell r="D44" t="str">
            <v>EUR</v>
          </cell>
          <cell r="F44"/>
          <cell r="G44">
            <v>251.4</v>
          </cell>
          <cell r="H44"/>
          <cell r="I44"/>
          <cell r="J44"/>
          <cell r="K44"/>
          <cell r="L44">
            <v>105</v>
          </cell>
          <cell r="M44"/>
          <cell r="N44"/>
          <cell r="O44"/>
          <cell r="P44"/>
          <cell r="Q44">
            <v>263.80886257879979</v>
          </cell>
          <cell r="R44">
            <v>130.11007462075634</v>
          </cell>
          <cell r="S44">
            <v>62.74019643580624</v>
          </cell>
          <cell r="T44">
            <v>21.961178945628141</v>
          </cell>
          <cell r="U44">
            <v>25.208104980091605</v>
          </cell>
        </row>
        <row r="45">
          <cell r="B45" t="str">
            <v>Accounts receivable</v>
          </cell>
          <cell r="C45" t="str">
            <v>DEBTORS</v>
          </cell>
          <cell r="D45" t="str">
            <v>EUR</v>
          </cell>
          <cell r="F45"/>
          <cell r="G45">
            <v>48.1</v>
          </cell>
          <cell r="H45"/>
          <cell r="I45"/>
          <cell r="J45"/>
          <cell r="K45"/>
          <cell r="L45">
            <v>55.2</v>
          </cell>
          <cell r="M45"/>
          <cell r="N45"/>
          <cell r="O45"/>
          <cell r="P45"/>
          <cell r="Q45">
            <v>62.845576888529962</v>
          </cell>
          <cell r="R45">
            <v>72.915021100178393</v>
          </cell>
          <cell r="S45">
            <v>83.881929695296037</v>
          </cell>
          <cell r="T45">
            <v>95.428026445940006</v>
          </cell>
          <cell r="U45">
            <v>107.83942353419421</v>
          </cell>
        </row>
        <row r="46">
          <cell r="B46" t="str">
            <v>Inventory</v>
          </cell>
          <cell r="C46" t="str">
            <v>STOCKS</v>
          </cell>
          <cell r="D46" t="str">
            <v>EUR</v>
          </cell>
          <cell r="F46"/>
          <cell r="G46">
            <v>172</v>
          </cell>
          <cell r="H46"/>
          <cell r="I46"/>
          <cell r="J46"/>
          <cell r="K46"/>
          <cell r="L46">
            <v>186.1</v>
          </cell>
          <cell r="M46"/>
          <cell r="N46"/>
          <cell r="O46"/>
          <cell r="P46"/>
          <cell r="Q46">
            <v>211.87612063325045</v>
          </cell>
          <cell r="R46">
            <v>245.82401135404342</v>
          </cell>
          <cell r="S46">
            <v>282.79759268649622</v>
          </cell>
          <cell r="T46">
            <v>321.7238355360405</v>
          </cell>
          <cell r="U46">
            <v>363.56733187886852</v>
          </cell>
        </row>
        <row r="47">
          <cell r="B47" t="str">
            <v>Other current assets</v>
          </cell>
          <cell r="C47" t="str">
            <v>OTH_CUR_ASS</v>
          </cell>
          <cell r="D47" t="str">
            <v>EUR</v>
          </cell>
          <cell r="F47"/>
          <cell r="G47">
            <v>66.900000000000006</v>
          </cell>
          <cell r="H47"/>
          <cell r="I47"/>
          <cell r="J47"/>
          <cell r="K47"/>
          <cell r="L47">
            <v>69.8</v>
          </cell>
          <cell r="M47"/>
          <cell r="N47"/>
          <cell r="O47"/>
          <cell r="P47"/>
          <cell r="Q47">
            <v>69.8</v>
          </cell>
          <cell r="R47">
            <v>69.8</v>
          </cell>
          <cell r="S47">
            <v>69.8</v>
          </cell>
          <cell r="T47">
            <v>69.8</v>
          </cell>
          <cell r="U47">
            <v>69.8</v>
          </cell>
        </row>
        <row r="48">
          <cell r="B48" t="str">
            <v>Total current assets</v>
          </cell>
          <cell r="C48" t="str">
            <v>CUR_ASS</v>
          </cell>
          <cell r="D48" t="str">
            <v>EUR</v>
          </cell>
          <cell r="F48"/>
          <cell r="G48">
            <v>538.4</v>
          </cell>
          <cell r="H48"/>
          <cell r="I48"/>
          <cell r="J48"/>
          <cell r="K48"/>
          <cell r="L48">
            <v>416.09999999999997</v>
          </cell>
          <cell r="M48"/>
          <cell r="N48"/>
          <cell r="O48"/>
          <cell r="P48"/>
          <cell r="Q48">
            <v>608.33056010058021</v>
          </cell>
          <cell r="R48">
            <v>518.64910707497813</v>
          </cell>
          <cell r="S48">
            <v>499.2197188175985</v>
          </cell>
          <cell r="T48">
            <v>508.91304092760862</v>
          </cell>
          <cell r="U48">
            <v>566.4148603931543</v>
          </cell>
        </row>
        <row r="49">
          <cell r="B49" t="str">
            <v>Gross fixed assets, PP&amp;E</v>
          </cell>
          <cell r="C49" t="str">
            <v>GR_FIX_ASS</v>
          </cell>
          <cell r="D49" t="str">
            <v>EUR</v>
          </cell>
          <cell r="F49"/>
          <cell r="G49">
            <v>132.20000000000002</v>
          </cell>
          <cell r="H49"/>
          <cell r="I49"/>
          <cell r="J49"/>
          <cell r="K49"/>
          <cell r="L49">
            <v>188.5</v>
          </cell>
          <cell r="M49"/>
          <cell r="N49"/>
          <cell r="O49"/>
          <cell r="P49"/>
          <cell r="Q49">
            <v>298.24000063191625</v>
          </cell>
          <cell r="R49">
            <v>411.14284652585548</v>
          </cell>
          <cell r="S49">
            <v>490.18560946182777</v>
          </cell>
          <cell r="T49">
            <v>580.10837231687833</v>
          </cell>
          <cell r="U49">
            <v>670.43561120323716</v>
          </cell>
        </row>
        <row r="50">
          <cell r="B50" t="str">
            <v>Accumulated depreciation</v>
          </cell>
          <cell r="C50" t="str">
            <v>ACC_DDA</v>
          </cell>
          <cell r="D50" t="str">
            <v>EUR</v>
          </cell>
          <cell r="F50">
            <v>-40.400000000000006</v>
          </cell>
          <cell r="G50">
            <v>-65.700000000000017</v>
          </cell>
          <cell r="H50"/>
          <cell r="I50"/>
          <cell r="J50"/>
          <cell r="K50"/>
          <cell r="L50">
            <v>-118.40000000000002</v>
          </cell>
          <cell r="M50"/>
          <cell r="N50"/>
          <cell r="O50"/>
          <cell r="P50"/>
          <cell r="Q50">
            <v>-177.62000189574877</v>
          </cell>
          <cell r="R50">
            <v>-246.32853957756635</v>
          </cell>
          <cell r="S50">
            <v>-325.37130251353864</v>
          </cell>
          <cell r="T50">
            <v>-413.29578174958812</v>
          </cell>
          <cell r="U50">
            <v>-510.39756355242378</v>
          </cell>
        </row>
        <row r="51">
          <cell r="B51" t="str">
            <v>Net PP&amp;E</v>
          </cell>
          <cell r="C51" t="str">
            <v>NET_FIX_ASS</v>
          </cell>
          <cell r="D51" t="str">
            <v>EUR</v>
          </cell>
          <cell r="F51"/>
          <cell r="G51">
            <v>66.5</v>
          </cell>
          <cell r="H51"/>
          <cell r="I51"/>
          <cell r="J51"/>
          <cell r="K51"/>
          <cell r="L51">
            <v>70.099999999999994</v>
          </cell>
          <cell r="M51"/>
          <cell r="N51"/>
          <cell r="O51"/>
          <cell r="P51"/>
          <cell r="Q51">
            <v>120.6199987361675</v>
          </cell>
          <cell r="R51">
            <v>164.81430694828913</v>
          </cell>
          <cell r="S51">
            <v>164.81430694828913</v>
          </cell>
          <cell r="T51">
            <v>166.81259056729027</v>
          </cell>
          <cell r="U51">
            <v>160.03804765081338</v>
          </cell>
        </row>
        <row r="52">
          <cell r="B52" t="str">
            <v>Gross intangibles</v>
          </cell>
          <cell r="C52" t="str">
            <v>GR_INTANG</v>
          </cell>
          <cell r="D52" t="str">
            <v>EUR</v>
          </cell>
          <cell r="F52"/>
          <cell r="G52">
            <v>353.1</v>
          </cell>
          <cell r="H52"/>
          <cell r="I52"/>
          <cell r="J52"/>
          <cell r="K52"/>
          <cell r="L52">
            <v>321.79999999999995</v>
          </cell>
          <cell r="M52"/>
          <cell r="N52"/>
          <cell r="O52"/>
          <cell r="P52"/>
          <cell r="Q52">
            <v>321.79999999999995</v>
          </cell>
          <cell r="R52">
            <v>321.79999999999995</v>
          </cell>
          <cell r="S52">
            <v>321.79999999999995</v>
          </cell>
          <cell r="T52">
            <v>321.79999999999995</v>
          </cell>
          <cell r="U52">
            <v>321.79999999999995</v>
          </cell>
        </row>
        <row r="53">
          <cell r="B53" t="str">
            <v>Accumulated amortization</v>
          </cell>
          <cell r="C53" t="str">
            <v>ACC_AMORT</v>
          </cell>
          <cell r="D53" t="str">
            <v>EUR</v>
          </cell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</row>
        <row r="54">
          <cell r="B54" t="str">
            <v>Net intangible assets</v>
          </cell>
          <cell r="C54" t="str">
            <v>NET_INTANG</v>
          </cell>
          <cell r="D54" t="str">
            <v>EUR</v>
          </cell>
          <cell r="F54"/>
          <cell r="G54">
            <v>353.1</v>
          </cell>
          <cell r="H54"/>
          <cell r="I54"/>
          <cell r="J54"/>
          <cell r="K54"/>
          <cell r="L54">
            <v>321.79999999999995</v>
          </cell>
          <cell r="M54"/>
          <cell r="N54"/>
          <cell r="O54"/>
          <cell r="P54"/>
          <cell r="Q54">
            <v>321.79999999999995</v>
          </cell>
          <cell r="R54">
            <v>321.79999999999995</v>
          </cell>
          <cell r="S54">
            <v>321.79999999999995</v>
          </cell>
          <cell r="T54">
            <v>321.79999999999995</v>
          </cell>
          <cell r="U54">
            <v>321.79999999999995</v>
          </cell>
        </row>
        <row r="55">
          <cell r="B55" t="str">
            <v>Equity method investments</v>
          </cell>
          <cell r="C55" t="str">
            <v>FIX_ASS_INV</v>
          </cell>
          <cell r="D55" t="str">
            <v>EUR</v>
          </cell>
          <cell r="F55"/>
          <cell r="G55">
            <v>116.4</v>
          </cell>
          <cell r="H55"/>
          <cell r="I55"/>
          <cell r="J55"/>
          <cell r="K55"/>
          <cell r="L55">
            <v>107.9</v>
          </cell>
          <cell r="M55"/>
          <cell r="N55"/>
          <cell r="O55"/>
          <cell r="P55"/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B56" t="str">
            <v>Investments in securities</v>
          </cell>
          <cell r="C56" t="str">
            <v>INV_SECUR</v>
          </cell>
          <cell r="D56" t="str">
            <v>EUR</v>
          </cell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</row>
        <row r="57">
          <cell r="B57" t="str">
            <v>Other long-term assets</v>
          </cell>
          <cell r="C57" t="str">
            <v>OTH_LT_ASS</v>
          </cell>
          <cell r="D57" t="str">
            <v>EUR</v>
          </cell>
          <cell r="F57"/>
          <cell r="G57">
            <v>26</v>
          </cell>
          <cell r="H57"/>
          <cell r="I57"/>
          <cell r="J57"/>
          <cell r="K57"/>
          <cell r="L57">
            <v>39.500000000000007</v>
          </cell>
          <cell r="M57"/>
          <cell r="N57"/>
          <cell r="O57"/>
          <cell r="P57"/>
          <cell r="Q57">
            <v>104.5</v>
          </cell>
          <cell r="R57">
            <v>104.5</v>
          </cell>
          <cell r="S57">
            <v>104.5</v>
          </cell>
          <cell r="T57">
            <v>104.5</v>
          </cell>
          <cell r="U57">
            <v>104.5</v>
          </cell>
        </row>
        <row r="58">
          <cell r="B58" t="str">
            <v>Total assets</v>
          </cell>
          <cell r="C58" t="str">
            <v>TOT_ASSET</v>
          </cell>
          <cell r="D58" t="str">
            <v>EUR</v>
          </cell>
          <cell r="F58"/>
          <cell r="G58">
            <v>1100.4000000000001</v>
          </cell>
          <cell r="H58"/>
          <cell r="I58"/>
          <cell r="J58"/>
          <cell r="K58"/>
          <cell r="L58">
            <v>955.39999999999986</v>
          </cell>
          <cell r="M58"/>
          <cell r="N58"/>
          <cell r="O58"/>
          <cell r="P58"/>
          <cell r="Q58">
            <v>1155.2505588367476</v>
          </cell>
          <cell r="R58">
            <v>1109.7634140232672</v>
          </cell>
          <cell r="S58">
            <v>1090.3340257658876</v>
          </cell>
          <cell r="T58">
            <v>1102.0256314948988</v>
          </cell>
          <cell r="U58">
            <v>1152.7529080439676</v>
          </cell>
        </row>
        <row r="59">
          <cell r="B59" t="str">
            <v>Accounts payable</v>
          </cell>
          <cell r="C59" t="str">
            <v>ACC_PAY_GQ</v>
          </cell>
          <cell r="D59" t="str">
            <v>EUR</v>
          </cell>
          <cell r="F59"/>
          <cell r="G59">
            <v>220.8</v>
          </cell>
          <cell r="H59"/>
          <cell r="I59"/>
          <cell r="J59"/>
          <cell r="K59"/>
          <cell r="L59">
            <v>251.6</v>
          </cell>
          <cell r="M59"/>
          <cell r="N59"/>
          <cell r="O59"/>
          <cell r="P59"/>
          <cell r="Q59">
            <v>286.44831784699522</v>
          </cell>
          <cell r="R59">
            <v>332.34455269574062</v>
          </cell>
          <cell r="S59">
            <v>382.33140419087829</v>
          </cell>
          <cell r="T59">
            <v>434.95817851084252</v>
          </cell>
          <cell r="U59">
            <v>491.52896668846495</v>
          </cell>
        </row>
        <row r="60">
          <cell r="B60" t="str">
            <v>Short-term debt</v>
          </cell>
          <cell r="C60" t="str">
            <v>SHORT_T_DEBT</v>
          </cell>
          <cell r="D60" t="str">
            <v>EUR</v>
          </cell>
          <cell r="F60"/>
          <cell r="G60">
            <v>2.5</v>
          </cell>
          <cell r="H60"/>
          <cell r="I60"/>
          <cell r="J60"/>
          <cell r="K60"/>
          <cell r="L60">
            <v>2.5</v>
          </cell>
          <cell r="M60"/>
          <cell r="N60"/>
          <cell r="O60"/>
          <cell r="P60"/>
          <cell r="Q60">
            <v>2.5</v>
          </cell>
          <cell r="R60">
            <v>2.5</v>
          </cell>
          <cell r="S60">
            <v>2.5</v>
          </cell>
          <cell r="T60">
            <v>2.5</v>
          </cell>
          <cell r="U60">
            <v>2.5</v>
          </cell>
        </row>
        <row r="61">
          <cell r="B61" t="str">
            <v>Current lease liabilities (op lease: US GAAP)</v>
          </cell>
          <cell r="C61" t="str">
            <v>ST_LEASE_LIAB</v>
          </cell>
          <cell r="D61" t="str">
            <v>EUR</v>
          </cell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>
            <v>20</v>
          </cell>
          <cell r="R61">
            <v>20</v>
          </cell>
          <cell r="S61">
            <v>20</v>
          </cell>
          <cell r="T61">
            <v>20</v>
          </cell>
          <cell r="U61">
            <v>20</v>
          </cell>
        </row>
        <row r="62">
          <cell r="B62" t="str">
            <v>Other current liabilities</v>
          </cell>
          <cell r="C62" t="str">
            <v>OTH_CUR_LIABS</v>
          </cell>
          <cell r="D62" t="str">
            <v>EUR</v>
          </cell>
          <cell r="F62"/>
          <cell r="G62">
            <v>68.300000000000011</v>
          </cell>
          <cell r="H62"/>
          <cell r="I62"/>
          <cell r="J62"/>
          <cell r="K62"/>
          <cell r="L62">
            <v>62.800000000000004</v>
          </cell>
          <cell r="M62"/>
          <cell r="N62"/>
          <cell r="O62"/>
          <cell r="P62"/>
          <cell r="Q62">
            <v>62.800000000000004</v>
          </cell>
          <cell r="R62">
            <v>62.800000000000004</v>
          </cell>
          <cell r="S62">
            <v>62.800000000000004</v>
          </cell>
          <cell r="T62">
            <v>62.800000000000004</v>
          </cell>
          <cell r="U62">
            <v>62.800000000000004</v>
          </cell>
        </row>
        <row r="63">
          <cell r="B63" t="str">
            <v>Total current liabilities</v>
          </cell>
          <cell r="C63" t="str">
            <v>SHORT_TERM_LIABS</v>
          </cell>
          <cell r="D63" t="str">
            <v>EUR</v>
          </cell>
          <cell r="F63"/>
          <cell r="G63">
            <v>291.60000000000002</v>
          </cell>
          <cell r="H63"/>
          <cell r="I63"/>
          <cell r="J63"/>
          <cell r="K63"/>
          <cell r="L63">
            <v>316.89999999999998</v>
          </cell>
          <cell r="M63"/>
          <cell r="N63"/>
          <cell r="O63"/>
          <cell r="P63"/>
          <cell r="Q63">
            <v>371.74831784699523</v>
          </cell>
          <cell r="R63">
            <v>417.64455269574063</v>
          </cell>
          <cell r="S63">
            <v>467.6314041908783</v>
          </cell>
          <cell r="T63">
            <v>520.25817851084253</v>
          </cell>
          <cell r="U63">
            <v>576.8289666884649</v>
          </cell>
        </row>
        <row r="64">
          <cell r="B64" t="str">
            <v>Long-term  debt</v>
          </cell>
          <cell r="C64" t="str">
            <v>LT_DEBT</v>
          </cell>
          <cell r="D64" t="str">
            <v>EUR</v>
          </cell>
          <cell r="F64"/>
          <cell r="G64">
            <v>4.0999999999999996</v>
          </cell>
          <cell r="H64"/>
          <cell r="I64"/>
          <cell r="J64"/>
          <cell r="K64"/>
          <cell r="L64">
            <v>4</v>
          </cell>
          <cell r="M64"/>
          <cell r="N64"/>
          <cell r="O64"/>
          <cell r="P64"/>
          <cell r="Q64">
            <v>4</v>
          </cell>
          <cell r="R64">
            <v>4</v>
          </cell>
          <cell r="S64">
            <v>4</v>
          </cell>
          <cell r="T64">
            <v>4</v>
          </cell>
          <cell r="U64">
            <v>4</v>
          </cell>
        </row>
        <row r="65">
          <cell r="B65" t="str">
            <v>Non-current lease liabilities (op lease: US GAAP)</v>
          </cell>
          <cell r="C65" t="str">
            <v>LT_LEASE_LIAB</v>
          </cell>
          <cell r="D65" t="str">
            <v>EUR</v>
          </cell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>
            <v>80</v>
          </cell>
          <cell r="R65">
            <v>80</v>
          </cell>
          <cell r="S65">
            <v>80</v>
          </cell>
          <cell r="T65">
            <v>80</v>
          </cell>
          <cell r="U65">
            <v>80</v>
          </cell>
        </row>
        <row r="66">
          <cell r="B66" t="str">
            <v>Other long-term liabilities</v>
          </cell>
          <cell r="C66" t="str">
            <v>OTH_LT_CRED_GQ</v>
          </cell>
          <cell r="D66" t="str">
            <v>EUR</v>
          </cell>
          <cell r="F66"/>
          <cell r="G66">
            <v>11.3</v>
          </cell>
          <cell r="H66"/>
          <cell r="I66"/>
          <cell r="J66"/>
          <cell r="K66"/>
          <cell r="L66">
            <v>30.7</v>
          </cell>
          <cell r="M66"/>
          <cell r="N66"/>
          <cell r="O66"/>
          <cell r="P66"/>
          <cell r="Q66">
            <v>30.7</v>
          </cell>
          <cell r="R66">
            <v>30.7</v>
          </cell>
          <cell r="S66">
            <v>30.7</v>
          </cell>
          <cell r="T66">
            <v>30.7</v>
          </cell>
          <cell r="U66">
            <v>30.7</v>
          </cell>
        </row>
        <row r="67">
          <cell r="B67" t="str">
            <v>Total long-term liabilities</v>
          </cell>
          <cell r="C67" t="str">
            <v>TOT_LT_LIAB</v>
          </cell>
          <cell r="D67" t="str">
            <v>EUR</v>
          </cell>
          <cell r="F67"/>
          <cell r="G67">
            <v>15.4</v>
          </cell>
          <cell r="H67"/>
          <cell r="I67"/>
          <cell r="J67"/>
          <cell r="K67"/>
          <cell r="L67">
            <v>34.700000000000003</v>
          </cell>
          <cell r="M67"/>
          <cell r="N67"/>
          <cell r="O67"/>
          <cell r="P67"/>
          <cell r="Q67">
            <v>114.7</v>
          </cell>
          <cell r="R67">
            <v>114.7</v>
          </cell>
          <cell r="S67">
            <v>114.7</v>
          </cell>
          <cell r="T67">
            <v>114.7</v>
          </cell>
          <cell r="U67">
            <v>114.7</v>
          </cell>
        </row>
        <row r="68">
          <cell r="B68" t="str">
            <v>Total liabilities</v>
          </cell>
          <cell r="C68" t="str">
            <v>TOT_LIAB</v>
          </cell>
          <cell r="D68" t="str">
            <v>EUR</v>
          </cell>
          <cell r="F68"/>
          <cell r="G68">
            <v>307</v>
          </cell>
          <cell r="H68"/>
          <cell r="I68"/>
          <cell r="J68"/>
          <cell r="K68"/>
          <cell r="L68">
            <v>351.59999999999997</v>
          </cell>
          <cell r="M68"/>
          <cell r="N68"/>
          <cell r="O68"/>
          <cell r="P68"/>
          <cell r="Q68">
            <v>486.44831784699522</v>
          </cell>
          <cell r="R68">
            <v>532.34455269574062</v>
          </cell>
          <cell r="S68">
            <v>582.33140419087829</v>
          </cell>
          <cell r="T68">
            <v>634.95817851084257</v>
          </cell>
          <cell r="U68">
            <v>691.52896668846495</v>
          </cell>
        </row>
        <row r="69">
          <cell r="B69" t="str">
            <v>Preferred shares</v>
          </cell>
          <cell r="C69" t="str">
            <v>PREF_SH</v>
          </cell>
          <cell r="D69" t="str">
            <v>EUR</v>
          </cell>
          <cell r="F69"/>
          <cell r="G69">
            <v>0.8</v>
          </cell>
          <cell r="H69"/>
          <cell r="I69"/>
          <cell r="J69"/>
          <cell r="K69"/>
          <cell r="L69">
            <v>0.8</v>
          </cell>
          <cell r="M69"/>
          <cell r="N69"/>
          <cell r="O69"/>
          <cell r="P69"/>
          <cell r="Q69">
            <v>0.8</v>
          </cell>
          <cell r="R69">
            <v>0.8</v>
          </cell>
          <cell r="S69">
            <v>0.8</v>
          </cell>
          <cell r="T69">
            <v>0.8</v>
          </cell>
          <cell r="U69">
            <v>0.8</v>
          </cell>
        </row>
        <row r="70">
          <cell r="B70" t="str">
            <v>Total common equity</v>
          </cell>
          <cell r="C70" t="str">
            <v>ORD_SH_FUND</v>
          </cell>
          <cell r="D70" t="str">
            <v>EUR</v>
          </cell>
          <cell r="F70"/>
          <cell r="G70">
            <v>771.09999999999968</v>
          </cell>
          <cell r="H70"/>
          <cell r="I70"/>
          <cell r="J70"/>
          <cell r="K70"/>
          <cell r="L70">
            <v>586.50000000000023</v>
          </cell>
          <cell r="M70"/>
          <cell r="N70"/>
          <cell r="O70"/>
          <cell r="P70"/>
          <cell r="Q70">
            <v>651.50224098975286</v>
          </cell>
          <cell r="R70">
            <v>560.11886132752716</v>
          </cell>
          <cell r="S70">
            <v>490.70262157500969</v>
          </cell>
          <cell r="T70">
            <v>449.76745298405666</v>
          </cell>
          <cell r="U70">
            <v>443.92394135550325</v>
          </cell>
        </row>
        <row r="71">
          <cell r="B71" t="str">
            <v>Minority interest</v>
          </cell>
          <cell r="C71" t="str">
            <v>MINORITIES</v>
          </cell>
          <cell r="D71" t="str">
            <v>EUR</v>
          </cell>
          <cell r="F71"/>
          <cell r="G71">
            <v>21.5</v>
          </cell>
          <cell r="H71"/>
          <cell r="I71"/>
          <cell r="J71"/>
          <cell r="K71"/>
          <cell r="L71">
            <v>16.5</v>
          </cell>
          <cell r="M71"/>
          <cell r="N71"/>
          <cell r="O71"/>
          <cell r="P71"/>
          <cell r="Q71">
            <v>16.5</v>
          </cell>
          <cell r="R71">
            <v>16.5</v>
          </cell>
          <cell r="S71">
            <v>16.5</v>
          </cell>
          <cell r="T71">
            <v>16.5</v>
          </cell>
          <cell r="U71">
            <v>16.5</v>
          </cell>
        </row>
        <row r="72">
          <cell r="B72" t="str">
            <v>Total shareholders' equity</v>
          </cell>
          <cell r="C72" t="str">
            <v>EQ</v>
          </cell>
          <cell r="D72" t="str">
            <v>EUR</v>
          </cell>
          <cell r="F72"/>
          <cell r="G72">
            <v>793.39999999999964</v>
          </cell>
          <cell r="H72"/>
          <cell r="I72"/>
          <cell r="J72"/>
          <cell r="K72"/>
          <cell r="L72">
            <v>603.80000000000018</v>
          </cell>
          <cell r="M72"/>
          <cell r="N72"/>
          <cell r="O72"/>
          <cell r="P72"/>
          <cell r="Q72">
            <v>668.80224098975282</v>
          </cell>
          <cell r="R72">
            <v>577.41886132752711</v>
          </cell>
          <cell r="S72">
            <v>508.0026215750097</v>
          </cell>
          <cell r="T72">
            <v>467.06745298405667</v>
          </cell>
          <cell r="U72">
            <v>461.22394135550326</v>
          </cell>
        </row>
        <row r="73">
          <cell r="B73" t="str">
            <v>Total liabilities and equity</v>
          </cell>
          <cell r="C73" t="str">
            <v>TOT_LIAB_EQ</v>
          </cell>
          <cell r="D73" t="str">
            <v>EUR</v>
          </cell>
          <cell r="F73"/>
          <cell r="G73">
            <v>1100.3999999999996</v>
          </cell>
          <cell r="H73"/>
          <cell r="I73"/>
          <cell r="J73"/>
          <cell r="K73"/>
          <cell r="L73">
            <v>955.40000000000009</v>
          </cell>
          <cell r="M73"/>
          <cell r="N73"/>
          <cell r="O73"/>
          <cell r="P73"/>
          <cell r="Q73">
            <v>1155.250558836748</v>
          </cell>
          <cell r="R73">
            <v>1109.7634140232676</v>
          </cell>
          <cell r="S73">
            <v>1090.3340257658879</v>
          </cell>
          <cell r="T73">
            <v>1102.0256314948992</v>
          </cell>
          <cell r="U73">
            <v>1152.7529080439681</v>
          </cell>
        </row>
        <row r="74">
          <cell r="A74" t="str">
            <v>Additional Balance Sheet Items</v>
          </cell>
          <cell r="B74"/>
          <cell r="C74"/>
          <cell r="D74"/>
          <cell r="G74"/>
          <cell r="H74"/>
          <cell r="I74"/>
          <cell r="J74"/>
          <cell r="K74"/>
          <cell r="L74">
            <v>36.899999999999991</v>
          </cell>
          <cell r="M74"/>
          <cell r="N74"/>
          <cell r="O74"/>
          <cell r="P74"/>
          <cell r="Q74">
            <v>-19.740000631916246</v>
          </cell>
          <cell r="R74">
            <v>-22.902845893939173</v>
          </cell>
          <cell r="S74">
            <v>-26.347587645324097</v>
          </cell>
          <cell r="T74">
            <v>-29.974254285016855</v>
          </cell>
          <cell r="U74">
            <v>-33.872714582384546</v>
          </cell>
        </row>
        <row r="75">
          <cell r="B75" t="str">
            <v>Total US$ debt (in US$)</v>
          </cell>
          <cell r="C75" t="str">
            <v>TOT_USD_DEBT</v>
          </cell>
          <cell r="F75"/>
          <cell r="G75">
            <v>0</v>
          </cell>
          <cell r="H75"/>
          <cell r="I75"/>
          <cell r="J75"/>
          <cell r="K75"/>
          <cell r="L75">
            <v>0</v>
          </cell>
          <cell r="M75"/>
          <cell r="N75"/>
          <cell r="O75"/>
          <cell r="P75"/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B76" t="str">
            <v>% US$ debt hedged (principal)</v>
          </cell>
          <cell r="C76" t="str">
            <v>TOT_PCT_USD_DEBT_HEDGED</v>
          </cell>
          <cell r="F76"/>
          <cell r="G76">
            <v>0</v>
          </cell>
          <cell r="H76"/>
          <cell r="I76"/>
          <cell r="J76"/>
          <cell r="K76"/>
          <cell r="L76">
            <v>0</v>
          </cell>
          <cell r="M76"/>
          <cell r="N76"/>
          <cell r="O76"/>
          <cell r="P76"/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7">
          <cell r="B77" t="str">
            <v>% Floating debt (local currency debt)</v>
          </cell>
          <cell r="C77" t="str">
            <v>FLOATING_PCT_LOCAL_DEBT</v>
          </cell>
          <cell r="F77"/>
          <cell r="G77">
            <v>0</v>
          </cell>
          <cell r="H77"/>
          <cell r="I77"/>
          <cell r="J77"/>
          <cell r="K77"/>
          <cell r="L77">
            <v>0</v>
          </cell>
          <cell r="M77"/>
          <cell r="N77"/>
          <cell r="O77"/>
          <cell r="P77"/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</row>
        <row r="78">
          <cell r="B78" t="str">
            <v>% floating debt hedged (rates)</v>
          </cell>
          <cell r="C78" t="str">
            <v>FLOATING_PCT_LOCAL_DEBT_HEDGED</v>
          </cell>
          <cell r="F78"/>
          <cell r="G78">
            <v>0</v>
          </cell>
          <cell r="H78"/>
          <cell r="I78"/>
          <cell r="J78"/>
          <cell r="K78"/>
          <cell r="L78">
            <v>0</v>
          </cell>
          <cell r="M78"/>
          <cell r="N78"/>
          <cell r="O78"/>
          <cell r="P78"/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</row>
        <row r="79">
          <cell r="B79" t="str">
            <v>Net debt</v>
          </cell>
          <cell r="C79" t="str">
            <v>NET_DEBT</v>
          </cell>
          <cell r="D79" t="str">
            <v>EUR</v>
          </cell>
          <cell r="F79"/>
          <cell r="G79">
            <v>-244.8</v>
          </cell>
          <cell r="H79"/>
          <cell r="I79"/>
          <cell r="J79"/>
          <cell r="K79"/>
          <cell r="L79">
            <v>-98.5</v>
          </cell>
          <cell r="M79"/>
          <cell r="N79"/>
          <cell r="O79"/>
          <cell r="P79"/>
          <cell r="Q79">
            <v>-157.30886257879979</v>
          </cell>
          <cell r="R79">
            <v>-23.610074620756336</v>
          </cell>
          <cell r="S79">
            <v>43.75980356419376</v>
          </cell>
          <cell r="T79">
            <v>84.538821054371851</v>
          </cell>
          <cell r="U79">
            <v>81.291895019908395</v>
          </cell>
        </row>
        <row r="80">
          <cell r="B80" t="str">
            <v>Capitalized operating leases (off-balance sheet)</v>
          </cell>
          <cell r="C80" t="str">
            <v>CAP_LEASES</v>
          </cell>
          <cell r="D80" t="str">
            <v>EUR</v>
          </cell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</row>
        <row r="81">
          <cell r="B81" t="str">
            <v>Deferred income taxes</v>
          </cell>
          <cell r="C81" t="str">
            <v>DEF_INC_TAX</v>
          </cell>
          <cell r="D81" t="str">
            <v>EUR</v>
          </cell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</row>
        <row r="82">
          <cell r="B82" t="str">
            <v>Associates (mkt value) used in EV calculation</v>
          </cell>
          <cell r="C82" t="str">
            <v>MV_ASSOCIATES</v>
          </cell>
          <cell r="D82" t="str">
            <v>EUR</v>
          </cell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</row>
        <row r="83">
          <cell r="B83" t="str">
            <v>Net debt adjustment</v>
          </cell>
          <cell r="C83" t="str">
            <v>NET_DEBT_ADJ</v>
          </cell>
          <cell r="D83" t="str">
            <v>EUR</v>
          </cell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</row>
        <row r="84">
          <cell r="B84" t="str">
            <v>Company borrowing margin</v>
          </cell>
          <cell r="C84" t="str">
            <v>CO_BOR_MARGIN</v>
          </cell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</row>
        <row r="85">
          <cell r="B85" t="str">
            <v>Unfunded pensions &amp; other provisions</v>
          </cell>
          <cell r="C85" t="str">
            <v>UNF_PENS</v>
          </cell>
          <cell r="D85" t="str">
            <v>EUR</v>
          </cell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</row>
        <row r="86">
          <cell r="B86" t="str">
            <v>Unfunded pension liabilities (off balance sheet)</v>
          </cell>
          <cell r="C86" t="str">
            <v>UNF_PENS_OFF</v>
          </cell>
          <cell r="D86" t="str">
            <v>EUR</v>
          </cell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</row>
        <row r="87">
          <cell r="B87" t="str">
            <v>Unfunded pension liabilities &amp; other, used in EV</v>
          </cell>
          <cell r="C87" t="str">
            <v>UNF_PENS_LIAB_OTH</v>
          </cell>
          <cell r="D87" t="str">
            <v>EUR</v>
          </cell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</row>
        <row r="88">
          <cell r="B88" t="str">
            <v>Adjustment for unfunded pensions &amp; goodwill</v>
          </cell>
          <cell r="C88" t="str">
            <v>ADJ_UNF_PENS_GOOD</v>
          </cell>
          <cell r="D88" t="str">
            <v>EUR</v>
          </cell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</row>
        <row r="89">
          <cell r="B89" t="str">
            <v>Other GCI adjustments</v>
          </cell>
          <cell r="C89" t="str">
            <v>OTH_GCI_ADJ</v>
          </cell>
          <cell r="D89" t="str">
            <v>EUR</v>
          </cell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</row>
        <row r="90">
          <cell r="B90" t="str">
            <v>GCI inflator</v>
          </cell>
          <cell r="C90" t="str">
            <v>GCI_INFL</v>
          </cell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</row>
        <row r="91">
          <cell r="B91" t="str">
            <v>Minority interest</v>
          </cell>
          <cell r="C91" t="str">
            <v>BAL_MINO_INT</v>
          </cell>
          <cell r="D91" t="str">
            <v>EUR</v>
          </cell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</row>
        <row r="92">
          <cell r="B92" t="str">
            <v>Right-of-use assets (op lease assets under US GAAP)</v>
          </cell>
          <cell r="C92" t="str">
            <v>ROU_ASSET</v>
          </cell>
          <cell r="D92" t="str">
            <v>EUR</v>
          </cell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>
            <v>100</v>
          </cell>
          <cell r="R92">
            <v>100</v>
          </cell>
          <cell r="S92">
            <v>100</v>
          </cell>
          <cell r="T92">
            <v>100</v>
          </cell>
          <cell r="U92">
            <v>100</v>
          </cell>
        </row>
        <row r="93">
          <cell r="A93" t="str">
            <v>Cash Flow Statement</v>
          </cell>
          <cell r="B93"/>
          <cell r="C93"/>
          <cell r="D93"/>
          <cell r="Q93"/>
          <cell r="R93"/>
          <cell r="S93"/>
          <cell r="T93"/>
          <cell r="U93"/>
        </row>
        <row r="94">
          <cell r="B94" t="str">
            <v>Minority interest add-back</v>
          </cell>
          <cell r="C94" t="str">
            <v>CF_INC_MINORITY</v>
          </cell>
          <cell r="D94" t="str">
            <v>EUR</v>
          </cell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</row>
        <row r="95">
          <cell r="B95" t="str">
            <v>Depreciation &amp; amortization add-back</v>
          </cell>
          <cell r="C95" t="str">
            <v>DEPR_AMORT</v>
          </cell>
          <cell r="D95" t="str">
            <v>EUR</v>
          </cell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</row>
        <row r="96">
          <cell r="B96" t="str">
            <v>(Increase)/decrease in working capital</v>
          </cell>
          <cell r="C96" t="str">
            <v>WORK_CAP</v>
          </cell>
          <cell r="D96" t="str">
            <v>EUR</v>
          </cell>
          <cell r="F96"/>
          <cell r="G96">
            <v>15.8</v>
          </cell>
          <cell r="H96"/>
          <cell r="I96"/>
          <cell r="J96"/>
          <cell r="K96"/>
          <cell r="L96">
            <v>-1.2</v>
          </cell>
          <cell r="M96"/>
          <cell r="N96"/>
          <cell r="O96"/>
          <cell r="P96"/>
          <cell r="Q96">
            <v>-1.4266203252148273</v>
          </cell>
          <cell r="R96">
            <v>-1.8788999163039648</v>
          </cell>
          <cell r="S96">
            <v>-2.04636156756726</v>
          </cell>
          <cell r="T96">
            <v>-2.1544347197759635</v>
          </cell>
          <cell r="U96">
            <v>-2.3158947465402093</v>
          </cell>
        </row>
        <row r="97">
          <cell r="B97" t="str">
            <v>Other operating cash flow items</v>
          </cell>
          <cell r="C97" t="str">
            <v>OTH_OP_CF</v>
          </cell>
          <cell r="D97" t="str">
            <v>EUR</v>
          </cell>
          <cell r="F97"/>
          <cell r="G97">
            <v>54.499999999999972</v>
          </cell>
          <cell r="H97"/>
          <cell r="I97"/>
          <cell r="J97"/>
          <cell r="K97"/>
          <cell r="L97">
            <v>117.79999999999998</v>
          </cell>
          <cell r="M97"/>
          <cell r="N97"/>
          <cell r="O97"/>
          <cell r="P97"/>
          <cell r="Q97">
            <v>63.588001811493228</v>
          </cell>
          <cell r="R97">
            <v>65.020542931312605</v>
          </cell>
          <cell r="S97">
            <v>71.99071619179945</v>
          </cell>
          <cell r="T97">
            <v>76.939926665039337</v>
          </cell>
          <cell r="U97">
            <v>81.519972081245996</v>
          </cell>
        </row>
        <row r="98">
          <cell r="B98" t="str">
            <v>Cash flow from operating activities</v>
          </cell>
          <cell r="C98" t="str">
            <v>CF_OPS</v>
          </cell>
          <cell r="D98" t="str">
            <v>EUR</v>
          </cell>
          <cell r="F98"/>
          <cell r="G98">
            <v>-73.600000000000009</v>
          </cell>
          <cell r="H98"/>
          <cell r="I98"/>
          <cell r="J98"/>
          <cell r="K98"/>
          <cell r="L98">
            <v>-85.3</v>
          </cell>
          <cell r="M98"/>
          <cell r="N98"/>
          <cell r="O98"/>
          <cell r="P98"/>
          <cell r="Q98">
            <v>-73.291137421200261</v>
          </cell>
          <cell r="R98">
            <v>-36.698787958043447</v>
          </cell>
          <cell r="S98">
            <v>-7.6747028943018911</v>
          </cell>
          <cell r="T98">
            <v>26.169491079855632</v>
          </cell>
          <cell r="U98">
            <v>66.701450338437695</v>
          </cell>
        </row>
        <row r="99">
          <cell r="B99" t="str">
            <v>Capital expenditures, Capex</v>
          </cell>
          <cell r="C99" t="str">
            <v>CAPEX</v>
          </cell>
          <cell r="D99" t="str">
            <v>EUR</v>
          </cell>
          <cell r="F99"/>
          <cell r="G99">
            <v>-24.3</v>
          </cell>
          <cell r="H99"/>
          <cell r="I99"/>
          <cell r="J99"/>
          <cell r="K99"/>
          <cell r="L99">
            <v>-24.1</v>
          </cell>
          <cell r="M99"/>
          <cell r="N99"/>
          <cell r="O99"/>
          <cell r="P99"/>
          <cell r="Q99">
            <v>-90</v>
          </cell>
          <cell r="R99">
            <v>-90</v>
          </cell>
          <cell r="S99">
            <v>-52.695175290648201</v>
          </cell>
          <cell r="T99">
            <v>-59.948508570033731</v>
          </cell>
          <cell r="U99">
            <v>-56.454524303974232</v>
          </cell>
        </row>
        <row r="100">
          <cell r="B100" t="str">
            <v>Acquisitions</v>
          </cell>
          <cell r="C100" t="str">
            <v>ACQ</v>
          </cell>
          <cell r="D100" t="str">
            <v>EUR</v>
          </cell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</row>
        <row r="101">
          <cell r="B101" t="str">
            <v>Divestitures</v>
          </cell>
          <cell r="C101" t="str">
            <v>DIVEST</v>
          </cell>
          <cell r="D101" t="str">
            <v>EUR</v>
          </cell>
          <cell r="F101"/>
          <cell r="G101">
            <v>0.5</v>
          </cell>
          <cell r="H101"/>
          <cell r="I101"/>
          <cell r="J101"/>
          <cell r="K101"/>
          <cell r="L101">
            <v>1</v>
          </cell>
          <cell r="M101"/>
          <cell r="N101"/>
          <cell r="O101"/>
          <cell r="P101"/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</row>
        <row r="102">
          <cell r="B102" t="str">
            <v>Other investing cash flow items</v>
          </cell>
          <cell r="C102" t="str">
            <v>OTH_INV_CF</v>
          </cell>
          <cell r="D102" t="str">
            <v>EUR</v>
          </cell>
          <cell r="F102"/>
          <cell r="G102">
            <v>101.1</v>
          </cell>
          <cell r="H102"/>
          <cell r="I102"/>
          <cell r="J102"/>
          <cell r="K102"/>
          <cell r="L102">
            <v>-42.5</v>
          </cell>
          <cell r="M102"/>
          <cell r="N102"/>
          <cell r="O102"/>
          <cell r="P102"/>
          <cell r="Q102">
            <v>149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</row>
        <row r="103">
          <cell r="B103" t="str">
            <v>Cash flow from investing</v>
          </cell>
          <cell r="C103" t="str">
            <v>CF_INV</v>
          </cell>
          <cell r="D103" t="str">
            <v>EUR</v>
          </cell>
          <cell r="F103"/>
          <cell r="G103">
            <v>77.3</v>
          </cell>
          <cell r="H103"/>
          <cell r="I103"/>
          <cell r="J103"/>
          <cell r="K103"/>
          <cell r="L103">
            <v>-65.599999999999994</v>
          </cell>
          <cell r="M103"/>
          <cell r="N103"/>
          <cell r="O103"/>
          <cell r="P103"/>
          <cell r="Q103">
            <v>59</v>
          </cell>
          <cell r="R103">
            <v>-90</v>
          </cell>
          <cell r="S103">
            <v>-52.695175290648201</v>
          </cell>
          <cell r="T103">
            <v>-59.948508570033731</v>
          </cell>
          <cell r="U103">
            <v>-56.454524303974232</v>
          </cell>
        </row>
        <row r="104">
          <cell r="B104" t="str">
            <v>Dividends paid</v>
          </cell>
          <cell r="C104" t="str">
            <v>DIV_PAID</v>
          </cell>
          <cell r="D104" t="str">
            <v>EUR</v>
          </cell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</row>
        <row r="105">
          <cell r="B105" t="str">
            <v>Common stock issuance/(repurchase)</v>
          </cell>
          <cell r="C105" t="str">
            <v>SH_REPUR</v>
          </cell>
          <cell r="D105" t="str">
            <v>EUR</v>
          </cell>
          <cell r="F105"/>
          <cell r="G105">
            <v>15.3</v>
          </cell>
          <cell r="H105"/>
          <cell r="I105"/>
          <cell r="J105"/>
          <cell r="K105"/>
          <cell r="L105">
            <v>8.6</v>
          </cell>
          <cell r="M105"/>
          <cell r="N105"/>
          <cell r="O105"/>
          <cell r="P105"/>
          <cell r="Q105">
            <v>180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</row>
        <row r="106">
          <cell r="B106" t="str">
            <v>Increase/(decrease) in total debt</v>
          </cell>
          <cell r="C106" t="str">
            <v>CHG_LT_DEBT</v>
          </cell>
          <cell r="D106" t="str">
            <v>EUR</v>
          </cell>
          <cell r="F106"/>
          <cell r="G106">
            <v>-1.9</v>
          </cell>
          <cell r="H106"/>
          <cell r="I106"/>
          <cell r="J106"/>
          <cell r="K106"/>
          <cell r="L106">
            <v>-1.1000000000000001</v>
          </cell>
          <cell r="M106"/>
          <cell r="N106"/>
          <cell r="O106"/>
          <cell r="P106"/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</row>
        <row r="107">
          <cell r="B107" t="str">
            <v>Lease principal payments  (applicable to IFRS cos.)</v>
          </cell>
          <cell r="C107" t="str">
            <v>LEASE_PRINCIPAL_CASH</v>
          </cell>
          <cell r="D107" t="str">
            <v>EUR</v>
          </cell>
          <cell r="F107"/>
          <cell r="G107">
            <v>-1.8</v>
          </cell>
          <cell r="H107"/>
          <cell r="I107"/>
          <cell r="J107"/>
          <cell r="K107"/>
          <cell r="L107">
            <v>-2.2999999999999998</v>
          </cell>
          <cell r="M107"/>
          <cell r="N107"/>
          <cell r="O107"/>
          <cell r="P107"/>
          <cell r="Q107">
            <v>-7</v>
          </cell>
          <cell r="R107">
            <v>-7</v>
          </cell>
          <cell r="S107">
            <v>-7</v>
          </cell>
          <cell r="T107">
            <v>-7</v>
          </cell>
          <cell r="U107">
            <v>-7</v>
          </cell>
        </row>
        <row r="108">
          <cell r="B108" t="str">
            <v>Other financing cash flow items</v>
          </cell>
          <cell r="C108" t="str">
            <v>OTH_FIN_CF</v>
          </cell>
          <cell r="D108" t="str">
            <v>EUR</v>
          </cell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</row>
        <row r="109">
          <cell r="B109" t="str">
            <v>Cash flow from financing</v>
          </cell>
          <cell r="C109" t="str">
            <v>CF_FIN</v>
          </cell>
          <cell r="D109" t="str">
            <v>EUR</v>
          </cell>
          <cell r="F109"/>
          <cell r="G109">
            <v>11.6</v>
          </cell>
          <cell r="H109"/>
          <cell r="I109"/>
          <cell r="J109"/>
          <cell r="K109"/>
          <cell r="L109">
            <v>5.2</v>
          </cell>
          <cell r="M109"/>
          <cell r="N109"/>
          <cell r="O109"/>
          <cell r="P109"/>
          <cell r="Q109">
            <v>173</v>
          </cell>
          <cell r="R109">
            <v>-7</v>
          </cell>
          <cell r="S109">
            <v>-7</v>
          </cell>
          <cell r="T109">
            <v>-7</v>
          </cell>
          <cell r="U109">
            <v>-7</v>
          </cell>
        </row>
        <row r="110">
          <cell r="B110" t="str">
            <v>Other items net cash flow</v>
          </cell>
          <cell r="C110" t="str">
            <v>OTH_ITEM_NCF</v>
          </cell>
          <cell r="D110" t="str">
            <v>EUR</v>
          </cell>
          <cell r="F110"/>
          <cell r="G110">
            <v>-8.1</v>
          </cell>
          <cell r="H110"/>
          <cell r="I110"/>
          <cell r="J110"/>
          <cell r="K110"/>
          <cell r="L110">
            <v>-0.7</v>
          </cell>
          <cell r="M110"/>
          <cell r="N110"/>
          <cell r="O110"/>
          <cell r="P110"/>
          <cell r="Q110">
            <v>0.1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</row>
        <row r="111">
          <cell r="B111" t="str">
            <v>Total cash flow</v>
          </cell>
          <cell r="C111" t="str">
            <v>TOT_CF</v>
          </cell>
          <cell r="D111" t="str">
            <v>EUR</v>
          </cell>
          <cell r="F111"/>
          <cell r="G111">
            <v>7.1999999999999886</v>
          </cell>
          <cell r="H111"/>
          <cell r="I111"/>
          <cell r="J111"/>
          <cell r="K111"/>
          <cell r="L111">
            <v>-146.39999999999998</v>
          </cell>
          <cell r="M111"/>
          <cell r="N111"/>
          <cell r="O111"/>
          <cell r="P111"/>
          <cell r="Q111">
            <v>158.80886257879973</v>
          </cell>
          <cell r="R111">
            <v>-133.69878795804345</v>
          </cell>
          <cell r="S111">
            <v>-67.369878184950096</v>
          </cell>
          <cell r="T111">
            <v>-40.779017490178099</v>
          </cell>
          <cell r="U111">
            <v>3.2469260344634634</v>
          </cell>
        </row>
        <row r="112">
          <cell r="A112" t="str">
            <v>Additional Cash Flow Items</v>
          </cell>
          <cell r="B112"/>
          <cell r="C112"/>
          <cell r="D112"/>
          <cell r="G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</row>
        <row r="113">
          <cell r="B113" t="str">
            <v>Associate and JV add-back</v>
          </cell>
          <cell r="C113" t="str">
            <v>ASSOC_JV_ADDBK</v>
          </cell>
          <cell r="D113" t="str">
            <v>EUR</v>
          </cell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</row>
        <row r="114">
          <cell r="B114" t="str">
            <v>Cash interest income/(expense)</v>
          </cell>
          <cell r="C114" t="str">
            <v>CASH_INT_INC_EXP</v>
          </cell>
          <cell r="D114" t="str">
            <v>EUR</v>
          </cell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</row>
        <row r="115">
          <cell r="B115" t="str">
            <v>Cash taxes paid</v>
          </cell>
          <cell r="C115" t="str">
            <v>CASH_TAX_PD</v>
          </cell>
          <cell r="D115" t="str">
            <v>EUR</v>
          </cell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</row>
        <row r="116">
          <cell r="B116" t="str">
            <v>Profit/(loss) on sale of assets</v>
          </cell>
          <cell r="C116" t="str">
            <v>PL_SALE_ASSETS</v>
          </cell>
          <cell r="D116" t="str">
            <v>EUR</v>
          </cell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</row>
        <row r="117">
          <cell r="B117" t="str">
            <v>Other non-cash adjustments</v>
          </cell>
          <cell r="C117" t="str">
            <v>OTH_NONCASH_ADJ</v>
          </cell>
          <cell r="D117" t="str">
            <v>EUR</v>
          </cell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</row>
        <row r="118">
          <cell r="B118" t="str">
            <v>Other DACF adjustments</v>
          </cell>
          <cell r="C118" t="str">
            <v>OTH_DACF_ADJ</v>
          </cell>
          <cell r="D118" t="str">
            <v>EUR</v>
          </cell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</row>
        <row r="119">
          <cell r="B119" t="str">
            <v>Cash interest expense</v>
          </cell>
          <cell r="C119" t="str">
            <v>CASH_INT_EXP</v>
          </cell>
          <cell r="D119" t="str">
            <v>EUR</v>
          </cell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</row>
        <row r="120">
          <cell r="B120" t="str">
            <v>Cash tax expense</v>
          </cell>
          <cell r="C120" t="str">
            <v>CASH_TAX_EXP</v>
          </cell>
          <cell r="D120" t="str">
            <v>EUR</v>
          </cell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</row>
        <row r="121">
          <cell r="B121" t="str">
            <v>Dividends received from associates/JVs</v>
          </cell>
          <cell r="C121" t="str">
            <v>DIVDS_ASSOC_JV</v>
          </cell>
          <cell r="D121" t="str">
            <v>EUR</v>
          </cell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</row>
        <row r="122">
          <cell r="B122" t="str">
            <v>Capex maintenance</v>
          </cell>
          <cell r="C122" t="str">
            <v>CAPEX_MAINTENANCE</v>
          </cell>
          <cell r="D122" t="str">
            <v>EUR</v>
          </cell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</row>
        <row r="123">
          <cell r="B123" t="str">
            <v>Capex expansion</v>
          </cell>
          <cell r="C123" t="str">
            <v>CAPEX_EXPANSION</v>
          </cell>
          <cell r="D123" t="str">
            <v>EUR</v>
          </cell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</row>
        <row r="124">
          <cell r="B124" t="str">
            <v>Non-PP&amp;E capex</v>
          </cell>
          <cell r="C124" t="str">
            <v>NONPPE_CAPEX</v>
          </cell>
          <cell r="D124" t="str">
            <v>EUR</v>
          </cell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</row>
        <row r="125">
          <cell r="B125" t="str">
            <v>Dividends paid to minorities</v>
          </cell>
          <cell r="C125" t="str">
            <v>DIVDS_PD_MINORITIES</v>
          </cell>
          <cell r="D125" t="str">
            <v>EUR</v>
          </cell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</row>
        <row r="126">
          <cell r="A126" t="str">
            <v>Other Items</v>
          </cell>
          <cell r="B126"/>
          <cell r="C126"/>
          <cell r="D126"/>
        </row>
        <row r="127">
          <cell r="B127" t="str">
            <v>Number of employees</v>
          </cell>
          <cell r="C127" t="str">
            <v>EMPLOYEES</v>
          </cell>
          <cell r="F127"/>
          <cell r="G127">
            <v>1.5</v>
          </cell>
          <cell r="H127"/>
          <cell r="I127"/>
          <cell r="J127"/>
          <cell r="K127"/>
          <cell r="L127">
            <v>1.5</v>
          </cell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A128" t="str">
            <v>Operating Metrics</v>
          </cell>
          <cell r="B128"/>
          <cell r="C128"/>
          <cell r="D128"/>
        </row>
        <row r="129">
          <cell r="B129" t="str">
            <v>Same store sales growth</v>
          </cell>
          <cell r="C129" t="str">
            <v>RETAIL_SSS_PCT_CHG</v>
          </cell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</row>
        <row r="130">
          <cell r="A130" t="str">
            <v>Geographical Breakdown</v>
          </cell>
          <cell r="B130"/>
          <cell r="C130"/>
          <cell r="D130"/>
        </row>
        <row r="131">
          <cell r="B131" t="str">
            <v>Sales - % Canada</v>
          </cell>
          <cell r="C131" t="str">
            <v>SALES_CANADA</v>
          </cell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</row>
        <row r="132">
          <cell r="B132" t="str">
            <v>Sales - % United States</v>
          </cell>
          <cell r="C132" t="str">
            <v>SALES_US</v>
          </cell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</row>
        <row r="133">
          <cell r="B133" t="str">
            <v>Sales - % Other North Americas</v>
          </cell>
          <cell r="C133" t="str">
            <v>SALES_OTH_NO_AMER</v>
          </cell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</row>
        <row r="134">
          <cell r="B134" t="str">
            <v>Sales - % Argentina</v>
          </cell>
          <cell r="C134" t="str">
            <v>SALES_ARGENTINA</v>
          </cell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</row>
        <row r="135">
          <cell r="B135" t="str">
            <v>Sales - % Brazil</v>
          </cell>
          <cell r="C135" t="str">
            <v>SALES_BRAZIL</v>
          </cell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</row>
        <row r="136">
          <cell r="B136" t="str">
            <v>Sales - % Chile</v>
          </cell>
          <cell r="C136" t="str">
            <v>SALES_CHILE</v>
          </cell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</row>
        <row r="137">
          <cell r="B137" t="str">
            <v>Sales - % Colombia</v>
          </cell>
          <cell r="C137" t="str">
            <v>SALES_COLOMBIA</v>
          </cell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</row>
        <row r="138">
          <cell r="B138" t="str">
            <v>Sales - % Mexico</v>
          </cell>
          <cell r="C138" t="str">
            <v>SALES_MEXICO</v>
          </cell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</row>
        <row r="139">
          <cell r="B139" t="str">
            <v>Sales - % Venezuela</v>
          </cell>
          <cell r="C139" t="str">
            <v>SALES_VENEZUELA</v>
          </cell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</row>
        <row r="140">
          <cell r="B140" t="str">
            <v>Sales - % Other Latin Americas</v>
          </cell>
          <cell r="C140" t="str">
            <v>SALES_OTH_LATAM</v>
          </cell>
          <cell r="F140">
            <v>0.35573345360243547</v>
          </cell>
          <cell r="G140">
            <v>0.33351598173515978</v>
          </cell>
          <cell r="H140"/>
          <cell r="I140"/>
          <cell r="J140"/>
          <cell r="K140"/>
          <cell r="L140">
            <v>0.31058050004325632</v>
          </cell>
          <cell r="M140"/>
          <cell r="N140"/>
          <cell r="O140"/>
          <cell r="P140"/>
          <cell r="Q140">
            <v>0.31572820503040205</v>
          </cell>
          <cell r="R140">
            <v>0.31850159915833204</v>
          </cell>
          <cell r="S140">
            <v>0.3199355940401799</v>
          </cell>
          <cell r="T140">
            <v>0.32162715620192478</v>
          </cell>
          <cell r="U140">
            <v>0.32262646263527883</v>
          </cell>
        </row>
        <row r="141">
          <cell r="B141" t="str">
            <v>Sales - % Austria</v>
          </cell>
          <cell r="C141" t="str">
            <v>SALES_AUSTRIA</v>
          </cell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</row>
        <row r="142">
          <cell r="B142" t="str">
            <v>Sales - % Belgium</v>
          </cell>
          <cell r="C142" t="str">
            <v>SALES_BEL</v>
          </cell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</row>
        <row r="143">
          <cell r="B143" t="str">
            <v>Sales - % France</v>
          </cell>
          <cell r="C143" t="str">
            <v>SALES_FRA</v>
          </cell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</row>
        <row r="144">
          <cell r="B144" t="str">
            <v>Sales - % Germany</v>
          </cell>
          <cell r="C144" t="str">
            <v>SALES_GER</v>
          </cell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</row>
        <row r="145">
          <cell r="B145" t="str">
            <v>Sales - % Greece</v>
          </cell>
          <cell r="C145" t="str">
            <v>SALES_GRE</v>
          </cell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</row>
        <row r="146">
          <cell r="B146" t="str">
            <v>Sales - % Ireland</v>
          </cell>
          <cell r="C146" t="str">
            <v>SALES_IRE</v>
          </cell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</row>
        <row r="147">
          <cell r="B147" t="str">
            <v>Sales - % Italy</v>
          </cell>
          <cell r="C147" t="str">
            <v>SALES_ITA</v>
          </cell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</row>
        <row r="148">
          <cell r="B148" t="str">
            <v>Sales - % Netherlands</v>
          </cell>
          <cell r="C148" t="str">
            <v>SALES_NETH</v>
          </cell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</row>
        <row r="149">
          <cell r="B149" t="str">
            <v>Sales - % Norway</v>
          </cell>
          <cell r="C149" t="str">
            <v>SALES_NOR</v>
          </cell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</row>
        <row r="150">
          <cell r="B150" t="str">
            <v>Sales - % Portugal</v>
          </cell>
          <cell r="C150" t="str">
            <v>SALES_POR</v>
          </cell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</row>
        <row r="151">
          <cell r="B151" t="str">
            <v>Sales - % Spain</v>
          </cell>
          <cell r="C151" t="str">
            <v>SALES_SPA</v>
          </cell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</row>
        <row r="152">
          <cell r="B152" t="str">
            <v>Sales - % Sweden</v>
          </cell>
          <cell r="C152" t="str">
            <v>SALES_SWE</v>
          </cell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</row>
        <row r="153">
          <cell r="B153" t="str">
            <v>Sales - % Switzerland</v>
          </cell>
          <cell r="C153" t="str">
            <v>SALES_SWIT</v>
          </cell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</row>
        <row r="154">
          <cell r="B154" t="str">
            <v>Sales - % UK</v>
          </cell>
          <cell r="C154" t="str">
            <v>SALES_UK</v>
          </cell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</row>
        <row r="155">
          <cell r="B155" t="str">
            <v>Sales - % Other Western Europe</v>
          </cell>
          <cell r="C155" t="str">
            <v>SALES_OTH_WEST_EURO</v>
          </cell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</row>
        <row r="156">
          <cell r="B156" t="str">
            <v>Sales - % Poland</v>
          </cell>
          <cell r="C156" t="str">
            <v>SALES_POLAND</v>
          </cell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</row>
        <row r="157">
          <cell r="B157" t="str">
            <v>Sales - % Russia</v>
          </cell>
          <cell r="C157" t="str">
            <v>SALES_RUSSIA</v>
          </cell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</row>
        <row r="158">
          <cell r="B158" t="str">
            <v>Sales - % Turkey</v>
          </cell>
          <cell r="C158" t="str">
            <v>SALES_TURKEY</v>
          </cell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</row>
        <row r="159">
          <cell r="B159" t="str">
            <v>Sales - % Other CEE</v>
          </cell>
          <cell r="C159" t="str">
            <v>SALES_OTH_CEE</v>
          </cell>
          <cell r="F159">
            <v>0.34130116134851729</v>
          </cell>
          <cell r="G159">
            <v>0.36082191780821921</v>
          </cell>
          <cell r="H159"/>
          <cell r="I159"/>
          <cell r="J159"/>
          <cell r="K159"/>
          <cell r="L159">
            <v>0.32563370533783192</v>
          </cell>
          <cell r="M159"/>
          <cell r="N159"/>
          <cell r="O159"/>
          <cell r="P159"/>
          <cell r="Q159">
            <v>0.31133086784213831</v>
          </cell>
          <cell r="R159">
            <v>0.30259527671546449</v>
          </cell>
          <cell r="S159">
            <v>0.29580583017238066</v>
          </cell>
          <cell r="T159">
            <v>0.28778014374518018</v>
          </cell>
          <cell r="U159">
            <v>0.28122913279020489</v>
          </cell>
        </row>
        <row r="160">
          <cell r="B160" t="str">
            <v>Sales - % Saudi Arabia</v>
          </cell>
          <cell r="C160" t="str">
            <v>SALES_SAUDI_ARABIA</v>
          </cell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</row>
        <row r="161">
          <cell r="B161" t="str">
            <v>Sales - % United Arab Emirates</v>
          </cell>
          <cell r="C161" t="str">
            <v>SALES_UAE</v>
          </cell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</row>
        <row r="162">
          <cell r="B162" t="str">
            <v>Sales - % Other Middle East</v>
          </cell>
          <cell r="C162" t="str">
            <v>SALES_OTH_ME</v>
          </cell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</row>
        <row r="163">
          <cell r="B163" t="str">
            <v>Sales - % Nigeria</v>
          </cell>
          <cell r="C163" t="str">
            <v>SALES_NIGERIA</v>
          </cell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</row>
        <row r="164">
          <cell r="B164" t="str">
            <v>Sales - % South Africa</v>
          </cell>
          <cell r="C164" t="str">
            <v>SALES_SO_AFRICA</v>
          </cell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</row>
        <row r="165">
          <cell r="B165" t="str">
            <v>Sales - % Other Africa</v>
          </cell>
          <cell r="C165" t="str">
            <v>SALES_OTH_AFRICA</v>
          </cell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</row>
        <row r="166">
          <cell r="B166" t="str">
            <v>Sales - % Hong Kong</v>
          </cell>
          <cell r="C166" t="str">
            <v>SALES_HONG_KONG</v>
          </cell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</row>
        <row r="167">
          <cell r="B167" t="str">
            <v>Sales - % Japan</v>
          </cell>
          <cell r="C167" t="str">
            <v>SALES_JAPAN</v>
          </cell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</row>
        <row r="168">
          <cell r="B168" t="str">
            <v>Sales - % Singapore</v>
          </cell>
          <cell r="C168" t="str">
            <v>SALES_SINGAPORE</v>
          </cell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</row>
        <row r="169">
          <cell r="B169" t="str">
            <v>Sales - % South Korea</v>
          </cell>
          <cell r="C169" t="str">
            <v>SALES_SK</v>
          </cell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</row>
        <row r="170">
          <cell r="B170" t="str">
            <v>Sales - % Taiwan</v>
          </cell>
          <cell r="C170" t="str">
            <v>SALES_TAIWAN</v>
          </cell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</row>
        <row r="171">
          <cell r="B171" t="str">
            <v>Sales - % Other Developed Asia</v>
          </cell>
          <cell r="C171" t="str">
            <v>SALES_OTH_DEV_ASIA</v>
          </cell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</row>
        <row r="172">
          <cell r="B172" t="str">
            <v>Sales - % China</v>
          </cell>
          <cell r="C172" t="str">
            <v>SALES_CHINA</v>
          </cell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</row>
        <row r="173">
          <cell r="B173" t="str">
            <v>Sales - % India</v>
          </cell>
          <cell r="C173" t="str">
            <v>SALES_INDIA</v>
          </cell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</row>
        <row r="174">
          <cell r="B174" t="str">
            <v>Sales - % Indonesia</v>
          </cell>
          <cell r="C174" t="str">
            <v>SALES_INDONESIA</v>
          </cell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</row>
        <row r="175">
          <cell r="B175" t="str">
            <v>Sales - % Thailand</v>
          </cell>
          <cell r="C175" t="str">
            <v>SALES_THAILAND</v>
          </cell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</row>
        <row r="176">
          <cell r="B176" t="str">
            <v>Sales - % Other Emerging Asia</v>
          </cell>
          <cell r="C176" t="str">
            <v>SALES_OTH_EMERG_ASIA</v>
          </cell>
          <cell r="F176">
            <v>0.30296538504904724</v>
          </cell>
          <cell r="G176">
            <v>0.30566210045662101</v>
          </cell>
          <cell r="H176"/>
          <cell r="I176"/>
          <cell r="J176"/>
          <cell r="K176"/>
          <cell r="L176">
            <v>0.36378579461891181</v>
          </cell>
          <cell r="M176"/>
          <cell r="N176"/>
          <cell r="O176"/>
          <cell r="P176"/>
          <cell r="Q176">
            <v>0.37294092712745963</v>
          </cell>
          <cell r="R176">
            <v>0.37890312412620353</v>
          </cell>
          <cell r="S176">
            <v>0.38425857578743949</v>
          </cell>
          <cell r="T176">
            <v>0.39059270005289504</v>
          </cell>
          <cell r="U176">
            <v>0.39614440457451627</v>
          </cell>
        </row>
        <row r="177">
          <cell r="B177" t="str">
            <v>Sales - % Australia</v>
          </cell>
          <cell r="C177" t="str">
            <v>SALES_AUSTRA</v>
          </cell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B178" t="str">
            <v>Sales - % New Zealand</v>
          </cell>
          <cell r="C178" t="str">
            <v>SALES_NZ</v>
          </cell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B179" t="str">
            <v>Sales - % Others</v>
          </cell>
          <cell r="C179" t="str">
            <v>SALES_OTHER</v>
          </cell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</row>
        <row r="180">
          <cell r="B180" t="str">
            <v>% of CoGS from U.S. (GS estimate)</v>
          </cell>
          <cell r="C180" t="str">
            <v>COGS_PCT_US</v>
          </cell>
          <cell r="F180">
            <v>0</v>
          </cell>
          <cell r="G180">
            <v>0</v>
          </cell>
          <cell r="H180"/>
          <cell r="I180"/>
          <cell r="J180"/>
          <cell r="K180"/>
          <cell r="L180">
            <v>0</v>
          </cell>
          <cell r="M180"/>
          <cell r="N180"/>
          <cell r="O180"/>
          <cell r="P180"/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</row>
        <row r="181">
          <cell r="B181" t="str">
            <v>% of CoGS from non-U.S. (GS estimate)</v>
          </cell>
          <cell r="C181" t="str">
            <v>COGS_PCT_ROW</v>
          </cell>
          <cell r="F181">
            <v>1</v>
          </cell>
          <cell r="G181">
            <v>1</v>
          </cell>
          <cell r="H181">
            <v>1</v>
          </cell>
          <cell r="I181">
            <v>1</v>
          </cell>
          <cell r="J181">
            <v>1</v>
          </cell>
          <cell r="K181">
            <v>1</v>
          </cell>
          <cell r="L181">
            <v>1</v>
          </cell>
          <cell r="M181">
            <v>1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</row>
        <row r="182">
          <cell r="B182" t="str">
            <v>% of SG&amp;A from U.S. (GS estimate)</v>
          </cell>
          <cell r="C182" t="str">
            <v>SGA_PCT_US</v>
          </cell>
          <cell r="F182">
            <v>0</v>
          </cell>
          <cell r="G182">
            <v>0</v>
          </cell>
          <cell r="H182"/>
          <cell r="I182"/>
          <cell r="J182"/>
          <cell r="K182"/>
          <cell r="L182">
            <v>0</v>
          </cell>
          <cell r="M182"/>
          <cell r="N182"/>
          <cell r="O182"/>
          <cell r="P182"/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</row>
        <row r="183">
          <cell r="B183" t="str">
            <v>% of SG&amp;A from non-U.S. (GS estimate)</v>
          </cell>
          <cell r="C183" t="str">
            <v>SGA_PCT_ROW</v>
          </cell>
          <cell r="F183">
            <v>1</v>
          </cell>
          <cell r="G183">
            <v>1</v>
          </cell>
          <cell r="H183">
            <v>1</v>
          </cell>
          <cell r="I183">
            <v>1</v>
          </cell>
          <cell r="J183">
            <v>1</v>
          </cell>
          <cell r="K183">
            <v>1</v>
          </cell>
          <cell r="L183">
            <v>1</v>
          </cell>
          <cell r="M183">
            <v>1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</row>
        <row r="184">
          <cell r="B184" t="str">
            <v>Sales -% Consumer (C)</v>
          </cell>
          <cell r="C184" t="str">
            <v>SALES_CONS</v>
          </cell>
          <cell r="F184">
            <v>1</v>
          </cell>
          <cell r="G184">
            <v>1</v>
          </cell>
          <cell r="H184"/>
          <cell r="I184"/>
          <cell r="J184"/>
          <cell r="K184"/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</row>
        <row r="185">
          <cell r="B185" t="str">
            <v>Sales -% Industry (I)</v>
          </cell>
          <cell r="C185" t="str">
            <v>SALES_IND</v>
          </cell>
          <cell r="F185">
            <v>0</v>
          </cell>
          <cell r="G185">
            <v>0</v>
          </cell>
          <cell r="H185"/>
          <cell r="I185"/>
          <cell r="J185"/>
          <cell r="K185"/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</row>
        <row r="186">
          <cell r="B186" t="str">
            <v>Sales -% Government (G)</v>
          </cell>
          <cell r="C186" t="str">
            <v>SALES_GOV</v>
          </cell>
          <cell r="F186">
            <v>0</v>
          </cell>
          <cell r="G186">
            <v>0</v>
          </cell>
          <cell r="H186"/>
          <cell r="I186"/>
          <cell r="J186"/>
          <cell r="K186"/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</row>
        <row r="187">
          <cell r="B187" t="str">
            <v>Sales - % Industry Sub-Segment: Financial Services</v>
          </cell>
          <cell r="C187" t="str">
            <v>SALES_FINAN</v>
          </cell>
          <cell r="F187">
            <v>0</v>
          </cell>
          <cell r="G187">
            <v>0</v>
          </cell>
          <cell r="H187"/>
          <cell r="I187"/>
          <cell r="J187"/>
          <cell r="K187"/>
          <cell r="L187">
            <v>0</v>
          </cell>
          <cell r="M187"/>
          <cell r="N187"/>
          <cell r="O187"/>
          <cell r="P187"/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</row>
        <row r="188">
          <cell r="B188" t="str">
            <v>Sales - % Industry Sub-Segment: Oil &amp; Gas</v>
          </cell>
          <cell r="C188" t="str">
            <v>SALES_OIL_GAS</v>
          </cell>
          <cell r="F188">
            <v>0</v>
          </cell>
          <cell r="G188">
            <v>0</v>
          </cell>
          <cell r="H188"/>
          <cell r="I188"/>
          <cell r="J188"/>
          <cell r="K188"/>
          <cell r="L188">
            <v>0</v>
          </cell>
          <cell r="M188"/>
          <cell r="N188"/>
          <cell r="O188"/>
          <cell r="P188"/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</row>
        <row r="189">
          <cell r="A189" t="str">
            <v>Commodities Exposure - Sales</v>
          </cell>
          <cell r="B189"/>
          <cell r="C189"/>
          <cell r="D189"/>
        </row>
        <row r="190">
          <cell r="B190" t="str">
            <v>Sales - % Oil/Petrol/Fuel</v>
          </cell>
          <cell r="C190" t="str">
            <v>SALES_OIL_PETRO_FUEL</v>
          </cell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</row>
        <row r="191">
          <cell r="B191" t="str">
            <v>Sales - % Steel</v>
          </cell>
          <cell r="C191" t="str">
            <v>SALES_STEEL</v>
          </cell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</row>
        <row r="192">
          <cell r="B192" t="str">
            <v>Sales - % Paper/pulp</v>
          </cell>
          <cell r="C192" t="str">
            <v>SALES_PAPER_PULP</v>
          </cell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</row>
        <row r="193">
          <cell r="B193" t="str">
            <v>Sales - % Lumber</v>
          </cell>
          <cell r="C193" t="str">
            <v>SALES_LUMBER</v>
          </cell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</row>
        <row r="194">
          <cell r="B194" t="str">
            <v>Sales - % Glass</v>
          </cell>
          <cell r="C194" t="str">
            <v>SALES_GLASS</v>
          </cell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</row>
        <row r="195">
          <cell r="B195" t="str">
            <v>Sales - % Cement</v>
          </cell>
          <cell r="C195" t="str">
            <v>SALES_CEMENT</v>
          </cell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</row>
        <row r="196">
          <cell r="B196" t="str">
            <v>Sales - % Tobacco leaf</v>
          </cell>
          <cell r="C196" t="str">
            <v>SALES_TOBACCO_LEAF</v>
          </cell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</row>
        <row r="197">
          <cell r="B197" t="str">
            <v>Sales - % Other commodity</v>
          </cell>
          <cell r="C197" t="str">
            <v>SALES_OTH_COMMODITY</v>
          </cell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</row>
        <row r="198">
          <cell r="B198" t="str">
            <v>Sales - % Other (Non-Commodity) sales sources</v>
          </cell>
          <cell r="C198" t="str">
            <v>SALES_OTH_SALES_SOURCES</v>
          </cell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</row>
        <row r="199">
          <cell r="A199" t="str">
            <v>Commodities Exposure - Expense</v>
          </cell>
          <cell r="B199"/>
          <cell r="C199"/>
          <cell r="D199"/>
        </row>
        <row r="200">
          <cell r="B200" t="str">
            <v>Expense - % Oil/Petrol/Fuel</v>
          </cell>
          <cell r="C200" t="str">
            <v>EXP_OIL_PETRO_FUEL</v>
          </cell>
          <cell r="F200">
            <v>0</v>
          </cell>
          <cell r="G200">
            <v>0</v>
          </cell>
          <cell r="H200"/>
          <cell r="I200"/>
          <cell r="J200"/>
          <cell r="K200"/>
          <cell r="L200">
            <v>0</v>
          </cell>
          <cell r="M200"/>
          <cell r="N200"/>
          <cell r="O200"/>
          <cell r="P200"/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</row>
        <row r="201">
          <cell r="B201" t="str">
            <v>Expense - % Oil derivatives/NGLs/plastics</v>
          </cell>
          <cell r="C201" t="str">
            <v>EXP_OIL_DERIV_NGLS_PLASTICS</v>
          </cell>
          <cell r="F201">
            <v>0</v>
          </cell>
          <cell r="G201">
            <v>0</v>
          </cell>
          <cell r="H201"/>
          <cell r="I201"/>
          <cell r="J201"/>
          <cell r="K201"/>
          <cell r="L201">
            <v>0</v>
          </cell>
          <cell r="M201"/>
          <cell r="N201"/>
          <cell r="O201"/>
          <cell r="P201"/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</row>
        <row r="202">
          <cell r="B202" t="str">
            <v>Expense - % Gold</v>
          </cell>
          <cell r="C202" t="str">
            <v>EXP_GOLD</v>
          </cell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</row>
        <row r="203">
          <cell r="B203" t="str">
            <v>Expense - % Copper</v>
          </cell>
          <cell r="C203" t="str">
            <v>EXP_COPPER</v>
          </cell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</row>
        <row r="204">
          <cell r="B204" t="str">
            <v>Expense - % Silver</v>
          </cell>
          <cell r="C204" t="str">
            <v>EXP_SILVER</v>
          </cell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</row>
        <row r="205">
          <cell r="B205" t="str">
            <v>Expense - % Platinum</v>
          </cell>
          <cell r="C205" t="str">
            <v>EXP_PLATINUM</v>
          </cell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</row>
        <row r="206">
          <cell r="B206" t="str">
            <v>Expense - % Aluminium</v>
          </cell>
          <cell r="C206" t="str">
            <v>EXP_ALUMINIUM</v>
          </cell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</row>
        <row r="207">
          <cell r="B207" t="str">
            <v>Expense - % Diamonds</v>
          </cell>
          <cell r="C207" t="str">
            <v>EXP_DIAMONDS</v>
          </cell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</row>
        <row r="208">
          <cell r="B208" t="str">
            <v>Expense - % Paper/pulp</v>
          </cell>
          <cell r="C208" t="str">
            <v>EXP_PAPER_PULP</v>
          </cell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</row>
        <row r="209">
          <cell r="B209" t="str">
            <v>Expense - % Wheat</v>
          </cell>
          <cell r="C209" t="str">
            <v>EXP_WHEAT</v>
          </cell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</row>
        <row r="210">
          <cell r="B210" t="str">
            <v>Expense - % Sugar</v>
          </cell>
          <cell r="C210" t="str">
            <v>EXP_SUGAR</v>
          </cell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</row>
        <row r="211">
          <cell r="B211" t="str">
            <v>Expense - % Soybean</v>
          </cell>
          <cell r="C211" t="str">
            <v>EXP_SOYBEAN</v>
          </cell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</row>
        <row r="212">
          <cell r="B212" t="str">
            <v>Expense - % Corn</v>
          </cell>
          <cell r="C212" t="str">
            <v>EXP_CORN</v>
          </cell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</row>
        <row r="213">
          <cell r="B213" t="str">
            <v>Expense - % Cotton</v>
          </cell>
          <cell r="C213" t="str">
            <v>EXP_COTTON</v>
          </cell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</row>
        <row r="214">
          <cell r="B214" t="str">
            <v>Expense - % Coffee</v>
          </cell>
          <cell r="C214" t="str">
            <v>EXP_COFFEE</v>
          </cell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</row>
        <row r="215">
          <cell r="B215" t="str">
            <v>Expense - % Cocoa</v>
          </cell>
          <cell r="C215" t="str">
            <v>EXP_COCOA</v>
          </cell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</row>
        <row r="216">
          <cell r="B216" t="str">
            <v>Expense - % Beef</v>
          </cell>
          <cell r="C216" t="str">
            <v>EXP_BEEF</v>
          </cell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</row>
        <row r="217">
          <cell r="B217" t="str">
            <v>Expense - % Pork</v>
          </cell>
          <cell r="C217" t="str">
            <v>EXP_PORK</v>
          </cell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</row>
        <row r="218">
          <cell r="B218" t="str">
            <v>Expense - % Chicken</v>
          </cell>
          <cell r="C218" t="str">
            <v>EXP_CHICKEN</v>
          </cell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</row>
        <row r="219">
          <cell r="B219" t="str">
            <v>Expense - % Dairy</v>
          </cell>
          <cell r="C219" t="str">
            <v>EXP_DAIRY</v>
          </cell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</row>
        <row r="220">
          <cell r="B220" t="str">
            <v>Expense - % Nuts</v>
          </cell>
          <cell r="C220" t="str">
            <v>EXP_NUTS</v>
          </cell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</row>
        <row r="221">
          <cell r="B221" t="str">
            <v>Expense - % Palm oil</v>
          </cell>
          <cell r="C221" t="str">
            <v>EXP_PALM_OIL</v>
          </cell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</row>
        <row r="222">
          <cell r="B222" t="str">
            <v>Expense - % Tobacco leaf</v>
          </cell>
          <cell r="C222" t="str">
            <v>EXP_TOBACCO_LEAF</v>
          </cell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</row>
        <row r="223">
          <cell r="B223" t="str">
            <v>Expense - % Water</v>
          </cell>
          <cell r="C223" t="str">
            <v>EXP_WATER</v>
          </cell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</row>
        <row r="224">
          <cell r="B224" t="str">
            <v>Expense - % Other commodity</v>
          </cell>
          <cell r="C224" t="str">
            <v>EXP_OTH_COMMODITY</v>
          </cell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</row>
        <row r="225">
          <cell r="B225" t="str">
            <v>Expense - % Other (Non-Commodity) cost</v>
          </cell>
          <cell r="C225" t="str">
            <v>EXP_OTH_COST</v>
          </cell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</row>
        <row r="226">
          <cell r="A226" t="str">
            <v>FX Exposure - Sales</v>
          </cell>
          <cell r="B226"/>
          <cell r="C226"/>
          <cell r="D226"/>
        </row>
        <row r="227">
          <cell r="B227" t="str">
            <v>Sales - % FX: British Pounds/Pence</v>
          </cell>
          <cell r="C227" t="str">
            <v>SALES_FX_GPB</v>
          </cell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</row>
        <row r="228">
          <cell r="B228" t="str">
            <v>Sales - % FX: Euro</v>
          </cell>
          <cell r="C228" t="str">
            <v>SALES_FX_EUR</v>
          </cell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</row>
        <row r="229">
          <cell r="B229" t="str">
            <v>Sales - % FX: New Russian Ruble</v>
          </cell>
          <cell r="C229" t="str">
            <v>SALES_FX_RUB</v>
          </cell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</row>
        <row r="230">
          <cell r="B230" t="str">
            <v>Sales - % FX: U.S. Dollar</v>
          </cell>
          <cell r="C230" t="str">
            <v>SALES_FX_USD</v>
          </cell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</row>
        <row r="231">
          <cell r="B231" t="str">
            <v>Sales - % FX: Brazilian Real</v>
          </cell>
          <cell r="C231" t="str">
            <v>SALES_FX_BRL</v>
          </cell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</row>
        <row r="232">
          <cell r="B232" t="str">
            <v>Sales - % FX: Japanese Yen</v>
          </cell>
          <cell r="C232" t="str">
            <v>SALES_FX_YEN</v>
          </cell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</row>
        <row r="233">
          <cell r="B233" t="str">
            <v>Sales - % FX: Chinese Renminbi</v>
          </cell>
          <cell r="C233" t="str">
            <v>SALES_FX_CNY</v>
          </cell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</row>
        <row r="234">
          <cell r="B234" t="str">
            <v>Sales - % FX: Indian Rupee</v>
          </cell>
          <cell r="C234" t="str">
            <v>SALES_FX_INR</v>
          </cell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</row>
        <row r="235">
          <cell r="B235" t="str">
            <v>Sales - % FX: South African Rand</v>
          </cell>
          <cell r="C235" t="str">
            <v>SALES_FX_ZAR</v>
          </cell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</row>
        <row r="236">
          <cell r="B236" t="str">
            <v>Sales - % FX: Nigerian Naira</v>
          </cell>
          <cell r="C236" t="str">
            <v>SALES_FX_NGN</v>
          </cell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</row>
        <row r="237">
          <cell r="B237" t="str">
            <v>Sales - % FX: Swiss Franc</v>
          </cell>
          <cell r="C237" t="str">
            <v>SALES_FX_CHF</v>
          </cell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</row>
        <row r="238">
          <cell r="B238" t="str">
            <v>Sales - % FX: UAE Dirham</v>
          </cell>
          <cell r="C238" t="str">
            <v>SALES_FX_AED</v>
          </cell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</row>
        <row r="239">
          <cell r="B239" t="str">
            <v>Sales - % FX: New Turkish Lira</v>
          </cell>
          <cell r="C239" t="str">
            <v>SALES_FX_TRY</v>
          </cell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</row>
        <row r="240">
          <cell r="B240" t="str">
            <v>Sales - % FX: Other Currency</v>
          </cell>
          <cell r="C240" t="str">
            <v>SALES_FX_OTH</v>
          </cell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</row>
        <row r="241">
          <cell r="A241" t="str">
            <v>Items to be removed</v>
          </cell>
          <cell r="B241"/>
          <cell r="C241"/>
          <cell r="D241"/>
        </row>
        <row r="242">
          <cell r="B242" t="str">
            <v>Sales - Total % Americas</v>
          </cell>
          <cell r="C242" t="str">
            <v>SALES_TOT_AM</v>
          </cell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</row>
        <row r="243">
          <cell r="B243" t="str">
            <v>Sales - % Other Americas</v>
          </cell>
          <cell r="C243" t="str">
            <v>SALES_OTH_AM</v>
          </cell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</row>
        <row r="244">
          <cell r="B244" t="str">
            <v>Sales - Total % EMEA</v>
          </cell>
          <cell r="C244" t="str">
            <v>SALES_TOT_EMEA</v>
          </cell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</row>
        <row r="245">
          <cell r="B245" t="str">
            <v>Sales - % Western Europe-Ex UK</v>
          </cell>
          <cell r="C245" t="str">
            <v>SALES_EU_EX_UK</v>
          </cell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</row>
        <row r="246">
          <cell r="B246" t="str">
            <v>Sales - % Other Western Europe-Ex UK</v>
          </cell>
          <cell r="C246" t="str">
            <v>SALES_OTH_EU_EX_UK</v>
          </cell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</row>
        <row r="247">
          <cell r="B247" t="str">
            <v>Sales - % Central &amp; Eastern Europe</v>
          </cell>
          <cell r="C247" t="str">
            <v>SALES_CEE</v>
          </cell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</row>
        <row r="248">
          <cell r="B248" t="str">
            <v>Sales - % Middle East</v>
          </cell>
          <cell r="C248" t="str">
            <v>SALES_ME</v>
          </cell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</row>
        <row r="249">
          <cell r="B249" t="str">
            <v>Sales - % Total Africa</v>
          </cell>
          <cell r="C249" t="str">
            <v>SALES_TOT_AFRICA</v>
          </cell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</row>
        <row r="250">
          <cell r="B250" t="str">
            <v>Sales - % Other EMEA</v>
          </cell>
          <cell r="C250" t="str">
            <v>SALES_OTH_EMEA</v>
          </cell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</row>
        <row r="251">
          <cell r="B251" t="str">
            <v>Sales - Total % Asia (incl Australia &amp; New Zealand)</v>
          </cell>
          <cell r="C251" t="str">
            <v>SALES_TOT_ASIA</v>
          </cell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</row>
        <row r="252">
          <cell r="B252" t="str">
            <v>Sales - % Other Asia</v>
          </cell>
          <cell r="C252" t="str">
            <v>SALES_OTH_AEJ</v>
          </cell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</row>
        <row r="253">
          <cell r="B253" t="str">
            <v>Indirect Sales - % Brazil</v>
          </cell>
          <cell r="C253" t="str">
            <v>IND_SALES_BRAZIL</v>
          </cell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</row>
        <row r="254">
          <cell r="B254" t="str">
            <v>Indirect Sales - % United States</v>
          </cell>
          <cell r="C254" t="str">
            <v>IND_SALES_US</v>
          </cell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</row>
        <row r="255">
          <cell r="B255" t="str">
            <v>Indirect Sales - % Other Americas</v>
          </cell>
          <cell r="C255" t="str">
            <v>IND_SALES_OTH_AM</v>
          </cell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</row>
        <row r="256">
          <cell r="B256" t="str">
            <v>Indirect Sales - Total % Americas</v>
          </cell>
          <cell r="C256" t="str">
            <v>IND_SALES_TOT_AM</v>
          </cell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</row>
        <row r="257">
          <cell r="B257" t="str">
            <v>Indirect Sales - % France</v>
          </cell>
          <cell r="C257" t="str">
            <v>IND_SALES_FRA</v>
          </cell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</row>
        <row r="258">
          <cell r="B258" t="str">
            <v>Indirect Sales - % Germany</v>
          </cell>
          <cell r="C258" t="str">
            <v>IND_SALES_GER</v>
          </cell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</row>
        <row r="259">
          <cell r="B259" t="str">
            <v>Indirect Sales - % Italy</v>
          </cell>
          <cell r="C259" t="str">
            <v>IND_SALES_ITA</v>
          </cell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</row>
        <row r="260">
          <cell r="B260" t="str">
            <v>Indirect Sales - % Spain</v>
          </cell>
          <cell r="C260" t="str">
            <v>IND_SALES_SPA</v>
          </cell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</row>
        <row r="261">
          <cell r="B261" t="str">
            <v>Indirect Sales - % UK</v>
          </cell>
          <cell r="C261" t="str">
            <v>IND_SALES_UK</v>
          </cell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</row>
        <row r="262">
          <cell r="B262" t="str">
            <v>Indirect Sales - % Western Europe-Ex UK</v>
          </cell>
          <cell r="C262" t="str">
            <v>IND_SALES_EU_EX_UK</v>
          </cell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</row>
        <row r="263">
          <cell r="B263" t="str">
            <v>Indirect Sales - % Other Western Europe-Ex UK</v>
          </cell>
          <cell r="C263" t="str">
            <v>IND_SALES_OTH_EU_EX_UK</v>
          </cell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</row>
        <row r="264">
          <cell r="B264" t="str">
            <v>Indirect Sales - % Russia</v>
          </cell>
          <cell r="C264" t="str">
            <v>IND_SALES_RUSSIA</v>
          </cell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</row>
        <row r="265">
          <cell r="B265" t="str">
            <v>Indirect Sales - % Central &amp; Eastern Europe</v>
          </cell>
          <cell r="C265" t="str">
            <v>IND_SALES_CEE</v>
          </cell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</row>
        <row r="266">
          <cell r="B266" t="str">
            <v>Indirect Sales - % Other EMEA</v>
          </cell>
          <cell r="C266" t="str">
            <v>IND_SALES_OTH_EMEA</v>
          </cell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</row>
        <row r="267">
          <cell r="B267" t="str">
            <v>Indirect Sales - Total % EMEA</v>
          </cell>
          <cell r="C267" t="str">
            <v>IND_SALES_TOT_EMEA</v>
          </cell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</row>
        <row r="268">
          <cell r="B268" t="str">
            <v>Indirect Sales - % Middle East</v>
          </cell>
          <cell r="C268" t="str">
            <v>IND_SALES_ME</v>
          </cell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</row>
        <row r="269">
          <cell r="B269" t="str">
            <v>Indirect sales - % Nigeria</v>
          </cell>
          <cell r="C269" t="str">
            <v>IND_SALES_NIGERIA</v>
          </cell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</row>
        <row r="270">
          <cell r="B270" t="str">
            <v>Indirect sales - % South Africa</v>
          </cell>
          <cell r="C270" t="str">
            <v>IND_SALES_SO_AFRICA</v>
          </cell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</row>
        <row r="271">
          <cell r="B271" t="str">
            <v>Indirect sales - % Other Africa</v>
          </cell>
          <cell r="C271" t="str">
            <v>IND_SALES_OTH_AFRICA</v>
          </cell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</row>
        <row r="272">
          <cell r="B272" t="str">
            <v>Indirect sales - % Total Africa</v>
          </cell>
          <cell r="C272" t="str">
            <v>IND_SALES_TOT_AFRICA</v>
          </cell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</row>
        <row r="273">
          <cell r="B273" t="str">
            <v>Indirect Sales - % China</v>
          </cell>
          <cell r="C273" t="str">
            <v>IND_SALES_CHINA</v>
          </cell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</row>
        <row r="274">
          <cell r="B274" t="str">
            <v>Indirect Sales - % India</v>
          </cell>
          <cell r="C274" t="str">
            <v>IND_SALES_INDIA</v>
          </cell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</row>
        <row r="275">
          <cell r="B275" t="str">
            <v>Indirect Sales - % Japan</v>
          </cell>
          <cell r="C275" t="str">
            <v>IND_SALES_JAPAN</v>
          </cell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</row>
        <row r="276">
          <cell r="B276" t="str">
            <v>Indirect Sales - % Other Asia</v>
          </cell>
          <cell r="C276" t="str">
            <v>IND_SALES_OTH_AEJ</v>
          </cell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</row>
        <row r="277">
          <cell r="B277" t="str">
            <v>Indirect Sales - Total % Asia (incl Australia &amp; New Zealand)</v>
          </cell>
          <cell r="C277" t="str">
            <v>IND_SALES_TOT_ASIA</v>
          </cell>
          <cell r="F277"/>
          <cell r="G277"/>
          <cell r="H277"/>
          <cell r="I277"/>
          <cell r="J277"/>
          <cell r="K277"/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</row>
        <row r="278">
          <cell r="B278" t="str">
            <v>Indirect Sales - % Others</v>
          </cell>
          <cell r="C278" t="str">
            <v>IND_SALES_OTHER</v>
          </cell>
          <cell r="F278"/>
          <cell r="G278"/>
          <cell r="H278"/>
          <cell r="I278"/>
          <cell r="J278"/>
          <cell r="K278"/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</row>
        <row r="279">
          <cell r="B279" t="str">
            <v>Indirect Sales -% Consumer (C)</v>
          </cell>
          <cell r="C279" t="str">
            <v>IND_SALES_CONS</v>
          </cell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</row>
        <row r="280">
          <cell r="B280" t="str">
            <v>Indirect Sales -% Industry (I)</v>
          </cell>
          <cell r="C280" t="str">
            <v>IND_SALES_IND</v>
          </cell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</row>
        <row r="281">
          <cell r="B281" t="str">
            <v>Indirect Sales -% Government (G)</v>
          </cell>
          <cell r="C281" t="str">
            <v>IND_SALES_GOV</v>
          </cell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</row>
        <row r="282">
          <cell r="B282" t="str">
            <v>Indirect Sales -% Industry Sub-Segment: Financial Services</v>
          </cell>
          <cell r="C282" t="str">
            <v>IND_SALES_FINAN</v>
          </cell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</row>
        <row r="283">
          <cell r="A283" t="str">
            <v>Analyst Defined Items</v>
          </cell>
          <cell r="B283"/>
          <cell r="C283"/>
          <cell r="D283"/>
        </row>
        <row r="284">
          <cell r="B284" t="str">
            <v>Currency Neutral Sales Growth</v>
          </cell>
          <cell r="C284" t="str">
            <v>RETAIL_CN_PCT_CHG</v>
          </cell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</row>
        <row r="285">
          <cell r="A285" t="str">
            <v>Security: Global Fashion Group</v>
          </cell>
          <cell r="B285"/>
          <cell r="C285"/>
          <cell r="D285"/>
        </row>
        <row r="286">
          <cell r="A286" t="str">
            <v>Reference Data</v>
          </cell>
          <cell r="B286"/>
          <cell r="C286"/>
          <cell r="D286"/>
        </row>
        <row r="287">
          <cell r="B287" t="str">
            <v>Ticker</v>
          </cell>
          <cell r="C287" t="str">
            <v>Ticker</v>
          </cell>
          <cell r="E287" t="str">
            <v>GFG.DE</v>
          </cell>
        </row>
        <row r="288">
          <cell r="B288" t="str">
            <v>Security Name</v>
          </cell>
          <cell r="C288" t="str">
            <v>Security Name</v>
          </cell>
          <cell r="E288" t="str">
            <v>Global Fashion Group</v>
          </cell>
        </row>
        <row r="289">
          <cell r="B289" t="str">
            <v>Interim Type</v>
          </cell>
          <cell r="C289" t="str">
            <v>Interim Type</v>
          </cell>
          <cell r="E289" t="str">
            <v>Q</v>
          </cell>
        </row>
        <row r="290">
          <cell r="B290" t="str">
            <v>Publishing Currency</v>
          </cell>
          <cell r="C290" t="str">
            <v>PUB_CURRENCY_ISO</v>
          </cell>
          <cell r="E290" t="str">
            <v>EUR</v>
          </cell>
        </row>
        <row r="291">
          <cell r="B291" t="str">
            <v>Pricing Currency</v>
          </cell>
          <cell r="C291" t="str">
            <v>PRICE_CURRENCY_ISO</v>
          </cell>
          <cell r="E291" t="str">
            <v>EUR</v>
          </cell>
        </row>
        <row r="292">
          <cell r="B292" t="str">
            <v>Reporting Currency</v>
          </cell>
          <cell r="C292" t="str">
            <v>CURRENCY_ISO</v>
          </cell>
          <cell r="E292" t="str">
            <v>EUR</v>
          </cell>
        </row>
        <row r="293">
          <cell r="A293" t="str">
            <v>General Information</v>
          </cell>
          <cell r="B293"/>
          <cell r="C293"/>
          <cell r="D293"/>
        </row>
        <row r="294">
          <cell r="B294" t="str">
            <v>Pan Europe Investment List</v>
          </cell>
          <cell r="C294" t="str">
            <v>EURO_LIST</v>
          </cell>
          <cell r="E294"/>
        </row>
        <row r="295">
          <cell r="B295" t="str">
            <v>Pan Europe Conviction List</v>
          </cell>
          <cell r="C295" t="str">
            <v>EURO_CONVICTION</v>
          </cell>
          <cell r="E295"/>
        </row>
        <row r="296">
          <cell r="B296" t="str">
            <v>Legal rating</v>
          </cell>
          <cell r="C296" t="str">
            <v>LEGAL_RATING</v>
          </cell>
          <cell r="E296"/>
        </row>
        <row r="297">
          <cell r="B297" t="str">
            <v>Target price</v>
          </cell>
          <cell r="C297" t="str">
            <v>TARGET_PRICE</v>
          </cell>
          <cell r="D297" t="str">
            <v>EUR</v>
          </cell>
          <cell r="E297"/>
        </row>
        <row r="298">
          <cell r="B298" t="str">
            <v>Target price period</v>
          </cell>
          <cell r="C298" t="str">
            <v>TP_PERIOD</v>
          </cell>
          <cell r="E298"/>
        </row>
        <row r="299">
          <cell r="B299" t="str">
            <v>Fundamental value</v>
          </cell>
          <cell r="C299" t="str">
            <v>TARGET_PRICE_FUNDAMENTAL</v>
          </cell>
          <cell r="D299" t="str">
            <v>EUR</v>
          </cell>
          <cell r="E299"/>
        </row>
        <row r="300">
          <cell r="B300" t="str">
            <v>M&amp;A value</v>
          </cell>
          <cell r="C300" t="str">
            <v>TARGET_PRICE_MA</v>
          </cell>
          <cell r="D300" t="str">
            <v>EUR</v>
          </cell>
          <cell r="E300"/>
        </row>
        <row r="301">
          <cell r="B301" t="str">
            <v>Current shares outstanding (mn)</v>
          </cell>
          <cell r="C301" t="str">
            <v>NUM_SH</v>
          </cell>
          <cell r="E301">
            <v>212.62927400000001</v>
          </cell>
        </row>
        <row r="302">
          <cell r="B302" t="str">
            <v>Free float</v>
          </cell>
          <cell r="C302" t="str">
            <v>FREE_FLOAT</v>
          </cell>
          <cell r="E302"/>
        </row>
        <row r="303">
          <cell r="A303" t="str">
            <v>Publishing Items</v>
          </cell>
          <cell r="B303"/>
          <cell r="C303"/>
          <cell r="D303"/>
        </row>
        <row r="304">
          <cell r="B304" t="str">
            <v>Book value per share, BVPS (Pub)</v>
          </cell>
          <cell r="C304" t="str">
            <v>BVPS_PUB</v>
          </cell>
          <cell r="D304" t="str">
            <v>EUR</v>
          </cell>
          <cell r="F304" t="str">
            <v/>
          </cell>
          <cell r="G304" t="str">
            <v/>
          </cell>
          <cell r="H304"/>
          <cell r="I304"/>
          <cell r="J304"/>
          <cell r="K304"/>
          <cell r="L304" t="str">
            <v/>
          </cell>
          <cell r="M304"/>
          <cell r="N304"/>
          <cell r="O304"/>
          <cell r="P304"/>
          <cell r="Q304">
            <v>3.0640289021997642</v>
          </cell>
          <cell r="R304">
            <v>2.6342509231702835</v>
          </cell>
          <cell r="S304">
            <v>2.3077848705583675</v>
          </cell>
          <cell r="T304">
            <v>2.1152659016465281</v>
          </cell>
          <cell r="U304">
            <v>2.0877837421177632</v>
          </cell>
        </row>
        <row r="305">
          <cell r="B305" t="str">
            <v>DPS, dividend per share (Pub)</v>
          </cell>
          <cell r="C305" t="str">
            <v>DPS_PUB</v>
          </cell>
          <cell r="D305" t="str">
            <v>EUR</v>
          </cell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</row>
        <row r="306">
          <cell r="B306" t="str">
            <v>Special dividend per share</v>
          </cell>
          <cell r="C306" t="str">
            <v>DPS_SPECIAL_PUB</v>
          </cell>
          <cell r="D306" t="str">
            <v>EUR</v>
          </cell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</row>
        <row r="307">
          <cell r="B307" t="str">
            <v>EBITDA (Pub)</v>
          </cell>
          <cell r="C307" t="str">
            <v>EBITDA_PUB</v>
          </cell>
          <cell r="D307" t="str">
            <v>EUR</v>
          </cell>
          <cell r="F307">
            <v>-148.90000000000009</v>
          </cell>
          <cell r="G307">
            <v>-107.39999999999998</v>
          </cell>
          <cell r="H307"/>
          <cell r="I307"/>
          <cell r="J307"/>
          <cell r="K307"/>
          <cell r="L307">
            <v>-104.99999999999999</v>
          </cell>
          <cell r="M307"/>
          <cell r="N307"/>
          <cell r="O307"/>
          <cell r="P307"/>
          <cell r="Q307">
            <v>-57.232517011729925</v>
          </cell>
          <cell r="R307">
            <v>-20.131893291234533</v>
          </cell>
          <cell r="S307">
            <v>12.423705417438224</v>
          </cell>
          <cell r="T307">
            <v>50.308478370641723</v>
          </cell>
          <cell r="U307">
            <v>95.599154806567583</v>
          </cell>
        </row>
        <row r="308">
          <cell r="B308" t="str">
            <v>EPS (Pub)</v>
          </cell>
          <cell r="C308" t="str">
            <v>EPS_PUB</v>
          </cell>
          <cell r="D308" t="str">
            <v>EUR</v>
          </cell>
          <cell r="F308" t="str">
            <v/>
          </cell>
          <cell r="G308" t="str">
            <v/>
          </cell>
          <cell r="H308"/>
          <cell r="I308"/>
          <cell r="J308"/>
          <cell r="K308"/>
          <cell r="L308" t="str">
            <v/>
          </cell>
          <cell r="M308">
            <v>-0.20372218361616573</v>
          </cell>
          <cell r="N308">
            <v>-0.14443796499924189</v>
          </cell>
          <cell r="O308">
            <v>-0.14443796499924189</v>
          </cell>
          <cell r="P308">
            <v>-0.14443796499924189</v>
          </cell>
          <cell r="Q308">
            <v>-0.63703607861389144</v>
          </cell>
          <cell r="R308">
            <v>-0.46955167129551545</v>
          </cell>
          <cell r="S308">
            <v>-0.36504407910706627</v>
          </cell>
          <cell r="T308">
            <v>-0.22864208653323878</v>
          </cell>
          <cell r="U308">
            <v>-5.8800120797421751E-2</v>
          </cell>
        </row>
        <row r="309">
          <cell r="B309" t="str">
            <v>EV adjustment (Pub)</v>
          </cell>
          <cell r="C309" t="str">
            <v>EV_ADJ_PUB</v>
          </cell>
          <cell r="D309" t="str">
            <v>EUR</v>
          </cell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</row>
        <row r="310">
          <cell r="B310" t="str">
            <v>Net debt (Pub)</v>
          </cell>
          <cell r="C310" t="str">
            <v>NET_DEBT_PUB</v>
          </cell>
          <cell r="D310" t="str">
            <v>EUR</v>
          </cell>
          <cell r="F310">
            <v>0</v>
          </cell>
          <cell r="G310">
            <v>-244.8</v>
          </cell>
          <cell r="H310"/>
          <cell r="I310"/>
          <cell r="J310"/>
          <cell r="K310"/>
          <cell r="L310">
            <v>-98.5</v>
          </cell>
          <cell r="M310"/>
          <cell r="N310"/>
          <cell r="O310"/>
          <cell r="P310"/>
          <cell r="Q310">
            <v>-157.30886257879979</v>
          </cell>
          <cell r="R310">
            <v>-23.610074620756336</v>
          </cell>
          <cell r="S310">
            <v>43.75980356419376</v>
          </cell>
          <cell r="T310">
            <v>84.538821054371851</v>
          </cell>
          <cell r="U310">
            <v>81.291895019908395</v>
          </cell>
        </row>
        <row r="311">
          <cell r="B311" t="str">
            <v>Net Debt (ex leases) (Pub)</v>
          </cell>
          <cell r="C311" t="str">
            <v>NET_DEBT_EX_LEASES_PUB</v>
          </cell>
          <cell r="D311" t="str">
            <v>EUR</v>
          </cell>
          <cell r="F311">
            <v>-240.1</v>
          </cell>
          <cell r="G311">
            <v>-244.8</v>
          </cell>
          <cell r="H311"/>
          <cell r="I311"/>
          <cell r="J311"/>
          <cell r="K311"/>
          <cell r="L311">
            <v>-98.5</v>
          </cell>
          <cell r="M311"/>
          <cell r="N311"/>
          <cell r="O311"/>
          <cell r="P311"/>
          <cell r="Q311">
            <v>-261.00886257879978</v>
          </cell>
          <cell r="R311">
            <v>-127.31007462075634</v>
          </cell>
          <cell r="S311">
            <v>-59.940196435806243</v>
          </cell>
          <cell r="T311">
            <v>-19.161178945628144</v>
          </cell>
          <cell r="U311">
            <v>-22.408104980091608</v>
          </cell>
        </row>
        <row r="312">
          <cell r="B312" t="str">
            <v>Consensus equivalent net debt</v>
          </cell>
          <cell r="C312" t="str">
            <v>CEEE_NDEBT</v>
          </cell>
          <cell r="D312" t="str">
            <v>EUR</v>
          </cell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</row>
        <row r="313">
          <cell r="B313" t="str">
            <v>Net income (Pub)</v>
          </cell>
          <cell r="C313" t="str">
            <v>NI_PUB</v>
          </cell>
          <cell r="D313" t="str">
            <v>EUR</v>
          </cell>
          <cell r="F313">
            <v>-215.60000000000011</v>
          </cell>
          <cell r="G313">
            <v>-6.4999999999999716</v>
          </cell>
          <cell r="H313"/>
          <cell r="I313"/>
          <cell r="J313"/>
          <cell r="K313"/>
          <cell r="L313">
            <v>-201.89999999999998</v>
          </cell>
          <cell r="M313"/>
          <cell r="N313"/>
          <cell r="O313"/>
          <cell r="P313"/>
          <cell r="Q313">
            <v>-135.45251890747866</v>
          </cell>
          <cell r="R313">
            <v>-99.840430973052094</v>
          </cell>
          <cell r="S313">
            <v>-77.619057518534078</v>
          </cell>
          <cell r="T313">
            <v>-48.616000865407742</v>
          </cell>
          <cell r="U313">
            <v>-12.502626996268088</v>
          </cell>
        </row>
        <row r="314">
          <cell r="B314" t="str">
            <v>EBIT, operating profit (Pub)</v>
          </cell>
          <cell r="C314" t="str">
            <v>EBIT_PUB</v>
          </cell>
          <cell r="D314" t="str">
            <v>EUR</v>
          </cell>
          <cell r="F314">
            <v>-189.3000000000001</v>
          </cell>
          <cell r="G314">
            <v>-132.69999999999999</v>
          </cell>
          <cell r="H314"/>
          <cell r="I314"/>
          <cell r="J314"/>
          <cell r="K314"/>
          <cell r="L314">
            <v>-157.69999999999999</v>
          </cell>
          <cell r="M314"/>
          <cell r="N314"/>
          <cell r="O314"/>
          <cell r="P314"/>
          <cell r="Q314">
            <v>-116.45251890747866</v>
          </cell>
          <cell r="R314">
            <v>-88.840430973052094</v>
          </cell>
          <cell r="S314">
            <v>-66.619057518534078</v>
          </cell>
          <cell r="T314">
            <v>-37.616000865407742</v>
          </cell>
          <cell r="U314">
            <v>-1.5026269962680878</v>
          </cell>
        </row>
        <row r="315">
          <cell r="B315" t="str">
            <v>Pre-tax profit (Pub)</v>
          </cell>
          <cell r="C315" t="str">
            <v>PTP_PUB</v>
          </cell>
          <cell r="D315" t="str">
            <v>EUR</v>
          </cell>
          <cell r="F315">
            <v>-189.3000000000001</v>
          </cell>
          <cell r="G315">
            <v>-146.39999999999998</v>
          </cell>
          <cell r="H315"/>
          <cell r="I315"/>
          <cell r="J315"/>
          <cell r="K315"/>
          <cell r="L315">
            <v>-196.7</v>
          </cell>
          <cell r="M315"/>
          <cell r="N315"/>
          <cell r="O315"/>
          <cell r="P315"/>
          <cell r="Q315">
            <v>-135.45251890747866</v>
          </cell>
          <cell r="R315">
            <v>-99.840430973052094</v>
          </cell>
          <cell r="S315">
            <v>-77.619057518534078</v>
          </cell>
          <cell r="T315">
            <v>-48.616000865407742</v>
          </cell>
          <cell r="U315">
            <v>-12.502626996268088</v>
          </cell>
        </row>
        <row r="316">
          <cell r="B316" t="str">
            <v>Sales, revenue (Pub)</v>
          </cell>
          <cell r="C316" t="str">
            <v>REVS_PUB</v>
          </cell>
          <cell r="D316" t="str">
            <v>EUR</v>
          </cell>
          <cell r="F316">
            <v>886.9</v>
          </cell>
          <cell r="G316">
            <v>1095</v>
          </cell>
          <cell r="H316">
            <v>236.9</v>
          </cell>
          <cell r="I316">
            <v>297.8</v>
          </cell>
          <cell r="J316">
            <v>264.60000000000002</v>
          </cell>
          <cell r="K316">
            <v>356.6</v>
          </cell>
          <cell r="L316">
            <v>1155.9000000000001</v>
          </cell>
          <cell r="M316">
            <v>258.59999999999985</v>
          </cell>
          <cell r="N316">
            <v>333.54068230489077</v>
          </cell>
          <cell r="O316">
            <v>308.63308793010094</v>
          </cell>
          <cell r="P316">
            <v>415.22627189275818</v>
          </cell>
          <cell r="Q316">
            <v>1316.0000421277498</v>
          </cell>
          <cell r="R316">
            <v>1526.8563929292791</v>
          </cell>
          <cell r="S316">
            <v>1756.5058430216068</v>
          </cell>
          <cell r="T316">
            <v>1998.2836190011244</v>
          </cell>
          <cell r="U316">
            <v>2258.1809721589693</v>
          </cell>
        </row>
        <row r="317">
          <cell r="B317" t="str">
            <v>Total shareholders' equity (Pub)</v>
          </cell>
          <cell r="C317" t="str">
            <v>EQ_PUB</v>
          </cell>
          <cell r="D317" t="str">
            <v>EUR</v>
          </cell>
          <cell r="F317">
            <v>0</v>
          </cell>
          <cell r="G317">
            <v>793.39999999999964</v>
          </cell>
          <cell r="H317"/>
          <cell r="I317"/>
          <cell r="J317"/>
          <cell r="K317"/>
          <cell r="L317">
            <v>603.80000000000018</v>
          </cell>
          <cell r="M317"/>
          <cell r="N317"/>
          <cell r="O317"/>
          <cell r="P317"/>
          <cell r="Q317">
            <v>668.80224098975282</v>
          </cell>
          <cell r="R317">
            <v>577.41886132752711</v>
          </cell>
          <cell r="S317">
            <v>508.0026215750097</v>
          </cell>
          <cell r="T317">
            <v>467.06745298405667</v>
          </cell>
          <cell r="U317">
            <v>461.22394135550326</v>
          </cell>
        </row>
        <row r="318">
          <cell r="A318" t="str">
            <v>Income Statement</v>
          </cell>
          <cell r="B318"/>
          <cell r="C318"/>
          <cell r="D318"/>
        </row>
        <row r="319">
          <cell r="B319" t="str">
            <v>Provision for income tax</v>
          </cell>
          <cell r="C319" t="str">
            <v>PROV_INC_TAX</v>
          </cell>
          <cell r="D319" t="str">
            <v>EUR</v>
          </cell>
          <cell r="F319">
            <v>79.099999999999994</v>
          </cell>
          <cell r="G319">
            <v>2.5</v>
          </cell>
          <cell r="H319"/>
          <cell r="I319"/>
          <cell r="J319"/>
          <cell r="K319"/>
          <cell r="L319">
            <v>-5.2</v>
          </cell>
          <cell r="M319"/>
          <cell r="N319"/>
          <cell r="O319"/>
          <cell r="P319"/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</row>
        <row r="320">
          <cell r="B320" t="str">
            <v>Minority interest</v>
          </cell>
          <cell r="C320" t="str">
            <v>INC_MINORITY</v>
          </cell>
          <cell r="D320" t="str">
            <v>EUR</v>
          </cell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</row>
        <row r="321">
          <cell r="B321" t="str">
            <v>Net income (pre-preferred dividends)</v>
          </cell>
          <cell r="C321" t="str">
            <v>NI_PRE_PREF</v>
          </cell>
          <cell r="D321" t="str">
            <v>EUR</v>
          </cell>
          <cell r="F321">
            <v>-110.2000000000001</v>
          </cell>
          <cell r="G321">
            <v>-143.89999999999998</v>
          </cell>
          <cell r="H321"/>
          <cell r="I321"/>
          <cell r="J321"/>
          <cell r="K321"/>
          <cell r="L321">
            <v>-201.89999999999998</v>
          </cell>
          <cell r="M321"/>
          <cell r="N321"/>
          <cell r="O321"/>
          <cell r="P321"/>
          <cell r="Q321">
            <v>-135.45251890747866</v>
          </cell>
          <cell r="R321">
            <v>-99.840430973052094</v>
          </cell>
          <cell r="S321">
            <v>-77.619057518534078</v>
          </cell>
          <cell r="T321">
            <v>-48.616000865407742</v>
          </cell>
          <cell r="U321">
            <v>-12.502626996268088</v>
          </cell>
        </row>
        <row r="322">
          <cell r="B322" t="str">
            <v>Preferred dividends</v>
          </cell>
          <cell r="C322" t="str">
            <v>PREF_DIV</v>
          </cell>
          <cell r="D322" t="str">
            <v>EUR</v>
          </cell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</row>
        <row r="323">
          <cell r="B323" t="str">
            <v>Net income (pre-exceptionals)</v>
          </cell>
          <cell r="C323" t="str">
            <v>NET_EARNING</v>
          </cell>
          <cell r="D323" t="str">
            <v>EUR</v>
          </cell>
          <cell r="F323">
            <v>-110.2000000000001</v>
          </cell>
          <cell r="G323">
            <v>-143.89999999999998</v>
          </cell>
          <cell r="H323"/>
          <cell r="I323"/>
          <cell r="J323"/>
          <cell r="K323"/>
          <cell r="L323">
            <v>-201.89999999999998</v>
          </cell>
          <cell r="M323">
            <v>-43.317300000000017</v>
          </cell>
          <cell r="N323">
            <v>-30.711739635826216</v>
          </cell>
          <cell r="O323">
            <v>-30.711739635826216</v>
          </cell>
          <cell r="P323">
            <v>-30.711739635826216</v>
          </cell>
          <cell r="Q323">
            <v>-135.45251890747866</v>
          </cell>
          <cell r="R323">
            <v>-99.840430973052094</v>
          </cell>
          <cell r="S323">
            <v>-77.619057518534078</v>
          </cell>
          <cell r="T323">
            <v>-48.616000865407742</v>
          </cell>
          <cell r="U323">
            <v>-12.502626996268088</v>
          </cell>
        </row>
        <row r="324">
          <cell r="B324" t="str">
            <v>Post-tax exceptionals</v>
          </cell>
          <cell r="C324" t="str">
            <v>TAX_EXC</v>
          </cell>
          <cell r="D324" t="str">
            <v>EUR</v>
          </cell>
          <cell r="F324">
            <v>-105.4</v>
          </cell>
          <cell r="G324">
            <v>137.4</v>
          </cell>
          <cell r="H324"/>
          <cell r="I324"/>
          <cell r="J324"/>
          <cell r="K324"/>
          <cell r="L324">
            <v>0</v>
          </cell>
          <cell r="M324"/>
          <cell r="N324"/>
          <cell r="O324"/>
          <cell r="P324"/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</row>
        <row r="325">
          <cell r="B325" t="str">
            <v>Net income (post-exceptionals)</v>
          </cell>
          <cell r="C325" t="str">
            <v>NET_INC</v>
          </cell>
          <cell r="D325" t="str">
            <v>EUR</v>
          </cell>
          <cell r="F325">
            <v>-215.60000000000011</v>
          </cell>
          <cell r="G325">
            <v>-6.4999999999999716</v>
          </cell>
          <cell r="H325"/>
          <cell r="I325"/>
          <cell r="J325"/>
          <cell r="K325"/>
          <cell r="L325">
            <v>-201.89999999999998</v>
          </cell>
          <cell r="M325"/>
          <cell r="N325"/>
          <cell r="O325"/>
          <cell r="P325"/>
          <cell r="Q325">
            <v>-135.45251890747866</v>
          </cell>
          <cell r="R325">
            <v>-99.840430973052094</v>
          </cell>
          <cell r="S325">
            <v>-77.619057518534078</v>
          </cell>
          <cell r="T325">
            <v>-48.616000865407742</v>
          </cell>
          <cell r="U325">
            <v>-12.502626996268088</v>
          </cell>
        </row>
        <row r="326">
          <cell r="B326" t="str">
            <v>EPS (pre-exceptionals, basic)</v>
          </cell>
          <cell r="C326" t="str">
            <v>EPS</v>
          </cell>
          <cell r="D326" t="str">
            <v>EUR</v>
          </cell>
          <cell r="F326" t="str">
            <v/>
          </cell>
          <cell r="G326" t="str">
            <v/>
          </cell>
          <cell r="H326"/>
          <cell r="I326"/>
          <cell r="J326"/>
          <cell r="K326"/>
          <cell r="L326" t="str">
            <v/>
          </cell>
          <cell r="M326">
            <v>-0.20372218361616573</v>
          </cell>
          <cell r="N326">
            <v>-0.14443796499924189</v>
          </cell>
          <cell r="O326">
            <v>-0.14443796499924189</v>
          </cell>
          <cell r="P326">
            <v>-0.14443796499924189</v>
          </cell>
          <cell r="Q326">
            <v>-0.63703607861389144</v>
          </cell>
          <cell r="R326">
            <v>-0.46955167129551545</v>
          </cell>
          <cell r="S326">
            <v>-0.36504407910706627</v>
          </cell>
          <cell r="T326">
            <v>-0.22864208653323878</v>
          </cell>
          <cell r="U326">
            <v>-5.8800120797421751E-2</v>
          </cell>
        </row>
        <row r="327">
          <cell r="B327" t="str">
            <v>EPS (pre-exceptionals, diluted)</v>
          </cell>
          <cell r="C327" t="str">
            <v>EPS_FUL_DIL</v>
          </cell>
          <cell r="D327" t="str">
            <v>EUR</v>
          </cell>
          <cell r="F327" t="str">
            <v/>
          </cell>
          <cell r="G327" t="str">
            <v/>
          </cell>
          <cell r="H327"/>
          <cell r="I327"/>
          <cell r="J327"/>
          <cell r="K327"/>
          <cell r="L327" t="str">
            <v/>
          </cell>
          <cell r="M327"/>
          <cell r="N327"/>
          <cell r="O327"/>
          <cell r="P327"/>
          <cell r="Q327">
            <v>-0.63703607861389144</v>
          </cell>
          <cell r="R327">
            <v>-0.46955167129551545</v>
          </cell>
          <cell r="S327">
            <v>-0.36504407910706627</v>
          </cell>
          <cell r="T327">
            <v>-0.22864208653323878</v>
          </cell>
          <cell r="U327">
            <v>-5.8800120797421751E-2</v>
          </cell>
        </row>
        <row r="328">
          <cell r="B328" t="str">
            <v>EPS (post-exceptionals, basic)</v>
          </cell>
          <cell r="C328" t="str">
            <v>EPS_POST_BASIC</v>
          </cell>
          <cell r="D328" t="str">
            <v>EUR</v>
          </cell>
          <cell r="F328" t="str">
            <v/>
          </cell>
          <cell r="G328" t="str">
            <v/>
          </cell>
          <cell r="H328"/>
          <cell r="I328"/>
          <cell r="J328"/>
          <cell r="K328"/>
          <cell r="L328" t="str">
            <v/>
          </cell>
          <cell r="M328"/>
          <cell r="N328"/>
          <cell r="O328"/>
          <cell r="P328"/>
          <cell r="Q328">
            <v>-0.63703607861389144</v>
          </cell>
          <cell r="R328">
            <v>-0.46955167129551545</v>
          </cell>
          <cell r="S328">
            <v>-0.36504407910706627</v>
          </cell>
          <cell r="T328">
            <v>-0.22864208653323878</v>
          </cell>
          <cell r="U328">
            <v>-5.8800120797421751E-2</v>
          </cell>
        </row>
        <row r="329">
          <cell r="B329" t="str">
            <v>EPS (post-exceptionals, diluted)</v>
          </cell>
          <cell r="C329" t="str">
            <v>FULLY_DIL_EPS</v>
          </cell>
          <cell r="D329" t="str">
            <v>EUR</v>
          </cell>
          <cell r="F329" t="str">
            <v/>
          </cell>
          <cell r="G329" t="str">
            <v/>
          </cell>
          <cell r="H329"/>
          <cell r="I329"/>
          <cell r="J329"/>
          <cell r="K329"/>
          <cell r="L329" t="str">
            <v/>
          </cell>
          <cell r="M329"/>
          <cell r="N329"/>
          <cell r="O329"/>
          <cell r="P329"/>
          <cell r="Q329">
            <v>-0.63703607861389144</v>
          </cell>
          <cell r="R329">
            <v>-0.46955167129551545</v>
          </cell>
          <cell r="S329">
            <v>-0.36504407910706627</v>
          </cell>
          <cell r="T329">
            <v>-0.22864208653323878</v>
          </cell>
          <cell r="U329">
            <v>-5.8800120797421751E-2</v>
          </cell>
        </row>
        <row r="330">
          <cell r="B330" t="str">
            <v>Common dividends paid</v>
          </cell>
          <cell r="C330" t="str">
            <v>COMMON_DIV_PAID</v>
          </cell>
          <cell r="D330" t="str">
            <v>EUR</v>
          </cell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</row>
        <row r="331">
          <cell r="B331" t="str">
            <v>DPS, dividend per share</v>
          </cell>
          <cell r="C331" t="str">
            <v>DPS</v>
          </cell>
          <cell r="D331" t="str">
            <v>EUR</v>
          </cell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</row>
        <row r="332">
          <cell r="B332" t="str">
            <v>Weighted average shares outstanding, basic</v>
          </cell>
          <cell r="C332" t="str">
            <v>SH</v>
          </cell>
          <cell r="F332">
            <v>0</v>
          </cell>
          <cell r="G332">
            <v>0</v>
          </cell>
          <cell r="H332"/>
          <cell r="I332"/>
          <cell r="J332"/>
          <cell r="K332"/>
          <cell r="L332">
            <v>0</v>
          </cell>
          <cell r="M332">
            <v>212.62927400000001</v>
          </cell>
          <cell r="N332">
            <v>212.62927400000001</v>
          </cell>
          <cell r="O332">
            <v>212.62927400000001</v>
          </cell>
          <cell r="P332">
            <v>212.62927400000001</v>
          </cell>
          <cell r="Q332">
            <v>212.62927400000001</v>
          </cell>
          <cell r="R332">
            <v>212.62927400000001</v>
          </cell>
          <cell r="S332">
            <v>212.62927400000001</v>
          </cell>
          <cell r="T332">
            <v>212.62927400000001</v>
          </cell>
          <cell r="U332">
            <v>212.62927400000001</v>
          </cell>
        </row>
        <row r="333">
          <cell r="B333" t="str">
            <v>Diluted average shares outstanding (mn)</v>
          </cell>
          <cell r="C333" t="str">
            <v>DILUTE_SHARES</v>
          </cell>
          <cell r="F333">
            <v>0</v>
          </cell>
          <cell r="G333">
            <v>0</v>
          </cell>
          <cell r="H333"/>
          <cell r="I333"/>
          <cell r="J333"/>
          <cell r="K333"/>
          <cell r="L333">
            <v>0</v>
          </cell>
          <cell r="M333"/>
          <cell r="N333"/>
          <cell r="O333"/>
          <cell r="P333"/>
          <cell r="Q333">
            <v>212.62927400000001</v>
          </cell>
          <cell r="R333">
            <v>212.62927400000001</v>
          </cell>
          <cell r="S333">
            <v>212.62927400000001</v>
          </cell>
          <cell r="T333">
            <v>212.62927400000001</v>
          </cell>
          <cell r="U333">
            <v>212.62927400000001</v>
          </cell>
        </row>
        <row r="334">
          <cell r="B334" t="str">
            <v>Period-end shares outstanding</v>
          </cell>
          <cell r="C334" t="str">
            <v>NON_OP_ADD</v>
          </cell>
          <cell r="F334">
            <v>0</v>
          </cell>
          <cell r="G334">
            <v>0</v>
          </cell>
          <cell r="H334"/>
          <cell r="I334"/>
          <cell r="J334"/>
          <cell r="K334"/>
          <cell r="L334">
            <v>0</v>
          </cell>
          <cell r="M334"/>
          <cell r="N334"/>
          <cell r="O334"/>
          <cell r="P334"/>
          <cell r="Q334">
            <v>212.62927400000001</v>
          </cell>
          <cell r="R334">
            <v>212.62927400000001</v>
          </cell>
          <cell r="S334">
            <v>212.62927400000001</v>
          </cell>
          <cell r="T334">
            <v>212.62927400000001</v>
          </cell>
          <cell r="U334">
            <v>212.62927400000001</v>
          </cell>
        </row>
        <row r="335">
          <cell r="A335" t="str">
            <v>Additional Income Statement Items</v>
          </cell>
          <cell r="B335"/>
          <cell r="C335"/>
          <cell r="D335"/>
        </row>
        <row r="336">
          <cell r="B336" t="str">
            <v>Organic net income (excl. acquisitions)</v>
          </cell>
          <cell r="C336" t="str">
            <v>ORG_NI</v>
          </cell>
          <cell r="D336" t="str">
            <v>EUR</v>
          </cell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</row>
        <row r="337">
          <cell r="B337" t="str">
            <v>Organic EPS (excl. acquisitions)</v>
          </cell>
          <cell r="C337" t="str">
            <v>ORG_EPS</v>
          </cell>
          <cell r="D337" t="str">
            <v>EUR</v>
          </cell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</row>
        <row r="338">
          <cell r="B338" t="str">
            <v>Marginal tax rate</v>
          </cell>
          <cell r="C338" t="str">
            <v>MARGIN_TAX_RATE</v>
          </cell>
          <cell r="F338">
            <v>0</v>
          </cell>
          <cell r="G338">
            <v>0</v>
          </cell>
          <cell r="H338"/>
          <cell r="I338"/>
          <cell r="J338"/>
          <cell r="K338"/>
          <cell r="L338">
            <v>2.6436197254702594E-2</v>
          </cell>
          <cell r="M338"/>
          <cell r="N338"/>
          <cell r="O338"/>
          <cell r="P338"/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</row>
        <row r="339">
          <cell r="A339" t="str">
            <v>Balance Sheet</v>
          </cell>
          <cell r="B339"/>
          <cell r="C339"/>
          <cell r="D339"/>
        </row>
        <row r="340">
          <cell r="B340" t="str">
            <v>BVPS, book value per share</v>
          </cell>
          <cell r="C340" t="str">
            <v>BVPS</v>
          </cell>
          <cell r="D340" t="str">
            <v>EUR</v>
          </cell>
          <cell r="F340" t="str">
            <v/>
          </cell>
          <cell r="G340" t="str">
            <v/>
          </cell>
          <cell r="H340"/>
          <cell r="I340"/>
          <cell r="J340"/>
          <cell r="K340"/>
          <cell r="L340" t="str">
            <v/>
          </cell>
          <cell r="M340"/>
          <cell r="N340"/>
          <cell r="O340"/>
          <cell r="P340"/>
          <cell r="Q340">
            <v>3.0640289021997642</v>
          </cell>
          <cell r="R340">
            <v>2.6342509231702835</v>
          </cell>
          <cell r="S340">
            <v>2.3077848705583675</v>
          </cell>
          <cell r="T340">
            <v>2.1152659016465281</v>
          </cell>
          <cell r="U340">
            <v>2.0877837421177632</v>
          </cell>
        </row>
        <row r="341">
          <cell r="A341" t="str">
            <v>Cash Flow Statement</v>
          </cell>
          <cell r="B341"/>
          <cell r="C341"/>
          <cell r="D341"/>
        </row>
        <row r="342">
          <cell r="B342" t="str">
            <v>Net income (pre-preferred dividends)</v>
          </cell>
          <cell r="C342" t="str">
            <v>CF_NI_PRE_PREF</v>
          </cell>
          <cell r="D342" t="str">
            <v>EUR</v>
          </cell>
          <cell r="F342">
            <v>-110.2000000000001</v>
          </cell>
          <cell r="G342">
            <v>-143.89999999999998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-201.89999999999998</v>
          </cell>
          <cell r="M342"/>
          <cell r="N342"/>
          <cell r="O342"/>
          <cell r="P342"/>
          <cell r="Q342">
            <v>-135.45251890747866</v>
          </cell>
          <cell r="R342">
            <v>-99.840430973052094</v>
          </cell>
          <cell r="S342">
            <v>-77.619057518534078</v>
          </cell>
          <cell r="T342">
            <v>-48.616000865407742</v>
          </cell>
          <cell r="U342">
            <v>-12.502626996268088</v>
          </cell>
        </row>
        <row r="343">
          <cell r="A343" t="str">
            <v>Other Items</v>
          </cell>
          <cell r="B343"/>
          <cell r="C343"/>
          <cell r="D343"/>
        </row>
        <row r="344">
          <cell r="B344" t="str">
            <v>Beta</v>
          </cell>
          <cell r="C344" t="str">
            <v>BETA_ANALYST</v>
          </cell>
          <cell r="E344"/>
        </row>
        <row r="345">
          <cell r="B345" t="str">
            <v>Market equity risk premium</v>
          </cell>
          <cell r="C345" t="str">
            <v>MKT_EQ_RISK_PREM</v>
          </cell>
          <cell r="E345"/>
        </row>
        <row r="346">
          <cell r="B346" t="str">
            <v>Risk-free rate</v>
          </cell>
          <cell r="C346" t="str">
            <v>RISK_FR_RATE</v>
          </cell>
          <cell r="E346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"/>
      <sheetName val="Net Sales Breakdown"/>
      <sheetName val="Balance Sheet"/>
      <sheetName val="Cash Flow"/>
      <sheetName val="Valuation"/>
      <sheetName val="Stat Ab"/>
      <sheetName val="Mix effects"/>
    </sheetNames>
    <sheetDataSet>
      <sheetData sheetId="0">
        <row r="13">
          <cell r="Q13">
            <v>691250308.27165651</v>
          </cell>
        </row>
      </sheetData>
      <sheetData sheetId="1">
        <row r="28">
          <cell r="C28">
            <v>20919437.359999999</v>
          </cell>
          <cell r="D28">
            <v>26762031.640000001</v>
          </cell>
          <cell r="E28">
            <v>26174526.93</v>
          </cell>
          <cell r="F28">
            <v>37905004.069999993</v>
          </cell>
          <cell r="H28">
            <v>33124064.140000001</v>
          </cell>
          <cell r="I28">
            <v>46872629.039999999</v>
          </cell>
          <cell r="J28">
            <v>61427927.07</v>
          </cell>
          <cell r="K28">
            <v>66664379.75</v>
          </cell>
        </row>
      </sheetData>
      <sheetData sheetId="2"/>
      <sheetData sheetId="3">
        <row r="18">
          <cell r="Q18">
            <v>24662885.884295255</v>
          </cell>
          <cell r="V18">
            <v>36000829.53828799</v>
          </cell>
          <cell r="W18">
            <v>50584677.179084763</v>
          </cell>
          <cell r="X18">
            <v>63896453.892131954</v>
          </cell>
        </row>
      </sheetData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1. Cover"/>
      <sheetName val="2. Consolidated"/>
      <sheetName val="3. Earnings Build"/>
      <sheetName val="4. Summary Model"/>
    </sheetNames>
    <sheetDataSet>
      <sheetData sheetId="0" refreshError="1"/>
      <sheetData sheetId="1" refreshError="1"/>
      <sheetData sheetId="2">
        <row r="38">
          <cell r="CY38">
            <v>0.5850809881451432</v>
          </cell>
          <cell r="DD38">
            <v>0.58776989381551825</v>
          </cell>
          <cell r="DI38">
            <v>0.58928553773338266</v>
          </cell>
        </row>
        <row r="53">
          <cell r="CY53">
            <v>0.23319413143603807</v>
          </cell>
          <cell r="DD53">
            <v>0.23548971445145891</v>
          </cell>
          <cell r="DI53">
            <v>0.23849943396540779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Cover"/>
      <sheetName val="Income Statement"/>
      <sheetName val="Segment Analysis"/>
      <sheetName val="Cash Flow"/>
      <sheetName val="Balance Sheet"/>
      <sheetName val="Debt"/>
      <sheetName val="Summary model"/>
    </sheetNames>
    <sheetDataSet>
      <sheetData sheetId="0" refreshError="1"/>
      <sheetData sheetId="1" refreshError="1"/>
      <sheetData sheetId="2">
        <row r="61">
          <cell r="CO61">
            <v>0.44994532473832799</v>
          </cell>
          <cell r="CT61">
            <v>0.45739704954396493</v>
          </cell>
          <cell r="CY61">
            <v>0.46239803707279925</v>
          </cell>
        </row>
        <row r="78">
          <cell r="CO78">
            <v>0.11608957685927801</v>
          </cell>
          <cell r="CT78">
            <v>0.12676888444713436</v>
          </cell>
          <cell r="CY78">
            <v>0.13266984722938258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PUMG.DE"/>
      <sheetName val="Cover Sheet"/>
      <sheetName val="Sheet2"/>
      <sheetName val="Sheet1"/>
      <sheetName val="AFOSHEET"/>
      <sheetName val="P&amp;L"/>
      <sheetName val="Quarterly"/>
      <sheetName val="Worksheet"/>
      <sheetName val="Balance Sheet &amp; Cash Flow"/>
      <sheetName val="Stat Ab"/>
      <sheetName val="DCF"/>
      <sheetName val="PUMG.DE_Exchange_Sheet"/>
      <sheetName val="GSe vs Cons"/>
      <sheetName val="Sheet3"/>
      <sheetName val="DCF_scenarios"/>
      <sheetName val="Macro sensitivity"/>
      <sheetName val="Ccy vs COGS"/>
      <sheetName val="PUMG.DE_Live_Sheet"/>
      <sheetName val="PUMG.DE_Validation_Sheet"/>
      <sheetName val="PUMG.DE_Annotation_Sheet"/>
      <sheetName val="Puma Model"/>
    </sheetNames>
    <sheetDataSet>
      <sheetData sheetId="0"/>
      <sheetData sheetId="1"/>
      <sheetData sheetId="2"/>
      <sheetData sheetId="3"/>
      <sheetData sheetId="4"/>
      <sheetData sheetId="5">
        <row r="28">
          <cell r="AF28">
            <v>3475.6</v>
          </cell>
        </row>
        <row r="126">
          <cell r="AF126">
            <v>0.473835231139137</v>
          </cell>
          <cell r="AG126">
            <v>0.44950796304925855</v>
          </cell>
          <cell r="AH126">
            <v>0.47</v>
          </cell>
          <cell r="AI126">
            <v>0.47499999999999998</v>
          </cell>
          <cell r="AJ126">
            <v>0.48</v>
          </cell>
        </row>
        <row r="162">
          <cell r="AF162">
            <v>7.0543936850700942E-2</v>
          </cell>
          <cell r="AG162">
            <v>-2.2696746251473172E-2</v>
          </cell>
          <cell r="AH162">
            <v>-5.7413619773710603E-3</v>
          </cell>
          <cell r="AI162">
            <v>3.0073800833848075E-2</v>
          </cell>
          <cell r="AJ162">
            <v>5.3377741739730311E-2</v>
          </cell>
        </row>
      </sheetData>
      <sheetData sheetId="6">
        <row r="193">
          <cell r="HZ193">
            <v>7.5675420254929085E-2</v>
          </cell>
        </row>
      </sheetData>
      <sheetData sheetId="7"/>
      <sheetData sheetId="8">
        <row r="6">
          <cell r="AG6">
            <v>552.9</v>
          </cell>
        </row>
      </sheetData>
      <sheetData sheetId="9">
        <row r="1">
          <cell r="A1" t="str">
            <v>STAT AB</v>
          </cell>
        </row>
      </sheetData>
      <sheetData sheetId="10">
        <row r="11">
          <cell r="K11">
            <v>-7.114497957841058E-2</v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DSGn.DE_Live_Sheet"/>
      <sheetName val="ADSGn.DE_Validation_Sheet"/>
      <sheetName val="ADSGn.DE_Annotation_Sheet"/>
      <sheetName val="Cover Sheet"/>
      <sheetName val="Sheet2"/>
      <sheetName val="Sheet1"/>
      <sheetName val="Profit and Loss"/>
      <sheetName val="Interim"/>
      <sheetName val="Worksheet"/>
      <sheetName val="Balance Sheet &amp; Cash Flow"/>
      <sheetName val="ADSGn.DE_Exchange_Sheet"/>
      <sheetName val="DCF"/>
      <sheetName val="Stat Ab"/>
      <sheetName val="Macro sensitivity"/>
      <sheetName val="LFL GP"/>
      <sheetName val="Profit and Loss OLd"/>
      <sheetName val="Preview(old)"/>
      <sheetName val="Sales &amp; stores"/>
      <sheetName val="Cost split"/>
      <sheetName val="GSe vs Cons"/>
      <sheetName val="_ADSG.DE"/>
    </sheetNames>
    <sheetDataSet>
      <sheetData sheetId="0"/>
      <sheetData sheetId="1"/>
      <sheetData sheetId="2"/>
      <sheetData sheetId="3"/>
      <sheetData sheetId="4"/>
      <sheetData sheetId="5"/>
      <sheetData sheetId="6">
        <row r="335">
          <cell r="AE335">
            <v>0.505</v>
          </cell>
          <cell r="AF335">
            <v>0.51500000000000001</v>
          </cell>
          <cell r="AG335">
            <v>0.51500000000000001</v>
          </cell>
          <cell r="AH335">
            <v>0.51500000000000001</v>
          </cell>
          <cell r="AI335">
            <v>0.51500000000000001</v>
          </cell>
        </row>
        <row r="370">
          <cell r="AE370">
            <v>4.9363956063039685E-2</v>
          </cell>
          <cell r="AF370">
            <v>7.881453760058181E-2</v>
          </cell>
          <cell r="AG370">
            <v>9.9688992236658211E-2</v>
          </cell>
          <cell r="AH370">
            <v>0.1056981786981918</v>
          </cell>
          <cell r="AI370">
            <v>0.10974345876969413</v>
          </cell>
        </row>
      </sheetData>
      <sheetData sheetId="7">
        <row r="394">
          <cell r="HR394">
            <v>0.55195297686765277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Sheet"/>
      <sheetName val="Sheet2"/>
      <sheetName val="Sheet1"/>
      <sheetName val="Profit and Loss"/>
      <sheetName val="Interim"/>
      <sheetName val="Worksheet"/>
      <sheetName val="Balance Sheet &amp; Cash Flow"/>
      <sheetName val="ADSGn.DE_Exchange_Sheet"/>
      <sheetName val="DCF"/>
      <sheetName val="Stat Ab"/>
      <sheetName val="Macro sensitivity"/>
      <sheetName val="LFL GP"/>
      <sheetName val="Profit and Loss OLd"/>
      <sheetName val="Preview(old)"/>
      <sheetName val="Sales &amp; stores"/>
      <sheetName val="Cost split"/>
      <sheetName val="GSe vs Cons"/>
      <sheetName val="_ADSG.DE"/>
      <sheetName val="ADSGn.DE_Live_Sheet"/>
      <sheetName val="ADSGn.DE_Validation_Sheet"/>
      <sheetName val="ADSGn.DE_Annotation_Sheet"/>
      <sheetName val="Adidas MODEL"/>
      <sheetName val="Inditex"/>
      <sheetName val="H&amp;M"/>
    </sheetNames>
    <sheetDataSet>
      <sheetData sheetId="0"/>
      <sheetData sheetId="1"/>
      <sheetData sheetId="2"/>
      <sheetData sheetId="3">
        <row r="26">
          <cell r="AJ26">
            <v>0.45065966984367145</v>
          </cell>
        </row>
        <row r="335">
          <cell r="AG335">
            <v>0.51500000000000001</v>
          </cell>
        </row>
        <row r="375">
          <cell r="AG375">
            <v>9.4655931397258475E-2</v>
          </cell>
        </row>
      </sheetData>
      <sheetData sheetId="4"/>
      <sheetData sheetId="5"/>
      <sheetData sheetId="6">
        <row r="37">
          <cell r="AD37">
            <v>20296</v>
          </cell>
        </row>
      </sheetData>
      <sheetData sheetId="7"/>
      <sheetData sheetId="8">
        <row r="11">
          <cell r="K11">
            <v>1.7319737213332805E-2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"/>
      <sheetName val="Net Sales Breakdown"/>
      <sheetName val="Balance Sheet"/>
      <sheetName val="Cash Flow"/>
    </sheetNames>
    <sheetDataSet>
      <sheetData sheetId="0">
        <row r="13">
          <cell r="Q13">
            <v>684213259.38209069</v>
          </cell>
          <cell r="V13">
            <v>906935262.16169477</v>
          </cell>
          <cell r="W13">
            <v>1301000551.7997699</v>
          </cell>
          <cell r="X13">
            <v>1711155350.9193382</v>
          </cell>
        </row>
        <row r="19">
          <cell r="Q19">
            <v>388783283.31379104</v>
          </cell>
          <cell r="V19">
            <v>520137706.3541075</v>
          </cell>
          <cell r="W19">
            <v>761150613.04713619</v>
          </cell>
          <cell r="X19">
            <v>1004856525.5526209</v>
          </cell>
        </row>
        <row r="37">
          <cell r="Q37">
            <v>-98359034.797655016</v>
          </cell>
          <cell r="V37">
            <v>-26830968.556944698</v>
          </cell>
          <cell r="W37">
            <v>96476641.579859659</v>
          </cell>
          <cell r="X37">
            <v>144720400.72396335</v>
          </cell>
        </row>
        <row r="42">
          <cell r="Q42">
            <v>-99385354.68672815</v>
          </cell>
          <cell r="V42">
            <v>-28191371.45018724</v>
          </cell>
          <cell r="W42">
            <v>94525140.752159998</v>
          </cell>
          <cell r="X42">
            <v>142153667.69758433</v>
          </cell>
        </row>
        <row r="47">
          <cell r="Q47">
            <v>-111921043.94205667</v>
          </cell>
          <cell r="V47">
            <v>-46920216.893110275</v>
          </cell>
          <cell r="W47">
            <v>62384915.089562908</v>
          </cell>
          <cell r="X47">
            <v>96886315.782745689</v>
          </cell>
        </row>
        <row r="68">
          <cell r="Q68">
            <v>85803851.086640239</v>
          </cell>
          <cell r="V68">
            <v>120264660.9813433</v>
          </cell>
          <cell r="W68">
            <v>195443355.63486022</v>
          </cell>
          <cell r="X68">
            <v>267462065.44340941</v>
          </cell>
        </row>
      </sheetData>
      <sheetData sheetId="1"/>
      <sheetData sheetId="2"/>
      <sheetData sheetId="3">
        <row r="32">
          <cell r="Q32">
            <v>-50700000</v>
          </cell>
          <cell r="V32">
            <v>-39500000</v>
          </cell>
          <cell r="W32">
            <v>-51960000</v>
          </cell>
          <cell r="X32">
            <v>-63888000</v>
          </cell>
        </row>
        <row r="54">
          <cell r="Q54">
            <v>503698233.41938418</v>
          </cell>
          <cell r="V54">
            <v>479531356.0050503</v>
          </cell>
          <cell r="W54">
            <v>486767596.20115501</v>
          </cell>
          <cell r="X54">
            <v>521692338.71260798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rket Size"/>
      <sheetName val="Company Shares"/>
    </sheetNames>
    <sheetDataSet>
      <sheetData sheetId="0">
        <row r="7">
          <cell r="R7">
            <v>365342.4</v>
          </cell>
          <cell r="S7">
            <v>372214.2</v>
          </cell>
          <cell r="T7">
            <v>395514.6</v>
          </cell>
          <cell r="U7">
            <v>421882</v>
          </cell>
          <cell r="V7">
            <v>451030.2</v>
          </cell>
          <cell r="W7">
            <v>480693.1</v>
          </cell>
          <cell r="X7">
            <v>511963.9</v>
          </cell>
          <cell r="Y7">
            <v>543949.80000000005</v>
          </cell>
        </row>
        <row r="8">
          <cell r="R8">
            <v>96980.7</v>
          </cell>
          <cell r="S8">
            <v>92668.9</v>
          </cell>
          <cell r="T8">
            <v>102407.9</v>
          </cell>
          <cell r="U8">
            <v>115948.6</v>
          </cell>
          <cell r="V8">
            <v>127396</v>
          </cell>
          <cell r="W8">
            <v>138813.6</v>
          </cell>
          <cell r="X8">
            <v>150532.20000000001</v>
          </cell>
          <cell r="Y8">
            <v>163210.4</v>
          </cell>
        </row>
        <row r="10">
          <cell r="R10">
            <v>138832.9</v>
          </cell>
          <cell r="S10">
            <v>146620.1</v>
          </cell>
          <cell r="T10">
            <v>150167.9</v>
          </cell>
          <cell r="U10">
            <v>158138.9</v>
          </cell>
          <cell r="V10">
            <v>168453.5</v>
          </cell>
          <cell r="W10">
            <v>178078.6</v>
          </cell>
          <cell r="X10">
            <v>188364.4</v>
          </cell>
          <cell r="Y10">
            <v>198254</v>
          </cell>
        </row>
        <row r="11">
          <cell r="R11">
            <v>65438.5</v>
          </cell>
          <cell r="S11">
            <v>63772.5</v>
          </cell>
          <cell r="T11">
            <v>68956.600000000006</v>
          </cell>
          <cell r="U11">
            <v>70975.7</v>
          </cell>
          <cell r="V11">
            <v>73932.600000000006</v>
          </cell>
          <cell r="W11">
            <v>76729.7</v>
          </cell>
          <cell r="X11">
            <v>79375.3</v>
          </cell>
          <cell r="Y11">
            <v>81759.899999999994</v>
          </cell>
        </row>
        <row r="14">
          <cell r="R14">
            <v>14644</v>
          </cell>
          <cell r="S14">
            <v>13724.7</v>
          </cell>
          <cell r="T14">
            <v>13599.9</v>
          </cell>
          <cell r="U14">
            <v>13367</v>
          </cell>
          <cell r="V14">
            <v>13931.5</v>
          </cell>
          <cell r="W14">
            <v>14975.5</v>
          </cell>
          <cell r="X14">
            <v>16128.9</v>
          </cell>
          <cell r="Y14">
            <v>17284.599999999999</v>
          </cell>
        </row>
        <row r="15">
          <cell r="R15">
            <v>17312.5</v>
          </cell>
          <cell r="S15">
            <v>20758.5</v>
          </cell>
          <cell r="T15">
            <v>25371</v>
          </cell>
          <cell r="U15">
            <v>25300.799999999999</v>
          </cell>
          <cell r="V15">
            <v>26120.799999999999</v>
          </cell>
          <cell r="W15">
            <v>27660.3</v>
          </cell>
          <cell r="X15">
            <v>29565.1</v>
          </cell>
          <cell r="Y15">
            <v>31530.799999999999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arel mkt growth_by country"/>
      <sheetName val="Sales by country"/>
      <sheetName val="Market shares by retailer"/>
      <sheetName val="Market shares by retailer group"/>
      <sheetName val="Shares by retailer_by channel"/>
      <sheetName val="Sales by retailer gr_by channel"/>
      <sheetName val="GD_brands mkt shares"/>
      <sheetName val="sportsbrands shares"/>
      <sheetName val="EM_sportswear"/>
      <sheetName val="EM_sportswea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T7">
            <v>316595.90000000002</v>
          </cell>
          <cell r="U7">
            <v>315423.09999999998</v>
          </cell>
          <cell r="V7">
            <v>390847.8</v>
          </cell>
          <cell r="W7">
            <v>443642.1</v>
          </cell>
          <cell r="X7">
            <v>494462.5</v>
          </cell>
          <cell r="Y7">
            <v>542595.4</v>
          </cell>
        </row>
        <row r="10">
          <cell r="T10">
            <v>126962</v>
          </cell>
          <cell r="U10">
            <v>115107.5</v>
          </cell>
          <cell r="V10">
            <v>124076.9</v>
          </cell>
          <cell r="W10">
            <v>131625.29999999999</v>
          </cell>
          <cell r="X10">
            <v>138634.20000000001</v>
          </cell>
          <cell r="Y10">
            <v>145709.20000000001</v>
          </cell>
        </row>
        <row r="13">
          <cell r="T13">
            <v>60661</v>
          </cell>
          <cell r="U13">
            <v>55785.8</v>
          </cell>
          <cell r="V13">
            <v>60208.3</v>
          </cell>
          <cell r="W13">
            <v>63499.3</v>
          </cell>
          <cell r="X13">
            <v>66472.399999999994</v>
          </cell>
          <cell r="Y13">
            <v>69695.3</v>
          </cell>
        </row>
        <row r="18">
          <cell r="T18">
            <v>1774334.8</v>
          </cell>
          <cell r="U18">
            <v>1525494.8</v>
          </cell>
          <cell r="V18">
            <v>1691361.9</v>
          </cell>
          <cell r="W18">
            <v>1806330.8</v>
          </cell>
          <cell r="X18">
            <v>1905625.5</v>
          </cell>
          <cell r="Y18">
            <v>2004738.3</v>
          </cell>
        </row>
        <row r="19">
          <cell r="T19">
            <v>345759.3</v>
          </cell>
          <cell r="U19">
            <v>321777.59999999998</v>
          </cell>
          <cell r="V19">
            <v>354658.3</v>
          </cell>
          <cell r="W19">
            <v>381561</v>
          </cell>
          <cell r="X19">
            <v>408009.3</v>
          </cell>
          <cell r="Y19">
            <v>435354.8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1. Cover"/>
      <sheetName val="2. Consolidated"/>
      <sheetName val="3. Earnings Build"/>
      <sheetName val="4. Summary Model"/>
    </sheetNames>
    <sheetDataSet>
      <sheetData sheetId="0" refreshError="1"/>
      <sheetData sheetId="1" refreshError="1"/>
      <sheetData sheetId="2">
        <row r="30">
          <cell r="AL30">
            <v>1000.8389999999999</v>
          </cell>
          <cell r="AQ30">
            <v>1370.3579999999999</v>
          </cell>
          <cell r="AV30">
            <v>1591.1880000000001</v>
          </cell>
          <cell r="BA30">
            <v>1797.213</v>
          </cell>
          <cell r="BF30">
            <v>2060.5230000000001</v>
          </cell>
          <cell r="BK30">
            <v>2344.3919999999998</v>
          </cell>
          <cell r="BP30">
            <v>2649.181</v>
          </cell>
          <cell r="BU30">
            <v>3288.319</v>
          </cell>
          <cell r="BZ30">
            <v>3979.2959999999998</v>
          </cell>
          <cell r="CE30">
            <v>4401.88</v>
          </cell>
          <cell r="CJ30">
            <v>6256.6170000000002</v>
          </cell>
        </row>
      </sheetData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PUMG.DE"/>
      <sheetName val="PUMG.DE_Live_Sheet"/>
      <sheetName val="PUMG.DE_Validation_Sheet"/>
      <sheetName val="PUMG.DE_Annotation_Sheet"/>
      <sheetName val="Cover Sheet"/>
      <sheetName val="Sheet2"/>
      <sheetName val="Sheet1"/>
      <sheetName val="AFOSHEET"/>
      <sheetName val="P&amp;L"/>
      <sheetName val="Stat Ab"/>
      <sheetName val="DCF"/>
      <sheetName val="Quarterly"/>
      <sheetName val="Balance Sheet &amp; Cash Flow"/>
      <sheetName val="PUMG.DE_Exchange_Sheet"/>
      <sheetName val="Worksheet"/>
      <sheetName val="GSe vs Cons"/>
      <sheetName val="DCF_scenarios"/>
      <sheetName val="Macro sensitivity"/>
      <sheetName val="Ccy vs CO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>
            <v>45169.608500578703</v>
          </cell>
        </row>
        <row r="118">
          <cell r="J118">
            <v>909.8</v>
          </cell>
          <cell r="K118">
            <v>1273.9000000000001</v>
          </cell>
          <cell r="L118">
            <v>1530.4</v>
          </cell>
          <cell r="M118">
            <v>1777.6</v>
          </cell>
          <cell r="N118">
            <v>2369.1999999999998</v>
          </cell>
          <cell r="O118">
            <v>2373.5</v>
          </cell>
          <cell r="P118">
            <v>2524.1999999999998</v>
          </cell>
          <cell r="Q118">
            <v>2447.3000000000002</v>
          </cell>
          <cell r="R118">
            <v>2706.3999999999996</v>
          </cell>
          <cell r="S118">
            <v>3008.9639999999999</v>
          </cell>
          <cell r="T118">
            <v>3270.7200000000003</v>
          </cell>
          <cell r="U118">
            <v>2985.2000000000003</v>
          </cell>
          <cell r="V118">
            <v>2972.02</v>
          </cell>
          <cell r="W118">
            <v>3387.4</v>
          </cell>
          <cell r="X118">
            <v>3626.8</v>
          </cell>
          <cell r="Y118">
            <v>4135.9000000000005</v>
          </cell>
          <cell r="Z118">
            <v>4648.3999999999996</v>
          </cell>
          <cell r="AA118">
            <v>5502.1999999999971</v>
          </cell>
          <cell r="AB118">
            <v>5234.4000000000005</v>
          </cell>
          <cell r="AC118">
            <v>6805.3999999999987</v>
          </cell>
          <cell r="AD118">
            <v>8465.1000000000022</v>
          </cell>
          <cell r="AE118">
            <v>9100.0230000000029</v>
          </cell>
          <cell r="AF118">
            <v>9920.9626100000041</v>
          </cell>
          <cell r="AG118">
            <v>10807.978023550004</v>
          </cell>
          <cell r="AH118">
            <v>11776.708347707754</v>
          </cell>
        </row>
        <row r="196">
          <cell r="AF196">
            <v>149.61000000000001</v>
          </cell>
        </row>
      </sheetData>
      <sheetData sheetId="9">
        <row r="1">
          <cell r="A1" t="str">
            <v>STAT AB</v>
          </cell>
        </row>
        <row r="13">
          <cell r="N13">
            <v>565.29421216674439</v>
          </cell>
        </row>
        <row r="14">
          <cell r="N14">
            <v>652.4948385576248</v>
          </cell>
        </row>
        <row r="15">
          <cell r="N15">
            <v>725.43209478663766</v>
          </cell>
        </row>
        <row r="16">
          <cell r="N16">
            <v>898.88863524935141</v>
          </cell>
        </row>
      </sheetData>
      <sheetData sheetId="10"/>
      <sheetData sheetId="11"/>
      <sheetData sheetId="12">
        <row r="1">
          <cell r="A1" t="str">
            <v>PUMA - in EUR mn -Dec YE</v>
          </cell>
        </row>
        <row r="167">
          <cell r="AG167">
            <v>-874.87589084030571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1. Cover"/>
      <sheetName val="2. Consolidated"/>
      <sheetName val="3. Earnings Build"/>
      <sheetName val="4. Summary Model"/>
    </sheetNames>
    <sheetDataSet>
      <sheetData sheetId="0"/>
      <sheetData sheetId="1"/>
      <sheetData sheetId="2">
        <row r="77">
          <cell r="CJ77">
            <v>1598.9550000000002</v>
          </cell>
          <cell r="CO77">
            <v>2080.86</v>
          </cell>
          <cell r="CT77">
            <v>2495.6904754466691</v>
          </cell>
          <cell r="CY77">
            <v>2895.6746132638195</v>
          </cell>
        </row>
      </sheetData>
      <sheetData sheetId="3"/>
      <sheetData sheetId="4">
        <row r="44">
          <cell r="BO44">
            <v>127.38065652196849</v>
          </cell>
          <cell r="BT44">
            <v>124.72171948508247</v>
          </cell>
        </row>
        <row r="56">
          <cell r="BO56">
            <v>-1071.6857261540035</v>
          </cell>
          <cell r="BT56">
            <v>-1354.1750783809189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SGn.DE_Live_Sheet"/>
      <sheetName val="ADSGn.DE_Validation_Sheet"/>
      <sheetName val="ADSGn.DE_Annotation_Sheet"/>
      <sheetName val="Cover Sheet"/>
      <sheetName val="Sheet2"/>
      <sheetName val="Sheet1"/>
      <sheetName val="Profit and Loss"/>
      <sheetName val="Interim"/>
      <sheetName val="ADSGn.DE_Exchange_Sheet"/>
      <sheetName val="Balance Sheet &amp; Cash Flow"/>
      <sheetName val="DCF"/>
      <sheetName val="Stat Ab"/>
      <sheetName val="Macro sensitivity"/>
      <sheetName val="Worksheet"/>
      <sheetName val="LFL GP"/>
      <sheetName val="Profit and Loss OLd"/>
      <sheetName val="Preview(old)"/>
      <sheetName val="Sales &amp; stores"/>
      <sheetName val="Cost split"/>
      <sheetName val="GSe vs Cons"/>
      <sheetName val="_ADSG.DE"/>
      <sheetName val="Adidas MODEL WIP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>
            <v>45240</v>
          </cell>
        </row>
        <row r="407">
          <cell r="AE407">
            <v>178.5</v>
          </cell>
        </row>
      </sheetData>
      <sheetData sheetId="7"/>
      <sheetData sheetId="8"/>
      <sheetData sheetId="9">
        <row r="1">
          <cell r="A1">
            <v>45240</v>
          </cell>
        </row>
        <row r="137">
          <cell r="AF137">
            <v>1407.4572200612038</v>
          </cell>
        </row>
      </sheetData>
      <sheetData sheetId="10"/>
      <sheetData sheetId="11">
        <row r="13">
          <cell r="N13">
            <v>2563</v>
          </cell>
        </row>
        <row r="14">
          <cell r="N14">
            <v>1413</v>
          </cell>
        </row>
        <row r="15">
          <cell r="N15">
            <v>434.0013507235825</v>
          </cell>
        </row>
        <row r="16">
          <cell r="N16">
            <v>1774.3077664129428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odel"/>
      <sheetName val="Driver"/>
      <sheetName val="Discount valuation"/>
      <sheetName val="Li Ning"/>
    </sheetNames>
    <sheetDataSet>
      <sheetData sheetId="0"/>
      <sheetData sheetId="1">
        <row r="23">
          <cell r="AD23">
            <v>5366.2689999999984</v>
          </cell>
          <cell r="AE23">
            <v>4863.1140000000005</v>
          </cell>
          <cell r="AF23">
            <v>6034.1247493282171</v>
          </cell>
          <cell r="AG23">
            <v>7657.8489863504383</v>
          </cell>
        </row>
        <row r="67">
          <cell r="AG67">
            <v>2633.919586</v>
          </cell>
        </row>
        <row r="218">
          <cell r="AG218">
            <v>-15410.295477677068</v>
          </cell>
        </row>
      </sheetData>
      <sheetData sheetId="2"/>
      <sheetData sheetId="3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odel"/>
      <sheetName val="Driver"/>
      <sheetName val="Discount valuation"/>
      <sheetName val="Amers_MODEL"/>
      <sheetName val="Amers_Divisional"/>
      <sheetName val="Fila"/>
      <sheetName val="Other brands"/>
      <sheetName val="Amer"/>
      <sheetName val="Anta"/>
    </sheetNames>
    <sheetDataSet>
      <sheetData sheetId="0"/>
      <sheetData sheetId="1">
        <row r="23">
          <cell r="AC23">
            <v>12989</v>
          </cell>
          <cell r="AD23">
            <v>13566</v>
          </cell>
          <cell r="AE23">
            <v>17264.663728266536</v>
          </cell>
          <cell r="AF23">
            <v>19986.123002509947</v>
          </cell>
        </row>
        <row r="68">
          <cell r="AF68">
            <v>2900.0079999999998</v>
          </cell>
        </row>
        <row r="225">
          <cell r="AF225">
            <v>15.950691371240008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Cover Page"/>
      <sheetName val="7936 Analysis (C)"/>
      <sheetName val="Summary"/>
      <sheetName val="Factsheet19Q1-22Q4"/>
      <sheetName val="OP-by_region"/>
      <sheetName val="Monthly sales"/>
      <sheetName val="Model"/>
      <sheetName val="Asics_競合データの把握方法"/>
      <sheetName val="Euromonitor_MktSize"/>
      <sheetName val="HOKA_ON"/>
      <sheetName val="Comp_Ad_InvTO"/>
      <sheetName val="Olympics_Earnings"/>
      <sheetName val="Ratios"/>
      <sheetName val="PL"/>
      <sheetName val="BBG BS"/>
      <sheetName val="7936 C"/>
      <sheetName val="BBG BS Ref"/>
      <sheetName val="BBG PL FY"/>
      <sheetName val="BBG PL"/>
      <sheetName val="BBG CF"/>
      <sheetName val="OPM comps"/>
      <sheetName val="By product"/>
      <sheetName val="7936 Analysis (P)"/>
      <sheetName val="7936 1H CP"/>
      <sheetName val="7936 P"/>
      <sheetName val="Director's Cut"/>
      <sheetName val="PL Summary"/>
      <sheetName val="OnitsukaTiger"/>
      <sheetName val="US"/>
      <sheetName val="Store count"/>
      <sheetName val="Factsheet_18FY"/>
      <sheetName val="Factsheet_19 1Q"/>
      <sheetName val="Factsheet_19 2Q"/>
      <sheetName val="Factsheet_19 3Q"/>
      <sheetName val="Onitsuka_for_PPT"/>
      <sheetName val="Revenue by channel"/>
      <sheetName val="Market"/>
      <sheetName val="COGS"/>
      <sheetName val="Brand"/>
      <sheetName val="Marathon"/>
      <sheetName val="FX sensibility"/>
      <sheetName val="Athletic footware"/>
      <sheetName val="China"/>
      <sheetName val="Global comp"/>
      <sheetName val="Nike"/>
      <sheetName val="Market overview"/>
      <sheetName val="Diabeties"/>
      <sheetName val="Financial Summary"/>
      <sheetName val="Onitsuka"/>
      <sheetName val="Asics history"/>
      <sheetName val="Gllobal comp"/>
      <sheetName val="ASEAN"/>
      <sheetName val="Euroimonitor_Share"/>
      <sheetName val="Brand share"/>
      <sheetName val="Footwear by country"/>
      <sheetName val="Factsheet19Q1-22Q3"/>
      <sheetName val="Factsheet19Q1-22Q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7">
          <cell r="AC27">
            <v>36146</v>
          </cell>
          <cell r="AD27">
            <v>50501</v>
          </cell>
          <cell r="AE27">
            <v>61400</v>
          </cell>
          <cell r="AF27">
            <v>67000</v>
          </cell>
        </row>
        <row r="68">
          <cell r="AF68">
            <v>183.12154696132598</v>
          </cell>
        </row>
        <row r="131">
          <cell r="AF131">
            <v>5287.3321653013991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odel"/>
      <sheetName val="JD.L_Exchange_Sheet"/>
      <sheetName val="Div split New"/>
      <sheetName val="Div Split"/>
      <sheetName val="STORES"/>
      <sheetName val="Fx"/>
      <sheetName val="Worksheet"/>
      <sheetName val="Stat Ab"/>
      <sheetName val="Valuation"/>
      <sheetName val="Footlocker data"/>
      <sheetName val="Channel data"/>
      <sheetName val="Output"/>
      <sheetName val="Peer Comp"/>
      <sheetName val="M&amp;A"/>
      <sheetName val="Finish Line"/>
      <sheetName val="GSe vs Cons"/>
      <sheetName val="Charts"/>
      <sheetName val="JD.L_Live_Sheet"/>
      <sheetName val="JD.L_Validation_Sheet"/>
      <sheetName val="JD.L_Annotation_Sheet"/>
      <sheetName val="Sheet1"/>
    </sheetNames>
    <sheetDataSet>
      <sheetData sheetId="0"/>
      <sheetData sheetId="1">
        <row r="204">
          <cell r="AH204">
            <v>649.29999999999995</v>
          </cell>
          <cell r="AK204">
            <v>1250.1151582389348</v>
          </cell>
          <cell r="AN204">
            <v>1296.4000000000001</v>
          </cell>
          <cell r="AQ204">
            <v>1238</v>
          </cell>
          <cell r="AR20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GIR Exhibits">
      <a:dk1>
        <a:srgbClr val="000000"/>
      </a:dk1>
      <a:lt1>
        <a:sysClr val="window" lastClr="FFFFFF"/>
      </a:lt1>
      <a:dk2>
        <a:srgbClr val="BE3232"/>
      </a:dk2>
      <a:lt2>
        <a:srgbClr val="F67F26"/>
      </a:lt2>
      <a:accent1>
        <a:srgbClr val="00355F"/>
      </a:accent1>
      <a:accent2>
        <a:srgbClr val="ACD4F1"/>
      </a:accent2>
      <a:accent3>
        <a:srgbClr val="A5A5A5"/>
      </a:accent3>
      <a:accent4>
        <a:srgbClr val="7399C6"/>
      </a:accent4>
      <a:accent5>
        <a:srgbClr val="078549"/>
      </a:accent5>
      <a:accent6>
        <a:srgbClr val="8BC346"/>
      </a:accent6>
      <a:hlink>
        <a:srgbClr val="7399C6"/>
      </a:hlink>
      <a:folHlink>
        <a:srgbClr val="A5A5A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157AD7A-80BF-45A9-A905-CF8C5747E644}">
  <we:reference id="49825c50-e8d8-4c4a-9a2c-e6f24181e018" version="1.0.0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ben.williams@gs.com" TargetMode="External"/><Relationship Id="rId7" Type="http://schemas.openxmlformats.org/officeDocument/2006/relationships/customProperty" Target="../customProperty1.bin"/><Relationship Id="rId2" Type="http://schemas.openxmlformats.org/officeDocument/2006/relationships/hyperlink" Target="https://publishing.gs.com/content/research/authors/72785129-f9c2-449e-809a-acbbefc7a059.html" TargetMode="External"/><Relationship Id="rId1" Type="http://schemas.openxmlformats.org/officeDocument/2006/relationships/hyperlink" Target="mailto:Richard.Edwards@gs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hamish.bogdan@gs.com" TargetMode="External"/><Relationship Id="rId4" Type="http://schemas.openxmlformats.org/officeDocument/2006/relationships/hyperlink" Target="https://publishing.gs.com/content/research/authors/72785129-f9c2-449e-809a-acbbefc7a059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6.bin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9.bin"/><Relationship Id="rId7" Type="http://schemas.openxmlformats.org/officeDocument/2006/relationships/comments" Target="../comments1.xml"/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12.bin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9.xml"/><Relationship Id="rId4" Type="http://schemas.openxmlformats.org/officeDocument/2006/relationships/customProperty" Target="../customProperty2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8"/>
  <sheetViews>
    <sheetView workbookViewId="0">
      <selection activeCell="H17" sqref="H17"/>
    </sheetView>
  </sheetViews>
  <sheetFormatPr defaultColWidth="8" defaultRowHeight="11.65" x14ac:dyDescent="0.35"/>
  <cols>
    <col min="1" max="2" width="9.75" style="320" bestFit="1" customWidth="1"/>
    <col min="3" max="16384" width="8" style="320"/>
  </cols>
  <sheetData>
    <row r="1" spans="2:4" x14ac:dyDescent="0.35">
      <c r="B1" s="318"/>
      <c r="C1" s="319"/>
    </row>
    <row r="3" spans="2:4" s="321" customFormat="1" x14ac:dyDescent="0.35"/>
    <row r="4" spans="2:4" s="321" customFormat="1" ht="27.75" x14ac:dyDescent="0.75">
      <c r="D4" s="322" t="s">
        <v>328</v>
      </c>
    </row>
    <row r="5" spans="2:4" s="321" customFormat="1" ht="17.649999999999999" x14ac:dyDescent="0.5">
      <c r="D5" s="323" t="s">
        <v>329</v>
      </c>
    </row>
    <row r="6" spans="2:4" s="321" customFormat="1" x14ac:dyDescent="0.35"/>
    <row r="7" spans="2:4" s="321" customFormat="1" x14ac:dyDescent="0.35"/>
    <row r="8" spans="2:4" s="321" customFormat="1" x14ac:dyDescent="0.35"/>
    <row r="9" spans="2:4" s="321" customFormat="1" x14ac:dyDescent="0.35"/>
    <row r="10" spans="2:4" s="321" customFormat="1" x14ac:dyDescent="0.35"/>
    <row r="11" spans="2:4" s="324" customFormat="1" x14ac:dyDescent="0.35"/>
    <row r="13" spans="2:4" x14ac:dyDescent="0.35">
      <c r="B13" s="325" t="s">
        <v>330</v>
      </c>
    </row>
    <row r="14" spans="2:4" x14ac:dyDescent="0.35">
      <c r="B14" s="326"/>
    </row>
    <row r="15" spans="2:4" x14ac:dyDescent="0.35">
      <c r="B15" s="326" t="s">
        <v>331</v>
      </c>
    </row>
    <row r="16" spans="2:4" x14ac:dyDescent="0.35">
      <c r="B16" s="327" t="s">
        <v>332</v>
      </c>
    </row>
    <row r="17" spans="2:2" ht="14.25" x14ac:dyDescent="0.45">
      <c r="B17" s="328" t="s">
        <v>333</v>
      </c>
    </row>
    <row r="18" spans="2:2" ht="15.75" x14ac:dyDescent="0.5">
      <c r="B18" s="329" t="s">
        <v>363</v>
      </c>
    </row>
    <row r="20" spans="2:2" x14ac:dyDescent="0.35">
      <c r="B20" s="326" t="s">
        <v>533</v>
      </c>
    </row>
    <row r="21" spans="2:2" x14ac:dyDescent="0.35">
      <c r="B21" s="327" t="s">
        <v>334</v>
      </c>
    </row>
    <row r="22" spans="2:2" ht="15.75" x14ac:dyDescent="0.5">
      <c r="B22" s="543" t="s">
        <v>534</v>
      </c>
    </row>
    <row r="23" spans="2:2" ht="15.75" x14ac:dyDescent="0.5">
      <c r="B23" s="329" t="s">
        <v>535</v>
      </c>
    </row>
    <row r="24" spans="2:2" ht="15.75" x14ac:dyDescent="0.5">
      <c r="B24" s="329"/>
    </row>
    <row r="25" spans="2:2" x14ac:dyDescent="0.35">
      <c r="B25" s="326" t="s">
        <v>546</v>
      </c>
    </row>
    <row r="26" spans="2:2" x14ac:dyDescent="0.35">
      <c r="B26" s="327" t="s">
        <v>334</v>
      </c>
    </row>
    <row r="27" spans="2:2" ht="14.25" x14ac:dyDescent="0.45">
      <c r="B27" s="328" t="s">
        <v>547</v>
      </c>
    </row>
    <row r="28" spans="2:2" ht="15.75" x14ac:dyDescent="0.5">
      <c r="B28" s="329" t="s">
        <v>548</v>
      </c>
    </row>
  </sheetData>
  <hyperlinks>
    <hyperlink ref="B17" r:id="rId1" xr:uid="{00000000-0004-0000-0000-000000000000}"/>
    <hyperlink ref="B20" r:id="rId2" display="https://publishing.gs.com/content/research/authors/72785129-f9c2-449e-809a-acbbefc7a059.html" xr:uid="{00000000-0004-0000-0000-000003000000}"/>
    <hyperlink ref="B22" r:id="rId3" xr:uid="{00000000-0004-0000-0000-000004000000}"/>
    <hyperlink ref="B25" r:id="rId4" display="https://publishing.gs.com/content/research/authors/72785129-f9c2-449e-809a-acbbefc7a059.html" xr:uid="{60DBA966-9F48-421C-9DDF-3F7740DE61D2}"/>
    <hyperlink ref="B27" r:id="rId5" xr:uid="{F3E3A0D4-DCF5-4DD8-8F2C-967BB504080A}"/>
  </hyperlinks>
  <pageMargins left="0.7" right="0.7" top="0.75" bottom="0.75" header="0.3" footer="0.3"/>
  <pageSetup paperSize="9" orientation="portrait" r:id="rId6"/>
  <customProperties>
    <customPr name="Qube.Worksheet.Visibility" r:id="rId7"/>
  </customPropertie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 x14ac:dyDescent="0.5"/>
  <sheetData/>
  <pageMargins left="0.7" right="0.7" top="0.75" bottom="0.75" header="0.3" footer="0.3"/>
  <pageSetup paperSize="9" orientation="portrait" r:id="rId1"/>
  <customProperties>
    <customPr name="Exchange.ContributionType" r:id="rId2"/>
    <customPr name="Exchange.CreationEntityId" r:id="rId3"/>
    <customPr name="Exchange.CreationEntityIdType" r:id="rId4"/>
    <customPr name="Exchange.CreationEntityType" r:id="rId5"/>
    <customPr name="Exchange.ExchangeSheetId" r:id="rId6"/>
    <customPr name="Exchange.SheetType" r:id="rId7"/>
    <customPr name="Qube.Worksheet.Visibility" r:id="rId8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XX270"/>
  <sheetViews>
    <sheetView tabSelected="1" zoomScaleNormal="100" workbookViewId="0">
      <pane xSplit="2" ySplit="2" topLeftCell="U3" activePane="bottomRight" state="frozen"/>
      <selection pane="topRight" activeCell="C1" sqref="C1"/>
      <selection pane="bottomLeft" activeCell="A3" sqref="A3"/>
      <selection pane="bottomRight" activeCell="U3" sqref="U3"/>
    </sheetView>
  </sheetViews>
  <sheetFormatPr defaultColWidth="9" defaultRowHeight="11.65" outlineLevelCol="2" x14ac:dyDescent="0.35"/>
  <cols>
    <col min="1" max="1" width="2.125" style="15" customWidth="1"/>
    <col min="2" max="2" width="41.375" style="124" customWidth="1"/>
    <col min="3" max="6" width="8.625" style="15" hidden="1" customWidth="1" outlineLevel="2"/>
    <col min="7" max="7" width="8.25" style="512" hidden="1" customWidth="1" collapsed="1"/>
    <col min="8" max="12" width="8.625" style="15" hidden="1" customWidth="1" outlineLevel="1"/>
    <col min="13" max="13" width="5.25" style="15" hidden="1" customWidth="1" outlineLevel="1"/>
    <col min="14" max="14" width="7.625" style="124" hidden="1" customWidth="1" collapsed="1"/>
    <col min="15" max="19" width="8.625" style="15" hidden="1" customWidth="1" outlineLevel="1"/>
    <col min="20" max="20" width="5.75" style="15" hidden="1" customWidth="1" outlineLevel="1"/>
    <col min="21" max="21" width="8.875" style="347" customWidth="1" collapsed="1"/>
    <col min="22" max="25" width="8.625" style="15" hidden="1" customWidth="1" outlineLevel="1"/>
    <col min="26" max="26" width="8.625" style="124" customWidth="1" collapsed="1"/>
    <col min="27" max="30" width="8.625" style="15" hidden="1" customWidth="1" outlineLevel="1"/>
    <col min="31" max="31" width="7.75" style="124" customWidth="1" collapsed="1"/>
    <col min="32" max="35" width="7.75" style="15" hidden="1" customWidth="1" outlineLevel="1"/>
    <col min="36" max="36" width="7.875" style="124" customWidth="1" collapsed="1"/>
    <col min="37" max="40" width="7.875" style="15" hidden="1" customWidth="1" outlineLevel="1"/>
    <col min="41" max="41" width="7.5" style="124" bestFit="1" customWidth="1" collapsed="1"/>
    <col min="42" max="45" width="7.5" style="15" hidden="1" customWidth="1" outlineLevel="1"/>
    <col min="46" max="46" width="7.5" style="15" bestFit="1" customWidth="1" collapsed="1"/>
    <col min="47" max="47" width="8.25" style="15" bestFit="1" customWidth="1"/>
    <col min="48" max="51" width="7.5" style="15" bestFit="1" customWidth="1"/>
    <col min="52" max="16384" width="9" style="15"/>
  </cols>
  <sheetData>
    <row r="1" spans="2:56" x14ac:dyDescent="0.35">
      <c r="G1" s="124"/>
      <c r="N1" s="15"/>
      <c r="U1" s="341"/>
      <c r="AT1" s="107">
        <f>AT153/MODEL!AT153-1</f>
        <v>0</v>
      </c>
      <c r="AU1" s="107">
        <f>AU153/MODEL!AU153-1</f>
        <v>0</v>
      </c>
      <c r="AV1" s="107">
        <f>AV153/MODEL!AV153-1</f>
        <v>0</v>
      </c>
      <c r="AW1" s="107">
        <f>AW153/MODEL!AW153-1</f>
        <v>0</v>
      </c>
      <c r="AX1" s="107">
        <f>AX153/MODEL!AX153-1</f>
        <v>0</v>
      </c>
      <c r="AY1" s="107">
        <f>AY153/MODEL!AY153-1</f>
        <v>0</v>
      </c>
    </row>
    <row r="2" spans="2:56" x14ac:dyDescent="0.35">
      <c r="B2" s="120" t="s">
        <v>155</v>
      </c>
      <c r="C2" s="121" t="s">
        <v>8</v>
      </c>
      <c r="D2" s="121" t="s">
        <v>9</v>
      </c>
      <c r="E2" s="121" t="s">
        <v>10</v>
      </c>
      <c r="F2" s="121" t="s">
        <v>11</v>
      </c>
      <c r="G2" s="509">
        <v>2019</v>
      </c>
      <c r="H2" s="121" t="s">
        <v>12</v>
      </c>
      <c r="I2" s="121" t="s">
        <v>13</v>
      </c>
      <c r="J2" s="121" t="s">
        <v>273</v>
      </c>
      <c r="K2" s="121" t="s">
        <v>14</v>
      </c>
      <c r="L2" s="121" t="s">
        <v>15</v>
      </c>
      <c r="M2" s="121" t="s">
        <v>274</v>
      </c>
      <c r="N2" s="122">
        <v>2020</v>
      </c>
      <c r="O2" s="121" t="s">
        <v>342</v>
      </c>
      <c r="P2" s="121" t="s">
        <v>343</v>
      </c>
      <c r="Q2" s="121" t="s">
        <v>344</v>
      </c>
      <c r="R2" s="121" t="s">
        <v>341</v>
      </c>
      <c r="S2" s="121" t="s">
        <v>365</v>
      </c>
      <c r="T2" s="121" t="s">
        <v>366</v>
      </c>
      <c r="U2" s="342">
        <f>Valuation!C48</f>
        <v>2021</v>
      </c>
      <c r="V2" s="121" t="s">
        <v>367</v>
      </c>
      <c r="W2" s="121" t="s">
        <v>368</v>
      </c>
      <c r="X2" s="121" t="s">
        <v>436</v>
      </c>
      <c r="Y2" s="121" t="s">
        <v>464</v>
      </c>
      <c r="Z2" s="122">
        <f>Valuation!D48</f>
        <v>2022</v>
      </c>
      <c r="AA2" s="121" t="s">
        <v>471</v>
      </c>
      <c r="AB2" s="121" t="s">
        <v>473</v>
      </c>
      <c r="AC2" s="121" t="s">
        <v>475</v>
      </c>
      <c r="AD2" s="121" t="s">
        <v>479</v>
      </c>
      <c r="AE2" s="122">
        <f>Valuation!E48</f>
        <v>2023</v>
      </c>
      <c r="AF2" s="121" t="s">
        <v>486</v>
      </c>
      <c r="AG2" s="121" t="s">
        <v>485</v>
      </c>
      <c r="AH2" s="121" t="s">
        <v>537</v>
      </c>
      <c r="AI2" s="121" t="s">
        <v>538</v>
      </c>
      <c r="AJ2" s="122">
        <f>Valuation!F48</f>
        <v>2024</v>
      </c>
      <c r="AK2" s="121" t="s">
        <v>550</v>
      </c>
      <c r="AL2" s="121" t="s">
        <v>551</v>
      </c>
      <c r="AM2" s="121" t="s">
        <v>552</v>
      </c>
      <c r="AN2" s="121" t="s">
        <v>555</v>
      </c>
      <c r="AO2" s="122">
        <f>Valuation!G48</f>
        <v>2025</v>
      </c>
      <c r="AP2" s="121" t="s">
        <v>559</v>
      </c>
      <c r="AQ2" s="121" t="s">
        <v>560</v>
      </c>
      <c r="AR2" s="121" t="s">
        <v>553</v>
      </c>
      <c r="AS2" s="121" t="s">
        <v>554</v>
      </c>
      <c r="AT2" s="121" t="str">
        <f>Valuation!H48</f>
        <v>2026E</v>
      </c>
      <c r="AU2" s="121" t="str">
        <f>Valuation!I48</f>
        <v>2027E</v>
      </c>
      <c r="AV2" s="121" t="str">
        <f>Valuation!J48</f>
        <v>2028E</v>
      </c>
      <c r="AW2" s="121" t="str">
        <f>Valuation!K48</f>
        <v>2029E</v>
      </c>
      <c r="AX2" s="121" t="str">
        <f>Valuation!L48</f>
        <v>2030E</v>
      </c>
      <c r="AY2" s="121" t="str">
        <f>Valuation!M48</f>
        <v>2031E</v>
      </c>
      <c r="AZ2" s="317"/>
      <c r="BA2" s="383"/>
    </row>
    <row r="3" spans="2:56" x14ac:dyDescent="0.35">
      <c r="B3" s="204" t="s">
        <v>154</v>
      </c>
      <c r="C3" s="205"/>
      <c r="D3" s="205"/>
      <c r="E3" s="205"/>
      <c r="F3" s="205"/>
      <c r="G3" s="510"/>
      <c r="H3" s="205"/>
      <c r="I3" s="205"/>
      <c r="J3" s="205"/>
      <c r="K3" s="205"/>
      <c r="L3" s="205"/>
      <c r="M3" s="205"/>
      <c r="N3" s="206"/>
      <c r="O3" s="205"/>
      <c r="P3" s="205"/>
      <c r="Q3" s="205"/>
      <c r="R3" s="205"/>
      <c r="S3" s="205"/>
      <c r="T3" s="205"/>
      <c r="U3" s="343"/>
      <c r="V3" s="205"/>
      <c r="W3" s="205"/>
      <c r="X3" s="205"/>
      <c r="Y3" s="205"/>
      <c r="Z3" s="206"/>
      <c r="AA3" s="205"/>
      <c r="AB3" s="205"/>
      <c r="AC3" s="205"/>
      <c r="AD3" s="205"/>
      <c r="AE3" s="206"/>
      <c r="AF3" s="205"/>
      <c r="AG3" s="205"/>
      <c r="AH3" s="205"/>
      <c r="AI3" s="205"/>
      <c r="AJ3" s="206"/>
      <c r="AK3" s="205"/>
      <c r="AL3" s="205"/>
      <c r="AM3" s="205"/>
      <c r="AN3" s="205"/>
      <c r="AO3" s="206"/>
      <c r="AP3" s="205"/>
      <c r="AQ3" s="205"/>
      <c r="AR3" s="205"/>
      <c r="AS3" s="205"/>
      <c r="AT3" s="205"/>
      <c r="AU3" s="205"/>
      <c r="AV3" s="205"/>
      <c r="AW3" s="205"/>
      <c r="AX3" s="205"/>
      <c r="AY3" s="205"/>
    </row>
    <row r="4" spans="2:56" s="110" customFormat="1" x14ac:dyDescent="0.35">
      <c r="B4" s="133" t="s">
        <v>1</v>
      </c>
      <c r="C4" s="135">
        <v>24.409314089999999</v>
      </c>
      <c r="D4" s="135">
        <v>36.582871189999999</v>
      </c>
      <c r="E4" s="135">
        <v>32.461652649999998</v>
      </c>
      <c r="F4" s="135">
        <v>34.890101659999964</v>
      </c>
      <c r="G4" s="511">
        <v>128.34393958999996</v>
      </c>
      <c r="H4" s="135">
        <v>33.74901646</v>
      </c>
      <c r="I4" s="135">
        <v>47.995953229999998</v>
      </c>
      <c r="J4" s="135">
        <f>I4+H4</f>
        <v>81.744969690000005</v>
      </c>
      <c r="K4" s="135">
        <v>58.767856520000002</v>
      </c>
      <c r="L4" s="135">
        <v>46.997418659999994</v>
      </c>
      <c r="M4" s="135">
        <f>L4+K4</f>
        <v>105.76527518</v>
      </c>
      <c r="N4" s="169">
        <v>187.51024487000001</v>
      </c>
      <c r="O4" s="135">
        <f>H4*(1+O7)</f>
        <v>57.1</v>
      </c>
      <c r="P4" s="135">
        <f>I4*(1+P7)</f>
        <v>70.799999999999983</v>
      </c>
      <c r="Q4" s="135">
        <f>P4+O4</f>
        <v>127.89999999999998</v>
      </c>
      <c r="R4" s="135">
        <f>K4*(1+R7)</f>
        <v>88.300000000000011</v>
      </c>
      <c r="S4" s="135">
        <f>L4*(1+S7)</f>
        <v>44.19999999999996</v>
      </c>
      <c r="T4" s="135">
        <f>S4+R4</f>
        <v>132.49999999999997</v>
      </c>
      <c r="U4" s="344">
        <f>T4+Q4</f>
        <v>260.39999999999998</v>
      </c>
      <c r="V4" s="135">
        <f>O4*(1+V7)</f>
        <v>74.900000000000006</v>
      </c>
      <c r="W4" s="135">
        <f>P4*(1+W7)</f>
        <v>83.293000000000021</v>
      </c>
      <c r="X4" s="135">
        <f>R4*(1+X7)</f>
        <v>116.468</v>
      </c>
      <c r="Y4" s="135">
        <f>S4*(1+Y7)</f>
        <v>79.638999999999939</v>
      </c>
      <c r="Z4" s="169">
        <f>SUM(V4:Y4)</f>
        <v>354.3</v>
      </c>
      <c r="AA4" s="135">
        <f>V4*(1+AA7)</f>
        <v>118.90000000000003</v>
      </c>
      <c r="AB4" s="135">
        <f t="shared" ref="AB4:AC4" si="0">W4*(1+AB7)</f>
        <v>113.59999999999998</v>
      </c>
      <c r="AC4" s="135">
        <f t="shared" si="0"/>
        <v>144.00000000000003</v>
      </c>
      <c r="AD4" s="135">
        <f>AE4-SUM(AA4:AC4)</f>
        <v>112.19999999999993</v>
      </c>
      <c r="AE4" s="169">
        <f>Z4*(1+AE7)</f>
        <v>488.69999999999993</v>
      </c>
      <c r="AF4" s="135">
        <f>AA4*(1+AF7)</f>
        <v>126.19999999999999</v>
      </c>
      <c r="AG4" s="135">
        <f t="shared" ref="AG4" si="1">AB4*(1+AG7)</f>
        <v>138.4</v>
      </c>
      <c r="AH4" s="135">
        <f t="shared" ref="AH4" si="2">AC4*(1+AH7)</f>
        <v>165.79999999999995</v>
      </c>
      <c r="AI4" s="135">
        <v>147.4</v>
      </c>
      <c r="AJ4" s="169">
        <f>AE4*(1+AJ7)</f>
        <v>577.79999999999995</v>
      </c>
      <c r="AK4" s="135">
        <f>AF4*(1+AK7)</f>
        <v>168.60319999999999</v>
      </c>
      <c r="AL4" s="135">
        <f t="shared" ref="AL4" si="3">AG4*(1+AL7)</f>
        <v>197.77360000000002</v>
      </c>
      <c r="AM4" s="135">
        <f t="shared" ref="AM4" si="4">AH4*(1+AM7)</f>
        <v>213.3</v>
      </c>
      <c r="AN4" s="135">
        <f>AO4-SUM(AK4:AM4)</f>
        <v>183.0232000000002</v>
      </c>
      <c r="AO4" s="169">
        <f>AJ4*(1+AO7)</f>
        <v>762.70000000000016</v>
      </c>
      <c r="AP4" s="135">
        <f>AK4*(1+AP7)</f>
        <v>207.09999999999994</v>
      </c>
      <c r="AQ4" s="135">
        <f t="shared" ref="AQ4" si="5">AL4*(1+AQ7)</f>
        <v>228.20000000000007</v>
      </c>
      <c r="AR4" s="135">
        <f t="shared" ref="AR4" si="6">AM4*(1+AR7)</f>
        <v>240.75012439297726</v>
      </c>
      <c r="AS4" s="135">
        <f>AT4-SUM(AP4:AR4)</f>
        <v>221.22490552425131</v>
      </c>
      <c r="AT4" s="135">
        <f>AO4*(1+AT7)</f>
        <v>897.27502991722861</v>
      </c>
      <c r="AU4" s="135">
        <f t="shared" ref="AU4:AX4" si="7">AT4*(1+AU7)</f>
        <v>1054.1319668384917</v>
      </c>
      <c r="AV4" s="135">
        <f t="shared" si="7"/>
        <v>1191.1691225274956</v>
      </c>
      <c r="AW4" s="135">
        <f t="shared" si="7"/>
        <v>1334.1094172307951</v>
      </c>
      <c r="AX4" s="135">
        <f t="shared" si="7"/>
        <v>1467.5203589538746</v>
      </c>
      <c r="AY4" s="135">
        <f t="shared" ref="AY4" si="8">AX4*(1+AY7)</f>
        <v>1584.9219876701848</v>
      </c>
      <c r="AZ4" s="195"/>
      <c r="BA4" s="195"/>
    </row>
    <row r="5" spans="2:56" x14ac:dyDescent="0.35">
      <c r="B5" s="124" t="s">
        <v>156</v>
      </c>
      <c r="O5" s="127">
        <f>((1+O7)/(1+O6))-1</f>
        <v>0.79553473819499709</v>
      </c>
      <c r="P5" s="127">
        <f t="shared" ref="P5:Q5" si="9">((1+P7)/(1+P6))-1</f>
        <v>0.55104458437705661</v>
      </c>
      <c r="Q5" s="127">
        <f t="shared" si="9"/>
        <v>0.65143558037996452</v>
      </c>
      <c r="R5" s="127">
        <f t="shared" ref="R5" si="10">((1+R7)/(1+R6))-1</f>
        <v>0.52598709771156171</v>
      </c>
      <c r="S5" s="127">
        <f t="shared" ref="S5:T5" si="11">((1+S7)/(1+S6))-1</f>
        <v>-0.10047028193565211</v>
      </c>
      <c r="T5" s="127">
        <f t="shared" si="11"/>
        <v>0.23830650805942843</v>
      </c>
      <c r="U5" s="345">
        <f t="shared" ref="U5" si="12">((1+U7)/(1+U6))-1</f>
        <v>0.41177434845075989</v>
      </c>
      <c r="V5" s="127">
        <f>((1+V7)/(1+V6))-1</f>
        <v>0.24073235352977274</v>
      </c>
      <c r="W5" s="127">
        <f t="shared" ref="W5" si="13">((1+W7)/(1+W6))-1</f>
        <v>0.10781757509045642</v>
      </c>
      <c r="X5" s="127">
        <f t="shared" ref="X5" si="14">((1+X7)/(1+X6))-1</f>
        <v>0.23426899373541432</v>
      </c>
      <c r="Y5" s="127">
        <f t="shared" ref="Y5" si="15">((1+Y7)/(1+Y6))-1</f>
        <v>0.74496030447199035</v>
      </c>
      <c r="Z5" s="461">
        <f t="shared" ref="Z5" si="16">((1+Z7)/(1+Z6))-1</f>
        <v>0.28576639280127147</v>
      </c>
      <c r="AA5" s="127">
        <f>((1+AA7)/(1+AA6))-1</f>
        <v>0.53495448969669912</v>
      </c>
      <c r="AB5" s="127">
        <f t="shared" ref="AB5:AD5" si="17">((1+AB7)/(1+AB6))-1</f>
        <v>0.35788117942021058</v>
      </c>
      <c r="AC5" s="127">
        <v>0.24</v>
      </c>
      <c r="AD5" s="127">
        <f t="shared" si="17"/>
        <v>0.26001272511910378</v>
      </c>
      <c r="AE5" s="461">
        <f t="shared" ref="AE5" si="18">((1+AE7)/(1+AE6))-1</f>
        <v>0.35032983251866656</v>
      </c>
      <c r="AF5" s="127">
        <f>((1+AF7)/(1+AF6))-1</f>
        <v>0.103960812220659</v>
      </c>
      <c r="AG5" s="127">
        <f t="shared" ref="AG5" si="19">((1+AG7)/(1+AG6))-1</f>
        <v>0.22197578651447336</v>
      </c>
      <c r="AH5" s="127">
        <f t="shared" ref="AH5:AI5" si="20">((1+AH7)/(1+AH6))-1</f>
        <v>0.1519648713245505</v>
      </c>
      <c r="AI5" s="127">
        <f t="shared" si="20"/>
        <v>0.3310528179163541</v>
      </c>
      <c r="AJ5" s="461">
        <f t="shared" ref="AJ5" si="21">((1+AJ7)/(1+AJ6))-1</f>
        <v>0.19939816716096326</v>
      </c>
      <c r="AK5" s="127">
        <f>((1+AK7)/(1+AK6))-1</f>
        <v>0.33000156062641905</v>
      </c>
      <c r="AL5" s="127">
        <f t="shared" ref="AL5:AM5" si="22">((1+AL7)/(1+AL6))-1</f>
        <v>0.46139824807488616</v>
      </c>
      <c r="AM5" s="127">
        <f t="shared" si="22"/>
        <v>0.3299751958185726</v>
      </c>
      <c r="AN5" s="127">
        <f>((1+AN7)/(1+AN6))-1</f>
        <v>0.27482245297685681</v>
      </c>
      <c r="AO5" s="461">
        <f t="shared" ref="AO5" si="23">((1+AO7)/(1+AO6))-1</f>
        <v>0.34728225009319069</v>
      </c>
      <c r="AP5" s="127">
        <v>0.25600000000000001</v>
      </c>
      <c r="AQ5" s="127">
        <v>0.20499999999999999</v>
      </c>
      <c r="AR5" s="127">
        <v>0.13</v>
      </c>
      <c r="AS5" s="127">
        <f t="shared" ref="AS5" si="24">((1+AS7)/(1+AS6))-1</f>
        <v>0.19489595321158215</v>
      </c>
      <c r="AT5" s="127">
        <v>0.19</v>
      </c>
      <c r="AU5" s="127">
        <v>0.17</v>
      </c>
      <c r="AV5" s="127">
        <v>0.16</v>
      </c>
      <c r="AW5" s="127">
        <v>0.15</v>
      </c>
      <c r="AX5" s="127">
        <v>0.12</v>
      </c>
      <c r="AY5" s="127">
        <v>0.1</v>
      </c>
    </row>
    <row r="6" spans="2:56" x14ac:dyDescent="0.35">
      <c r="B6" s="124" t="s">
        <v>482</v>
      </c>
      <c r="O6" s="128">
        <f>FX!M8*0.9</f>
        <v>-5.7717391304347943E-2</v>
      </c>
      <c r="P6" s="128">
        <f>FX!N8*0.9</f>
        <v>-4.8947799945340188E-2</v>
      </c>
      <c r="Q6" s="128">
        <f>((O6*H4)+(P6*I4))/J4</f>
        <v>-5.2568390719855237E-2</v>
      </c>
      <c r="R6" s="128">
        <f>FX!O8*0.9</f>
        <v>-1.5376966190562369E-2</v>
      </c>
      <c r="S6" s="128">
        <f>FX!P8*0.9</f>
        <v>4.5520971721389206E-2</v>
      </c>
      <c r="T6" s="128">
        <f>((R6*K4)+(S6*L4))/M4</f>
        <v>1.1683388719948761E-2</v>
      </c>
      <c r="U6" s="346">
        <f>((O6*H4)+(P6*I4)+(R6*K4)+(S6*L4))/N4</f>
        <v>-1.6327132873027193E-2</v>
      </c>
      <c r="V6" s="128">
        <f>FX!R8*0.9</f>
        <v>5.7225433526011685E-2</v>
      </c>
      <c r="W6" s="128">
        <f>FX!S8*0.9</f>
        <v>6.1957156767283375E-2</v>
      </c>
      <c r="X6" s="128">
        <f>FX!T8*0.9</f>
        <v>6.8651488616462406E-2</v>
      </c>
      <c r="Y6" s="128">
        <f>FX!U8*0.9</f>
        <v>3.2566371681416163E-2</v>
      </c>
      <c r="Z6" s="129">
        <f>((V6*O4)+(W6*P4)+(X6*R4)+(Y6*S4))/U4</f>
        <v>5.8200841116018261E-2</v>
      </c>
      <c r="AA6" s="128">
        <f>FX!W8*0.9</f>
        <v>3.4200000000000029E-2</v>
      </c>
      <c r="AB6" s="128">
        <f>FX!X8*0.9</f>
        <v>4.4031311154597574E-3</v>
      </c>
      <c r="AC6" s="128">
        <f>(((1+0.199)-(1+AC5)))</f>
        <v>-4.0999999999999925E-2</v>
      </c>
      <c r="AD6" s="128">
        <v>0.11812955634807572</v>
      </c>
      <c r="AE6" s="129">
        <v>2.1483425414364404E-2</v>
      </c>
      <c r="AF6" s="128">
        <v>-3.8556333292617075E-2</v>
      </c>
      <c r="AG6" s="128">
        <v>-3.0000000000000001E-3</v>
      </c>
      <c r="AH6" s="128">
        <v>-5.0000000000000001E-4</v>
      </c>
      <c r="AI6" s="128">
        <v>-1.301776119402925E-2</v>
      </c>
      <c r="AJ6" s="129">
        <v>-1.4238578680203132E-2</v>
      </c>
      <c r="AK6" s="128">
        <v>4.5100995000004985E-3</v>
      </c>
      <c r="AL6" s="128">
        <v>-2.2169349195241359E-2</v>
      </c>
      <c r="AM6" s="128">
        <v>-3.2696436198614585E-2</v>
      </c>
      <c r="AN6" s="128">
        <v>-2.5999999999999999E-2</v>
      </c>
      <c r="AO6" s="129">
        <v>-2.0244701717582012E-2</v>
      </c>
      <c r="AP6" s="128">
        <v>-2.203199564511767E-2</v>
      </c>
      <c r="AQ6" s="128">
        <v>-4.245261571313929E-2</v>
      </c>
      <c r="AR6" s="128">
        <f>FX!AN8</f>
        <v>-1.3074336944340903E-3</v>
      </c>
      <c r="AS6" s="128">
        <f>FX!AO8</f>
        <v>1.1574291897995748E-2</v>
      </c>
      <c r="AT6" s="128">
        <f>AVERAGE(AP6:AS6)</f>
        <v>-1.3554438288673826E-2</v>
      </c>
      <c r="AU6" s="128">
        <f>FX!AQ8/3</f>
        <v>4.8147799629874033E-3</v>
      </c>
      <c r="AV6" s="128">
        <f>FX!AR8/3</f>
        <v>0</v>
      </c>
      <c r="AW6" s="128">
        <f>FX!AS8/3</f>
        <v>0</v>
      </c>
      <c r="AX6" s="128">
        <f>FX!AT8/3</f>
        <v>0</v>
      </c>
      <c r="AY6" s="128">
        <f>FX!AU8/3</f>
        <v>0</v>
      </c>
    </row>
    <row r="7" spans="2:56" x14ac:dyDescent="0.35">
      <c r="B7" s="124" t="s">
        <v>158</v>
      </c>
      <c r="H7" s="128">
        <f>H4/C4-1</f>
        <v>0.38262862838191292</v>
      </c>
      <c r="I7" s="128">
        <f t="shared" ref="I7:Z7" si="25">I4/D4-1</f>
        <v>0.31197884880943372</v>
      </c>
      <c r="J7" s="128"/>
      <c r="K7" s="128">
        <f>K4/E4-1</f>
        <v>0.81037783730952495</v>
      </c>
      <c r="L7" s="128">
        <f>L4/F4-1</f>
        <v>0.34701294705256069</v>
      </c>
      <c r="M7" s="128"/>
      <c r="N7" s="129">
        <f>N4/G4-1</f>
        <v>0.46099804532266386</v>
      </c>
      <c r="O7" s="128">
        <v>0.69190115711004629</v>
      </c>
      <c r="P7" s="128">
        <v>0.47512436435466515</v>
      </c>
      <c r="Q7" s="128">
        <f>Q4/J4-1</f>
        <v>0.56462226954187966</v>
      </c>
      <c r="R7" s="128">
        <v>0.50252204570281656</v>
      </c>
      <c r="S7" s="128">
        <v>-5.9522815077095781E-2</v>
      </c>
      <c r="T7" s="128">
        <f>T4/M4-1</f>
        <v>0.25277412434752922</v>
      </c>
      <c r="U7" s="346">
        <f>U4/N4-1</f>
        <v>0.38872412107687282</v>
      </c>
      <c r="V7" s="128">
        <v>0.31173380035026271</v>
      </c>
      <c r="W7" s="128">
        <v>0.17645480225988752</v>
      </c>
      <c r="X7" s="128">
        <v>0.31900339750849349</v>
      </c>
      <c r="Y7" s="128">
        <v>0.80178733031674243</v>
      </c>
      <c r="Z7" s="129">
        <f t="shared" si="25"/>
        <v>0.36059907834101401</v>
      </c>
      <c r="AA7" s="128">
        <v>0.58744993324432626</v>
      </c>
      <c r="AB7" s="128">
        <v>0.36386010829241289</v>
      </c>
      <c r="AC7" s="128">
        <v>0.23639111172167482</v>
      </c>
      <c r="AD7" s="128">
        <f>AD4/Y4-1</f>
        <v>0.4088574693303535</v>
      </c>
      <c r="AE7" s="129">
        <v>0.37933954276037235</v>
      </c>
      <c r="AF7" s="128">
        <v>6.1396131202691037E-2</v>
      </c>
      <c r="AG7" s="128">
        <v>0.21830985915492984</v>
      </c>
      <c r="AH7" s="128">
        <v>0.15138888888888841</v>
      </c>
      <c r="AI7" s="128">
        <f>AI4/AD4-1</f>
        <v>0.31372549019607932</v>
      </c>
      <c r="AJ7" s="129">
        <v>0.18232044198895034</v>
      </c>
      <c r="AK7" s="128">
        <v>0.33600000000000002</v>
      </c>
      <c r="AL7" s="128">
        <v>0.42899999999999999</v>
      </c>
      <c r="AM7" s="128">
        <v>0.28648974668275062</v>
      </c>
      <c r="AN7" s="128">
        <f>AN4/AI4-1</f>
        <v>0.24167706919945853</v>
      </c>
      <c r="AO7" s="564">
        <v>0.32000692281066134</v>
      </c>
      <c r="AP7" s="128">
        <f>((1+AP6)*(1+AP5))-1</f>
        <v>0.22832781346973219</v>
      </c>
      <c r="AQ7" s="128">
        <f>((1+AQ6)*(1+AQ5))-1</f>
        <v>0.1538445980656673</v>
      </c>
      <c r="AR7" s="128">
        <f>AR6+AR5</f>
        <v>0.12869256630556591</v>
      </c>
      <c r="AS7" s="128">
        <f>AS4/AN4-1</f>
        <v>0.20872602776178684</v>
      </c>
      <c r="AT7" s="128">
        <f>AT6+AT5</f>
        <v>0.17644556171132617</v>
      </c>
      <c r="AU7" s="130">
        <f>AU6+AU5</f>
        <v>0.17481477996298742</v>
      </c>
      <c r="AV7" s="130">
        <v>0.13</v>
      </c>
      <c r="AW7" s="130">
        <v>0.12</v>
      </c>
      <c r="AX7" s="130">
        <v>0.1</v>
      </c>
      <c r="AY7" s="130">
        <v>0.08</v>
      </c>
    </row>
    <row r="8" spans="2:56" x14ac:dyDescent="0.35">
      <c r="B8" s="124" t="s">
        <v>212</v>
      </c>
      <c r="C8" s="128">
        <f>C4/C$31</f>
        <v>0.49241785782048975</v>
      </c>
      <c r="D8" s="128">
        <f t="shared" ref="D8:AX8" si="26">D4/D$31</f>
        <v>0.52502893097844738</v>
      </c>
      <c r="E8" s="128">
        <f t="shared" si="26"/>
        <v>0.498867487072571</v>
      </c>
      <c r="F8" s="128">
        <f t="shared" si="26"/>
        <v>0.42137243593282858</v>
      </c>
      <c r="G8" s="513">
        <f t="shared" si="26"/>
        <v>0.48047307807494249</v>
      </c>
      <c r="H8" s="128">
        <f t="shared" si="26"/>
        <v>0.47340568802827337</v>
      </c>
      <c r="I8" s="128">
        <f t="shared" si="26"/>
        <v>0.48175237042243568</v>
      </c>
      <c r="J8" s="128">
        <f t="shared" si="26"/>
        <v>0.47827096567575478</v>
      </c>
      <c r="K8" s="128">
        <f t="shared" si="26"/>
        <v>0.45179164161008045</v>
      </c>
      <c r="L8" s="128">
        <f t="shared" si="26"/>
        <v>0.37809605415975694</v>
      </c>
      <c r="M8" s="128">
        <f t="shared" si="26"/>
        <v>0.41578069313660793</v>
      </c>
      <c r="N8" s="129">
        <f>N4/N$31</f>
        <v>0.44089428963005745</v>
      </c>
      <c r="O8" s="128">
        <f t="shared" si="26"/>
        <v>0.4066951566951566</v>
      </c>
      <c r="P8" s="128">
        <f t="shared" si="26"/>
        <v>0.4043403769274701</v>
      </c>
      <c r="Q8" s="128">
        <f t="shared" si="26"/>
        <v>0.40538827258320126</v>
      </c>
      <c r="R8" s="128">
        <f t="shared" si="26"/>
        <v>0.40504587155963301</v>
      </c>
      <c r="S8" s="128">
        <f t="shared" si="26"/>
        <v>0.23129251700680245</v>
      </c>
      <c r="T8" s="128">
        <f t="shared" si="26"/>
        <v>0.32388169151796614</v>
      </c>
      <c r="U8" s="346">
        <f t="shared" si="26"/>
        <v>0.35937068727573823</v>
      </c>
      <c r="V8" s="128">
        <f t="shared" si="26"/>
        <v>0.31777683495969455</v>
      </c>
      <c r="W8" s="128">
        <f t="shared" si="26"/>
        <v>0.28558056928910869</v>
      </c>
      <c r="X8" s="128">
        <f t="shared" si="26"/>
        <v>0.35507129290607392</v>
      </c>
      <c r="Y8" s="128">
        <f t="shared" si="26"/>
        <v>0.21716272411207299</v>
      </c>
      <c r="Z8" s="129">
        <f t="shared" si="26"/>
        <v>0.28991080926274448</v>
      </c>
      <c r="AA8" s="128">
        <f t="shared" ref="AA8:AD8" si="27">AA4/AA$31</f>
        <v>0.28296049500237996</v>
      </c>
      <c r="AB8" s="128">
        <f t="shared" si="27"/>
        <v>0.25568309700652708</v>
      </c>
      <c r="AC8" s="128">
        <f t="shared" si="27"/>
        <v>0.29968782518210202</v>
      </c>
      <c r="AD8" s="128">
        <f t="shared" si="27"/>
        <v>0.25095057034220508</v>
      </c>
      <c r="AE8" s="129">
        <f t="shared" si="26"/>
        <v>0.2726968361140561</v>
      </c>
      <c r="AF8" s="128">
        <f t="shared" si="26"/>
        <v>0.24832743014561195</v>
      </c>
      <c r="AG8" s="128">
        <f t="shared" si="26"/>
        <v>0.24379073454289235</v>
      </c>
      <c r="AH8" s="128">
        <f t="shared" si="26"/>
        <v>0.26077382824787665</v>
      </c>
      <c r="AI8" s="128">
        <f t="shared" si="26"/>
        <v>0.2429937355753379</v>
      </c>
      <c r="AJ8" s="129">
        <f t="shared" si="26"/>
        <v>0.24923435275848679</v>
      </c>
      <c r="AK8" s="128">
        <f t="shared" ref="AK8:AN8" si="28">AK4/AK$31</f>
        <v>0.23205847652510173</v>
      </c>
      <c r="AL8" s="128">
        <f t="shared" si="28"/>
        <v>0.2639726649048344</v>
      </c>
      <c r="AM8" s="128">
        <f t="shared" si="28"/>
        <v>0.2685045317220543</v>
      </c>
      <c r="AN8" s="128">
        <f t="shared" si="28"/>
        <v>0.2460567348350125</v>
      </c>
      <c r="AO8" s="129">
        <f t="shared" si="26"/>
        <v>0.25305242203052419</v>
      </c>
      <c r="AP8" s="128">
        <f t="shared" si="26"/>
        <v>0.24894819088832781</v>
      </c>
      <c r="AQ8" s="128">
        <f t="shared" si="26"/>
        <v>0.26837586734093855</v>
      </c>
      <c r="AR8" s="128">
        <f t="shared" si="26"/>
        <v>0.26252424362563975</v>
      </c>
      <c r="AS8" s="128">
        <f t="shared" si="26"/>
        <v>0.24502486857397163</v>
      </c>
      <c r="AT8" s="128">
        <f t="shared" si="26"/>
        <v>0.25620868133519736</v>
      </c>
      <c r="AU8" s="128">
        <f t="shared" si="26"/>
        <v>0.25348703201321326</v>
      </c>
      <c r="AV8" s="128">
        <f t="shared" si="26"/>
        <v>0.24600171570140808</v>
      </c>
      <c r="AW8" s="128">
        <f t="shared" si="26"/>
        <v>0.23801459340188019</v>
      </c>
      <c r="AX8" s="128">
        <f t="shared" si="26"/>
        <v>0.22895059480385191</v>
      </c>
      <c r="AY8" s="128">
        <f t="shared" ref="AY8" si="29">AY4/AY$31</f>
        <v>0.22126780746598754</v>
      </c>
    </row>
    <row r="9" spans="2:56" x14ac:dyDescent="0.35">
      <c r="B9" s="124" t="s">
        <v>214</v>
      </c>
      <c r="C9" s="128"/>
      <c r="D9" s="128"/>
      <c r="E9" s="128"/>
      <c r="F9" s="128"/>
      <c r="G9" s="513"/>
      <c r="H9" s="128"/>
      <c r="I9" s="128"/>
      <c r="J9" s="128"/>
      <c r="K9" s="128"/>
      <c r="L9" s="128"/>
      <c r="M9" s="128"/>
      <c r="N9" s="129">
        <f>(N4-N94)/N4</f>
        <v>0.32583950232884146</v>
      </c>
      <c r="O9" s="128"/>
      <c r="P9" s="128"/>
      <c r="Q9" s="128"/>
      <c r="R9" s="128"/>
      <c r="S9" s="128"/>
      <c r="T9" s="128"/>
      <c r="U9" s="346">
        <f>(U4-U94)/U4</f>
        <v>0.31696741935483869</v>
      </c>
      <c r="V9" s="128"/>
      <c r="W9" s="128"/>
      <c r="X9" s="128"/>
      <c r="Y9" s="128"/>
      <c r="Z9" s="129">
        <f t="shared" ref="Z9:AY9" si="30">(Z4-Z94)/Z4</f>
        <v>0.3674690323454699</v>
      </c>
      <c r="AA9" s="128"/>
      <c r="AB9" s="128"/>
      <c r="AC9" s="128"/>
      <c r="AD9" s="128"/>
      <c r="AE9" s="129">
        <f t="shared" si="30"/>
        <v>0.470345592950276</v>
      </c>
      <c r="AF9" s="128"/>
      <c r="AG9" s="128"/>
      <c r="AH9" s="128"/>
      <c r="AI9" s="128"/>
      <c r="AJ9" s="129">
        <f t="shared" si="30"/>
        <v>0.48938733125649014</v>
      </c>
      <c r="AK9" s="128"/>
      <c r="AL9" s="128"/>
      <c r="AM9" s="128"/>
      <c r="AN9" s="128"/>
      <c r="AO9" s="129">
        <f t="shared" si="30"/>
        <v>0.55321625803068064</v>
      </c>
      <c r="AP9" s="128"/>
      <c r="AQ9" s="128"/>
      <c r="AR9" s="128"/>
      <c r="AS9" s="128"/>
      <c r="AT9" s="128">
        <f t="shared" si="30"/>
        <v>0.5775391137999597</v>
      </c>
      <c r="AU9" s="128">
        <f t="shared" si="30"/>
        <v>0.59998333539544801</v>
      </c>
      <c r="AV9" s="128">
        <f t="shared" si="30"/>
        <v>0.61715219223909468</v>
      </c>
      <c r="AW9" s="128">
        <f t="shared" si="30"/>
        <v>0.63031258563087578</v>
      </c>
      <c r="AX9" s="128">
        <f t="shared" si="30"/>
        <v>0.64345329281436003</v>
      </c>
      <c r="AY9" s="128">
        <f t="shared" si="30"/>
        <v>0.64975888735810594</v>
      </c>
      <c r="BC9" s="110"/>
      <c r="BD9" s="110"/>
    </row>
    <row r="10" spans="2:56" x14ac:dyDescent="0.35">
      <c r="B10" s="124" t="s">
        <v>192</v>
      </c>
      <c r="C10" s="128"/>
      <c r="D10" s="128"/>
      <c r="E10" s="128"/>
      <c r="F10" s="128"/>
      <c r="G10" s="513"/>
      <c r="H10" s="128"/>
      <c r="I10" s="128"/>
      <c r="J10" s="128"/>
      <c r="K10" s="128"/>
      <c r="L10" s="128"/>
      <c r="M10" s="128"/>
      <c r="N10" s="129"/>
      <c r="O10" s="128">
        <f>(1*(1+H7)*(1+O7))-1</f>
        <v>1.339270976212835</v>
      </c>
      <c r="P10" s="128">
        <f>(1*(1+I7)*(1+P7))-1</f>
        <v>0.93533196539678132</v>
      </c>
      <c r="Q10" s="128"/>
      <c r="R10" s="128">
        <f>(1*(1+K7)*(1+R7))-1</f>
        <v>1.7201326116093481</v>
      </c>
      <c r="S10" s="128">
        <f>(1*(1+L7)*(1+S7))-1</f>
        <v>0.26683494449869727</v>
      </c>
      <c r="T10" s="128"/>
      <c r="U10" s="346">
        <f>(1*(1+N7)*(1+U7))-1</f>
        <v>1.0289232263857455</v>
      </c>
      <c r="V10" s="128">
        <f>(1*(1+O7)*(1+V7))-1</f>
        <v>1.2193239346329681</v>
      </c>
      <c r="W10" s="128">
        <f>(1*(1+P7)*(1+W7))-1</f>
        <v>0.73541714237560996</v>
      </c>
      <c r="X10" s="128">
        <f>(1*(1+R7)*(1+X7))-1</f>
        <v>0.98183168311342706</v>
      </c>
      <c r="Y10" s="128">
        <f>(1*(1+S7)*(1+Y7))-1</f>
        <v>0.69453987624604485</v>
      </c>
      <c r="Z10" s="129">
        <f t="shared" ref="Z10" si="31">(1*(1+U7)*(1+Z7))-1</f>
        <v>0.8894967592071279</v>
      </c>
      <c r="AA10" s="128">
        <f>(1*(1+T7)*(1+AA7))-1</f>
        <v>0.98871620006570438</v>
      </c>
      <c r="AB10" s="128">
        <f>(1*(1+U7)*(1+AB7))-1</f>
        <v>0.89402543016018976</v>
      </c>
      <c r="AC10" s="128">
        <f>(1*(1+W7)*(1+AC7))-1</f>
        <v>0.45455826085640538</v>
      </c>
      <c r="AD10" s="128">
        <f>(1*(1+X7)*(1+AD7))-1</f>
        <v>0.85828778865195465</v>
      </c>
      <c r="AE10" s="129">
        <f>(1*(1+Z7)*(1+AE7))-1</f>
        <v>0.87672811059907829</v>
      </c>
      <c r="AF10" s="128">
        <f>(1*(1+Y7)*(1+AF7))-1</f>
        <v>0.91241010164821534</v>
      </c>
      <c r="AG10" s="128">
        <f>(1*(1+Z7)*(1+AG7))-1</f>
        <v>0.65763127149996836</v>
      </c>
      <c r="AH10" s="128">
        <f>(1*(1+AB7)*(1+AH7))-1</f>
        <v>0.57033337468668011</v>
      </c>
      <c r="AI10" s="128">
        <f>(1*(1+AC7)*(1+AI7))-1</f>
        <v>0.62427851932063261</v>
      </c>
      <c r="AJ10" s="129">
        <f>(1*(1+AE7)*(1+AJ7))-1</f>
        <v>0.63082133784928018</v>
      </c>
      <c r="AK10" s="128">
        <f>(1*(1+AD7)*(1+AK7))-1</f>
        <v>0.88223357902535238</v>
      </c>
      <c r="AL10" s="128">
        <f>(1*(1+AE7)*(1+AL7))-1</f>
        <v>0.97107620660457217</v>
      </c>
      <c r="AM10" s="128">
        <f>(1*(1+AG7)*(1+AM7))-1</f>
        <v>0.56734314208532366</v>
      </c>
      <c r="AN10" s="128">
        <f>(1*(1+AH7)*(1+AN7))-1</f>
        <v>0.42965318106437578</v>
      </c>
      <c r="AO10" s="129">
        <f>(1*(1+AJ7)*(1+AO7))-1</f>
        <v>0.56067116840597553</v>
      </c>
      <c r="AP10" s="128">
        <f>(1*(1+AI7)*(1+AP7))-1</f>
        <v>0.61368555887200227</v>
      </c>
      <c r="AQ10" s="128">
        <f>(1*(1+AJ7)*(1+AQ7))-1</f>
        <v>0.36421405517156247</v>
      </c>
      <c r="AR10" s="128">
        <f>(1*(1+AL7)*(1+AR7))-1</f>
        <v>0.61290167725065392</v>
      </c>
      <c r="AS10" s="128">
        <f>(1*(1+AM7)*(1+AS7))-1</f>
        <v>0.55501364126410868</v>
      </c>
      <c r="AT10" s="128">
        <f>(1*(1+AO7)*(1+AT7))-1</f>
        <v>0.55291628576882768</v>
      </c>
      <c r="AU10" s="128">
        <f t="shared" ref="AU10:AX10" si="32">(1*(1+AT7)*(1+AU7))-1</f>
        <v>0.38210563372032458</v>
      </c>
      <c r="AV10" s="128">
        <f t="shared" si="32"/>
        <v>0.32754070135817548</v>
      </c>
      <c r="AW10" s="128">
        <f t="shared" si="32"/>
        <v>0.26560000000000006</v>
      </c>
      <c r="AX10" s="128">
        <f t="shared" si="32"/>
        <v>0.23200000000000021</v>
      </c>
      <c r="AY10" s="128">
        <f t="shared" ref="AY10" si="33">(1*(1+AX7)*(1+AY7))-1</f>
        <v>0.18800000000000017</v>
      </c>
    </row>
    <row r="11" spans="2:56" s="110" customFormat="1" x14ac:dyDescent="0.35">
      <c r="B11" s="133" t="s">
        <v>472</v>
      </c>
      <c r="C11" s="135">
        <f>'[3]Net Sales Breakdown'!C28/1000000</f>
        <v>20.91943736</v>
      </c>
      <c r="D11" s="135">
        <f>'[3]Net Sales Breakdown'!D28/1000000</f>
        <v>26.76203164</v>
      </c>
      <c r="E11" s="135">
        <f>'[3]Net Sales Breakdown'!E28/1000000</f>
        <v>26.174526929999999</v>
      </c>
      <c r="F11" s="135">
        <f>'[3]Net Sales Breakdown'!F28/1000000</f>
        <v>37.90500406999999</v>
      </c>
      <c r="G11" s="511">
        <f>SUM(C11:F11)</f>
        <v>111.761</v>
      </c>
      <c r="H11" s="135">
        <f>'[3]Net Sales Breakdown'!H28/1000000</f>
        <v>33.124064140000002</v>
      </c>
      <c r="I11" s="135">
        <f>'[3]Net Sales Breakdown'!I28/1000000</f>
        <v>46.87262904</v>
      </c>
      <c r="J11" s="135">
        <f>I11+H11</f>
        <v>79.996693179999994</v>
      </c>
      <c r="K11" s="135">
        <f>'[3]Net Sales Breakdown'!J28/1000000</f>
        <v>61.427927070000003</v>
      </c>
      <c r="L11" s="135">
        <f>'[3]Net Sales Breakdown'!K28/1000000</f>
        <v>66.664379749999995</v>
      </c>
      <c r="M11" s="135">
        <f>L11+K11</f>
        <v>128.09230682</v>
      </c>
      <c r="N11" s="169">
        <f>M11+J11</f>
        <v>208.089</v>
      </c>
      <c r="O11" s="135">
        <f>H11*(1+O14)</f>
        <v>74.200000000000031</v>
      </c>
      <c r="P11" s="135">
        <f>I11*(1+P14)</f>
        <v>89.699999999999932</v>
      </c>
      <c r="Q11" s="135">
        <f>P11+O11</f>
        <v>163.89999999999998</v>
      </c>
      <c r="R11" s="135">
        <f>K11*(1+R14)</f>
        <v>112.2</v>
      </c>
      <c r="S11" s="135">
        <f>L11*(1+S14)</f>
        <v>133.40000000000003</v>
      </c>
      <c r="T11" s="135">
        <f>S11+R11</f>
        <v>245.60000000000002</v>
      </c>
      <c r="U11" s="344">
        <f>T11+Q11</f>
        <v>409.5</v>
      </c>
      <c r="V11" s="135">
        <f t="shared" ref="V11" si="34">O11*(1+V14)</f>
        <v>138.39999999999998</v>
      </c>
      <c r="W11" s="135">
        <f t="shared" ref="W11" si="35">P11*(1+W14)</f>
        <v>181.67299999999997</v>
      </c>
      <c r="X11" s="135">
        <f>R11*(1+X14)</f>
        <v>176.25999999999993</v>
      </c>
      <c r="Y11" s="135">
        <f>S11*(1+Y14)</f>
        <v>242.16699999999997</v>
      </c>
      <c r="Z11" s="169">
        <f>SUM(V11:Y11)</f>
        <v>738.49999999999989</v>
      </c>
      <c r="AA11" s="135">
        <f>V11*(1+AA14)</f>
        <v>270.19999999999987</v>
      </c>
      <c r="AB11" s="135">
        <f t="shared" ref="AB11" si="36">W11*(1+AB14)</f>
        <v>296.59999999999997</v>
      </c>
      <c r="AC11" s="135">
        <f t="shared" ref="AC11" si="37">X11*(1+AC14)</f>
        <v>294.89999999999998</v>
      </c>
      <c r="AD11" s="135">
        <f>AE11-SUM(AA11:AC11)</f>
        <v>300.60000000000014</v>
      </c>
      <c r="AE11" s="169">
        <f>Z11*(1+AE14)</f>
        <v>1162.3</v>
      </c>
      <c r="AF11" s="135">
        <f>AA11*(1+AF14)</f>
        <v>329.6</v>
      </c>
      <c r="AG11" s="135">
        <f t="shared" ref="AG11" si="38">AB11*(1+AG14)</f>
        <v>370.10000000000008</v>
      </c>
      <c r="AH11" s="135">
        <f t="shared" ref="AH11" si="39">AC11*(1+AH14)</f>
        <v>395.5</v>
      </c>
      <c r="AI11" s="135">
        <v>385.1</v>
      </c>
      <c r="AJ11" s="169">
        <f>AE11*(1+AJ14)</f>
        <v>1480.3</v>
      </c>
      <c r="AK11" s="135">
        <f>AF11*(1+AK14)</f>
        <v>437.37920000000003</v>
      </c>
      <c r="AL11" s="135">
        <f t="shared" ref="AL11" si="40">AG11*(1+AL14)</f>
        <v>432.27680000000009</v>
      </c>
      <c r="AM11" s="135">
        <f t="shared" ref="AM11" si="41">AH11*(1+AM14)</f>
        <v>436.20000000000022</v>
      </c>
      <c r="AN11" s="135">
        <f>AO11-SUM(AK11:AM11)</f>
        <v>434.34399999999982</v>
      </c>
      <c r="AO11" s="169">
        <f>AJ11*(1+AO14)+0.1</f>
        <v>1740.2000000000003</v>
      </c>
      <c r="AP11" s="135">
        <f>AK11*(1+AP14)</f>
        <v>450.80000000000013</v>
      </c>
      <c r="AQ11" s="135">
        <f t="shared" ref="AQ11" si="42">AL11*(1+AQ14)</f>
        <v>451.60000000000008</v>
      </c>
      <c r="AR11" s="135">
        <f t="shared" ref="AR11" si="43">AM11*(1+AR14)</f>
        <v>451.71351014702947</v>
      </c>
      <c r="AS11" s="135">
        <f>AT11-SUM(AP11:AR11)</f>
        <v>473.99706712876036</v>
      </c>
      <c r="AT11" s="135">
        <f>AO11*(1+AT14)</f>
        <v>1828.1105772757901</v>
      </c>
      <c r="AU11" s="135">
        <f t="shared" ref="AU11:AX11" si="44">AT11*(1+AU14)</f>
        <v>1999.9316884502261</v>
      </c>
      <c r="AV11" s="135">
        <f t="shared" si="44"/>
        <v>2159.9262235262445</v>
      </c>
      <c r="AW11" s="135">
        <f t="shared" si="44"/>
        <v>2332.7203214083443</v>
      </c>
      <c r="AX11" s="135">
        <f t="shared" si="44"/>
        <v>2519.3379471210119</v>
      </c>
      <c r="AY11" s="135">
        <f t="shared" ref="AY11" si="45">AX11*(1+AY14)</f>
        <v>2670.4982239482729</v>
      </c>
      <c r="AZ11" s="195"/>
      <c r="BA11" s="195"/>
    </row>
    <row r="12" spans="2:56" x14ac:dyDescent="0.35">
      <c r="B12" s="124" t="s">
        <v>156</v>
      </c>
      <c r="O12" s="127">
        <f>((1+O14)/(1+O13))-1</f>
        <v>1.3963820666340738</v>
      </c>
      <c r="P12" s="127">
        <f t="shared" ref="P12:U12" si="46">((1+P14)/(1+P13))-1</f>
        <v>1.0243151075928179</v>
      </c>
      <c r="Q12" s="127">
        <f t="shared" si="46"/>
        <v>1.1773605289380109</v>
      </c>
      <c r="R12" s="127">
        <f t="shared" si="46"/>
        <v>0.82955456687749995</v>
      </c>
      <c r="S12" s="127">
        <f t="shared" si="46"/>
        <v>0.96058093967909652</v>
      </c>
      <c r="T12" s="127">
        <f t="shared" ref="T12" si="47">((1+T14)/(1+T13))-1</f>
        <v>0.89846813248868407</v>
      </c>
      <c r="U12" s="345">
        <f t="shared" si="46"/>
        <v>1.0010546595296228</v>
      </c>
      <c r="V12" s="127">
        <f>((1+V14)/(1+V13))-1</f>
        <v>0.82658462790041431</v>
      </c>
      <c r="W12" s="127">
        <f t="shared" ref="W12" si="48">((1+W14)/(1+W13))-1</f>
        <v>0.91171438898737645</v>
      </c>
      <c r="X12" s="127">
        <f t="shared" ref="X12" si="49">((1+X14)/(1+X13))-1</f>
        <v>0.49204411040465579</v>
      </c>
      <c r="Y12" s="127">
        <f t="shared" ref="Y12:AE12" si="50">((1+Y14)/(1+Y13))-1</f>
        <v>0.73886169066291885</v>
      </c>
      <c r="Z12" s="461">
        <f t="shared" ref="Z12" si="51">((1+Z14)/(1+Z13))-1</f>
        <v>0.72465306116573158</v>
      </c>
      <c r="AA12" s="127">
        <f>((1+AA14)/(1+AA13))-1</f>
        <v>0.95267287637406017</v>
      </c>
      <c r="AB12" s="127">
        <f t="shared" ref="AB12:AD12" si="52">((1+AB14)/(1+AB13))-1</f>
        <v>0.75326885820527623</v>
      </c>
      <c r="AC12" s="127">
        <v>0.75</v>
      </c>
      <c r="AD12" s="127">
        <f t="shared" si="52"/>
        <v>0.29038576224882529</v>
      </c>
      <c r="AE12" s="461">
        <f t="shared" si="50"/>
        <v>0.61047065526356992</v>
      </c>
      <c r="AF12" s="127">
        <f>((1+AF14)/(1+AF13))-1</f>
        <v>0.30369422021718573</v>
      </c>
      <c r="AG12" s="127">
        <f t="shared" ref="AG12:AI12" si="53">((1+AG14)/(1+AG13))-1</f>
        <v>0.25800183673483401</v>
      </c>
      <c r="AH12" s="127">
        <f t="shared" si="53"/>
        <v>0.34516809159251238</v>
      </c>
      <c r="AI12" s="127">
        <f t="shared" si="53"/>
        <v>0.33892697415629169</v>
      </c>
      <c r="AJ12" s="461">
        <f t="shared" ref="AJ12" si="54">((1+AJ14)/(1+AJ13))-1</f>
        <v>0.31234783204072225</v>
      </c>
      <c r="AK12" s="127">
        <f>((1+AK14)/(1+AK13))-1</f>
        <v>0.28684312450215899</v>
      </c>
      <c r="AL12" s="127">
        <f t="shared" ref="AL12:AN12" si="55">((1+AL14)/(1+AL13))-1</f>
        <v>0.23583672649178777</v>
      </c>
      <c r="AM12" s="127">
        <f t="shared" si="55"/>
        <v>0.20912905639515933</v>
      </c>
      <c r="AN12" s="127">
        <f t="shared" si="55"/>
        <v>0.21289170295954873</v>
      </c>
      <c r="AO12" s="461">
        <f t="shared" ref="AO12" si="56">((1+AO14)/(1+AO13))-1</f>
        <v>0.2339053401942115</v>
      </c>
      <c r="AP12" s="127">
        <v>0.17100000000000001</v>
      </c>
      <c r="AQ12" s="127">
        <v>0.13</v>
      </c>
      <c r="AR12" s="127">
        <v>0.08</v>
      </c>
      <c r="AS12" s="127">
        <f t="shared" ref="AS12" si="57">((1+AS14)/(1+AS13))-1</f>
        <v>8.9315884645903232E-2</v>
      </c>
      <c r="AT12" s="127">
        <v>0.11</v>
      </c>
      <c r="AU12" s="127">
        <v>0.09</v>
      </c>
      <c r="AV12" s="127">
        <f t="shared" ref="AV12:AY12" si="58">((1+AV14)/(1+AV13))-1</f>
        <v>8.0000000000000071E-2</v>
      </c>
      <c r="AW12" s="127">
        <f t="shared" si="58"/>
        <v>8.0000000000000071E-2</v>
      </c>
      <c r="AX12" s="127">
        <f t="shared" si="58"/>
        <v>8.0000000000000071E-2</v>
      </c>
      <c r="AY12" s="127">
        <f t="shared" si="58"/>
        <v>6.0000000000000053E-2</v>
      </c>
    </row>
    <row r="13" spans="2:56" x14ac:dyDescent="0.35">
      <c r="B13" s="124" t="s">
        <v>482</v>
      </c>
      <c r="O13" s="128">
        <f>FX!M9</f>
        <v>-6.5231158961367997E-2</v>
      </c>
      <c r="P13" s="128">
        <f>FX!N9</f>
        <v>-5.464480874316946E-2</v>
      </c>
      <c r="Q13" s="128">
        <f>((O13*H11)+(P13*I11))/J11</f>
        <v>-5.9028276730365974E-2</v>
      </c>
      <c r="R13" s="128">
        <f>FX!O9</f>
        <v>-1.6527407951519857E-3</v>
      </c>
      <c r="S13" s="128">
        <f>FX!P9</f>
        <v>2.0650871208629074E-2</v>
      </c>
      <c r="T13" s="128">
        <f>((R13*K11)+(S13*L11))/M11</f>
        <v>9.9549544468901744E-3</v>
      </c>
      <c r="U13" s="346">
        <f>((O13*H11)+(P13*I11)+(R13*K11)+(S13*L11))/N11</f>
        <v>-1.6564613521873047E-2</v>
      </c>
      <c r="V13" s="128">
        <f>FX!R9</f>
        <v>2.1156688839615523E-2</v>
      </c>
      <c r="W13" s="128">
        <f>FX!S9</f>
        <v>5.9436510999614223E-2</v>
      </c>
      <c r="X13" s="128">
        <f>FX!T9</f>
        <v>5.2880897138437799E-2</v>
      </c>
      <c r="Y13" s="128">
        <f>FX!U9</f>
        <v>4.3984600577478439E-2</v>
      </c>
      <c r="Z13" s="129">
        <f>((V13*O11)+(W13*P11)+(X13*R11)+(Y13*S11))/U11</f>
        <v>4.5670485285795384E-2</v>
      </c>
      <c r="AA13" s="128">
        <f>FX!W9</f>
        <v>-1.8474043968219611E-4</v>
      </c>
      <c r="AB13" s="128">
        <f>FX!X9</f>
        <v>-6.8823000898472597E-2</v>
      </c>
      <c r="AC13" s="128">
        <f>(((1+0.605)-(1+AC12)))</f>
        <v>-0.14500000000000002</v>
      </c>
      <c r="AD13" s="128">
        <v>-3.8045674042048234E-2</v>
      </c>
      <c r="AE13" s="129">
        <v>-2.2729200722704838E-2</v>
      </c>
      <c r="AF13" s="128">
        <v>-6.4322646565253008E-2</v>
      </c>
      <c r="AG13" s="128">
        <v>-8.1028025125855219E-3</v>
      </c>
      <c r="AH13" s="128">
        <v>-3.0000000000000001E-3</v>
      </c>
      <c r="AI13" s="128">
        <v>-4.3185713277278548E-2</v>
      </c>
      <c r="AJ13" s="129">
        <v>-2.952904238618511E-2</v>
      </c>
      <c r="AK13" s="128">
        <v>3.1205727204220268E-2</v>
      </c>
      <c r="AL13" s="128">
        <v>-5.4891333974479206E-2</v>
      </c>
      <c r="AM13" s="128">
        <v>-8.7849468240034631E-2</v>
      </c>
      <c r="AN13" s="128">
        <v>-7.0095642574253755E-2</v>
      </c>
      <c r="AO13" s="129">
        <v>-4.7329704380130469E-2</v>
      </c>
      <c r="AP13" s="128">
        <v>-0.11982528886553016</v>
      </c>
      <c r="AQ13" s="128">
        <v>-7.5485851428725673E-2</v>
      </c>
      <c r="AR13" s="128">
        <f>FX!AN9-(FX!$AM$9-MODEL!$AQ$13)</f>
        <v>-4.4434868988928802E-2</v>
      </c>
      <c r="AS13" s="128">
        <f>FX!AO9-(FX!$AM$9-MODEL!$AQ$13)</f>
        <v>1.8160639338909851E-3</v>
      </c>
      <c r="AT13" s="128">
        <f>AVERAGE(AP13:AS13)</f>
        <v>-5.9482486337323406E-2</v>
      </c>
      <c r="AU13" s="128">
        <f>FX!AQ9-(FX!$AM$9-MODEL!$AQ$13)</f>
        <v>3.9883578762943545E-3</v>
      </c>
      <c r="AV13" s="128">
        <f>FX!AR9</f>
        <v>0</v>
      </c>
      <c r="AW13" s="128">
        <f>FX!AS9</f>
        <v>0</v>
      </c>
      <c r="AX13" s="128">
        <f>FX!AT9</f>
        <v>0</v>
      </c>
      <c r="AY13" s="128">
        <f>FX!AU9</f>
        <v>0</v>
      </c>
      <c r="BC13" s="537"/>
    </row>
    <row r="14" spans="2:56" x14ac:dyDescent="0.35">
      <c r="B14" s="124" t="s">
        <v>158</v>
      </c>
      <c r="H14" s="128">
        <f>H11/C11-1</f>
        <v>0.58341085230793244</v>
      </c>
      <c r="I14" s="128">
        <f t="shared" ref="I14" si="59">I11/D11-1</f>
        <v>0.75146004124520949</v>
      </c>
      <c r="J14" s="128"/>
      <c r="K14" s="128">
        <f t="shared" ref="K14" si="60">K11/E11-1</f>
        <v>1.3468591136061461</v>
      </c>
      <c r="L14" s="128">
        <f t="shared" ref="L14" si="61">L11/F11-1</f>
        <v>0.75872240052763074</v>
      </c>
      <c r="M14" s="128"/>
      <c r="N14" s="129">
        <f t="shared" ref="N14" si="62">N11/G11-1</f>
        <v>0.86191068440690399</v>
      </c>
      <c r="O14" s="128">
        <v>1.2400632871132953</v>
      </c>
      <c r="P14" s="128">
        <v>0.91369679570249984</v>
      </c>
      <c r="Q14" s="128">
        <f>Q11/J11-1</f>
        <v>1.0488346890940821</v>
      </c>
      <c r="R14" s="128">
        <v>0.8265307874078649</v>
      </c>
      <c r="S14" s="128">
        <v>1.0010686441585024</v>
      </c>
      <c r="T14" s="128">
        <f>T11/M11-1</f>
        <v>0.91736729626648161</v>
      </c>
      <c r="U14" s="346">
        <f t="shared" ref="U14" si="63">U11/N11-1</f>
        <v>0.9679079624583713</v>
      </c>
      <c r="V14" s="128">
        <v>0.86522911051212836</v>
      </c>
      <c r="W14" s="128">
        <v>1.0253400222965454</v>
      </c>
      <c r="X14" s="128">
        <v>0.57094474153297625</v>
      </c>
      <c r="Y14" s="128">
        <v>0.81534482758620641</v>
      </c>
      <c r="Z14" s="129">
        <f t="shared" ref="Z14" si="64">Z11/U11-1</f>
        <v>0.80341880341880323</v>
      </c>
      <c r="AA14" s="128">
        <v>0.95231213872832332</v>
      </c>
      <c r="AB14" s="128">
        <v>0.63260363400175046</v>
      </c>
      <c r="AC14" s="128">
        <v>0.6730965618971978</v>
      </c>
      <c r="AD14" s="128">
        <f>AD11/Y11-1</f>
        <v>0.24129216614980642</v>
      </c>
      <c r="AE14" s="129">
        <v>0.57386594448205852</v>
      </c>
      <c r="AF14" s="128">
        <v>0.21983715766099254</v>
      </c>
      <c r="AG14" s="128">
        <v>0.24780849629130181</v>
      </c>
      <c r="AH14" s="128">
        <v>0.34113258731773499</v>
      </c>
      <c r="AI14" s="128">
        <f>AI11/AD11-1</f>
        <v>0.28110445775116388</v>
      </c>
      <c r="AJ14" s="129">
        <v>0.27359545728297346</v>
      </c>
      <c r="AK14" s="128">
        <v>0.32700000000000001</v>
      </c>
      <c r="AL14" s="128">
        <v>0.16800000000000001</v>
      </c>
      <c r="AM14" s="128">
        <v>0.10290771175726986</v>
      </c>
      <c r="AN14" s="128">
        <f>AN11/AI11-1</f>
        <v>0.1278732796676183</v>
      </c>
      <c r="AO14" s="564">
        <v>0.17550496520975517</v>
      </c>
      <c r="AP14" s="128">
        <f>((1+AP13)*(1+AP12))-1</f>
        <v>3.0684586738464192E-2</v>
      </c>
      <c r="AQ14" s="128">
        <f>((1+AQ13)*(1+AQ12))-1</f>
        <v>4.470098788554E-2</v>
      </c>
      <c r="AR14" s="128">
        <f>AR13+AR12</f>
        <v>3.5565131011071199E-2</v>
      </c>
      <c r="AS14" s="128">
        <f>AS11/AN11-1</f>
        <v>9.1294151936623047E-2</v>
      </c>
      <c r="AT14" s="128">
        <f>AT13+AT12</f>
        <v>5.0517513662676594E-2</v>
      </c>
      <c r="AU14" s="130">
        <f>AU13+AU12</f>
        <v>9.3988357876294351E-2</v>
      </c>
      <c r="AV14" s="130">
        <v>0.08</v>
      </c>
      <c r="AW14" s="130">
        <v>0.08</v>
      </c>
      <c r="AX14" s="130">
        <v>0.08</v>
      </c>
      <c r="AY14" s="130">
        <v>0.06</v>
      </c>
    </row>
    <row r="15" spans="2:56" x14ac:dyDescent="0.35">
      <c r="B15" s="124" t="s">
        <v>212</v>
      </c>
      <c r="C15" s="128">
        <f>C11/C$31</f>
        <v>0.42201532143180026</v>
      </c>
      <c r="D15" s="128">
        <f t="shared" ref="D15:AX15" si="65">D11/D$31</f>
        <v>0.38408250653112785</v>
      </c>
      <c r="E15" s="128">
        <f t="shared" si="65"/>
        <v>0.40224755700731202</v>
      </c>
      <c r="F15" s="128">
        <f t="shared" si="65"/>
        <v>0.45778381658689887</v>
      </c>
      <c r="G15" s="513">
        <f t="shared" si="65"/>
        <v>0.4183925774000285</v>
      </c>
      <c r="H15" s="128">
        <f t="shared" si="65"/>
        <v>0.46463932935867719</v>
      </c>
      <c r="I15" s="128">
        <f t="shared" si="65"/>
        <v>0.47047716793417454</v>
      </c>
      <c r="J15" s="128">
        <f t="shared" si="65"/>
        <v>0.46804220300232224</v>
      </c>
      <c r="K15" s="128">
        <f t="shared" si="65"/>
        <v>0.4722415560998855</v>
      </c>
      <c r="L15" s="128">
        <f t="shared" si="65"/>
        <v>0.53631751817755269</v>
      </c>
      <c r="M15" s="128">
        <f t="shared" si="65"/>
        <v>0.50355192689138573</v>
      </c>
      <c r="N15" s="129">
        <f>N11/N$31</f>
        <v>0.48928127579608033</v>
      </c>
      <c r="O15" s="128">
        <f t="shared" si="65"/>
        <v>0.52849002849002857</v>
      </c>
      <c r="P15" s="128">
        <f t="shared" si="65"/>
        <v>0.5122786978869216</v>
      </c>
      <c r="Q15" s="128">
        <f t="shared" si="65"/>
        <v>0.51949286846275755</v>
      </c>
      <c r="R15" s="128">
        <f t="shared" si="65"/>
        <v>0.51467889908256881</v>
      </c>
      <c r="S15" s="128">
        <f t="shared" si="65"/>
        <v>0.69806384092098372</v>
      </c>
      <c r="T15" s="128">
        <f t="shared" ref="T15" si="66">T11/T$31</f>
        <v>0.60034221461745285</v>
      </c>
      <c r="U15" s="346">
        <f t="shared" si="65"/>
        <v>0.56513938724813684</v>
      </c>
      <c r="V15" s="128">
        <f t="shared" si="65"/>
        <v>0.58718710224862103</v>
      </c>
      <c r="W15" s="128">
        <f t="shared" si="65"/>
        <v>0.62288882336403084</v>
      </c>
      <c r="X15" s="128">
        <f t="shared" si="65"/>
        <v>0.53735675110437686</v>
      </c>
      <c r="Y15" s="128">
        <f t="shared" si="65"/>
        <v>0.66035039880019109</v>
      </c>
      <c r="Z15" s="129">
        <f t="shared" si="65"/>
        <v>0.60428770149742239</v>
      </c>
      <c r="AA15" s="128">
        <f t="shared" si="65"/>
        <v>0.64302712993812461</v>
      </c>
      <c r="AB15" s="128">
        <f t="shared" si="65"/>
        <v>0.66756695926176002</v>
      </c>
      <c r="AC15" s="128">
        <f t="shared" si="65"/>
        <v>0.61373569198751299</v>
      </c>
      <c r="AD15" s="128">
        <f t="shared" si="65"/>
        <v>0.67233281145157697</v>
      </c>
      <c r="AE15" s="129">
        <f t="shared" si="65"/>
        <v>0.64856871826348972</v>
      </c>
      <c r="AF15" s="128">
        <f t="shared" ref="AF15:AI15" si="67">AF11/AF$31</f>
        <v>0.64856355765446683</v>
      </c>
      <c r="AG15" s="128">
        <f t="shared" si="67"/>
        <v>0.65192883565263349</v>
      </c>
      <c r="AH15" s="128">
        <f t="shared" si="67"/>
        <v>0.6220509594212017</v>
      </c>
      <c r="AI15" s="128">
        <f t="shared" si="67"/>
        <v>0.63484998351467181</v>
      </c>
      <c r="AJ15" s="129">
        <f t="shared" si="65"/>
        <v>0.63852823189406027</v>
      </c>
      <c r="AK15" s="128">
        <f t="shared" si="65"/>
        <v>0.60199065507515748</v>
      </c>
      <c r="AL15" s="128">
        <f t="shared" si="65"/>
        <v>0.57696911454579436</v>
      </c>
      <c r="AM15" s="128">
        <f t="shared" si="65"/>
        <v>0.54909365558912393</v>
      </c>
      <c r="AN15" s="128">
        <f t="shared" si="65"/>
        <v>0.58393289176005292</v>
      </c>
      <c r="AO15" s="129">
        <f t="shared" si="65"/>
        <v>0.57737226277372256</v>
      </c>
      <c r="AP15" s="128">
        <f t="shared" ref="AP15:AS15" si="68">AP11/AP$31</f>
        <v>0.54189205433345367</v>
      </c>
      <c r="AQ15" s="128">
        <f t="shared" si="68"/>
        <v>0.53110666823474062</v>
      </c>
      <c r="AR15" s="128">
        <f t="shared" si="68"/>
        <v>0.49256775208665621</v>
      </c>
      <c r="AS15" s="128">
        <f t="shared" si="68"/>
        <v>0.52499093084680193</v>
      </c>
      <c r="AT15" s="128">
        <f t="shared" si="65"/>
        <v>0.52200026159422186</v>
      </c>
      <c r="AU15" s="128">
        <f t="shared" si="65"/>
        <v>0.48092341744920747</v>
      </c>
      <c r="AV15" s="128">
        <f t="shared" si="65"/>
        <v>0.44607062651899304</v>
      </c>
      <c r="AW15" s="128">
        <f t="shared" si="65"/>
        <v>0.41617386973609788</v>
      </c>
      <c r="AX15" s="128">
        <f t="shared" si="65"/>
        <v>0.39304662315993144</v>
      </c>
      <c r="AY15" s="128">
        <f t="shared" ref="AY15" si="69">AY11/AY$31</f>
        <v>0.37282294740793942</v>
      </c>
    </row>
    <row r="16" spans="2:56" x14ac:dyDescent="0.35">
      <c r="B16" s="124" t="s">
        <v>213</v>
      </c>
      <c r="C16" s="128"/>
      <c r="D16" s="128"/>
      <c r="E16" s="128"/>
      <c r="F16" s="128"/>
      <c r="G16" s="513"/>
      <c r="H16" s="128"/>
      <c r="I16" s="128"/>
      <c r="J16" s="128"/>
      <c r="K16" s="128"/>
      <c r="L16" s="128"/>
      <c r="M16" s="128"/>
      <c r="N16" s="129">
        <f>(N11-N99)/N11</f>
        <v>0.44595821980018163</v>
      </c>
      <c r="O16" s="128"/>
      <c r="P16" s="128"/>
      <c r="Q16" s="128"/>
      <c r="R16" s="128"/>
      <c r="S16" s="128"/>
      <c r="T16" s="128"/>
      <c r="U16" s="346">
        <f>(U11-U99)/U11</f>
        <v>0.39467138949938935</v>
      </c>
      <c r="V16" s="128"/>
      <c r="W16" s="128"/>
      <c r="X16" s="128"/>
      <c r="Y16" s="128"/>
      <c r="Z16" s="129">
        <f t="shared" ref="Z16:AY16" si="70">(Z11-Z99)/Z11</f>
        <v>0.29878687960731209</v>
      </c>
      <c r="AA16" s="128"/>
      <c r="AB16" s="128"/>
      <c r="AC16" s="128"/>
      <c r="AD16" s="128"/>
      <c r="AE16" s="129">
        <f t="shared" si="70"/>
        <v>0.30153198588591568</v>
      </c>
      <c r="AF16" s="128"/>
      <c r="AG16" s="128"/>
      <c r="AH16" s="128"/>
      <c r="AI16" s="128"/>
      <c r="AJ16" s="129">
        <f t="shared" si="70"/>
        <v>0.31457001959062308</v>
      </c>
      <c r="AK16" s="128"/>
      <c r="AL16" s="128"/>
      <c r="AM16" s="128"/>
      <c r="AN16" s="128"/>
      <c r="AO16" s="129">
        <f t="shared" si="70"/>
        <v>0.23820069244914263</v>
      </c>
      <c r="AP16" s="128"/>
      <c r="AQ16" s="128"/>
      <c r="AR16" s="128"/>
      <c r="AS16" s="128"/>
      <c r="AT16" s="128">
        <f t="shared" si="70"/>
        <v>0.22257123741533416</v>
      </c>
      <c r="AU16" s="128">
        <f t="shared" si="70"/>
        <v>0.18812304551839357</v>
      </c>
      <c r="AV16" s="128">
        <f t="shared" si="70"/>
        <v>0.15684509392992757</v>
      </c>
      <c r="AW16" s="128">
        <f t="shared" si="70"/>
        <v>0.12296711821066414</v>
      </c>
      <c r="AX16" s="128">
        <f t="shared" si="70"/>
        <v>7.4206711499290645E-2</v>
      </c>
      <c r="AY16" s="128">
        <f t="shared" si="70"/>
        <v>3.7982342996460389E-2</v>
      </c>
    </row>
    <row r="17" spans="2:54" x14ac:dyDescent="0.35">
      <c r="B17" s="124" t="s">
        <v>192</v>
      </c>
      <c r="C17" s="128"/>
      <c r="D17" s="128"/>
      <c r="E17" s="128"/>
      <c r="F17" s="128"/>
      <c r="G17" s="513"/>
      <c r="H17" s="128"/>
      <c r="I17" s="128"/>
      <c r="J17" s="128"/>
      <c r="K17" s="128"/>
      <c r="L17" s="128"/>
      <c r="M17" s="128"/>
      <c r="N17" s="129"/>
      <c r="O17" s="128">
        <f t="shared" ref="O17" si="71">(1*(1+H14)*(1+O14))-1</f>
        <v>2.5469405186717711</v>
      </c>
      <c r="P17" s="128">
        <f t="shared" ref="P17" si="72">(1*(1+I14)*(1+P14))-1</f>
        <v>2.3517634687319253</v>
      </c>
      <c r="Q17" s="128"/>
      <c r="R17" s="128">
        <f t="shared" ref="R17" si="73">(1*(1+K14)*(1+R14))-1</f>
        <v>3.286610424710358</v>
      </c>
      <c r="S17" s="128">
        <f t="shared" ref="S17" si="74">(1*(1+L14)*(1+S14))-1</f>
        <v>2.5193242494750132</v>
      </c>
      <c r="T17" s="128"/>
      <c r="U17" s="346">
        <f t="shared" ref="U17" si="75">(1*(1+N14)*(1+U14))-1</f>
        <v>2.6640688612306622</v>
      </c>
      <c r="V17" s="128">
        <f>(1*(1+O14)*(1+V14))-1</f>
        <v>3.1782312525132062</v>
      </c>
      <c r="W17" s="128">
        <f t="shared" ref="W17" si="76">(1*(1+P14)*(1+W14))-1</f>
        <v>2.8758867108769284</v>
      </c>
      <c r="X17" s="128">
        <f t="shared" ref="X17" si="77">(1*(1+R14)*(1+X14))-1</f>
        <v>1.8693789357264721</v>
      </c>
      <c r="Y17" s="128">
        <f t="shared" ref="Y17" si="78">(1*(1+S14)*(1+Y14))-1</f>
        <v>2.6326296128180804</v>
      </c>
      <c r="Z17" s="129">
        <f t="shared" ref="Z17" si="79">(1*(1+U14)*(1+Z14))-1</f>
        <v>2.5489622228950113</v>
      </c>
      <c r="AA17" s="128">
        <f>(1*(1+T14)*(1+AA14))-1</f>
        <v>2.7432994469017573</v>
      </c>
      <c r="AB17" s="128">
        <f>(1*(1+U14)*(1+AB14))-1</f>
        <v>2.2128136908905174</v>
      </c>
      <c r="AC17" s="128">
        <f>(1*(1+W14)*(1+AC14))-1</f>
        <v>2.388589427977144</v>
      </c>
      <c r="AD17" s="128">
        <f>(1*(1+X14)*(1+AD14))-1</f>
        <v>0.9500014011191158</v>
      </c>
      <c r="AE17" s="129">
        <f>(1*(1+Z14)*(1+AE14))-1</f>
        <v>1.8383394383394385</v>
      </c>
      <c r="AF17" s="128">
        <f>(1*(1+Y14)*(1+AF14))-1</f>
        <v>1.2144250746573424</v>
      </c>
      <c r="AG17" s="128">
        <f>(1*(1+Z14)*(1+AG14))-1</f>
        <v>1.2503213052774758</v>
      </c>
      <c r="AH17" s="128">
        <f>(1*(1+AB14)*(1+AH14))-1</f>
        <v>1.189537935733104</v>
      </c>
      <c r="AI17" s="128">
        <f>(1*(1+AC14)*(1+AI14))-1</f>
        <v>1.1434114636946462</v>
      </c>
      <c r="AJ17" s="129">
        <f>(1*(1+AE14)*(1+AJ14))-1</f>
        <v>1.0044685172647263</v>
      </c>
      <c r="AK17" s="128">
        <f>(1*(1+AD14)*(1+AK14))-1</f>
        <v>0.64719470448079308</v>
      </c>
      <c r="AL17" s="128">
        <f>(1*(1+AE14)*(1+AL14))-1</f>
        <v>0.83827542315504422</v>
      </c>
      <c r="AM17" s="128">
        <f>(1*(1+AG14)*(1+AM14))-1</f>
        <v>0.37621761335591941</v>
      </c>
      <c r="AN17" s="128">
        <f>(1*(1+AH14)*(1+AN14))-1</f>
        <v>0.51262760972717203</v>
      </c>
      <c r="AO17" s="129">
        <f>(1*(1+AJ14)*(1+AO14))-1</f>
        <v>0.49711778370472404</v>
      </c>
      <c r="AP17" s="128">
        <f>(1*(1+AI14)*(1+AP14))-1</f>
        <v>0.32041461860606257</v>
      </c>
      <c r="AQ17" s="128">
        <f>(1*(1+AJ14)*(1+AQ14))-1</f>
        <v>0.33052643239005852</v>
      </c>
      <c r="AR17" s="128">
        <f>(1*(1+AL14)*(1+AR14))-1</f>
        <v>0.20954007302093114</v>
      </c>
      <c r="AS17" s="128">
        <f>(1*(1+AM14)*(1+AS14))-1</f>
        <v>0.2035967359665114</v>
      </c>
      <c r="AT17" s="128">
        <f>(1*(1+AO14)*(1+AT14))-1</f>
        <v>0.23488855335028314</v>
      </c>
      <c r="AU17" s="128">
        <f t="shared" ref="AU17:AX17" si="80">(1*(1+AT14)*(1+AU14))-1</f>
        <v>0.14925392969211915</v>
      </c>
      <c r="AV17" s="128">
        <f t="shared" si="80"/>
        <v>0.18150742650639806</v>
      </c>
      <c r="AW17" s="128">
        <f t="shared" si="80"/>
        <v>0.1664000000000001</v>
      </c>
      <c r="AX17" s="128">
        <f t="shared" si="80"/>
        <v>0.1664000000000001</v>
      </c>
      <c r="AY17" s="128">
        <f t="shared" ref="AY17" si="81">(1*(1+AX14)*(1+AY14))-1</f>
        <v>0.14480000000000004</v>
      </c>
    </row>
    <row r="18" spans="2:54" s="110" customFormat="1" x14ac:dyDescent="0.35">
      <c r="B18" s="133" t="s">
        <v>3</v>
      </c>
      <c r="C18" s="135">
        <v>2.85213845</v>
      </c>
      <c r="D18" s="135">
        <v>4.16498203</v>
      </c>
      <c r="E18" s="135">
        <v>4.3005595300000001</v>
      </c>
      <c r="F18" s="135">
        <v>6.5493199899999981</v>
      </c>
      <c r="G18" s="511">
        <v>17.867000000000001</v>
      </c>
      <c r="H18" s="135">
        <v>3.35034645</v>
      </c>
      <c r="I18" s="135">
        <v>4.1559842200000006</v>
      </c>
      <c r="J18" s="135">
        <f>I18+H18</f>
        <v>7.5063306700000005</v>
      </c>
      <c r="K18" s="135">
        <v>7.6383264400000002</v>
      </c>
      <c r="L18" s="135">
        <v>7.8543428900000007</v>
      </c>
      <c r="M18" s="135">
        <f>L18+K18</f>
        <v>15.492669330000002</v>
      </c>
      <c r="N18" s="169">
        <v>22.998999999999999</v>
      </c>
      <c r="O18" s="135">
        <f t="shared" ref="O18" si="82">H18*(1+O21)</f>
        <v>7.3000000000000007</v>
      </c>
      <c r="P18" s="135">
        <f t="shared" ref="P18" si="83">I18*(1+P21)</f>
        <v>11.700000000000001</v>
      </c>
      <c r="Q18" s="135">
        <f>P18+O18</f>
        <v>19</v>
      </c>
      <c r="R18" s="135">
        <f>K18*(1+R21)</f>
        <v>13.1</v>
      </c>
      <c r="S18" s="135">
        <f>L18*(1+S21)</f>
        <v>10.599999999999998</v>
      </c>
      <c r="T18" s="135">
        <f>S18+R18</f>
        <v>23.699999999999996</v>
      </c>
      <c r="U18" s="344">
        <f>T18+Q18</f>
        <v>42.699999999999996</v>
      </c>
      <c r="V18" s="135">
        <f t="shared" ref="V18" si="84">O18*(1+V21)</f>
        <v>16.399999999999999</v>
      </c>
      <c r="W18" s="135">
        <f t="shared" ref="W18" si="85">P18*(1+W21)</f>
        <v>17.916</v>
      </c>
      <c r="X18" s="135">
        <f>R18*(1+X21)</f>
        <v>24.245999999999999</v>
      </c>
      <c r="Y18" s="135">
        <f>S18*(1+Y21)</f>
        <v>21.637999999999987</v>
      </c>
      <c r="Z18" s="169">
        <f>SUM(V18:Y18)</f>
        <v>80.199999999999989</v>
      </c>
      <c r="AA18" s="135">
        <f>V18*(1+AA21)</f>
        <v>31.099999999999991</v>
      </c>
      <c r="AB18" s="135">
        <f t="shared" ref="AB18" si="86">W18*(1+AB21)</f>
        <v>34.1</v>
      </c>
      <c r="AC18" s="135">
        <f t="shared" ref="AC18" si="87">X18*(1+AC21)</f>
        <v>41.600000000000037</v>
      </c>
      <c r="AD18" s="135">
        <f>AE18-SUM(AA18:AC18)</f>
        <v>34.300000000000026</v>
      </c>
      <c r="AE18" s="169">
        <f>Z18*(1+AE21)</f>
        <v>141.10000000000005</v>
      </c>
      <c r="AF18" s="135">
        <f>AA18*(1+AF21)</f>
        <v>52.4</v>
      </c>
      <c r="AG18" s="135">
        <f t="shared" ref="AG18" si="88">AB18*(1+AG21)</f>
        <v>59.199999999999996</v>
      </c>
      <c r="AH18" s="135">
        <f t="shared" ref="AH18" si="89">AC18*(1+AH21)</f>
        <v>74.500000000000057</v>
      </c>
      <c r="AI18" s="135">
        <v>74.099999999999994</v>
      </c>
      <c r="AJ18" s="169">
        <f>AE18*(1+AJ21)</f>
        <v>260.19999999999993</v>
      </c>
      <c r="AK18" s="135">
        <f>AF18*(1+AK21)</f>
        <v>120.5724</v>
      </c>
      <c r="AL18" s="135">
        <f t="shared" ref="AL18" si="90">AG18*(1+AL21)</f>
        <v>119.16959999999999</v>
      </c>
      <c r="AM18" s="135">
        <f t="shared" ref="AM18" si="91">AH18*(1+AM21)</f>
        <v>144.9</v>
      </c>
      <c r="AN18" s="135">
        <f>AO18-SUM(AK18:AM18)</f>
        <v>126.4580000000002</v>
      </c>
      <c r="AO18" s="169">
        <f>AJ18*(1+AO21)</f>
        <v>511.10000000000019</v>
      </c>
      <c r="AP18" s="135">
        <f>AK18*(1+AP21)</f>
        <v>174.00000000000003</v>
      </c>
      <c r="AQ18" s="135">
        <f t="shared" ref="AQ18" si="92">AL18*(1+AQ21)</f>
        <v>170.50000000000003</v>
      </c>
      <c r="AR18" s="135">
        <f t="shared" ref="AR18" si="93">AM18*(1+AR21)</f>
        <v>224.59500000000003</v>
      </c>
      <c r="AS18" s="135">
        <f>AT18-SUM(AP18:AR18)</f>
        <v>207.64518043134876</v>
      </c>
      <c r="AT18" s="135">
        <f>AO18*(1+AT21)</f>
        <v>776.74018043134879</v>
      </c>
      <c r="AU18" s="135">
        <f t="shared" ref="AU18:AX18" si="94">AT18*(1+AU21)</f>
        <v>1104.4605834721206</v>
      </c>
      <c r="AV18" s="135">
        <f t="shared" si="94"/>
        <v>1491.0217876873628</v>
      </c>
      <c r="AW18" s="135">
        <f t="shared" si="94"/>
        <v>1938.3283239935718</v>
      </c>
      <c r="AX18" s="135">
        <f t="shared" si="94"/>
        <v>2422.9104049919647</v>
      </c>
      <c r="AY18" s="135">
        <f t="shared" ref="AY18" si="95">AX18*(1+AY21)</f>
        <v>2907.4924859903576</v>
      </c>
      <c r="AZ18" s="195"/>
      <c r="BA18" s="195"/>
    </row>
    <row r="19" spans="2:54" x14ac:dyDescent="0.35">
      <c r="B19" s="124" t="s">
        <v>156</v>
      </c>
      <c r="O19" s="127">
        <f>((1+O21)/(1+O20))-1</f>
        <v>1.1589669265597946</v>
      </c>
      <c r="P19" s="127">
        <f t="shared" ref="P19:Q19" si="96">((1+P21)/(1+P20))-1</f>
        <v>1.7111769677634081</v>
      </c>
      <c r="Q19" s="127">
        <f t="shared" si="96"/>
        <v>1.4685853877036554</v>
      </c>
      <c r="R19" s="127">
        <f t="shared" ref="R19" si="97">((1+R21)/(1+R20))-1</f>
        <v>0.60670534180744196</v>
      </c>
      <c r="S19" s="127">
        <f t="shared" ref="S19:T19" si="98">((1+S21)/(1+S20))-1</f>
        <v>0.27957490988705436</v>
      </c>
      <c r="T19" s="127">
        <f t="shared" si="98"/>
        <v>0.4418398457111683</v>
      </c>
      <c r="U19" s="345">
        <f t="shared" ref="U19" si="99">((1+U21)/(1+U20))-1</f>
        <v>0.76928465355748177</v>
      </c>
      <c r="V19" s="127">
        <f>((1+V21)/(1+V20))-1</f>
        <v>1.1594561896521354</v>
      </c>
      <c r="W19" s="127">
        <f t="shared" ref="W19" si="100">((1+W21)/(1+W20))-1</f>
        <v>0.4835807142443711</v>
      </c>
      <c r="X19" s="127">
        <f t="shared" ref="X19" si="101">((1+X21)/(1+X20))-1</f>
        <v>0.86471114048727116</v>
      </c>
      <c r="Y19" s="127">
        <f t="shared" ref="Y19" si="102">((1+Y21)/(1+Y20))-1</f>
        <v>1.1750620533707949</v>
      </c>
      <c r="Z19" s="461">
        <f t="shared" ref="Z19" si="103">((1+Z21)/(1+Z20))-1</f>
        <v>0.88168098456581934</v>
      </c>
      <c r="AA19" s="127">
        <f>((1+AA21)/(1+AA20))-1</f>
        <v>1.0511420350083416</v>
      </c>
      <c r="AB19" s="127">
        <f t="shared" ref="AB19:AD19" si="104">((1+AB21)/(1+AB20))-1</f>
        <v>1.166020744368407</v>
      </c>
      <c r="AC19" s="127">
        <v>0.96</v>
      </c>
      <c r="AD19" s="127">
        <f t="shared" si="104"/>
        <v>0.75997911162868381</v>
      </c>
      <c r="AE19" s="461">
        <f t="shared" ref="AE19" si="105">((1+AE21)/(1+AE20))-1</f>
        <v>0.95998543313468643</v>
      </c>
      <c r="AF19" s="127">
        <f>((1+AF21)/(1+AF20))-1</f>
        <v>0.90698766806209874</v>
      </c>
      <c r="AG19" s="127">
        <f t="shared" ref="AG19" si="106">((1+AG21)/(1+AG20))-1</f>
        <v>0.84702111908865407</v>
      </c>
      <c r="AH19" s="127">
        <v>0.85699999999999998</v>
      </c>
      <c r="AI19" s="127">
        <f t="shared" ref="AI19" si="107">((1+AI21)/(1+AI20))-1</f>
        <v>1.2459238184897434</v>
      </c>
      <c r="AJ19" s="461">
        <f t="shared" ref="AJ19" si="108">((1+AJ21)/(1+AJ20))-1</f>
        <v>0.95473812966068139</v>
      </c>
      <c r="AK19" s="127">
        <f>((1+AK21)/(1+AK20))-1</f>
        <v>1.2889435048765301</v>
      </c>
      <c r="AL19" s="127">
        <f>((1+AL21)/(1+AL20))-1</f>
        <v>1.1088607268489592</v>
      </c>
      <c r="AM19" s="127">
        <f t="shared" ref="AM19" si="109">((1+AM21)/(1+AM20))-1</f>
        <v>1.0915191927919508</v>
      </c>
      <c r="AN19" s="127">
        <f t="shared" ref="AN19:AO19" si="110">((1+AN21)/(1+AN20))-1</f>
        <v>0.85055920083143599</v>
      </c>
      <c r="AO19" s="461">
        <f t="shared" si="110"/>
        <v>1.0668112707513679</v>
      </c>
      <c r="AP19" s="127">
        <v>0.61399999999999999</v>
      </c>
      <c r="AQ19" s="127">
        <v>0.54700000000000004</v>
      </c>
      <c r="AR19" s="127">
        <v>0.5</v>
      </c>
      <c r="AS19" s="127">
        <f t="shared" ref="AS19" si="111">((1+AS21)/(1+AS20))-1</f>
        <v>0.56381814275508324</v>
      </c>
      <c r="AT19" s="127">
        <v>0.54</v>
      </c>
      <c r="AU19" s="127">
        <v>0.4</v>
      </c>
      <c r="AV19" s="127">
        <v>0.35</v>
      </c>
      <c r="AW19" s="127">
        <v>0.3</v>
      </c>
      <c r="AX19" s="127">
        <v>0.25</v>
      </c>
      <c r="AY19" s="127">
        <v>0.2</v>
      </c>
    </row>
    <row r="20" spans="2:54" x14ac:dyDescent="0.35">
      <c r="B20" s="124" t="s">
        <v>482</v>
      </c>
      <c r="O20" s="128">
        <f>FX!M10</f>
        <v>9.2230296254891542E-3</v>
      </c>
      <c r="P20" s="128">
        <f>FX!N10</f>
        <v>3.8374717832957206E-2</v>
      </c>
      <c r="Q20" s="128">
        <f>((O20*H18)+(P20*I18))/J18</f>
        <v>2.5363266647128027E-2</v>
      </c>
      <c r="R20" s="128">
        <f>FX!O10</f>
        <v>6.7423704755145364E-2</v>
      </c>
      <c r="S20" s="128">
        <f>FX!P10</f>
        <v>5.4703270084780042E-2</v>
      </c>
      <c r="T20" s="128">
        <f>((R20*K18)+(S20*L18))/M18</f>
        <v>6.0974806022282946E-2</v>
      </c>
      <c r="U20" s="346">
        <f>((O20*H18)+(P20*I18)+(R20*K18)+(S20*L18))/N18</f>
        <v>4.9352040240395134E-2</v>
      </c>
      <c r="V20" s="128">
        <f>FX!R10</f>
        <v>4.0343098059169913E-2</v>
      </c>
      <c r="W20" s="128">
        <f>FX!S10</f>
        <v>3.2152842497670031E-2</v>
      </c>
      <c r="X20" s="128">
        <f>FX!T10</f>
        <v>-7.4389247372426137E-3</v>
      </c>
      <c r="Y20" s="128">
        <f>FX!U10</f>
        <v>-6.1488497970230038E-2</v>
      </c>
      <c r="Z20" s="129">
        <f>((V20*O18)+(W20*P18)+(X20*R18)+(Y20*S18))/U18</f>
        <v>-1.8392299645816584E-3</v>
      </c>
      <c r="AA20" s="128">
        <f>FX!W10</f>
        <v>-7.5470430107526965E-2</v>
      </c>
      <c r="AB20" s="128">
        <f>FX!X10</f>
        <v>-0.1212795905310301</v>
      </c>
      <c r="AC20" s="128">
        <f>(((1+0.715)-(1+AC19)))</f>
        <v>-0.24500000000000011</v>
      </c>
      <c r="AD20" s="128">
        <v>-9.9322133969269977E-2</v>
      </c>
      <c r="AE20" s="129">
        <v>-0.10236495067525715</v>
      </c>
      <c r="AF20" s="128">
        <v>-0.1164665152138739</v>
      </c>
      <c r="AG20" s="128">
        <v>-6.0070097039132561E-2</v>
      </c>
      <c r="AH20" s="128">
        <v>-3.4549929490943578E-2</v>
      </c>
      <c r="AI20" s="128">
        <v>-3.8101899787448525E-2</v>
      </c>
      <c r="AJ20" s="129">
        <v>-5.660907555026759E-2</v>
      </c>
      <c r="AK20" s="128">
        <v>5.2672750977836953E-3</v>
      </c>
      <c r="AL20" s="128">
        <v>-4.5456167696855683E-2</v>
      </c>
      <c r="AM20" s="128">
        <v>-7.0069999999999993E-2</v>
      </c>
      <c r="AN20" s="128">
        <v>-7.7799999999999994E-2</v>
      </c>
      <c r="AO20" s="129">
        <v>-4.9618951342070547E-2</v>
      </c>
      <c r="AP20" s="128">
        <v>-0.10587587665324601</v>
      </c>
      <c r="AQ20" s="128">
        <v>-7.515577718084937E-2</v>
      </c>
      <c r="AR20" s="128">
        <v>0.05</v>
      </c>
      <c r="AS20" s="128">
        <v>0.05</v>
      </c>
      <c r="AT20" s="128">
        <f>AVERAGE(AP20:AS20)</f>
        <v>-2.0257913458523843E-2</v>
      </c>
      <c r="AU20" s="128">
        <f>FX!AQ10/2</f>
        <v>2.1917664744442789E-2</v>
      </c>
      <c r="AV20" s="128">
        <f>FX!AR10</f>
        <v>0</v>
      </c>
      <c r="AW20" s="128">
        <f>FX!AS10</f>
        <v>0</v>
      </c>
      <c r="AX20" s="128">
        <f>FX!AT10</f>
        <v>0</v>
      </c>
      <c r="AY20" s="128">
        <f>FX!AU10</f>
        <v>0</v>
      </c>
    </row>
    <row r="21" spans="2:54" x14ac:dyDescent="0.35">
      <c r="B21" s="124" t="s">
        <v>158</v>
      </c>
      <c r="H21" s="128">
        <f>H18/C18-1</f>
        <v>0.17467875726720061</v>
      </c>
      <c r="I21" s="128">
        <f t="shared" ref="I21" si="112">I18/D18-1</f>
        <v>-2.1603478562906009E-3</v>
      </c>
      <c r="J21" s="128"/>
      <c r="K21" s="128">
        <f t="shared" ref="K21" si="113">K18/E18-1</f>
        <v>0.77612387102568481</v>
      </c>
      <c r="L21" s="128">
        <f t="shared" ref="L21" si="114">L18/F18-1</f>
        <v>0.19926082432872594</v>
      </c>
      <c r="M21" s="128"/>
      <c r="N21" s="129">
        <f t="shared" ref="N21" si="115">N18/G18-1</f>
        <v>0.28723344713718024</v>
      </c>
      <c r="O21" s="128">
        <v>1.1788791424839069</v>
      </c>
      <c r="P21" s="128">
        <v>1.8152176188965412</v>
      </c>
      <c r="Q21" s="128">
        <f>Q18/J18-1</f>
        <v>1.5311967771331871</v>
      </c>
      <c r="R21" s="128">
        <v>0.7150353684019819</v>
      </c>
      <c r="S21" s="128">
        <v>0.34957184177631406</v>
      </c>
      <c r="T21" s="128">
        <f>T18/M18-1</f>
        <v>0.52975575061860525</v>
      </c>
      <c r="U21" s="346">
        <f t="shared" ref="U21" si="116">U18/N18-1</f>
        <v>0.85660246097656412</v>
      </c>
      <c r="V21" s="128">
        <v>1.2465753424657531</v>
      </c>
      <c r="W21" s="128">
        <v>0.53128205128205108</v>
      </c>
      <c r="X21" s="128">
        <v>0.85083969465648857</v>
      </c>
      <c r="Y21" s="128">
        <v>1.04132075471698</v>
      </c>
      <c r="Z21" s="129">
        <f t="shared" ref="Z21" si="117">Z18/U18-1</f>
        <v>0.87822014051522235</v>
      </c>
      <c r="AA21" s="128">
        <v>0.89634146341463383</v>
      </c>
      <c r="AB21" s="128">
        <v>0.9033266354096896</v>
      </c>
      <c r="AC21" s="128">
        <v>0.71574692732822065</v>
      </c>
      <c r="AD21" s="128">
        <f>AD18/Y18-1</f>
        <v>0.58517423052038287</v>
      </c>
      <c r="AE21" s="129">
        <v>0.75935162094763176</v>
      </c>
      <c r="AF21" s="128">
        <v>0.68488745980707433</v>
      </c>
      <c r="AG21" s="128">
        <v>0.73607038123167146</v>
      </c>
      <c r="AH21" s="128">
        <v>0.79086538461538436</v>
      </c>
      <c r="AI21" s="128">
        <f>AI18/AD18-1</f>
        <v>1.1603498542274036</v>
      </c>
      <c r="AJ21" s="129">
        <v>0.84408221119773119</v>
      </c>
      <c r="AK21" s="128">
        <v>1.3009999999999999</v>
      </c>
      <c r="AL21" s="128">
        <v>1.0129999999999999</v>
      </c>
      <c r="AM21" s="128">
        <v>0.94496644295301879</v>
      </c>
      <c r="AN21" s="128">
        <f>AN18/AI18-1</f>
        <v>0.70658569500675039</v>
      </c>
      <c r="AO21" s="564">
        <v>0.96425826287471295</v>
      </c>
      <c r="AP21" s="128">
        <f>((1+AP20)*(1+AP19))-1</f>
        <v>0.44311633508166071</v>
      </c>
      <c r="AQ21" s="128">
        <f>((1+AQ20)*(1+AQ19))-1</f>
        <v>0.43073401270122624</v>
      </c>
      <c r="AR21" s="128">
        <f>AR20+AR19</f>
        <v>0.55000000000000004</v>
      </c>
      <c r="AS21" s="128">
        <f>AS18/AN18-1</f>
        <v>0.64200904989283747</v>
      </c>
      <c r="AT21" s="128">
        <f>AT20+AT19</f>
        <v>0.51974208654147624</v>
      </c>
      <c r="AU21" s="130">
        <f>AU20+AU19</f>
        <v>0.42191766474444281</v>
      </c>
      <c r="AV21" s="130">
        <f t="shared" ref="AV21:AY21" si="118">AV20+AV19</f>
        <v>0.35</v>
      </c>
      <c r="AW21" s="130">
        <f t="shared" si="118"/>
        <v>0.3</v>
      </c>
      <c r="AX21" s="130">
        <f t="shared" si="118"/>
        <v>0.25</v>
      </c>
      <c r="AY21" s="130">
        <f t="shared" si="118"/>
        <v>0.2</v>
      </c>
    </row>
    <row r="22" spans="2:54" x14ac:dyDescent="0.35">
      <c r="B22" s="124" t="s">
        <v>212</v>
      </c>
      <c r="C22" s="128">
        <f>C18/C$31</f>
        <v>5.7537213072768156E-2</v>
      </c>
      <c r="D22" s="128">
        <f t="shared" ref="D22:AX22" si="119">D18/D$31</f>
        <v>5.9774861612094901E-2</v>
      </c>
      <c r="E22" s="128">
        <f t="shared" si="119"/>
        <v>6.6090576128972817E-2</v>
      </c>
      <c r="F22" s="128">
        <f t="shared" si="119"/>
        <v>7.9097015674613275E-2</v>
      </c>
      <c r="G22" s="513">
        <f t="shared" si="119"/>
        <v>6.6887556306818211E-2</v>
      </c>
      <c r="H22" s="128">
        <f t="shared" si="119"/>
        <v>4.6996127077515826E-2</v>
      </c>
      <c r="I22" s="128">
        <f t="shared" si="119"/>
        <v>4.1715084599502975E-2</v>
      </c>
      <c r="J22" s="128">
        <f t="shared" si="119"/>
        <v>4.3917809644274823E-2</v>
      </c>
      <c r="K22" s="128">
        <f t="shared" si="119"/>
        <v>5.872142095750682E-2</v>
      </c>
      <c r="L22" s="128">
        <f t="shared" si="119"/>
        <v>6.3188492887467501E-2</v>
      </c>
      <c r="M22" s="128">
        <f t="shared" si="119"/>
        <v>6.0904231389753455E-2</v>
      </c>
      <c r="N22" s="129">
        <f t="shared" si="119"/>
        <v>5.4077726655585114E-2</v>
      </c>
      <c r="O22" s="128">
        <f t="shared" si="119"/>
        <v>5.1994301994301988E-2</v>
      </c>
      <c r="P22" s="128">
        <f t="shared" si="119"/>
        <v>6.6818960593946361E-2</v>
      </c>
      <c r="Q22" s="128">
        <f t="shared" si="119"/>
        <v>6.0221870047543591E-2</v>
      </c>
      <c r="R22" s="128">
        <f t="shared" si="119"/>
        <v>6.0091743119266045E-2</v>
      </c>
      <c r="S22" s="128">
        <f t="shared" si="119"/>
        <v>5.5468341182626869E-2</v>
      </c>
      <c r="T22" s="128">
        <f t="shared" ref="T22" si="120">T18/T$31</f>
        <v>5.7932045954534321E-2</v>
      </c>
      <c r="U22" s="346">
        <f t="shared" si="119"/>
        <v>5.8929064311344176E-2</v>
      </c>
      <c r="V22" s="128">
        <f t="shared" si="119"/>
        <v>6.9579974543911752E-2</v>
      </c>
      <c r="W22" s="128">
        <f t="shared" si="119"/>
        <v>6.1427268550582517E-2</v>
      </c>
      <c r="X22" s="128">
        <f t="shared" si="119"/>
        <v>7.3917802038333855E-2</v>
      </c>
      <c r="Y22" s="128">
        <f t="shared" si="119"/>
        <v>5.9003340377667177E-2</v>
      </c>
      <c r="Z22" s="129">
        <f t="shared" si="119"/>
        <v>6.5624744292611073E-2</v>
      </c>
      <c r="AA22" s="128">
        <f t="shared" si="119"/>
        <v>7.4012375059495483E-2</v>
      </c>
      <c r="AB22" s="128">
        <f t="shared" si="119"/>
        <v>7.6749943731712816E-2</v>
      </c>
      <c r="AC22" s="128">
        <f t="shared" si="119"/>
        <v>8.657648283038509E-2</v>
      </c>
      <c r="AD22" s="128">
        <f t="shared" si="119"/>
        <v>7.6716618206217876E-2</v>
      </c>
      <c r="AE22" s="129">
        <v>0.05</v>
      </c>
      <c r="AF22" s="128">
        <f t="shared" ref="AF22:AI22" si="121">AF18/AF$31</f>
        <v>0.10310901219992129</v>
      </c>
      <c r="AG22" s="128">
        <f t="shared" si="121"/>
        <v>0.10428042980447418</v>
      </c>
      <c r="AH22" s="128">
        <f t="shared" si="121"/>
        <v>0.11717521233092178</v>
      </c>
      <c r="AI22" s="128">
        <f t="shared" si="121"/>
        <v>0.12215628090999008</v>
      </c>
      <c r="AJ22" s="129">
        <f t="shared" si="119"/>
        <v>0.11223741534745284</v>
      </c>
      <c r="AK22" s="128">
        <f t="shared" si="119"/>
        <v>0.1659508683997408</v>
      </c>
      <c r="AL22" s="128">
        <f t="shared" si="119"/>
        <v>0.15905822054937133</v>
      </c>
      <c r="AM22" s="128">
        <f t="shared" si="119"/>
        <v>0.18240181268882169</v>
      </c>
      <c r="AN22" s="128">
        <f t="shared" si="119"/>
        <v>0.17001037340493461</v>
      </c>
      <c r="AO22" s="129">
        <f t="shared" si="119"/>
        <v>0.16957531519575317</v>
      </c>
      <c r="AP22" s="128">
        <f t="shared" ref="AP22:AS22" si="122">AP18/AP$31</f>
        <v>0.20915975477821855</v>
      </c>
      <c r="AQ22" s="128">
        <f t="shared" si="122"/>
        <v>0.20051746442432081</v>
      </c>
      <c r="AR22" s="128">
        <f t="shared" si="122"/>
        <v>0.2449080042877041</v>
      </c>
      <c r="AS22" s="128">
        <f t="shared" si="122"/>
        <v>0.22998420057922656</v>
      </c>
      <c r="AT22" s="128">
        <f t="shared" si="119"/>
        <v>0.2217910570705808</v>
      </c>
      <c r="AU22" s="128">
        <f t="shared" si="119"/>
        <v>0.26558955053757943</v>
      </c>
      <c r="AV22" s="128">
        <f t="shared" si="119"/>
        <v>0.30792765777959896</v>
      </c>
      <c r="AW22" s="128">
        <f t="shared" si="119"/>
        <v>0.3458115368620221</v>
      </c>
      <c r="AX22" s="128">
        <f t="shared" si="119"/>
        <v>0.37800278203621679</v>
      </c>
      <c r="AY22" s="128">
        <f t="shared" ref="AY22" si="123">AY18/AY$31</f>
        <v>0.40590924512607301</v>
      </c>
    </row>
    <row r="23" spans="2:54" x14ac:dyDescent="0.35">
      <c r="B23" s="124" t="s">
        <v>215</v>
      </c>
      <c r="C23" s="128"/>
      <c r="D23" s="128"/>
      <c r="E23" s="128"/>
      <c r="F23" s="128"/>
      <c r="G23" s="513"/>
      <c r="H23" s="128"/>
      <c r="I23" s="128"/>
      <c r="J23" s="128"/>
      <c r="K23" s="128"/>
      <c r="L23" s="128"/>
      <c r="M23" s="128"/>
      <c r="N23" s="129">
        <f>(N18-N104)/N18</f>
        <v>0.35005869820426971</v>
      </c>
      <c r="O23" s="128"/>
      <c r="P23" s="128"/>
      <c r="Q23" s="128"/>
      <c r="R23" s="128"/>
      <c r="S23" s="128"/>
      <c r="T23" s="128"/>
      <c r="U23" s="346">
        <f>(U18-U104)/U18</f>
        <v>0.45301522248243559</v>
      </c>
      <c r="V23" s="128"/>
      <c r="W23" s="128"/>
      <c r="X23" s="128"/>
      <c r="Y23" s="128"/>
      <c r="Z23" s="129">
        <f t="shared" ref="Z23:AY23" si="124">(Z18-Z104)/Z18</f>
        <v>0.56298767144638395</v>
      </c>
      <c r="AA23" s="128"/>
      <c r="AB23" s="128"/>
      <c r="AC23" s="128"/>
      <c r="AD23" s="128"/>
      <c r="AE23" s="129">
        <f t="shared" si="124"/>
        <v>0.64827414266477701</v>
      </c>
      <c r="AF23" s="128"/>
      <c r="AG23" s="128"/>
      <c r="AH23" s="128"/>
      <c r="AI23" s="128"/>
      <c r="AJ23" s="129">
        <f t="shared" si="124"/>
        <v>0.74701767870868563</v>
      </c>
      <c r="AK23" s="128"/>
      <c r="AL23" s="128"/>
      <c r="AM23" s="128"/>
      <c r="AN23" s="128"/>
      <c r="AO23" s="129">
        <f t="shared" si="124"/>
        <v>0.82967152220700457</v>
      </c>
      <c r="AP23" s="128"/>
      <c r="AQ23" s="128"/>
      <c r="AR23" s="128"/>
      <c r="AS23" s="128"/>
      <c r="AT23" s="128">
        <f t="shared" si="124"/>
        <v>0.85177786818165568</v>
      </c>
      <c r="AU23" s="128">
        <f t="shared" si="124"/>
        <v>0.86813512385479463</v>
      </c>
      <c r="AV23" s="128">
        <f t="shared" si="124"/>
        <v>0.87643772716764079</v>
      </c>
      <c r="AW23" s="128">
        <f t="shared" si="124"/>
        <v>0.87976440374389675</v>
      </c>
      <c r="AX23" s="128">
        <f t="shared" si="124"/>
        <v>0.88361194282409183</v>
      </c>
      <c r="AY23" s="128">
        <f t="shared" si="124"/>
        <v>0.882642042347626</v>
      </c>
    </row>
    <row r="24" spans="2:54" x14ac:dyDescent="0.35">
      <c r="B24" s="124" t="s">
        <v>192</v>
      </c>
      <c r="C24" s="128"/>
      <c r="D24" s="128"/>
      <c r="E24" s="128"/>
      <c r="F24" s="128"/>
      <c r="G24" s="513"/>
      <c r="H24" s="128"/>
      <c r="I24" s="128"/>
      <c r="J24" s="128"/>
      <c r="K24" s="128"/>
      <c r="L24" s="128"/>
      <c r="M24" s="128"/>
      <c r="N24" s="129"/>
      <c r="O24" s="128">
        <f t="shared" ref="O24" si="125">(1*(1+H21)*(1+O21))-1</f>
        <v>1.5594830433284192</v>
      </c>
      <c r="P24" s="128">
        <f t="shared" ref="P24" si="126">(1*(1+I21)*(1+P21))-1</f>
        <v>1.8091357695485666</v>
      </c>
      <c r="Q24" s="128"/>
      <c r="R24" s="128">
        <f t="shared" ref="R24" si="127">(1*(1+K21)*(1+R21))-1</f>
        <v>2.0461152574720893</v>
      </c>
      <c r="S24" s="128">
        <f t="shared" ref="S24" si="128">(1*(1+L21)*(1+S21))-1</f>
        <v>0.61848863945949928</v>
      </c>
      <c r="T24" s="128"/>
      <c r="U24" s="346">
        <f t="shared" ref="U24" si="129">(1*(1+N21)*(1+U21))-1</f>
        <v>1.389880785806235</v>
      </c>
      <c r="V24" s="128">
        <f>(1*(1+O21)*(1+V21))-1</f>
        <v>3.8950161557172693</v>
      </c>
      <c r="W24" s="128">
        <f t="shared" ref="W24" si="130">(1*(1+P21)*(1+W21))-1</f>
        <v>3.3108922102692668</v>
      </c>
      <c r="X24" s="128">
        <f t="shared" ref="X24" si="131">(1*(1+R21)*(1+X21))-1</f>
        <v>2.1742555375782024</v>
      </c>
      <c r="Y24" s="128">
        <f t="shared" ref="Y24" si="132">(1*(1+S21)*(1+Y21))-1</f>
        <v>1.7549090105996106</v>
      </c>
      <c r="Z24" s="129">
        <f t="shared" ref="Z24" si="133">(1*(1+U21)*(1+Z21))-1</f>
        <v>2.4871081351363098</v>
      </c>
      <c r="AA24" s="128">
        <f>(1*(1+T21)*(1+AA21))-1</f>
        <v>1.9009392587950376</v>
      </c>
      <c r="AB24" s="128">
        <f t="shared" ref="AB24" si="134">(1*(1+U21)*(1+AB21))-1</f>
        <v>2.5337209153438733</v>
      </c>
      <c r="AC24" s="128">
        <f t="shared" ref="AC24" si="135">(1*(1+W21)*(1+AC21))-1</f>
        <v>1.6272924743600341</v>
      </c>
      <c r="AD24" s="128">
        <f t="shared" ref="AD24" si="136">(1*(1+X21)*(1+AD21))-1</f>
        <v>1.9339033887936794</v>
      </c>
      <c r="AE24" s="129">
        <f>(1*(1+Z21)*(1+AE21))-1</f>
        <v>2.304449648711945</v>
      </c>
      <c r="AF24" s="128"/>
      <c r="AG24" s="128"/>
      <c r="AH24" s="128"/>
      <c r="AI24" s="128"/>
      <c r="AJ24" s="129">
        <f>(1*(1+AE21)*(1+AJ21))-1</f>
        <v>2.2443890274314211</v>
      </c>
      <c r="AK24" s="128"/>
      <c r="AL24" s="128"/>
      <c r="AM24" s="128"/>
      <c r="AN24" s="128"/>
      <c r="AO24" s="129">
        <f>(1*(1+AJ21)*(1+AO21))-1</f>
        <v>2.6222537207654146</v>
      </c>
      <c r="AP24" s="128"/>
      <c r="AQ24" s="128"/>
      <c r="AR24" s="128"/>
      <c r="AS24" s="128"/>
      <c r="AT24" s="128">
        <f>(1*(1+AO21)*(1+AT21))-1</f>
        <v>1.9851659509275517</v>
      </c>
      <c r="AU24" s="128">
        <f t="shared" ref="AU24:AX24" si="137">(1*(1+AT21)*(1+AU21))-1</f>
        <v>1.1609481187089026</v>
      </c>
      <c r="AV24" s="128">
        <f t="shared" si="137"/>
        <v>0.9195888474049978</v>
      </c>
      <c r="AW24" s="128">
        <f t="shared" si="137"/>
        <v>0.75500000000000012</v>
      </c>
      <c r="AX24" s="128">
        <f t="shared" si="137"/>
        <v>0.625</v>
      </c>
      <c r="AY24" s="128">
        <f t="shared" ref="AY24" si="138">(1*(1+AX21)*(1+AY21))-1</f>
        <v>0.5</v>
      </c>
    </row>
    <row r="25" spans="2:54" s="110" customFormat="1" hidden="1" x14ac:dyDescent="0.35">
      <c r="B25" s="133" t="s">
        <v>152</v>
      </c>
      <c r="C25" s="135">
        <v>1.389436809999995</v>
      </c>
      <c r="D25" s="135">
        <v>2.1679348400000036</v>
      </c>
      <c r="E25" s="135">
        <v>2.1339529900000023</v>
      </c>
      <c r="F25" s="135">
        <v>3.4566753600000442</v>
      </c>
      <c r="G25" s="511">
        <v>9.1479999999999997</v>
      </c>
      <c r="H25" s="135">
        <v>1.0664144399999975</v>
      </c>
      <c r="I25" s="135">
        <v>0.60328420000000293</v>
      </c>
      <c r="J25" s="135">
        <f>I25+H25</f>
        <v>1.6696986400000005</v>
      </c>
      <c r="K25" s="135">
        <v>2.2432333899999857</v>
      </c>
      <c r="L25" s="135">
        <v>2.7840679799999895</v>
      </c>
      <c r="M25" s="135">
        <f>L25+K25</f>
        <v>5.0273013699999751</v>
      </c>
      <c r="N25" s="169">
        <v>6.6970000000000001</v>
      </c>
      <c r="O25" s="135">
        <f t="shared" ref="O25" si="139">H25*(1+O28)</f>
        <v>1.8000000000000007</v>
      </c>
      <c r="P25" s="135">
        <f t="shared" ref="P25" si="140">I25*(1+P28)</f>
        <v>2.9</v>
      </c>
      <c r="Q25" s="135">
        <f>P25+O25</f>
        <v>4.7000000000000011</v>
      </c>
      <c r="R25" s="135">
        <f>K25*(1+R28)</f>
        <v>4.4000000000000234</v>
      </c>
      <c r="S25" s="135">
        <f>L25*(1+S28)</f>
        <v>2.9000000000000692</v>
      </c>
      <c r="T25" s="135">
        <f>S25+R25</f>
        <v>7.3000000000000931</v>
      </c>
      <c r="U25" s="344">
        <f>T25+Q25</f>
        <v>12.000000000000094</v>
      </c>
      <c r="V25" s="135">
        <f t="shared" ref="V25" si="141">O25*(1+V28)</f>
        <v>6</v>
      </c>
      <c r="W25" s="135">
        <f t="shared" ref="W25" si="142">P25*(1+W28)</f>
        <v>8.7800000000000402</v>
      </c>
      <c r="X25" s="135">
        <f>R25*(1+X28)</f>
        <v>11.039</v>
      </c>
      <c r="Y25" s="135">
        <f>S25*(1+Y28)</f>
        <v>23.280999999999963</v>
      </c>
      <c r="Z25" s="169">
        <f>SUM(V25:Y25)</f>
        <v>49.1</v>
      </c>
      <c r="AA25" s="135"/>
      <c r="AB25" s="135"/>
      <c r="AC25" s="135"/>
      <c r="AD25" s="125"/>
      <c r="AE25" s="169"/>
      <c r="AF25" s="135"/>
      <c r="AG25" s="135"/>
      <c r="AH25" s="135"/>
      <c r="AI25" s="125"/>
      <c r="AJ25" s="169"/>
      <c r="AK25" s="135"/>
      <c r="AL25" s="135"/>
      <c r="AM25" s="135"/>
      <c r="AN25" s="135"/>
      <c r="AO25" s="169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95"/>
      <c r="BA25" s="195"/>
    </row>
    <row r="26" spans="2:54" hidden="1" x14ac:dyDescent="0.35">
      <c r="B26" s="124" t="s">
        <v>156</v>
      </c>
      <c r="AO26" s="166">
        <f>AO18-AJ18</f>
        <v>250.90000000000026</v>
      </c>
      <c r="AT26" s="167">
        <f>AT18-AO18</f>
        <v>265.6401804313486</v>
      </c>
      <c r="AU26" s="167">
        <f t="shared" ref="AU26:AY26" si="143">AU18-AT18</f>
        <v>327.72040304077177</v>
      </c>
      <c r="AV26" s="167">
        <f t="shared" si="143"/>
        <v>386.56120421524224</v>
      </c>
      <c r="AW26" s="167">
        <f t="shared" si="143"/>
        <v>447.30653630620895</v>
      </c>
      <c r="AX26" s="167">
        <f t="shared" si="143"/>
        <v>484.58208099839294</v>
      </c>
      <c r="AY26" s="167">
        <f t="shared" si="143"/>
        <v>484.58208099839294</v>
      </c>
    </row>
    <row r="27" spans="2:54" hidden="1" x14ac:dyDescent="0.35">
      <c r="B27" s="124" t="s">
        <v>157</v>
      </c>
    </row>
    <row r="28" spans="2:54" hidden="1" x14ac:dyDescent="0.35">
      <c r="B28" s="124" t="s">
        <v>158</v>
      </c>
      <c r="H28" s="128">
        <f>H25/C25-1</f>
        <v>-0.23248439056397152</v>
      </c>
      <c r="I28" s="128">
        <f t="shared" ref="I28" si="144">I25/D25-1</f>
        <v>-0.72172401639156192</v>
      </c>
      <c r="J28" s="128"/>
      <c r="K28" s="128">
        <f t="shared" ref="K28" si="145">K25/E25-1</f>
        <v>5.1210312744510489E-2</v>
      </c>
      <c r="L28" s="128">
        <f t="shared" ref="L28" si="146">L25/F25-1</f>
        <v>-0.19458216637389003</v>
      </c>
      <c r="M28" s="128"/>
      <c r="N28" s="129">
        <f t="shared" ref="N28" si="147">N25/G25-1</f>
        <v>-0.26792741582859636</v>
      </c>
      <c r="O28" s="128">
        <v>0.68789912484681348</v>
      </c>
      <c r="P28" s="128">
        <v>3.8070213010716762</v>
      </c>
      <c r="Q28" s="128">
        <f>Q25/J25-1</f>
        <v>1.8148792167669248</v>
      </c>
      <c r="R28" s="128">
        <v>0.96145439864375914</v>
      </c>
      <c r="S28" s="128">
        <v>4.1641231763342432E-2</v>
      </c>
      <c r="T28" s="128">
        <f>T25/M25-1</f>
        <v>0.45207129287340275</v>
      </c>
      <c r="U28" s="346">
        <f t="shared" ref="U28" si="148">U25/N25-1</f>
        <v>0.79184709571451317</v>
      </c>
      <c r="V28" s="128">
        <v>2.3333333333333321</v>
      </c>
      <c r="W28" s="128">
        <v>2.027586206896566</v>
      </c>
      <c r="X28" s="128">
        <v>1.508863636363623</v>
      </c>
      <c r="Y28" s="128">
        <v>7.0279310344825543</v>
      </c>
      <c r="Z28" s="129">
        <f t="shared" ref="Z28" si="149">Z25/U25-1</f>
        <v>3.0916666666666348</v>
      </c>
      <c r="AA28" s="128"/>
      <c r="AB28" s="128"/>
      <c r="AC28" s="128"/>
      <c r="AD28" s="128"/>
      <c r="AE28" s="129"/>
      <c r="AF28" s="128"/>
      <c r="AG28" s="128"/>
      <c r="AH28" s="128"/>
      <c r="AI28" s="128"/>
      <c r="AJ28" s="129"/>
      <c r="AK28" s="128"/>
      <c r="AL28" s="128"/>
      <c r="AM28" s="128"/>
      <c r="AN28" s="128"/>
      <c r="AO28" s="129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</row>
    <row r="29" spans="2:54" hidden="1" x14ac:dyDescent="0.35">
      <c r="B29" s="124" t="s">
        <v>163</v>
      </c>
      <c r="C29" s="128">
        <f>C25/C$31</f>
        <v>2.8029607674941937E-2</v>
      </c>
      <c r="D29" s="128">
        <f t="shared" ref="D29:Z29" si="150">D25/D$31</f>
        <v>3.1113700878329917E-2</v>
      </c>
      <c r="E29" s="128">
        <f t="shared" si="150"/>
        <v>3.2794379791144135E-2</v>
      </c>
      <c r="F29" s="128">
        <f t="shared" si="150"/>
        <v>4.1746731805659271E-2</v>
      </c>
      <c r="G29" s="513">
        <f t="shared" si="150"/>
        <v>3.4246788218210832E-2</v>
      </c>
      <c r="H29" s="128">
        <f t="shared" si="150"/>
        <v>1.4958855535533574E-2</v>
      </c>
      <c r="I29" s="128">
        <f t="shared" si="150"/>
        <v>6.0553770438867525E-3</v>
      </c>
      <c r="J29" s="128">
        <f t="shared" si="150"/>
        <v>9.7690216776480723E-3</v>
      </c>
      <c r="K29" s="128">
        <f t="shared" si="150"/>
        <v>1.7245381332527107E-2</v>
      </c>
      <c r="L29" s="128">
        <f t="shared" si="150"/>
        <v>2.2397934775222849E-2</v>
      </c>
      <c r="M29" s="128">
        <f t="shared" si="150"/>
        <v>1.9763148582252935E-2</v>
      </c>
      <c r="N29" s="129">
        <f t="shared" si="150"/>
        <v>1.5746707918277036E-2</v>
      </c>
      <c r="O29" s="128">
        <f t="shared" si="150"/>
        <v>1.2820512820512822E-2</v>
      </c>
      <c r="P29" s="128">
        <f t="shared" si="150"/>
        <v>1.6561964591661916E-2</v>
      </c>
      <c r="Q29" s="128">
        <f t="shared" si="150"/>
        <v>1.4896988906497629E-2</v>
      </c>
      <c r="R29" s="128">
        <f t="shared" si="150"/>
        <v>2.0183486238532215E-2</v>
      </c>
      <c r="S29" s="128">
        <f t="shared" si="150"/>
        <v>1.5175300889586962E-2</v>
      </c>
      <c r="T29" s="128">
        <f t="shared" si="150"/>
        <v>1.7844047910046668E-2</v>
      </c>
      <c r="U29" s="346">
        <f t="shared" si="150"/>
        <v>1.6560861164780696E-2</v>
      </c>
      <c r="V29" s="128">
        <f t="shared" si="150"/>
        <v>2.5456088247772592E-2</v>
      </c>
      <c r="W29" s="128">
        <f t="shared" si="150"/>
        <v>3.0103338796278016E-2</v>
      </c>
      <c r="X29" s="128">
        <f t="shared" si="150"/>
        <v>3.3654153951215356E-2</v>
      </c>
      <c r="Y29" s="128">
        <f t="shared" si="150"/>
        <v>6.3483536710068775E-2</v>
      </c>
      <c r="Z29" s="129">
        <f t="shared" si="150"/>
        <v>4.0176744947221996E-2</v>
      </c>
      <c r="AA29" s="128"/>
      <c r="AB29" s="128"/>
      <c r="AC29" s="128"/>
      <c r="AD29" s="128"/>
      <c r="AE29" s="129"/>
      <c r="AF29" s="128"/>
      <c r="AG29" s="128"/>
      <c r="AH29" s="128"/>
      <c r="AI29" s="128"/>
      <c r="AJ29" s="129"/>
      <c r="AK29" s="128"/>
      <c r="AL29" s="128"/>
      <c r="AM29" s="128"/>
      <c r="AN29" s="128"/>
      <c r="AO29" s="129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</row>
    <row r="30" spans="2:54" hidden="1" x14ac:dyDescent="0.35">
      <c r="B30" s="124" t="s">
        <v>192</v>
      </c>
      <c r="C30" s="128"/>
      <c r="D30" s="128"/>
      <c r="E30" s="128"/>
      <c r="F30" s="128"/>
      <c r="G30" s="513"/>
      <c r="H30" s="128"/>
      <c r="I30" s="128"/>
      <c r="J30" s="128"/>
      <c r="K30" s="128"/>
      <c r="L30" s="128"/>
      <c r="M30" s="128"/>
      <c r="N30" s="129"/>
      <c r="O30" s="128">
        <f t="shared" ref="O30" si="151">(1*(1+H28)*(1+O28))-1</f>
        <v>0.29548892547334127</v>
      </c>
      <c r="P30" s="128">
        <f t="shared" ref="P30" si="152">(1*(1+I28)*(1+P28))-1</f>
        <v>0.33767858078243451</v>
      </c>
      <c r="Q30" s="128"/>
      <c r="R30" s="128">
        <f t="shared" ref="R30" si="153">(1*(1+K28)*(1+R28))-1</f>
        <v>1.0619010918324019</v>
      </c>
      <c r="S30" s="128">
        <f t="shared" ref="S30" si="154">(1*(1+L28)*(1+S28))-1</f>
        <v>-0.16104357569753613</v>
      </c>
      <c r="T30" s="128"/>
      <c r="U30" s="346">
        <f t="shared" ref="U30" si="155">(1*(1+N28)*(1+U28))-1</f>
        <v>0.31176213379974804</v>
      </c>
      <c r="V30" s="128">
        <f>(1*(1+O28)*(1+V28))-1</f>
        <v>4.6263304161560432</v>
      </c>
      <c r="W30" s="128">
        <f t="shared" ref="W30" si="156">(1*(1+P28)*(1+W28))-1</f>
        <v>13.553671387382593</v>
      </c>
      <c r="X30" s="128">
        <f t="shared" ref="X30" si="157">(1*(1+R28)*(1+X28))-1</f>
        <v>3.9210216151428048</v>
      </c>
      <c r="Y30" s="128">
        <f t="shared" ref="Y30" si="158">(1*(1+S28)*(1+Y28))-1</f>
        <v>7.3622239712695716</v>
      </c>
      <c r="Z30" s="129">
        <f t="shared" ref="Z30" si="159">(1*(1+U28)*(1+Z28))-1</f>
        <v>6.3316410332984923</v>
      </c>
      <c r="AA30" s="128"/>
      <c r="AB30" s="128"/>
      <c r="AC30" s="128"/>
      <c r="AD30" s="128"/>
      <c r="AE30" s="129"/>
      <c r="AF30" s="128"/>
      <c r="AG30" s="128"/>
      <c r="AH30" s="128"/>
      <c r="AI30" s="128"/>
      <c r="AJ30" s="129"/>
      <c r="AK30" s="128"/>
      <c r="AL30" s="128"/>
      <c r="AM30" s="128"/>
      <c r="AN30" s="128"/>
      <c r="AO30" s="129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</row>
    <row r="31" spans="2:54" s="110" customFormat="1" x14ac:dyDescent="0.35">
      <c r="B31" s="133" t="s">
        <v>153</v>
      </c>
      <c r="C31" s="134">
        <f>C25+C18+C11+C4</f>
        <v>49.570326709999989</v>
      </c>
      <c r="D31" s="134">
        <f t="shared" ref="D31:AX31" si="160">D25+D18+D11+D4</f>
        <v>69.677819700000001</v>
      </c>
      <c r="E31" s="134">
        <f t="shared" si="160"/>
        <v>65.070692100000002</v>
      </c>
      <c r="F31" s="134">
        <f t="shared" si="160"/>
        <v>82.801101079999995</v>
      </c>
      <c r="G31" s="516">
        <f t="shared" si="160"/>
        <v>267.11993958999994</v>
      </c>
      <c r="H31" s="134">
        <f t="shared" si="160"/>
        <v>71.289841490000001</v>
      </c>
      <c r="I31" s="134">
        <f t="shared" si="160"/>
        <v>99.627850690000002</v>
      </c>
      <c r="J31" s="135">
        <f>I31+H31</f>
        <v>170.91769218000002</v>
      </c>
      <c r="K31" s="134">
        <f t="shared" si="160"/>
        <v>130.07734342000001</v>
      </c>
      <c r="L31" s="134">
        <f t="shared" si="160"/>
        <v>124.30020927999998</v>
      </c>
      <c r="M31" s="135">
        <f>L31+K31</f>
        <v>254.37755269999997</v>
      </c>
      <c r="N31" s="136">
        <f t="shared" si="160"/>
        <v>425.29524487000003</v>
      </c>
      <c r="O31" s="134">
        <f t="shared" si="160"/>
        <v>140.40000000000003</v>
      </c>
      <c r="P31" s="134">
        <f t="shared" si="160"/>
        <v>175.09999999999991</v>
      </c>
      <c r="Q31" s="135">
        <f>P31+O31</f>
        <v>315.49999999999994</v>
      </c>
      <c r="R31" s="134">
        <f t="shared" si="160"/>
        <v>218.00000000000003</v>
      </c>
      <c r="S31" s="134">
        <f t="shared" si="160"/>
        <v>191.10000000000005</v>
      </c>
      <c r="T31" s="135">
        <f>S31+R31</f>
        <v>409.10000000000008</v>
      </c>
      <c r="U31" s="351">
        <f>U25+U18+U11+U4</f>
        <v>724.60000000000014</v>
      </c>
      <c r="V31" s="134">
        <f t="shared" si="160"/>
        <v>235.7</v>
      </c>
      <c r="W31" s="134">
        <f t="shared" si="160"/>
        <v>291.66200000000003</v>
      </c>
      <c r="X31" s="134">
        <f t="shared" si="160"/>
        <v>328.01299999999992</v>
      </c>
      <c r="Y31" s="134">
        <f t="shared" si="160"/>
        <v>366.72499999999985</v>
      </c>
      <c r="Z31" s="136">
        <f t="shared" si="160"/>
        <v>1222.0999999999999</v>
      </c>
      <c r="AA31" s="134">
        <f t="shared" ref="AA31:AC31" si="161">AA25+AA18+AA11+AA4</f>
        <v>420.19999999999987</v>
      </c>
      <c r="AB31" s="134">
        <f t="shared" si="161"/>
        <v>444.29999999999995</v>
      </c>
      <c r="AC31" s="134">
        <f t="shared" si="161"/>
        <v>480.5</v>
      </c>
      <c r="AD31" s="135">
        <f>AE31-SUM(AA31:AC31)</f>
        <v>447.10000000000014</v>
      </c>
      <c r="AE31" s="136">
        <f t="shared" si="160"/>
        <v>1792.1</v>
      </c>
      <c r="AF31" s="134">
        <f t="shared" si="160"/>
        <v>508.2</v>
      </c>
      <c r="AG31" s="134">
        <f t="shared" si="160"/>
        <v>567.70000000000005</v>
      </c>
      <c r="AH31" s="134">
        <f t="shared" si="160"/>
        <v>635.79999999999995</v>
      </c>
      <c r="AI31" s="135">
        <f>AJ31-SUM(AF31:AH31)</f>
        <v>606.60000000000014</v>
      </c>
      <c r="AJ31" s="136">
        <f>AJ25+AJ18+AJ11+AJ4</f>
        <v>2318.3000000000002</v>
      </c>
      <c r="AK31" s="134">
        <f t="shared" ref="AK31:AM31" si="162">AK25+AK18+AK11+AK4</f>
        <v>726.5548</v>
      </c>
      <c r="AL31" s="134">
        <f t="shared" si="162"/>
        <v>749.22</v>
      </c>
      <c r="AM31" s="134">
        <f t="shared" si="162"/>
        <v>794.40000000000032</v>
      </c>
      <c r="AN31" s="135">
        <f>AO31-SUM(AK31:AM31)</f>
        <v>743.82520000000022</v>
      </c>
      <c r="AO31" s="136">
        <f t="shared" si="160"/>
        <v>3014.0000000000009</v>
      </c>
      <c r="AP31" s="134">
        <f t="shared" si="160"/>
        <v>831.90000000000009</v>
      </c>
      <c r="AQ31" s="134">
        <f t="shared" si="160"/>
        <v>850.30000000000018</v>
      </c>
      <c r="AR31" s="134">
        <f>AR25+AR18+AR11+AR4</f>
        <v>917.05863454000666</v>
      </c>
      <c r="AS31" s="135">
        <f>AT31-SUM(AP31:AR31)</f>
        <v>902.86715308436033</v>
      </c>
      <c r="AT31" s="134">
        <f t="shared" si="160"/>
        <v>3502.1257876243671</v>
      </c>
      <c r="AU31" s="134">
        <f t="shared" si="160"/>
        <v>4158.5242387608378</v>
      </c>
      <c r="AV31" s="134">
        <f t="shared" si="160"/>
        <v>4842.1171337411024</v>
      </c>
      <c r="AW31" s="134">
        <f t="shared" si="160"/>
        <v>5605.1580626327104</v>
      </c>
      <c r="AX31" s="134">
        <f t="shared" si="160"/>
        <v>6409.7687110668503</v>
      </c>
      <c r="AY31" s="134">
        <f t="shared" ref="AY31" si="163">AY25+AY18+AY11+AY4</f>
        <v>7162.9126976088155</v>
      </c>
      <c r="AZ31" s="195"/>
      <c r="BA31" s="195"/>
    </row>
    <row r="32" spans="2:54" x14ac:dyDescent="0.35">
      <c r="B32" s="124" t="s">
        <v>156</v>
      </c>
      <c r="O32" s="127">
        <f>((1+O34)/(1+O33))-1</f>
        <v>1.0908354489817693</v>
      </c>
      <c r="P32" s="127">
        <f t="shared" ref="P32:AO32" si="164">((1+P34)/(1+P33))-1</f>
        <v>0.84611657986465461</v>
      </c>
      <c r="Q32" s="127">
        <f t="shared" si="164"/>
        <v>0.94755564093654332</v>
      </c>
      <c r="R32" s="127">
        <f t="shared" si="164"/>
        <v>0.68237721417244979</v>
      </c>
      <c r="S32" s="127">
        <f t="shared" si="164"/>
        <v>0.48905632885384054</v>
      </c>
      <c r="T32" s="127">
        <f t="shared" si="164"/>
        <v>0.58618233259058705</v>
      </c>
      <c r="U32" s="345">
        <f t="shared" si="164"/>
        <v>0.72591240385903277</v>
      </c>
      <c r="V32" s="127">
        <f t="shared" si="164"/>
        <v>0.61883478877663789</v>
      </c>
      <c r="W32" s="127">
        <f t="shared" si="164"/>
        <v>0.57345372787354298</v>
      </c>
      <c r="X32" s="127">
        <f t="shared" si="164"/>
        <v>0.42525859611736561</v>
      </c>
      <c r="Y32" s="127">
        <f t="shared" si="164"/>
        <v>0.8534780464321754</v>
      </c>
      <c r="Z32" s="461">
        <f t="shared" si="164"/>
        <v>0.61025554989689268</v>
      </c>
      <c r="AA32" s="127">
        <f t="shared" ref="AA32:AC32" si="165">((1+AA34)/(1+AA33))-1</f>
        <v>0.77275485260324261</v>
      </c>
      <c r="AB32" s="127">
        <f t="shared" si="165"/>
        <v>0.60450116044419766</v>
      </c>
      <c r="AC32" s="127">
        <f t="shared" si="165"/>
        <v>0.65417807698076347</v>
      </c>
      <c r="AD32" s="127">
        <v>0.31</v>
      </c>
      <c r="AE32" s="461">
        <v>0.55000000000000004</v>
      </c>
      <c r="AF32" s="127">
        <f t="shared" si="164"/>
        <v>0.29170745158702593</v>
      </c>
      <c r="AG32" s="127">
        <f t="shared" si="164"/>
        <v>0.29404278388925542</v>
      </c>
      <c r="AH32" s="127">
        <f t="shared" si="164"/>
        <v>0.33179379962971134</v>
      </c>
      <c r="AI32" s="127">
        <f t="shared" si="164"/>
        <v>0.40627971059242673</v>
      </c>
      <c r="AJ32" s="461">
        <v>0.33200000000000002</v>
      </c>
      <c r="AK32" s="127">
        <f>((1+AK34)/(1+AK33))-1</f>
        <v>0.40031831319564981</v>
      </c>
      <c r="AL32" s="127">
        <f>((1+AL34)/(1+AL33))-1</f>
        <v>0.38204002442171814</v>
      </c>
      <c r="AM32" s="127">
        <f t="shared" ref="AM32:AN32" si="166">((1+AM34)/(1+AM33))-1</f>
        <v>0.34549597744253902</v>
      </c>
      <c r="AN32" s="127">
        <f t="shared" si="166"/>
        <v>0.30493637221208636</v>
      </c>
      <c r="AO32" s="461">
        <f t="shared" si="164"/>
        <v>0.35544157246643993</v>
      </c>
      <c r="AP32" s="128">
        <f>((AP5*AK4)+(AP12*AK11)+(AP19*AK18))/(AK4+AK11+AK18)</f>
        <v>0.26424120520571887</v>
      </c>
      <c r="AQ32" s="128">
        <f>((AQ5*AL4)+(AQ12*AL11)+(AQ19*AL18))/(AL4+AL11+AL18)</f>
        <v>0.21612522783695043</v>
      </c>
      <c r="AR32" s="128">
        <f>((AR5*AM4)+(AR12*AM11)+(AR19*AM18))/(AM4+AM11+AM18)</f>
        <v>0.17003398791540783</v>
      </c>
      <c r="AS32" s="128">
        <f>((AS5*AN4)+(AS12*AN11)+(AS19*AN18))/(AN4+AN11+AN18)</f>
        <v>0.19596487766345727</v>
      </c>
      <c r="AT32" s="128">
        <f>((AT5*AO4)+(AT12*AO11)+(AT19*AO18))/(AO4+AO11+AO18)</f>
        <v>0.2031615792966158</v>
      </c>
      <c r="AU32" s="128">
        <f>((AU5*AT4)+(AU12*AT11)+(AU19*AT18))/(AT4+AT11+AT18)</f>
        <v>0.17925192219869585</v>
      </c>
      <c r="AV32" s="128">
        <f t="shared" ref="AV32:AY32" si="167">((AV5*AU4)+(AV12*AU11)+(AV19*AU18))/(AU4+AU11+AU18)</f>
        <v>0.17198814120620348</v>
      </c>
      <c r="AW32" s="128">
        <f t="shared" si="167"/>
        <v>0.16496420481061036</v>
      </c>
      <c r="AX32" s="128">
        <f t="shared" si="167"/>
        <v>0.14830854500261897</v>
      </c>
      <c r="AY32" s="128">
        <f t="shared" si="167"/>
        <v>0.12207841327722443</v>
      </c>
      <c r="BB32" s="127"/>
    </row>
    <row r="33" spans="2:64" x14ac:dyDescent="0.35">
      <c r="B33" s="124" t="s">
        <v>157</v>
      </c>
      <c r="O33" s="128">
        <f>((O6*H4)+(O13*H11)+(O20*H18))/(H4+H11+H18)</f>
        <v>-5.8067885736396659E-2</v>
      </c>
      <c r="P33" s="128">
        <f t="shared" ref="P33" si="168">((P6*I4)+(P13*I11)+(P20*I18))/(I4+I11+I18)</f>
        <v>-4.7979583377296062E-2</v>
      </c>
      <c r="Q33" s="128">
        <f>Q133</f>
        <v>-5.2187418545852314E-2</v>
      </c>
      <c r="R33" s="128">
        <f>((R6*K4)+(R13*K11)+(R20*K18))/(K4+K11+K18)</f>
        <v>-3.8345909163137438E-3</v>
      </c>
      <c r="S33" s="128">
        <f>((S6*L4)+(S13*L11)+(S20*L18))/(L4+L11+L18)</f>
        <v>3.2470615709640549E-2</v>
      </c>
      <c r="T33" s="128">
        <f>T133</f>
        <v>1.3905751081143147E-2</v>
      </c>
      <c r="U33" s="346">
        <f>((U6*N4)+(U13*N11)+(U20*N18))/(N4+N11+N18)</f>
        <v>-1.2836582662641845E-2</v>
      </c>
      <c r="V33" s="128">
        <f>((V6*O4)+(V13*O11)+(V20*O18))/(O4+O11+O18)</f>
        <v>3.7026718485329561E-2</v>
      </c>
      <c r="W33" s="128">
        <f>((W6*P4)+(W13*P11)+(W20*P18))/(P4+P11+P18)</f>
        <v>5.8619105650475033E-2</v>
      </c>
      <c r="X33" s="128">
        <f>((X6*R4)+(X13*R11)+(X20*R18))/(R4+R11+R18)</f>
        <v>5.5700904446200725E-2</v>
      </c>
      <c r="Y33" s="128">
        <f>((Y6*S4)+(Y13*S11)+(Y20*S18))/(S4+S11+S18)</f>
        <v>3.5362387177841549E-2</v>
      </c>
      <c r="Z33" s="129">
        <f>((Z6*U4)+(Z13*U11)+(Z20*U18))/(U4+U11+U18)</f>
        <v>4.7402508604626331E-2</v>
      </c>
      <c r="AA33" s="128">
        <f>((AA6*V4)+(AA13*V11)+(AA20*V18))/(V4+V11+V18)</f>
        <v>5.6521413556140368E-3</v>
      </c>
      <c r="AB33" s="128">
        <f t="shared" ref="AB33:AC33" si="169">((AB6*W4)+(AB13*W11)+(AB20*W18))/(W4+W11+W18)</f>
        <v>-5.0584258405208374E-2</v>
      </c>
      <c r="AC33" s="128">
        <f t="shared" si="169"/>
        <v>-0.11443575182822564</v>
      </c>
      <c r="AD33" s="128">
        <f>((AD34+1)/(1+AD32))-1</f>
        <v>-6.9336124006641686E-2</v>
      </c>
      <c r="AE33" s="129">
        <f>((AE34+1)/(1+AE32))-1</f>
        <v>-5.3928853295886703E-2</v>
      </c>
      <c r="AF33" s="128">
        <v>-6.3701241110203824E-2</v>
      </c>
      <c r="AG33" s="128">
        <v>-1.259812929364079E-2</v>
      </c>
      <c r="AH33" s="128">
        <v>-6.4490500218675152E-3</v>
      </c>
      <c r="AI33" s="128">
        <f t="shared" ref="AI33" si="170">((AI6*AD4)+(AI13*AD11)+(AI20*AD18))/(AD4+AD11+AD18)</f>
        <v>-3.5225035517399916E-2</v>
      </c>
      <c r="AJ33" s="129">
        <f>((AJ34+1)/(1+AJ32))-1</f>
        <v>-2.8812306531183829E-2</v>
      </c>
      <c r="AK33" s="128">
        <v>2.0955815032809723E-2</v>
      </c>
      <c r="AL33" s="128">
        <v>-4.5073715970930552E-2</v>
      </c>
      <c r="AM33" s="128">
        <f t="shared" ref="AM33:AO33" si="171">((AM6*AH4)+(AM13*AH11)+(AM20*AH18))/(AH4+AH11+AH18)</f>
        <v>-7.1383687968958789E-2</v>
      </c>
      <c r="AN33" s="128">
        <f t="shared" si="171"/>
        <v>-6.0321813312471349E-2</v>
      </c>
      <c r="AO33" s="129">
        <f t="shared" si="171"/>
        <v>-4.0836130434168477E-2</v>
      </c>
      <c r="AP33" s="128">
        <f t="shared" ref="AP33:AU33" si="172">AP34-AP32</f>
        <v>-0.11924842558331444</v>
      </c>
      <c r="AQ33" s="128">
        <f t="shared" si="172"/>
        <v>-8.121158431435338E-2</v>
      </c>
      <c r="AR33" s="128">
        <f t="shared" si="172"/>
        <v>-1.5629865886195554E-2</v>
      </c>
      <c r="AS33" s="128">
        <f t="shared" si="172"/>
        <v>1.7851423645452558E-2</v>
      </c>
      <c r="AT33" s="128">
        <f t="shared" si="172"/>
        <v>-4.1208763230137307E-2</v>
      </c>
      <c r="AU33" s="128">
        <f t="shared" si="172"/>
        <v>8.1766543121815638E-3</v>
      </c>
      <c r="AV33" s="128">
        <f t="shared" ref="AV33:AY33" si="173">AV34-AV32</f>
        <v>-7.6046109603962742E-3</v>
      </c>
      <c r="AW33" s="128">
        <f t="shared" si="173"/>
        <v>-7.3800514710422593E-3</v>
      </c>
      <c r="AX33" s="128">
        <f t="shared" si="173"/>
        <v>-4.7602918680376693E-3</v>
      </c>
      <c r="AY33" s="128">
        <f t="shared" si="173"/>
        <v>-4.5790118960767623E-3</v>
      </c>
    </row>
    <row r="34" spans="2:64" x14ac:dyDescent="0.35">
      <c r="B34" s="124" t="s">
        <v>158</v>
      </c>
      <c r="H34" s="128">
        <f>H31/C31-1</f>
        <v>0.43815557051025977</v>
      </c>
      <c r="I34" s="128">
        <f t="shared" ref="I34" si="174">I31/D31-1</f>
        <v>0.42983593802089071</v>
      </c>
      <c r="J34" s="128"/>
      <c r="K34" s="128">
        <f t="shared" ref="K34" si="175">K31/E31-1</f>
        <v>0.99901582758791641</v>
      </c>
      <c r="L34" s="128">
        <f t="shared" ref="L34" si="176">L31/F31-1</f>
        <v>0.50119029407477034</v>
      </c>
      <c r="M34" s="128"/>
      <c r="N34" s="129">
        <f t="shared" ref="N34" si="177">N31/G31-1</f>
        <v>0.5921508724611948</v>
      </c>
      <c r="O34" s="128">
        <f t="shared" ref="O34" si="178">O31/H31-1</f>
        <v>0.9694250550366883</v>
      </c>
      <c r="P34" s="128">
        <f t="shared" ref="P34:Q34" si="179">P31/I31-1</f>
        <v>0.75754067549682991</v>
      </c>
      <c r="Q34" s="128">
        <f t="shared" si="179"/>
        <v>0.84591773956165239</v>
      </c>
      <c r="R34" s="128">
        <f t="shared" ref="R34" si="180">R31/K31-1</f>
        <v>0.67592598578917085</v>
      </c>
      <c r="S34" s="128">
        <f t="shared" ref="S34:T34" si="181">S31/L31-1</f>
        <v>0.53740690467806185</v>
      </c>
      <c r="T34" s="128">
        <f t="shared" si="181"/>
        <v>0.60823938927689869</v>
      </c>
      <c r="U34" s="346">
        <f t="shared" ref="U34" si="182">U31/N31-1</f>
        <v>0.70375758661841736</v>
      </c>
      <c r="V34" s="128">
        <f t="shared" ref="V34" si="183">V31/O31-1</f>
        <v>0.67877492877492829</v>
      </c>
      <c r="W34" s="128">
        <f t="shared" ref="W34" si="184">W31/P31-1</f>
        <v>0.66568817818389592</v>
      </c>
      <c r="X34" s="128">
        <f t="shared" ref="X34" si="185">X31/R31-1</f>
        <v>0.50464678899082505</v>
      </c>
      <c r="Y34" s="128">
        <f t="shared" ref="Y34" si="186">Y31/S31-1</f>
        <v>0.91902145473573915</v>
      </c>
      <c r="Z34" s="129">
        <f t="shared" ref="Z34" si="187">Z31/U31-1</f>
        <v>0.68658570245652739</v>
      </c>
      <c r="AA34" s="128">
        <f>AA31/V31-1</f>
        <v>0.78277471361900686</v>
      </c>
      <c r="AB34" s="128">
        <f>AB31/W31-1</f>
        <v>0.52333865913283151</v>
      </c>
      <c r="AC34" s="128">
        <f t="shared" ref="AC34:AD34" si="188">AC31/X31-1</f>
        <v>0.46488096508370136</v>
      </c>
      <c r="AD34" s="128">
        <f t="shared" si="188"/>
        <v>0.21916967755129946</v>
      </c>
      <c r="AE34" s="129">
        <f>AE31/Z31-1</f>
        <v>0.46641027739137564</v>
      </c>
      <c r="AF34" s="128">
        <f>AF31/AA31-1</f>
        <v>0.20942408376963395</v>
      </c>
      <c r="AG34" s="128">
        <f>AG31/AB31-1</f>
        <v>0.2777402655863157</v>
      </c>
      <c r="AH34" s="128">
        <f t="shared" ref="AH34" si="189">AH31/AC31-1</f>
        <v>0.32320499479708631</v>
      </c>
      <c r="AI34" s="128">
        <f t="shared" ref="AI34" si="190">AI31/AD31-1</f>
        <v>0.35674345783940953</v>
      </c>
      <c r="AJ34" s="129">
        <f>AJ31/AE31-1</f>
        <v>0.29362200770046321</v>
      </c>
      <c r="AK34" s="128">
        <f>AK31/AF31-1</f>
        <v>0.4296631247540339</v>
      </c>
      <c r="AL34" s="128">
        <f>AL31/AG31-1</f>
        <v>0.3197463449004756</v>
      </c>
      <c r="AM34" s="128">
        <f t="shared" ref="AM34:AN34" si="191">AM31/AH31-1</f>
        <v>0.24944951242529156</v>
      </c>
      <c r="AN34" s="128">
        <f t="shared" si="191"/>
        <v>0.22622024398285534</v>
      </c>
      <c r="AO34" s="129">
        <f>AO31/AJ31-1</f>
        <v>0.30009058361730601</v>
      </c>
      <c r="AP34" s="128">
        <f>AP31/AK31-1</f>
        <v>0.14499277962240442</v>
      </c>
      <c r="AQ34" s="128">
        <f>AQ31/AL31-1</f>
        <v>0.13491364352259705</v>
      </c>
      <c r="AR34" s="128">
        <f>AR31/AM31-1</f>
        <v>0.15440412202921228</v>
      </c>
      <c r="AS34" s="128">
        <f t="shared" ref="AS34" si="192">AS31/AN31-1</f>
        <v>0.21381630130890983</v>
      </c>
      <c r="AT34" s="128">
        <f>AT31/AO31-1</f>
        <v>0.16195281606647849</v>
      </c>
      <c r="AU34" s="128">
        <f t="shared" ref="AU34:AX34" si="193">AU31/AT31-1</f>
        <v>0.18742857651087741</v>
      </c>
      <c r="AV34" s="128">
        <f t="shared" si="193"/>
        <v>0.16438353024580721</v>
      </c>
      <c r="AW34" s="128">
        <f t="shared" si="193"/>
        <v>0.1575841533395681</v>
      </c>
      <c r="AX34" s="128">
        <f t="shared" si="193"/>
        <v>0.14354825313458131</v>
      </c>
      <c r="AY34" s="128">
        <f t="shared" ref="AY34" si="194">AY31/AX31-1</f>
        <v>0.11749940138114767</v>
      </c>
    </row>
    <row r="35" spans="2:64" x14ac:dyDescent="0.35">
      <c r="B35" s="124" t="s">
        <v>192</v>
      </c>
      <c r="O35" s="128">
        <f>(1*(1+H34)*(1+O34))-1</f>
        <v>1.8323396136034882</v>
      </c>
      <c r="P35" s="128">
        <f>(1*(1+I34)*(1+P34))-1</f>
        <v>1.5129948203588799</v>
      </c>
      <c r="Q35" s="128"/>
      <c r="R35" s="128">
        <f>(1*(1+K34)*(1+R34))-1</f>
        <v>2.3502025714584338</v>
      </c>
      <c r="S35" s="128">
        <f>(1*(1+L34)*(1+S34))-1</f>
        <v>1.3079403233462421</v>
      </c>
      <c r="T35" s="128"/>
      <c r="U35" s="346">
        <f>(1*(1+N34)*(1+U34))-1</f>
        <v>1.7126391279968929</v>
      </c>
      <c r="V35" s="128">
        <f>(1*(1+O34)*(1+V34))-1</f>
        <v>2.3062214064967756</v>
      </c>
      <c r="W35" s="128">
        <f>(1*(1+P34)*(1+W34))-1</f>
        <v>1.9275147258524084</v>
      </c>
      <c r="X35" s="128">
        <f>(1*(1+R34)*(1+X34))-1</f>
        <v>1.5216766531039592</v>
      </c>
      <c r="Y35" s="128">
        <f>(1*(1+S34)*(1+Y34))-1</f>
        <v>1.9503168347360642</v>
      </c>
      <c r="Z35" s="129">
        <f t="shared" ref="Z35" si="195">(1*(1+U34)*(1+Z34))-1</f>
        <v>1.8735331860424611</v>
      </c>
      <c r="AA35" s="128">
        <f>(1*(1+T34)*(1+AA34))-1</f>
        <v>1.8671285166489295</v>
      </c>
      <c r="AB35" s="128">
        <f>(1*(1+U34)*(1+AB34))-1</f>
        <v>1.5953997974866891</v>
      </c>
      <c r="AC35" s="128">
        <f>(1*(1+W34)*(1+AC34))-1</f>
        <v>1.4400349059865376</v>
      </c>
      <c r="AD35" s="128">
        <f>(1*(1+X34)*(1+AD34))-1</f>
        <v>0.8344197405625422</v>
      </c>
      <c r="AE35" s="129">
        <f>(1*(1+Z34)*(1+AE34))-1</f>
        <v>1.4732266077836043</v>
      </c>
      <c r="AF35" s="128"/>
      <c r="AG35" s="128"/>
      <c r="AH35" s="128"/>
      <c r="AI35" s="128"/>
      <c r="AJ35" s="129">
        <f>(1*(1+AE34)*(1+AJ34))-1</f>
        <v>0.89698060715162442</v>
      </c>
      <c r="AK35" s="128"/>
      <c r="AL35" s="128"/>
      <c r="AM35" s="128"/>
      <c r="AN35" s="128"/>
      <c r="AO35" s="129">
        <f>(1*(1+AJ34)*(1+AO34))-1</f>
        <v>0.68182579097148643</v>
      </c>
      <c r="AP35" s="128"/>
      <c r="AQ35" s="128"/>
      <c r="AR35" s="128"/>
      <c r="AS35" s="128"/>
      <c r="AT35" s="128">
        <f>(1*(1+AO34)*(1+AT34))-1</f>
        <v>0.51064391477564031</v>
      </c>
      <c r="AU35" s="128">
        <f t="shared" ref="AU35:AY35" si="196">(1*(1+AT34)*(1+AU34))-1</f>
        <v>0.37973597835462392</v>
      </c>
      <c r="AV35" s="128">
        <f t="shared" si="196"/>
        <v>0.38262227783248903</v>
      </c>
      <c r="AW35" s="128">
        <f t="shared" si="196"/>
        <v>0.3478719230221301</v>
      </c>
      <c r="AX35" s="128">
        <f t="shared" si="196"/>
        <v>0.32375333640773651</v>
      </c>
      <c r="AY35" s="128">
        <f t="shared" si="196"/>
        <v>0.27791448832835175</v>
      </c>
    </row>
    <row r="36" spans="2:64" x14ac:dyDescent="0.35">
      <c r="AA36" s="127"/>
      <c r="AC36" s="127"/>
      <c r="AK36" s="562"/>
      <c r="AL36" s="562"/>
      <c r="AM36" s="562"/>
      <c r="AN36" s="562"/>
      <c r="AP36" s="562"/>
      <c r="AQ36" s="562"/>
      <c r="AR36" s="562"/>
      <c r="AS36" s="562"/>
    </row>
    <row r="37" spans="2:64" x14ac:dyDescent="0.35">
      <c r="B37" s="243" t="s">
        <v>164</v>
      </c>
      <c r="C37" s="244"/>
      <c r="D37" s="244"/>
      <c r="E37" s="244"/>
      <c r="F37" s="244"/>
      <c r="G37" s="514"/>
      <c r="H37" s="244"/>
      <c r="I37" s="244"/>
      <c r="J37" s="244"/>
      <c r="K37" s="244"/>
      <c r="L37" s="244"/>
      <c r="M37" s="244"/>
      <c r="N37" s="245"/>
      <c r="O37" s="244"/>
      <c r="P37" s="244"/>
      <c r="Q37" s="244"/>
      <c r="R37" s="244"/>
      <c r="S37" s="244"/>
      <c r="T37" s="244"/>
      <c r="U37" s="349"/>
      <c r="V37" s="244"/>
      <c r="W37" s="244"/>
      <c r="X37" s="244"/>
      <c r="Y37" s="244"/>
      <c r="Z37" s="245"/>
      <c r="AA37" s="244"/>
      <c r="AB37" s="244"/>
      <c r="AC37" s="244"/>
      <c r="AD37" s="244"/>
      <c r="AE37" s="245"/>
      <c r="AF37" s="244"/>
      <c r="AG37" s="244"/>
      <c r="AH37" s="244"/>
      <c r="AI37" s="244"/>
      <c r="AJ37" s="245"/>
      <c r="AK37" s="244"/>
      <c r="AL37" s="244"/>
      <c r="AM37" s="244"/>
      <c r="AN37" s="244"/>
      <c r="AO37" s="245"/>
      <c r="AP37" s="244"/>
      <c r="AQ37" s="244"/>
      <c r="AR37" s="244"/>
      <c r="AS37" s="244"/>
      <c r="AT37" s="244"/>
      <c r="AU37" s="244"/>
      <c r="AV37" s="244"/>
      <c r="AW37" s="244"/>
      <c r="AX37" s="244"/>
      <c r="AY37" s="244"/>
    </row>
    <row r="38" spans="2:64" s="110" customFormat="1" x14ac:dyDescent="0.35">
      <c r="B38" s="123" t="s">
        <v>4</v>
      </c>
      <c r="C38" s="125">
        <v>46.347513200000002</v>
      </c>
      <c r="D38" s="125">
        <v>67.031732180000006</v>
      </c>
      <c r="E38" s="125">
        <v>61.496701270000003</v>
      </c>
      <c r="F38" s="125">
        <v>80.735852739999999</v>
      </c>
      <c r="G38" s="515">
        <v>255.61179938999999</v>
      </c>
      <c r="H38" s="125">
        <v>66.72929701999999</v>
      </c>
      <c r="I38" s="125">
        <v>94.97009134999999</v>
      </c>
      <c r="J38" s="125">
        <f>I38+H38</f>
        <v>161.69938836999998</v>
      </c>
      <c r="K38" s="125">
        <v>124.07350585999998</v>
      </c>
      <c r="L38" s="125">
        <v>120.61740248</v>
      </c>
      <c r="M38" s="125">
        <f>L38+K38</f>
        <v>244.69090833999996</v>
      </c>
      <c r="N38" s="126">
        <v>406.39029670237625</v>
      </c>
      <c r="O38" s="125">
        <f t="shared" ref="O38" si="197">H38*(1+O41)</f>
        <v>131.69999999999999</v>
      </c>
      <c r="P38" s="125">
        <f>P53-P43-P48</f>
        <v>165.2999999999999</v>
      </c>
      <c r="Q38" s="125">
        <f>P38+O38</f>
        <v>296.99999999999989</v>
      </c>
      <c r="R38" s="125">
        <f>K38*(1+R41)</f>
        <v>205</v>
      </c>
      <c r="S38" s="125">
        <f>L38*(1+S41)</f>
        <v>181.3000000000001</v>
      </c>
      <c r="T38" s="125">
        <f>S38+R38</f>
        <v>386.30000000000007</v>
      </c>
      <c r="U38" s="350">
        <f>T38+Q38</f>
        <v>683.3</v>
      </c>
      <c r="V38" s="125">
        <f t="shared" ref="V38" si="198">O38*(1+V41)</f>
        <v>222.50000000000003</v>
      </c>
      <c r="W38" s="125">
        <f t="shared" ref="W38" si="199">P38*(1+W41)</f>
        <v>280.62100000000004</v>
      </c>
      <c r="X38" s="125">
        <f>R38*(1+X41)</f>
        <v>310.892</v>
      </c>
      <c r="Y38" s="125">
        <f>S38*(1+Y41)</f>
        <v>353.48699999999997</v>
      </c>
      <c r="Z38" s="126">
        <f>SUM(V38:Y38)</f>
        <v>1167.5</v>
      </c>
      <c r="AA38" s="125">
        <f>V38*(1+AA41)</f>
        <v>400.5</v>
      </c>
      <c r="AB38" s="125">
        <f>W38*(1+AB41)</f>
        <v>428.20000000000005</v>
      </c>
      <c r="AC38" s="125">
        <f t="shared" ref="AC38:AD38" si="200">X38*(1+AC41)</f>
        <v>456.9</v>
      </c>
      <c r="AD38" s="125">
        <f t="shared" si="200"/>
        <v>425.8000000000003</v>
      </c>
      <c r="AE38" s="126">
        <f>SUM(AA38:AD38)</f>
        <v>1711.4</v>
      </c>
      <c r="AF38" s="540">
        <f>AA38*(1+AF41)</f>
        <v>484.69999999999993</v>
      </c>
      <c r="AG38" s="125">
        <v>542.5</v>
      </c>
      <c r="AH38" s="125">
        <v>603.70000000000005</v>
      </c>
      <c r="AI38" s="125">
        <f>AJ38-AH38-AG38-AF38</f>
        <v>568.69999999999993</v>
      </c>
      <c r="AJ38" s="126">
        <f>AE38*(1+AJ41)</f>
        <v>2199.6</v>
      </c>
      <c r="AK38" s="125">
        <v>680.9</v>
      </c>
      <c r="AL38" s="125">
        <v>704.9</v>
      </c>
      <c r="AM38" s="125">
        <v>731.3</v>
      </c>
      <c r="AN38" s="125">
        <f>AO38-AM38-AL38-AK38</f>
        <v>687.29999999999939</v>
      </c>
      <c r="AO38" s="126">
        <f>AJ38*(1+AO41)</f>
        <v>2804.3999999999992</v>
      </c>
      <c r="AP38" s="125">
        <f t="shared" ref="AP38:AR38" si="201">AK38*(1+AP41)</f>
        <v>763.69999999999982</v>
      </c>
      <c r="AQ38" s="125">
        <f t="shared" si="201"/>
        <v>781.59999999999991</v>
      </c>
      <c r="AR38" s="125">
        <f t="shared" si="201"/>
        <v>871.04255368368445</v>
      </c>
      <c r="AS38" s="125">
        <f>AT38-AR38-AQ38-AP38</f>
        <v>765.19115636541073</v>
      </c>
      <c r="AT38" s="139">
        <f t="shared" ref="AT38:AX38" si="202">AT42*AT31</f>
        <v>3181.5337100490951</v>
      </c>
      <c r="AU38" s="139">
        <f t="shared" si="202"/>
        <v>3694.6735596697508</v>
      </c>
      <c r="AV38" s="139">
        <f t="shared" si="202"/>
        <v>4205.1746998392855</v>
      </c>
      <c r="AW38" s="139">
        <f t="shared" si="202"/>
        <v>4755.7404333057775</v>
      </c>
      <c r="AX38" s="139">
        <f t="shared" si="202"/>
        <v>5310.2232906469817</v>
      </c>
      <c r="AY38" s="139">
        <f t="shared" ref="AY38" si="203">AY42*AY31</f>
        <v>5790.9130945460529</v>
      </c>
      <c r="AZ38" s="195"/>
      <c r="BL38" s="15"/>
    </row>
    <row r="39" spans="2:64" x14ac:dyDescent="0.35">
      <c r="B39" s="124" t="s">
        <v>156</v>
      </c>
      <c r="AF39" s="541"/>
      <c r="AG39" s="128">
        <v>0.28199999999999997</v>
      </c>
      <c r="AH39" s="128">
        <v>0.32900000000000001</v>
      </c>
      <c r="AI39" s="128">
        <v>0.38500000000000001</v>
      </c>
      <c r="AJ39" s="129">
        <v>0.32300000000000001</v>
      </c>
      <c r="AK39" s="127">
        <f t="shared" ref="AK39:AL39" si="204">((1+AK41)/(1+AK40))-1</f>
        <v>0.3753329008046169</v>
      </c>
      <c r="AL39" s="127">
        <f t="shared" si="204"/>
        <v>0.36004125814810606</v>
      </c>
      <c r="AM39" s="127">
        <f t="shared" ref="AM39" si="205">((1+AM41)/(1+AM40))-1</f>
        <v>0.3044092631590225</v>
      </c>
      <c r="AN39" s="128">
        <v>0.28799999999999998</v>
      </c>
      <c r="AO39" s="129">
        <v>0.32900000000000001</v>
      </c>
      <c r="AP39" s="127">
        <v>0.24</v>
      </c>
      <c r="AQ39" s="127">
        <v>0.189</v>
      </c>
      <c r="AR39" s="127">
        <v>0.21</v>
      </c>
      <c r="AS39" s="128">
        <f>AS41-AS55</f>
        <v>9.5477772288508511E-2</v>
      </c>
    </row>
    <row r="40" spans="2:64" x14ac:dyDescent="0.35">
      <c r="B40" s="124" t="s">
        <v>157</v>
      </c>
      <c r="AF40" s="541"/>
      <c r="AG40" s="127">
        <f>AG41-AG39</f>
        <v>-1.5068659504904269E-2</v>
      </c>
      <c r="AH40" s="127">
        <f>AH41-AH39</f>
        <v>-7.7043116655722277E-3</v>
      </c>
      <c r="AI40" s="128">
        <f>AI41-AI39</f>
        <v>-4.9396430248944245E-2</v>
      </c>
      <c r="AJ40" s="129">
        <f>AJ41-AJ39</f>
        <v>-3.7736473062989384E-2</v>
      </c>
      <c r="AK40" s="128">
        <v>2.1415589660743323E-2</v>
      </c>
      <c r="AL40" s="128">
        <v>-4.4621013572089703E-2</v>
      </c>
      <c r="AM40" s="128">
        <v>-7.1331909309186869E-2</v>
      </c>
      <c r="AN40" s="128">
        <f>AN41-AN39</f>
        <v>-7.9454193775277904E-2</v>
      </c>
      <c r="AO40" s="129">
        <f>AO41-AO39</f>
        <v>-5.4040916530278538E-2</v>
      </c>
      <c r="AP40" s="128">
        <v>-9.5480838927605352E-2</v>
      </c>
      <c r="AQ40" s="128">
        <v>-6.7443431245012023E-2</v>
      </c>
      <c r="AR40" s="128">
        <f>AR133</f>
        <v>-1.5629865886195554E-2</v>
      </c>
      <c r="AS40" s="128">
        <f>AS41-AS39</f>
        <v>1.7851423645452558E-2</v>
      </c>
    </row>
    <row r="41" spans="2:64" x14ac:dyDescent="0.35">
      <c r="B41" s="124" t="s">
        <v>158</v>
      </c>
      <c r="H41" s="128">
        <f>H38/C38-1</f>
        <v>0.43976003053384938</v>
      </c>
      <c r="I41" s="128">
        <f t="shared" ref="I41" si="206">I38/D38-1</f>
        <v>0.41679303609486373</v>
      </c>
      <c r="J41" s="128"/>
      <c r="K41" s="128">
        <f t="shared" ref="K41" si="207">K38/E38-1</f>
        <v>1.0175635976840094</v>
      </c>
      <c r="L41" s="128">
        <f t="shared" ref="L41" si="208">L38/F38-1</f>
        <v>0.4939757045538824</v>
      </c>
      <c r="M41" s="128"/>
      <c r="N41" s="129">
        <f t="shared" ref="N41" si="209">N38/G38-1</f>
        <v>0.58987299362626766</v>
      </c>
      <c r="O41" s="128">
        <v>0.9736458479478225</v>
      </c>
      <c r="P41" s="128">
        <f t="shared" ref="P41:Q41" si="210">P38/I38-1</f>
        <v>0.7405479730540443</v>
      </c>
      <c r="Q41" s="128">
        <f t="shared" si="210"/>
        <v>0.83674164134996931</v>
      </c>
      <c r="R41" s="128">
        <v>0.65224637265682273</v>
      </c>
      <c r="S41" s="128">
        <v>0.50309985352289532</v>
      </c>
      <c r="T41" s="128">
        <v>0.44500000000000001</v>
      </c>
      <c r="U41" s="346">
        <f t="shared" ref="U41" si="211">U38/N38-1</f>
        <v>0.68138857040777512</v>
      </c>
      <c r="V41" s="128">
        <v>0.68944570994684917</v>
      </c>
      <c r="W41" s="128">
        <v>0.69764670296430853</v>
      </c>
      <c r="X41" s="128">
        <v>0.5165463414634146</v>
      </c>
      <c r="Y41" s="128">
        <v>0.94973524544952992</v>
      </c>
      <c r="Z41" s="129">
        <f t="shared" ref="Z41" si="212">Z38/U38-1</f>
        <v>0.70861993267964296</v>
      </c>
      <c r="AA41" s="128">
        <v>0.79999999999999993</v>
      </c>
      <c r="AB41" s="128">
        <v>0.52590148278282822</v>
      </c>
      <c r="AC41" s="128">
        <v>0.4696421908572751</v>
      </c>
      <c r="AD41" s="128">
        <v>0.20457046510904309</v>
      </c>
      <c r="AE41" s="129">
        <f t="shared" ref="AE41" si="213">AE38/Z38-1</f>
        <v>0.46586723768736626</v>
      </c>
      <c r="AF41" s="131">
        <v>0.21023720349563038</v>
      </c>
      <c r="AG41" s="128">
        <f>AG38/AB38-1</f>
        <v>0.2669313404950957</v>
      </c>
      <c r="AH41" s="128">
        <f>AH38/AC38-1</f>
        <v>0.32129568833442779</v>
      </c>
      <c r="AI41" s="128">
        <f>AI38/AD38-1</f>
        <v>0.33560356975105576</v>
      </c>
      <c r="AJ41" s="129">
        <v>0.28526352693701063</v>
      </c>
      <c r="AK41" s="128">
        <f>AK38/AF38-1</f>
        <v>0.40478646585516831</v>
      </c>
      <c r="AL41" s="128">
        <f>AL38/AG38-1</f>
        <v>0.29935483870967738</v>
      </c>
      <c r="AM41" s="128">
        <f>AM38/AH38-1</f>
        <v>0.21136325989729987</v>
      </c>
      <c r="AN41" s="128">
        <f>AN38/AI38-1</f>
        <v>0.20854580622472207</v>
      </c>
      <c r="AO41" s="129">
        <v>0.27495908346972148</v>
      </c>
      <c r="AP41" s="128">
        <f>((1+AP40)*(1+AP39))-1</f>
        <v>0.12160375972976922</v>
      </c>
      <c r="AQ41" s="128">
        <f t="shared" ref="AQ41:AR41" si="214">((1+AQ40)*(1+AQ39))-1</f>
        <v>0.1088097602496807</v>
      </c>
      <c r="AR41" s="128">
        <f t="shared" si="214"/>
        <v>0.19108786227770347</v>
      </c>
      <c r="AS41" s="128">
        <f>AS38/AN38-1</f>
        <v>0.11332919593396107</v>
      </c>
      <c r="AT41" s="128">
        <f>AT38/AO38-1</f>
        <v>0.13447928613931537</v>
      </c>
      <c r="AU41" s="128">
        <f t="shared" ref="AU41:AX41" si="215">AU38/AT38-1</f>
        <v>0.16128694409236277</v>
      </c>
      <c r="AV41" s="128">
        <f t="shared" si="215"/>
        <v>0.13817219083765719</v>
      </c>
      <c r="AW41" s="128">
        <f t="shared" si="215"/>
        <v>0.13092576950192658</v>
      </c>
      <c r="AX41" s="128">
        <f t="shared" si="215"/>
        <v>0.11659232986266566</v>
      </c>
      <c r="AY41" s="128">
        <f t="shared" ref="AY41" si="216">AY38/AX38-1</f>
        <v>9.052158027812518E-2</v>
      </c>
    </row>
    <row r="42" spans="2:64" x14ac:dyDescent="0.35">
      <c r="B42" s="124" t="s">
        <v>163</v>
      </c>
      <c r="C42" s="128">
        <f>C38/C$53</f>
        <v>0.93498502584309473</v>
      </c>
      <c r="D42" s="128">
        <f t="shared" ref="D42:AJ42" si="217">D38/D$53</f>
        <v>0.96202396212463581</v>
      </c>
      <c r="E42" s="128">
        <f t="shared" si="217"/>
        <v>0.94507526023378507</v>
      </c>
      <c r="F42" s="128">
        <f t="shared" si="217"/>
        <v>0.97505771888220893</v>
      </c>
      <c r="G42" s="513">
        <f t="shared" si="217"/>
        <v>0.95691770439277668</v>
      </c>
      <c r="H42" s="128">
        <f t="shared" si="217"/>
        <v>0.93602813002972218</v>
      </c>
      <c r="I42" s="128">
        <f t="shared" si="217"/>
        <v>0.95324842092104356</v>
      </c>
      <c r="J42" s="128"/>
      <c r="K42" s="128">
        <f t="shared" si="217"/>
        <v>0.95384409458137143</v>
      </c>
      <c r="L42" s="128">
        <f t="shared" si="217"/>
        <v>0.97037167659384982</v>
      </c>
      <c r="M42" s="128"/>
      <c r="N42" s="129">
        <f t="shared" si="217"/>
        <v>0.95554864909575365</v>
      </c>
      <c r="O42" s="128">
        <f t="shared" si="217"/>
        <v>0.9380341880341877</v>
      </c>
      <c r="P42" s="128">
        <f t="shared" si="217"/>
        <v>0.94403198172472869</v>
      </c>
      <c r="Q42" s="128">
        <f t="shared" si="217"/>
        <v>0.94136291600633892</v>
      </c>
      <c r="R42" s="128">
        <f t="shared" si="217"/>
        <v>0.94036697247706413</v>
      </c>
      <c r="S42" s="128">
        <f t="shared" si="217"/>
        <v>0.94871794871794901</v>
      </c>
      <c r="T42" s="128">
        <f t="shared" ref="T42" si="218">T38/T$53</f>
        <v>0.94426790515766312</v>
      </c>
      <c r="U42" s="346">
        <f t="shared" si="217"/>
        <v>0.94300303615787995</v>
      </c>
      <c r="V42" s="128">
        <f t="shared" si="217"/>
        <v>0.94399660585490042</v>
      </c>
      <c r="W42" s="128">
        <f t="shared" si="217"/>
        <v>0.96214453716973758</v>
      </c>
      <c r="X42" s="128">
        <f t="shared" si="217"/>
        <v>0.94780389801623743</v>
      </c>
      <c r="Y42" s="128">
        <f t="shared" si="217"/>
        <v>0.96390210648305985</v>
      </c>
      <c r="Z42" s="129">
        <f t="shared" si="217"/>
        <v>0.95532280500777356</v>
      </c>
      <c r="AA42" s="128">
        <f t="shared" ref="AA42:AD42" si="219">AA38/AA$53</f>
        <v>0.95311756306520734</v>
      </c>
      <c r="AB42" s="128">
        <f t="shared" si="219"/>
        <v>0.96376322304749062</v>
      </c>
      <c r="AC42" s="128">
        <f t="shared" si="219"/>
        <v>0.95088449531737773</v>
      </c>
      <c r="AD42" s="128">
        <f t="shared" si="219"/>
        <v>0.95235965108476883</v>
      </c>
      <c r="AE42" s="129">
        <f t="shared" si="217"/>
        <v>0.95496903074605222</v>
      </c>
      <c r="AF42" s="131">
        <f t="shared" si="217"/>
        <v>0.95375836284927185</v>
      </c>
      <c r="AG42" s="128">
        <f t="shared" ref="AG42:AH42" si="220">AG38/AG$53</f>
        <v>0.95561035758323054</v>
      </c>
      <c r="AH42" s="128">
        <f t="shared" si="220"/>
        <v>0.94951242529097213</v>
      </c>
      <c r="AI42" s="128">
        <f t="shared" ref="AI42" si="221">AI38/AI$53</f>
        <v>0.9375206066600722</v>
      </c>
      <c r="AJ42" s="129">
        <f t="shared" si="217"/>
        <v>0.94879868869430173</v>
      </c>
      <c r="AK42" s="128">
        <f t="shared" ref="AK42:AO42" si="222">AK38/AK$53</f>
        <v>0.9371626200804124</v>
      </c>
      <c r="AL42" s="128">
        <f t="shared" si="222"/>
        <v>0.94084514561810939</v>
      </c>
      <c r="AM42" s="128">
        <f t="shared" si="222"/>
        <v>0.92056898288016065</v>
      </c>
      <c r="AN42" s="128">
        <f t="shared" si="222"/>
        <v>0.9240074146452677</v>
      </c>
      <c r="AO42" s="129">
        <f t="shared" si="222"/>
        <v>0.93045786330457803</v>
      </c>
      <c r="AP42" s="128">
        <f t="shared" ref="AP42:AS42" si="223">AP38/AP$53</f>
        <v>0.91801899266738762</v>
      </c>
      <c r="AQ42" s="128">
        <f t="shared" si="223"/>
        <v>0.91920498647536131</v>
      </c>
      <c r="AR42" s="128">
        <f t="shared" si="223"/>
        <v>0.94982209520397387</v>
      </c>
      <c r="AS42" s="128">
        <f t="shared" si="223"/>
        <v>0.84751245379940665</v>
      </c>
      <c r="AT42" s="128">
        <f>AO42-0.022</f>
        <v>0.90845786330457801</v>
      </c>
      <c r="AU42" s="128">
        <f t="shared" ref="AU42:AY42" si="224">AT42-0.02</f>
        <v>0.88845786330457799</v>
      </c>
      <c r="AV42" s="128">
        <f t="shared" si="224"/>
        <v>0.86845786330457797</v>
      </c>
      <c r="AW42" s="128">
        <f t="shared" si="224"/>
        <v>0.84845786330457795</v>
      </c>
      <c r="AX42" s="128">
        <f t="shared" si="224"/>
        <v>0.82845786330457794</v>
      </c>
      <c r="AY42" s="128">
        <f t="shared" si="224"/>
        <v>0.80845786330457792</v>
      </c>
    </row>
    <row r="43" spans="2:64" s="110" customFormat="1" x14ac:dyDescent="0.35">
      <c r="B43" s="123" t="s">
        <v>0</v>
      </c>
      <c r="C43" s="125">
        <v>2.7473304000000001</v>
      </c>
      <c r="D43" s="125">
        <v>2.1792265899999999</v>
      </c>
      <c r="E43" s="125">
        <v>3.0092064600000001</v>
      </c>
      <c r="F43" s="125">
        <v>1.6340034699999999</v>
      </c>
      <c r="G43" s="515">
        <v>9.5697669199999993</v>
      </c>
      <c r="H43" s="125">
        <v>3.8620094200000001</v>
      </c>
      <c r="I43" s="125">
        <v>3.7889126499999999</v>
      </c>
      <c r="J43" s="125">
        <f>I43+H43</f>
        <v>7.65092207</v>
      </c>
      <c r="K43" s="125">
        <v>4.9389167499999997</v>
      </c>
      <c r="L43" s="125">
        <v>3.1602186999999997</v>
      </c>
      <c r="M43" s="125">
        <f>L43+K43</f>
        <v>8.0991354499999986</v>
      </c>
      <c r="N43" s="126">
        <v>15.750057519072168</v>
      </c>
      <c r="O43" s="125">
        <f t="shared" ref="O43" si="225">H43*(1+O46)</f>
        <v>7.7999999999999972</v>
      </c>
      <c r="P43" s="125">
        <f t="shared" ref="P43" si="226">I43*(1+P46)</f>
        <v>8.8000000000000096</v>
      </c>
      <c r="Q43" s="125">
        <f>P43+O43</f>
        <v>16.600000000000009</v>
      </c>
      <c r="R43" s="125">
        <f>K43*(1+R46)</f>
        <v>11.499999999999998</v>
      </c>
      <c r="S43" s="125">
        <f>L43*(1+S46)</f>
        <v>8.1999999999999886</v>
      </c>
      <c r="T43" s="125">
        <f>S43+R43</f>
        <v>19.699999999999989</v>
      </c>
      <c r="U43" s="350">
        <f>T43+Q43</f>
        <v>36.299999999999997</v>
      </c>
      <c r="V43" s="125">
        <f t="shared" ref="V43" si="227">O43*(1+V46)</f>
        <v>11.400000000000006</v>
      </c>
      <c r="W43" s="125">
        <f t="shared" ref="W43" si="228">P43*(1+W46)</f>
        <v>9.2040000000000024</v>
      </c>
      <c r="X43" s="125">
        <f>R43*(1+X46)</f>
        <v>15.234</v>
      </c>
      <c r="Y43" s="125">
        <f>S43*(1+Y46)</f>
        <v>11.461999999999986</v>
      </c>
      <c r="Z43" s="126">
        <f>SUM(V43:Y43)</f>
        <v>47.3</v>
      </c>
      <c r="AA43" s="125">
        <f>V43*(1+AA46)</f>
        <v>16.899999999999991</v>
      </c>
      <c r="AB43" s="125">
        <f t="shared" ref="AB43:AD43" si="229">W43*(1+AB46)</f>
        <v>13.399999999999999</v>
      </c>
      <c r="AC43" s="125">
        <f t="shared" si="229"/>
        <v>20.099999999999998</v>
      </c>
      <c r="AD43" s="125">
        <f t="shared" si="229"/>
        <v>18.500000000000004</v>
      </c>
      <c r="AE43" s="126">
        <f>SUM(AA43:AD43)</f>
        <v>68.899999999999991</v>
      </c>
      <c r="AF43" s="540">
        <f>AA43*(1+AF46)</f>
        <v>19.700000000000006</v>
      </c>
      <c r="AG43" s="125">
        <v>21.9</v>
      </c>
      <c r="AH43" s="125">
        <v>26.8</v>
      </c>
      <c r="AI43" s="125">
        <f>AJ43-AH43-AG43-AF43</f>
        <v>32.599999999999994</v>
      </c>
      <c r="AJ43" s="126">
        <f>AE43*(1+AJ46)</f>
        <v>101</v>
      </c>
      <c r="AK43" s="125">
        <f>AF43*(1+AK46)</f>
        <v>38.100000000000009</v>
      </c>
      <c r="AL43" s="125">
        <v>36.700000000000003</v>
      </c>
      <c r="AM43" s="125">
        <v>50.1</v>
      </c>
      <c r="AN43" s="125">
        <f>AO43-AM43-AL43-AK43</f>
        <v>45</v>
      </c>
      <c r="AO43" s="126">
        <f>AJ43*(1+AO46)</f>
        <v>169.9</v>
      </c>
      <c r="AP43" s="125">
        <f t="shared" ref="AP43:AR43" si="230">AK43*(1+AP46)</f>
        <v>55.299999999999983</v>
      </c>
      <c r="AQ43" s="125">
        <f t="shared" si="230"/>
        <v>54.199999999999989</v>
      </c>
      <c r="AR43" s="125">
        <f t="shared" si="230"/>
        <v>73.975415578652402</v>
      </c>
      <c r="AS43" s="125">
        <f>AT43-AR43-AQ43-AP43</f>
        <v>59.481584421347605</v>
      </c>
      <c r="AT43" s="125">
        <f>AO43*(1+AT46)</f>
        <v>242.95699999999999</v>
      </c>
      <c r="AU43" s="119">
        <f t="shared" ref="AU43:AX43" si="231">AU53-AU48-AU38</f>
        <v>400.75811227288432</v>
      </c>
      <c r="AV43" s="119">
        <f t="shared" si="231"/>
        <v>558.63637108402781</v>
      </c>
      <c r="AW43" s="119">
        <f t="shared" si="231"/>
        <v>753.16661383601422</v>
      </c>
      <c r="AX43" s="119">
        <f t="shared" si="231"/>
        <v>983.06797108173305</v>
      </c>
      <c r="AY43" s="119">
        <f t="shared" ref="AY43" si="232">AY53-AY48-AY38</f>
        <v>1234.6732104553839</v>
      </c>
      <c r="AZ43" s="195"/>
    </row>
    <row r="44" spans="2:64" x14ac:dyDescent="0.35">
      <c r="B44" s="124" t="s">
        <v>156</v>
      </c>
      <c r="AF44" s="541"/>
      <c r="AG44" s="128">
        <v>0.66600000000000004</v>
      </c>
      <c r="AH44" s="128">
        <v>0.34699999999999998</v>
      </c>
      <c r="AI44" s="128">
        <v>0.82499999999999996</v>
      </c>
      <c r="AJ44" s="129">
        <v>0.51400000000000001</v>
      </c>
      <c r="AK44" s="127">
        <f t="shared" ref="AK44:AL44" si="233">((1+AK46)/(1+AK45))-1</f>
        <v>0.91002666729223169</v>
      </c>
      <c r="AL44" s="127">
        <f t="shared" si="233"/>
        <v>0.75539095182668503</v>
      </c>
      <c r="AM44" s="127">
        <f t="shared" ref="AM44" si="234">((1+AM46)/(1+AM45))-1</f>
        <v>1.0022205946763019</v>
      </c>
      <c r="AN44" s="127">
        <v>0.46</v>
      </c>
      <c r="AO44" s="129">
        <v>0.755</v>
      </c>
      <c r="AP44" s="127">
        <v>0.57499999999999996</v>
      </c>
      <c r="AQ44" s="127">
        <v>0.56200000000000006</v>
      </c>
      <c r="AR44" s="127">
        <v>0.5</v>
      </c>
      <c r="AS44" s="128">
        <f>AS46-AS55</f>
        <v>0.30396156349560544</v>
      </c>
    </row>
    <row r="45" spans="2:64" x14ac:dyDescent="0.35">
      <c r="B45" s="124" t="s">
        <v>157</v>
      </c>
      <c r="AF45" s="541"/>
      <c r="AG45" s="127">
        <f>AG46-AG44</f>
        <v>-3.1671641791044647E-2</v>
      </c>
      <c r="AH45" s="127">
        <f>AH46-AH44</f>
        <v>-1.3666666666666494E-2</v>
      </c>
      <c r="AI45" s="128">
        <f t="shared" ref="AI45:AJ45" si="235">AI46-AI44</f>
        <v>-6.2837837837838473E-2</v>
      </c>
      <c r="AJ45" s="129">
        <f t="shared" si="235"/>
        <v>-4.8107402031930202E-2</v>
      </c>
      <c r="AK45" s="128">
        <v>1.2556623110415749E-2</v>
      </c>
      <c r="AL45" s="128">
        <v>-4.5796608295735529E-2</v>
      </c>
      <c r="AM45" s="128">
        <v>-6.6335153056972532E-2</v>
      </c>
      <c r="AN45" s="128">
        <f>AN46-AN44</f>
        <v>-7.9631901840490571E-2</v>
      </c>
      <c r="AO45" s="129">
        <f t="shared" ref="AO45" si="236">AO46-AO44</f>
        <v>-7.2821782178217775E-2</v>
      </c>
      <c r="AP45" s="128">
        <v>-7.8448527267425322E-2</v>
      </c>
      <c r="AQ45" s="128">
        <v>-5.4520334790511951E-2</v>
      </c>
      <c r="AR45" s="128">
        <f>AR40</f>
        <v>-1.5629865886195554E-2</v>
      </c>
      <c r="AS45" s="128">
        <f t="shared" ref="AS45" si="237">AS46-AS44</f>
        <v>1.7851423645452558E-2</v>
      </c>
    </row>
    <row r="46" spans="2:64" x14ac:dyDescent="0.35">
      <c r="B46" s="124" t="s">
        <v>158</v>
      </c>
      <c r="H46" s="128">
        <f>H43/C43-1</f>
        <v>0.40573169503020101</v>
      </c>
      <c r="I46" s="128">
        <f t="shared" ref="I46" si="238">I43/D43-1</f>
        <v>0.73865015569583337</v>
      </c>
      <c r="J46" s="128"/>
      <c r="K46" s="128">
        <f t="shared" ref="K46" si="239">K43/E43-1</f>
        <v>0.64126882473859892</v>
      </c>
      <c r="L46" s="128">
        <f t="shared" ref="L46" si="240">L43/F43-1</f>
        <v>0.93403426493335417</v>
      </c>
      <c r="M46" s="128"/>
      <c r="N46" s="129">
        <f t="shared" ref="N46" si="241">N43/G43-1</f>
        <v>0.6458141196893612</v>
      </c>
      <c r="O46" s="128">
        <v>1.0196739965486663</v>
      </c>
      <c r="P46" s="128">
        <v>1.3225660797432239</v>
      </c>
      <c r="Q46" s="128">
        <f>Q43/J43-1</f>
        <v>1.1696731254249997</v>
      </c>
      <c r="R46" s="128">
        <v>1.3284458074738756</v>
      </c>
      <c r="S46" s="128">
        <v>1.594757128675933</v>
      </c>
      <c r="T46" s="128">
        <f>T43/M43-1</f>
        <v>1.4323583821529979</v>
      </c>
      <c r="U46" s="346">
        <f t="shared" ref="U46" si="242">U43/N43-1</f>
        <v>1.3047534877916065</v>
      </c>
      <c r="V46" s="128">
        <v>0.46153846153846279</v>
      </c>
      <c r="W46" s="128">
        <v>4.5909090909090094E-2</v>
      </c>
      <c r="X46" s="128">
        <v>0.32469565217391327</v>
      </c>
      <c r="Y46" s="128">
        <v>0.39780487804878051</v>
      </c>
      <c r="Z46" s="129">
        <f t="shared" ref="Z46" si="243">Z43/U43-1</f>
        <v>0.30303030303030298</v>
      </c>
      <c r="AA46" s="128">
        <v>0.48245614035087586</v>
      </c>
      <c r="AB46" s="128">
        <v>0.4558887440243366</v>
      </c>
      <c r="AC46" s="128">
        <v>0.31941709334383606</v>
      </c>
      <c r="AD46" s="128">
        <v>0.61402896527656825</v>
      </c>
      <c r="AE46" s="129">
        <f t="shared" ref="AE46" si="244">AE43/Z43-1</f>
        <v>0.45665961945031697</v>
      </c>
      <c r="AF46" s="131">
        <v>0.16568047337278219</v>
      </c>
      <c r="AG46" s="128">
        <f>AG43/AB43-1</f>
        <v>0.63432835820895539</v>
      </c>
      <c r="AH46" s="128">
        <f>AH43/AC43-1</f>
        <v>0.33333333333333348</v>
      </c>
      <c r="AI46" s="128">
        <f>AI43/AD43-1</f>
        <v>0.76216216216216148</v>
      </c>
      <c r="AJ46" s="129">
        <v>0.46589259796806981</v>
      </c>
      <c r="AK46" s="128">
        <v>0.93401015228426376</v>
      </c>
      <c r="AL46" s="128">
        <v>0.67500000000000004</v>
      </c>
      <c r="AM46" s="128">
        <f>AM43/AH43-1</f>
        <v>0.86940298507462677</v>
      </c>
      <c r="AN46" s="128">
        <f>AN43/AI43-1</f>
        <v>0.38036809815950945</v>
      </c>
      <c r="AO46" s="129">
        <v>0.68217821782178223</v>
      </c>
      <c r="AP46" s="128">
        <f>((1+AP45)*(1+AP44))-1</f>
        <v>0.45144356955380505</v>
      </c>
      <c r="AQ46" s="128">
        <f t="shared" ref="AQ46:AR46" si="245">((1+AQ45)*(1+AQ44))-1</f>
        <v>0.47683923705722031</v>
      </c>
      <c r="AR46" s="128">
        <f t="shared" si="245"/>
        <v>0.4765552011707066</v>
      </c>
      <c r="AS46" s="128">
        <f>AS43/AN43-1</f>
        <v>0.32181298714105799</v>
      </c>
      <c r="AT46" s="128">
        <v>0.43</v>
      </c>
      <c r="AU46" s="128">
        <f t="shared" ref="AU46:AX46" si="246">AU43/AT43-1</f>
        <v>0.64950222579668138</v>
      </c>
      <c r="AV46" s="128">
        <f t="shared" si="246"/>
        <v>0.39394900309252123</v>
      </c>
      <c r="AW46" s="128">
        <f t="shared" si="246"/>
        <v>0.34822337538549908</v>
      </c>
      <c r="AX46" s="128">
        <f t="shared" si="246"/>
        <v>0.30524634658829264</v>
      </c>
      <c r="AY46" s="128">
        <f t="shared" ref="AY46" si="247">AY43/AX43-1</f>
        <v>0.25593880258024626</v>
      </c>
    </row>
    <row r="47" spans="2:64" x14ac:dyDescent="0.35">
      <c r="B47" s="124" t="s">
        <v>163</v>
      </c>
      <c r="C47" s="128">
        <f>C43/C$53</f>
        <v>5.5422882646560631E-2</v>
      </c>
      <c r="D47" s="128">
        <f t="shared" ref="D47:AX47" si="248">D43/D$53</f>
        <v>3.127575747035035E-2</v>
      </c>
      <c r="E47" s="128">
        <f t="shared" si="248"/>
        <v>4.6245189084134546E-2</v>
      </c>
      <c r="F47" s="128">
        <f t="shared" si="248"/>
        <v>1.9734079000003558E-2</v>
      </c>
      <c r="G47" s="513">
        <f t="shared" si="248"/>
        <v>3.5825730324320036E-2</v>
      </c>
      <c r="H47" s="128">
        <f t="shared" si="248"/>
        <v>5.4173348394128976E-2</v>
      </c>
      <c r="I47" s="128">
        <f t="shared" si="248"/>
        <v>3.8030657328837737E-2</v>
      </c>
      <c r="J47" s="128"/>
      <c r="K47" s="128">
        <f t="shared" si="248"/>
        <v>3.7969077628322925E-2</v>
      </c>
      <c r="L47" s="128">
        <f t="shared" si="248"/>
        <v>2.5424081892583598E-2</v>
      </c>
      <c r="M47" s="128"/>
      <c r="N47" s="129">
        <f t="shared" si="248"/>
        <v>3.703323211122779E-2</v>
      </c>
      <c r="O47" s="128">
        <f t="shared" si="248"/>
        <v>5.5555555555555525E-2</v>
      </c>
      <c r="P47" s="128">
        <f t="shared" si="248"/>
        <v>5.025699600228449E-2</v>
      </c>
      <c r="Q47" s="128">
        <f t="shared" si="248"/>
        <v>5.2614896988906534E-2</v>
      </c>
      <c r="R47" s="128">
        <f t="shared" si="248"/>
        <v>5.2752293577981633E-2</v>
      </c>
      <c r="S47" s="128">
        <f t="shared" si="248"/>
        <v>4.2909471480899984E-2</v>
      </c>
      <c r="T47" s="128">
        <f t="shared" si="248"/>
        <v>4.8154485455878721E-2</v>
      </c>
      <c r="U47" s="346">
        <f t="shared" si="248"/>
        <v>5.0096605023461208E-2</v>
      </c>
      <c r="V47" s="128">
        <f t="shared" si="248"/>
        <v>4.8366567670767954E-2</v>
      </c>
      <c r="W47" s="128">
        <f t="shared" si="248"/>
        <v>3.1557076341792903E-2</v>
      </c>
      <c r="X47" s="128">
        <f t="shared" si="248"/>
        <v>4.6443281211415416E-2</v>
      </c>
      <c r="Y47" s="128">
        <f t="shared" si="248"/>
        <v>3.1255027609243959E-2</v>
      </c>
      <c r="Z47" s="129">
        <f t="shared" si="248"/>
        <v>3.8703870387038701E-2</v>
      </c>
      <c r="AA47" s="128">
        <f t="shared" ref="AA47:AD47" si="249">AA43/AA$53</f>
        <v>4.0218943360304606E-2</v>
      </c>
      <c r="AB47" s="128">
        <f t="shared" si="249"/>
        <v>3.0159801935629078E-2</v>
      </c>
      <c r="AC47" s="128">
        <f t="shared" si="249"/>
        <v>4.1831425598335061E-2</v>
      </c>
      <c r="AD47" s="128">
        <f t="shared" si="249"/>
        <v>4.1377767837172889E-2</v>
      </c>
      <c r="AE47" s="129">
        <f t="shared" si="248"/>
        <v>3.8446515261425139E-2</v>
      </c>
      <c r="AF47" s="131">
        <f t="shared" si="248"/>
        <v>3.8764266036993324E-2</v>
      </c>
      <c r="AG47" s="128">
        <f t="shared" ref="AG47:AH47" si="250">AG43/AG$53</f>
        <v>3.857671305266866E-2</v>
      </c>
      <c r="AH47" s="128">
        <f t="shared" si="250"/>
        <v>4.2151620006291288E-2</v>
      </c>
      <c r="AI47" s="128">
        <f t="shared" ref="AI47" si="251">AI43/AI$53</f>
        <v>5.3742169469172416E-2</v>
      </c>
      <c r="AJ47" s="129">
        <f t="shared" si="248"/>
        <v>4.3566406418496309E-2</v>
      </c>
      <c r="AK47" s="128">
        <f t="shared" ref="AK47:AO47" si="252">AK43/AK$53</f>
        <v>5.2439265420860214E-2</v>
      </c>
      <c r="AL47" s="128">
        <f t="shared" si="252"/>
        <v>4.8984276981393987E-2</v>
      </c>
      <c r="AM47" s="128">
        <f t="shared" si="252"/>
        <v>6.3066465256797558E-2</v>
      </c>
      <c r="AN47" s="128">
        <f t="shared" si="252"/>
        <v>6.049808476507651E-2</v>
      </c>
      <c r="AO47" s="129">
        <f t="shared" si="252"/>
        <v>5.6370272063702709E-2</v>
      </c>
      <c r="AP47" s="128">
        <f t="shared" ref="AP47:AS47" si="253">AP43/AP$53</f>
        <v>6.6474335857675176E-2</v>
      </c>
      <c r="AQ47" s="128">
        <f t="shared" si="253"/>
        <v>6.3742208632247416E-2</v>
      </c>
      <c r="AR47" s="128">
        <f t="shared" si="253"/>
        <v>8.0665960487639049E-2</v>
      </c>
      <c r="AS47" s="128">
        <f t="shared" si="253"/>
        <v>6.588077129414617E-2</v>
      </c>
      <c r="AT47" s="128">
        <f t="shared" si="248"/>
        <v>6.937415008294362E-2</v>
      </c>
      <c r="AU47" s="128">
        <f t="shared" si="248"/>
        <v>9.6370272063702758E-2</v>
      </c>
      <c r="AV47" s="128">
        <f t="shared" si="248"/>
        <v>0.1153702720637028</v>
      </c>
      <c r="AW47" s="128">
        <f t="shared" si="248"/>
        <v>0.13437027206370272</v>
      </c>
      <c r="AX47" s="128">
        <f t="shared" si="248"/>
        <v>0.15337027206370291</v>
      </c>
      <c r="AY47" s="128">
        <f t="shared" ref="AY47" si="254">AY43/AY$53</f>
        <v>0.17237027206370295</v>
      </c>
    </row>
    <row r="48" spans="2:64" s="110" customFormat="1" x14ac:dyDescent="0.35">
      <c r="B48" s="123" t="s">
        <v>5</v>
      </c>
      <c r="C48" s="125">
        <v>0.47548310999999999</v>
      </c>
      <c r="D48" s="125">
        <v>0.46686093000000001</v>
      </c>
      <c r="E48" s="125">
        <v>0.56478437000000004</v>
      </c>
      <c r="F48" s="125">
        <v>0.43124487</v>
      </c>
      <c r="G48" s="515">
        <v>1.93837328</v>
      </c>
      <c r="H48" s="125">
        <v>0.69853504999999994</v>
      </c>
      <c r="I48" s="125">
        <v>0.86884669000000003</v>
      </c>
      <c r="J48" s="125">
        <f>I48+H48</f>
        <v>1.5673817400000001</v>
      </c>
      <c r="K48" s="125">
        <v>1.0649208100000001</v>
      </c>
      <c r="L48" s="125">
        <v>0.5225881</v>
      </c>
      <c r="M48" s="125">
        <f>L48+K48</f>
        <v>1.5875089099999999</v>
      </c>
      <c r="N48" s="126">
        <v>3.1548906485515538</v>
      </c>
      <c r="O48" s="125">
        <f>O53-O43-O38</f>
        <v>0.90000000000003411</v>
      </c>
      <c r="P48" s="125">
        <v>1</v>
      </c>
      <c r="Q48" s="125">
        <f>P48+O48</f>
        <v>1.9000000000000341</v>
      </c>
      <c r="R48" s="125">
        <f t="shared" ref="R48:AJ48" si="255">R53-R43-R38</f>
        <v>1.5000000000000284</v>
      </c>
      <c r="S48" s="125">
        <f t="shared" si="255"/>
        <v>1.5999999999999659</v>
      </c>
      <c r="T48" s="125">
        <f>S48+R48</f>
        <v>3.0999999999999943</v>
      </c>
      <c r="U48" s="350">
        <f t="shared" si="255"/>
        <v>5.0000000000002274</v>
      </c>
      <c r="V48" s="125">
        <f t="shared" si="255"/>
        <v>1.7999999999999545</v>
      </c>
      <c r="W48" s="125">
        <f t="shared" si="255"/>
        <v>1.8369999999999891</v>
      </c>
      <c r="X48" s="125">
        <f t="shared" si="255"/>
        <v>1.8869999999999436</v>
      </c>
      <c r="Y48" s="125">
        <f t="shared" si="255"/>
        <v>1.7759999999998968</v>
      </c>
      <c r="Z48" s="126">
        <f t="shared" si="255"/>
        <v>7.2999999999999545</v>
      </c>
      <c r="AA48" s="125">
        <f t="shared" ref="AA48:AD48" si="256">AA53-AA43-AA38</f>
        <v>2.7999999999998977</v>
      </c>
      <c r="AB48" s="125">
        <f t="shared" si="256"/>
        <v>2.6999999999999318</v>
      </c>
      <c r="AC48" s="125">
        <f t="shared" si="256"/>
        <v>3.5</v>
      </c>
      <c r="AD48" s="125">
        <f t="shared" si="256"/>
        <v>2.7999999999998408</v>
      </c>
      <c r="AE48" s="126">
        <f t="shared" si="255"/>
        <v>11.799999999999727</v>
      </c>
      <c r="AF48" s="540">
        <f t="shared" si="255"/>
        <v>3.8000000000000682</v>
      </c>
      <c r="AG48" s="125">
        <f t="shared" si="255"/>
        <v>3.3000000000000682</v>
      </c>
      <c r="AH48" s="125">
        <v>5.3</v>
      </c>
      <c r="AI48" s="125">
        <f>AJ48-AH48-AG48-AF48</f>
        <v>5.3000000000001357</v>
      </c>
      <c r="AJ48" s="126">
        <f t="shared" si="255"/>
        <v>17.700000000000273</v>
      </c>
      <c r="AK48" s="125">
        <f t="shared" ref="AK48" si="257">AK53-AK43-AK38</f>
        <v>7.5548000000000002</v>
      </c>
      <c r="AL48" s="125">
        <v>7.7</v>
      </c>
      <c r="AM48" s="125">
        <v>13</v>
      </c>
      <c r="AN48" s="125">
        <f>AO48-AM48-AL48-AK48</f>
        <v>11.445200000001638</v>
      </c>
      <c r="AO48" s="126">
        <f t="shared" ref="AO48:AR48" si="258">AO53-AO43-AO38</f>
        <v>39.700000000001637</v>
      </c>
      <c r="AP48" s="125">
        <f t="shared" si="258"/>
        <v>12.900000000000318</v>
      </c>
      <c r="AQ48" s="125">
        <f t="shared" si="258"/>
        <v>14.500000000000227</v>
      </c>
      <c r="AR48" s="125">
        <f t="shared" si="258"/>
        <v>-27.959334722330141</v>
      </c>
      <c r="AS48" s="125">
        <f>AT48-AR48-AQ48-AP48</f>
        <v>78.19441229760173</v>
      </c>
      <c r="AT48" s="125">
        <f t="shared" ref="AT48" si="259">AT53-AT43-AT38</f>
        <v>77.635077575272135</v>
      </c>
      <c r="AU48" s="139">
        <f t="shared" ref="AU48:AX48" si="260">AU52*AU31</f>
        <v>63.092566818202513</v>
      </c>
      <c r="AV48" s="139">
        <f t="shared" si="260"/>
        <v>78.306062817789226</v>
      </c>
      <c r="AW48" s="139">
        <f t="shared" si="260"/>
        <v>96.251015490918292</v>
      </c>
      <c r="AX48" s="139">
        <f t="shared" si="260"/>
        <v>116.477449338136</v>
      </c>
      <c r="AY48" s="139">
        <f t="shared" ref="AY48" si="261">AY52*AY31</f>
        <v>137.32639260737875</v>
      </c>
      <c r="AZ48" s="195"/>
    </row>
    <row r="49" spans="2:53" x14ac:dyDescent="0.35">
      <c r="B49" s="124" t="s">
        <v>156</v>
      </c>
      <c r="AF49" s="541"/>
      <c r="AG49" s="128">
        <v>0.26300000000000001</v>
      </c>
      <c r="AH49" s="128">
        <v>0.56200000000000006</v>
      </c>
      <c r="AI49" s="128">
        <v>0.85599999999999998</v>
      </c>
      <c r="AJ49" s="129">
        <v>0.54300000000000004</v>
      </c>
      <c r="AK49" s="127">
        <f t="shared" ref="AK49:AL49" si="262">((1+AK51)/(1+AK50))-1</f>
        <v>0.9700124418131566</v>
      </c>
      <c r="AL49" s="127">
        <f t="shared" si="262"/>
        <v>1.4321077964431321</v>
      </c>
      <c r="AM49" s="127">
        <f t="shared" ref="AM49" si="263">((1+AM51)/(1+AM50))-1</f>
        <v>1.6082676198553991</v>
      </c>
      <c r="AN49" s="128">
        <v>1.3129999999999999</v>
      </c>
      <c r="AO49" s="129">
        <v>1.351</v>
      </c>
      <c r="AP49" s="127">
        <f t="shared" ref="AP49:AR49" si="264">((1+AP51)/(1+AP50))-1</f>
        <v>0.86579128999276178</v>
      </c>
      <c r="AQ49" s="127">
        <f>((1+AQ51)/(1+AQ50))-1</f>
        <v>1.0214080253461799</v>
      </c>
      <c r="AR49" s="127">
        <f t="shared" si="264"/>
        <v>-3.1848672374645708</v>
      </c>
      <c r="AS49" s="128">
        <f>AS51-AS55</f>
        <v>5.8142189899419501</v>
      </c>
    </row>
    <row r="50" spans="2:53" x14ac:dyDescent="0.35">
      <c r="B50" s="124" t="s">
        <v>157</v>
      </c>
      <c r="AF50" s="541"/>
      <c r="AG50" s="127">
        <f>AG51-AG49</f>
        <v>-4.0777777777721735E-2</v>
      </c>
      <c r="AH50" s="127">
        <f>AH51-AH49</f>
        <v>-4.771428571428582E-2</v>
      </c>
      <c r="AI50" s="127">
        <f t="shared" ref="AI50:AJ50" si="265">AI51-AI49</f>
        <v>3.6857142857298908E-2</v>
      </c>
      <c r="AJ50" s="461">
        <f t="shared" si="265"/>
        <v>-4.2999999999942307E-2</v>
      </c>
      <c r="AK50" s="128">
        <v>9.1841152678457313E-3</v>
      </c>
      <c r="AL50" s="128">
        <v>-4.0612699508755762E-2</v>
      </c>
      <c r="AM50" s="128">
        <v>-5.9594126765554513E-2</v>
      </c>
      <c r="AN50" s="127">
        <f t="shared" ref="AN50:AO50" si="266">AN51-AN49</f>
        <v>-0.15352830188653876</v>
      </c>
      <c r="AO50" s="461">
        <f t="shared" si="266"/>
        <v>-0.10806214689259752</v>
      </c>
      <c r="AP50" s="128">
        <v>-8.4825991682868543E-2</v>
      </c>
      <c r="AQ50" s="128">
        <v>-6.8413274556770431E-2</v>
      </c>
      <c r="AR50" s="128">
        <f>AR40</f>
        <v>-1.5629865886195554E-2</v>
      </c>
      <c r="AS50" s="127">
        <f t="shared" ref="AS50" si="267">AS51-AS49</f>
        <v>1.7851423645452336E-2</v>
      </c>
    </row>
    <row r="51" spans="2:53" x14ac:dyDescent="0.35">
      <c r="B51" s="124" t="s">
        <v>158</v>
      </c>
      <c r="H51" s="128">
        <f>H48/C48-1</f>
        <v>0.46910591629637466</v>
      </c>
      <c r="I51" s="128">
        <f t="shared" ref="I51" si="268">I48/D48-1</f>
        <v>0.86103962479790286</v>
      </c>
      <c r="J51" s="128"/>
      <c r="K51" s="128">
        <f t="shared" ref="K51" si="269">K48/E48-1</f>
        <v>0.88553519992063512</v>
      </c>
      <c r="L51" s="128">
        <f t="shared" ref="L51" si="270">L48/F48-1</f>
        <v>0.21181290805847741</v>
      </c>
      <c r="M51" s="128"/>
      <c r="N51" s="129">
        <f t="shared" ref="N51" si="271">N48/G48-1</f>
        <v>0.62759705837028146</v>
      </c>
      <c r="O51" s="128">
        <f>O48/H48-1</f>
        <v>0.28841065312332459</v>
      </c>
      <c r="P51" s="128">
        <f t="shared" ref="P51:Q51" si="272">P48/I48-1</f>
        <v>0.15095103832414902</v>
      </c>
      <c r="Q51" s="128">
        <f t="shared" si="272"/>
        <v>0.21221266747693135</v>
      </c>
      <c r="R51" s="128">
        <v>0.35</v>
      </c>
      <c r="S51" s="128">
        <v>2</v>
      </c>
      <c r="T51" s="128">
        <f t="shared" ref="T51" si="273">T48/M48-1</f>
        <v>0.95274494553860145</v>
      </c>
      <c r="U51" s="346">
        <f t="shared" ref="U51" si="274">U48/N48-1</f>
        <v>0.58484098404354667</v>
      </c>
      <c r="V51" s="128">
        <v>0.5</v>
      </c>
      <c r="W51" s="128">
        <v>0.4</v>
      </c>
      <c r="X51" s="128">
        <v>0.65</v>
      </c>
      <c r="Y51" s="128">
        <v>0.4</v>
      </c>
      <c r="Z51" s="129">
        <f t="shared" ref="Z51:AA51" si="275">Z48/U48-1</f>
        <v>0.45999999999992447</v>
      </c>
      <c r="AA51" s="131">
        <f t="shared" si="275"/>
        <v>0.55555555555553804</v>
      </c>
      <c r="AB51" s="128">
        <f t="shared" ref="AB51" si="276">AB48/W48-1</f>
        <v>0.46978769733257919</v>
      </c>
      <c r="AC51" s="128">
        <f t="shared" ref="AC51" si="277">AC48/X48-1</f>
        <v>0.85479597244308669</v>
      </c>
      <c r="AD51" s="128">
        <f t="shared" ref="AD51" si="278">AD48/Y48-1</f>
        <v>0.57657657657657868</v>
      </c>
      <c r="AE51" s="129">
        <f t="shared" ref="AE51:AM51" si="279">AE48/Z48-1</f>
        <v>0.61643835616435627</v>
      </c>
      <c r="AF51" s="131">
        <f t="shared" si="279"/>
        <v>0.35714285714293115</v>
      </c>
      <c r="AG51" s="128">
        <f t="shared" si="279"/>
        <v>0.22222222222227828</v>
      </c>
      <c r="AH51" s="128">
        <f t="shared" si="279"/>
        <v>0.51428571428571423</v>
      </c>
      <c r="AI51" s="128">
        <f t="shared" si="279"/>
        <v>0.89285714285729889</v>
      </c>
      <c r="AJ51" s="129">
        <f>AJ48/AE48-1</f>
        <v>0.50000000000005773</v>
      </c>
      <c r="AK51" s="128">
        <f t="shared" si="279"/>
        <v>0.98810526315785907</v>
      </c>
      <c r="AL51" s="128">
        <f t="shared" si="279"/>
        <v>1.3333333333332851</v>
      </c>
      <c r="AM51" s="128">
        <f t="shared" si="279"/>
        <v>1.4528301886792452</v>
      </c>
      <c r="AN51" s="128">
        <f t="shared" ref="AN51" si="280">AN48/AI48-1</f>
        <v>1.1594716981134612</v>
      </c>
      <c r="AO51" s="129">
        <f>AO48/AJ48-1</f>
        <v>1.2429378531074025</v>
      </c>
      <c r="AP51" s="128">
        <f t="shared" ref="AP51" si="281">AP48/AK48-1</f>
        <v>0.7075236935458673</v>
      </c>
      <c r="AQ51" s="128">
        <f t="shared" ref="AQ51" si="282">AQ48/AL48-1</f>
        <v>0.8831168831169125</v>
      </c>
      <c r="AR51" s="128">
        <f t="shared" ref="AR51" si="283">AR48/AM48-1</f>
        <v>-3.150718055563857</v>
      </c>
      <c r="AS51" s="128">
        <f t="shared" ref="AS51" si="284">AS48/AN48-1</f>
        <v>5.8320704135874024</v>
      </c>
      <c r="AT51" s="128">
        <f>AT48/AO48-1</f>
        <v>0.95554351574984708</v>
      </c>
      <c r="AU51" s="128">
        <f t="shared" ref="AU51:AX51" si="285">AU48/AT48-1</f>
        <v>-0.18731881529930505</v>
      </c>
      <c r="AV51" s="128">
        <f t="shared" si="285"/>
        <v>0.24112976800299624</v>
      </c>
      <c r="AW51" s="128">
        <f t="shared" si="285"/>
        <v>0.22916428214358397</v>
      </c>
      <c r="AX51" s="128">
        <f t="shared" si="285"/>
        <v>0.21014255012328831</v>
      </c>
      <c r="AY51" s="128">
        <f t="shared" ref="AY51" si="286">AY48/AX48-1</f>
        <v>0.17899553422326342</v>
      </c>
    </row>
    <row r="52" spans="2:53" x14ac:dyDescent="0.35">
      <c r="B52" s="124" t="s">
        <v>163</v>
      </c>
      <c r="C52" s="128">
        <f>C48/C$53</f>
        <v>9.592091510344616E-3</v>
      </c>
      <c r="D52" s="128">
        <f t="shared" ref="D52:AJ52" si="287">D48/D$53</f>
        <v>6.7002804050138786E-3</v>
      </c>
      <c r="E52" s="128">
        <f t="shared" si="287"/>
        <v>8.6795506820804211E-3</v>
      </c>
      <c r="F52" s="128">
        <f t="shared" si="287"/>
        <v>5.2082021177875864E-3</v>
      </c>
      <c r="G52" s="513">
        <f t="shared" si="287"/>
        <v>7.2565652829032221E-3</v>
      </c>
      <c r="H52" s="128">
        <f t="shared" si="287"/>
        <v>9.7985215761489004E-3</v>
      </c>
      <c r="I52" s="128">
        <f t="shared" si="287"/>
        <v>8.720921750118708E-3</v>
      </c>
      <c r="J52" s="128"/>
      <c r="K52" s="128">
        <f t="shared" si="287"/>
        <v>8.1868277903057451E-3</v>
      </c>
      <c r="L52" s="128">
        <f t="shared" si="287"/>
        <v>4.2042415135666623E-3</v>
      </c>
      <c r="M52" s="128"/>
      <c r="N52" s="129">
        <f t="shared" si="287"/>
        <v>7.4181187930185046E-3</v>
      </c>
      <c r="O52" s="128">
        <f t="shared" si="287"/>
        <v>6.410256410256652E-3</v>
      </c>
      <c r="P52" s="128">
        <f t="shared" si="287"/>
        <v>5.711022272986868E-3</v>
      </c>
      <c r="Q52" s="128">
        <f t="shared" si="287"/>
        <v>6.0221870047544677E-3</v>
      </c>
      <c r="R52" s="128">
        <f t="shared" si="287"/>
        <v>6.8807339449542581E-3</v>
      </c>
      <c r="S52" s="128">
        <f t="shared" si="287"/>
        <v>8.3725798011510498E-3</v>
      </c>
      <c r="T52" s="128">
        <f t="shared" si="287"/>
        <v>7.5776093864580634E-3</v>
      </c>
      <c r="U52" s="346">
        <f t="shared" si="287"/>
        <v>6.9003588186588825E-3</v>
      </c>
      <c r="V52" s="128">
        <f t="shared" si="287"/>
        <v>7.6368264743315855E-3</v>
      </c>
      <c r="W52" s="128">
        <f t="shared" si="287"/>
        <v>6.2983864884694919E-3</v>
      </c>
      <c r="X52" s="128">
        <f t="shared" si="287"/>
        <v>5.7528207723472674E-3</v>
      </c>
      <c r="Y52" s="128">
        <f t="shared" si="287"/>
        <v>4.8428659076962229E-3</v>
      </c>
      <c r="Z52" s="129">
        <f t="shared" si="287"/>
        <v>5.9733246051877544E-3</v>
      </c>
      <c r="AA52" s="128">
        <f t="shared" ref="AA52:AD52" si="288">AA48/AA$53</f>
        <v>6.6634935744880972E-3</v>
      </c>
      <c r="AB52" s="128">
        <f t="shared" si="288"/>
        <v>6.0769750168803332E-3</v>
      </c>
      <c r="AC52" s="128">
        <f t="shared" si="288"/>
        <v>7.2840790842872011E-3</v>
      </c>
      <c r="AD52" s="128">
        <f t="shared" si="288"/>
        <v>6.2625810780582419E-3</v>
      </c>
      <c r="AE52" s="129">
        <f t="shared" si="287"/>
        <v>6.5844539925225863E-3</v>
      </c>
      <c r="AF52" s="128">
        <f t="shared" si="287"/>
        <v>7.4773711137348844E-3</v>
      </c>
      <c r="AG52" s="128">
        <f t="shared" ref="AG52:AH52" si="289">AG48/AG$53</f>
        <v>5.8129293641008767E-3</v>
      </c>
      <c r="AH52" s="128">
        <f t="shared" si="289"/>
        <v>8.3359547027367104E-3</v>
      </c>
      <c r="AI52" s="128">
        <f t="shared" ref="AI52" si="290">AI48/AI$53</f>
        <v>8.7372238707552497E-3</v>
      </c>
      <c r="AJ52" s="129">
        <f t="shared" si="287"/>
        <v>7.6349048872019461E-3</v>
      </c>
      <c r="AK52" s="128">
        <f t="shared" ref="AK52:AO52" si="291">AK48/AK$53</f>
        <v>1.0398114498727419E-2</v>
      </c>
      <c r="AL52" s="128">
        <f t="shared" si="291"/>
        <v>1.0277355115987293E-2</v>
      </c>
      <c r="AM52" s="128">
        <f t="shared" si="291"/>
        <v>1.6364551863041282E-2</v>
      </c>
      <c r="AN52" s="128">
        <f t="shared" si="291"/>
        <v>1.5386948438963394E-2</v>
      </c>
      <c r="AO52" s="129">
        <f t="shared" si="291"/>
        <v>1.3171864631719186E-2</v>
      </c>
      <c r="AP52" s="128">
        <f t="shared" ref="AP52:AR52" si="292">AK52+0.001</f>
        <v>1.1398114498727418E-2</v>
      </c>
      <c r="AQ52" s="128">
        <f t="shared" si="292"/>
        <v>1.1277355115987292E-2</v>
      </c>
      <c r="AR52" s="128">
        <f t="shared" si="292"/>
        <v>1.7364551863041283E-2</v>
      </c>
      <c r="AS52" s="128">
        <f t="shared" ref="AS52" si="293">AS48/AS$53</f>
        <v>8.6606774906446901E-2</v>
      </c>
      <c r="AT52" s="128">
        <f>AO52+0.001</f>
        <v>1.4171864631719187E-2</v>
      </c>
      <c r="AU52" s="128">
        <f t="shared" ref="AU52:AY52" si="294">AT52+0.001</f>
        <v>1.5171864631719188E-2</v>
      </c>
      <c r="AV52" s="128">
        <f t="shared" si="294"/>
        <v>1.6171864631719188E-2</v>
      </c>
      <c r="AW52" s="128">
        <f t="shared" si="294"/>
        <v>1.7171864631719189E-2</v>
      </c>
      <c r="AX52" s="128">
        <f t="shared" si="294"/>
        <v>1.817186463171919E-2</v>
      </c>
      <c r="AY52" s="128">
        <f t="shared" si="294"/>
        <v>1.9171864631719191E-2</v>
      </c>
    </row>
    <row r="53" spans="2:53" s="110" customFormat="1" x14ac:dyDescent="0.35">
      <c r="B53" s="133" t="s">
        <v>165</v>
      </c>
      <c r="C53" s="134">
        <f>C48+C43+C38</f>
        <v>49.570326710000003</v>
      </c>
      <c r="D53" s="134">
        <f t="shared" ref="D53:N53" si="295">D48+D43+D38</f>
        <v>69.677819700000001</v>
      </c>
      <c r="E53" s="134">
        <f t="shared" si="295"/>
        <v>65.070692100000002</v>
      </c>
      <c r="F53" s="134">
        <f t="shared" si="295"/>
        <v>82.801101079999995</v>
      </c>
      <c r="G53" s="516">
        <f t="shared" si="295"/>
        <v>267.11993959</v>
      </c>
      <c r="H53" s="134">
        <f t="shared" si="295"/>
        <v>71.289841489999986</v>
      </c>
      <c r="I53" s="134">
        <f t="shared" si="295"/>
        <v>99.627850689999988</v>
      </c>
      <c r="J53" s="135">
        <f>I53+H53</f>
        <v>170.91769217999996</v>
      </c>
      <c r="K53" s="134">
        <f t="shared" si="295"/>
        <v>130.07734341999998</v>
      </c>
      <c r="L53" s="134">
        <f t="shared" si="295"/>
        <v>124.30020927999999</v>
      </c>
      <c r="M53" s="135">
        <f>L53+K53</f>
        <v>254.37755269999997</v>
      </c>
      <c r="N53" s="136">
        <f t="shared" si="295"/>
        <v>425.29524486999998</v>
      </c>
      <c r="O53" s="134">
        <f>O31</f>
        <v>140.40000000000003</v>
      </c>
      <c r="P53" s="134">
        <f t="shared" ref="P53:AJ53" si="296">P31</f>
        <v>175.09999999999991</v>
      </c>
      <c r="Q53" s="135">
        <f>P53+O53</f>
        <v>315.49999999999994</v>
      </c>
      <c r="R53" s="134">
        <f t="shared" si="296"/>
        <v>218.00000000000003</v>
      </c>
      <c r="S53" s="134">
        <f t="shared" si="296"/>
        <v>191.10000000000005</v>
      </c>
      <c r="T53" s="135">
        <f>S53+R53</f>
        <v>409.10000000000008</v>
      </c>
      <c r="U53" s="351">
        <f t="shared" si="296"/>
        <v>724.60000000000014</v>
      </c>
      <c r="V53" s="134">
        <f t="shared" si="296"/>
        <v>235.7</v>
      </c>
      <c r="W53" s="134">
        <f t="shared" si="296"/>
        <v>291.66200000000003</v>
      </c>
      <c r="X53" s="134">
        <f t="shared" si="296"/>
        <v>328.01299999999992</v>
      </c>
      <c r="Y53" s="134">
        <f t="shared" si="296"/>
        <v>366.72499999999985</v>
      </c>
      <c r="Z53" s="136">
        <f t="shared" si="296"/>
        <v>1222.0999999999999</v>
      </c>
      <c r="AA53" s="134">
        <f t="shared" ref="AA53:AD53" si="297">AA31</f>
        <v>420.19999999999987</v>
      </c>
      <c r="AB53" s="134">
        <f t="shared" si="297"/>
        <v>444.29999999999995</v>
      </c>
      <c r="AC53" s="134">
        <f t="shared" si="297"/>
        <v>480.5</v>
      </c>
      <c r="AD53" s="134">
        <f t="shared" si="297"/>
        <v>447.10000000000014</v>
      </c>
      <c r="AE53" s="136">
        <f t="shared" si="296"/>
        <v>1792.1</v>
      </c>
      <c r="AF53" s="134">
        <f>AF31</f>
        <v>508.2</v>
      </c>
      <c r="AG53" s="134">
        <f t="shared" si="296"/>
        <v>567.70000000000005</v>
      </c>
      <c r="AH53" s="134">
        <f t="shared" si="296"/>
        <v>635.79999999999995</v>
      </c>
      <c r="AI53" s="134">
        <f t="shared" si="296"/>
        <v>606.60000000000014</v>
      </c>
      <c r="AJ53" s="136">
        <f t="shared" si="296"/>
        <v>2318.3000000000002</v>
      </c>
      <c r="AK53" s="134">
        <f>AK31</f>
        <v>726.5548</v>
      </c>
      <c r="AL53" s="134">
        <f>AL31</f>
        <v>749.22</v>
      </c>
      <c r="AM53" s="134">
        <f t="shared" ref="AM53:AN53" si="298">AM31</f>
        <v>794.40000000000032</v>
      </c>
      <c r="AN53" s="134">
        <f t="shared" si="298"/>
        <v>743.82520000000022</v>
      </c>
      <c r="AO53" s="136">
        <f>AO31</f>
        <v>3014.0000000000009</v>
      </c>
      <c r="AP53" s="134">
        <f>AP31</f>
        <v>831.90000000000009</v>
      </c>
      <c r="AQ53" s="134">
        <f>AQ31</f>
        <v>850.30000000000018</v>
      </c>
      <c r="AR53" s="134">
        <f t="shared" ref="AR53:AS53" si="299">AR31</f>
        <v>917.05863454000666</v>
      </c>
      <c r="AS53" s="134">
        <f t="shared" si="299"/>
        <v>902.86715308436033</v>
      </c>
      <c r="AT53" s="134">
        <f t="shared" ref="AT53:AX53" si="300">AT31</f>
        <v>3502.1257876243671</v>
      </c>
      <c r="AU53" s="134">
        <f t="shared" si="300"/>
        <v>4158.5242387608378</v>
      </c>
      <c r="AV53" s="134">
        <f t="shared" si="300"/>
        <v>4842.1171337411024</v>
      </c>
      <c r="AW53" s="134">
        <f t="shared" si="300"/>
        <v>5605.1580626327104</v>
      </c>
      <c r="AX53" s="134">
        <f t="shared" si="300"/>
        <v>6409.7687110668503</v>
      </c>
      <c r="AY53" s="134">
        <f t="shared" ref="AY53" si="301">AY31</f>
        <v>7162.9126976088155</v>
      </c>
      <c r="AZ53" s="195"/>
    </row>
    <row r="54" spans="2:53" x14ac:dyDescent="0.35">
      <c r="B54" s="124" t="s">
        <v>156</v>
      </c>
      <c r="O54" s="127">
        <f>((1+O56)/(1+O55))-1</f>
        <v>1.0908354489817698</v>
      </c>
      <c r="P54" s="127">
        <f t="shared" ref="P54:AY54" si="302">((1+P56)/(1+P55))-1</f>
        <v>0.84611657986465483</v>
      </c>
      <c r="Q54" s="127">
        <f t="shared" si="302"/>
        <v>0.94755564093654421</v>
      </c>
      <c r="R54" s="127">
        <f t="shared" si="302"/>
        <v>0.68237721417245023</v>
      </c>
      <c r="S54" s="127">
        <f t="shared" si="302"/>
        <v>0.48905632885384032</v>
      </c>
      <c r="T54" s="127">
        <f t="shared" si="302"/>
        <v>0.58618233259058705</v>
      </c>
      <c r="U54" s="345">
        <f t="shared" si="302"/>
        <v>0.725912403859033</v>
      </c>
      <c r="V54" s="127">
        <f t="shared" si="302"/>
        <v>0.61883478877663789</v>
      </c>
      <c r="W54" s="127">
        <f t="shared" si="302"/>
        <v>0.57345372787354298</v>
      </c>
      <c r="X54" s="127">
        <f t="shared" si="302"/>
        <v>0.42525859611736561</v>
      </c>
      <c r="Y54" s="127">
        <f t="shared" si="302"/>
        <v>0.8534780464321754</v>
      </c>
      <c r="Z54" s="461">
        <f t="shared" si="302"/>
        <v>0.61025554989689268</v>
      </c>
      <c r="AA54" s="127">
        <f t="shared" ref="AA54:AD54" si="303">((1+AA56)/(1+AA55))-1</f>
        <v>0.77275485260324261</v>
      </c>
      <c r="AB54" s="127">
        <f t="shared" si="303"/>
        <v>0.60450116044419766</v>
      </c>
      <c r="AC54" s="127">
        <f t="shared" si="303"/>
        <v>0.65417807698076347</v>
      </c>
      <c r="AD54" s="127">
        <f t="shared" si="303"/>
        <v>0.31000000000000005</v>
      </c>
      <c r="AE54" s="461">
        <f t="shared" si="302"/>
        <v>0.55000000000000004</v>
      </c>
      <c r="AF54" s="127">
        <f t="shared" si="302"/>
        <v>0.29170745158702593</v>
      </c>
      <c r="AG54" s="127">
        <f t="shared" si="302"/>
        <v>0.29404278388925542</v>
      </c>
      <c r="AH54" s="127">
        <f t="shared" si="302"/>
        <v>0.33179379962971134</v>
      </c>
      <c r="AI54" s="127">
        <f t="shared" si="302"/>
        <v>0.40627971059242673</v>
      </c>
      <c r="AJ54" s="461">
        <f t="shared" si="302"/>
        <v>0.33200000000000007</v>
      </c>
      <c r="AK54" s="127">
        <f t="shared" ref="AK54:AN54" si="304">((1+AK56)/(1+AK55))-1</f>
        <v>0.40031831319564981</v>
      </c>
      <c r="AL54" s="127">
        <f t="shared" si="304"/>
        <v>0.38204002442171814</v>
      </c>
      <c r="AM54" s="127">
        <f t="shared" si="304"/>
        <v>0.34549597744253902</v>
      </c>
      <c r="AN54" s="127">
        <f t="shared" si="304"/>
        <v>0.30493637221208636</v>
      </c>
      <c r="AO54" s="461">
        <f t="shared" si="302"/>
        <v>0.35544157246643993</v>
      </c>
      <c r="AP54" s="127">
        <f t="shared" si="302"/>
        <v>0.30001786301741618</v>
      </c>
      <c r="AQ54" s="127">
        <f t="shared" si="302"/>
        <v>0.23522850761637737</v>
      </c>
      <c r="AR54" s="127">
        <f t="shared" si="302"/>
        <v>0.17273379394884203</v>
      </c>
      <c r="AS54" s="127">
        <f t="shared" si="302"/>
        <v>0.19252797914415209</v>
      </c>
      <c r="AT54" s="127">
        <f t="shared" si="302"/>
        <v>0.2118934461489872</v>
      </c>
      <c r="AU54" s="127">
        <f t="shared" si="302"/>
        <v>0.17779812836569664</v>
      </c>
      <c r="AV54" s="127">
        <f t="shared" si="302"/>
        <v>0.17330606641839186</v>
      </c>
      <c r="AW54" s="127">
        <f t="shared" si="302"/>
        <v>0.16619070073605102</v>
      </c>
      <c r="AX54" s="127">
        <f t="shared" si="302"/>
        <v>0.14901791376570972</v>
      </c>
      <c r="AY54" s="127">
        <f t="shared" si="302"/>
        <v>0.12263998321932035</v>
      </c>
    </row>
    <row r="55" spans="2:53" x14ac:dyDescent="0.35">
      <c r="B55" s="124" t="s">
        <v>157</v>
      </c>
      <c r="O55" s="127">
        <f>O33</f>
        <v>-5.8067885736396659E-2</v>
      </c>
      <c r="P55" s="127">
        <f t="shared" ref="P55:AY55" si="305">P33</f>
        <v>-4.7979583377296062E-2</v>
      </c>
      <c r="Q55" s="127">
        <f t="shared" si="305"/>
        <v>-5.2187418545852314E-2</v>
      </c>
      <c r="R55" s="127">
        <f t="shared" si="305"/>
        <v>-3.8345909163137438E-3</v>
      </c>
      <c r="S55" s="127">
        <f t="shared" si="305"/>
        <v>3.2470615709640549E-2</v>
      </c>
      <c r="T55" s="127">
        <f t="shared" si="305"/>
        <v>1.3905751081143147E-2</v>
      </c>
      <c r="U55" s="345">
        <f t="shared" si="305"/>
        <v>-1.2836582662641845E-2</v>
      </c>
      <c r="V55" s="127">
        <f t="shared" si="305"/>
        <v>3.7026718485329561E-2</v>
      </c>
      <c r="W55" s="127">
        <f t="shared" si="305"/>
        <v>5.8619105650475033E-2</v>
      </c>
      <c r="X55" s="127">
        <f t="shared" si="305"/>
        <v>5.5700904446200725E-2</v>
      </c>
      <c r="Y55" s="127">
        <f t="shared" si="305"/>
        <v>3.5362387177841549E-2</v>
      </c>
      <c r="Z55" s="461">
        <f t="shared" si="305"/>
        <v>4.7402508604626331E-2</v>
      </c>
      <c r="AA55" s="127">
        <f t="shared" ref="AA55:AD55" si="306">AA33</f>
        <v>5.6521413556140368E-3</v>
      </c>
      <c r="AB55" s="127">
        <f t="shared" si="306"/>
        <v>-5.0584258405208374E-2</v>
      </c>
      <c r="AC55" s="127">
        <f t="shared" si="306"/>
        <v>-0.11443575182822564</v>
      </c>
      <c r="AD55" s="127">
        <f t="shared" si="306"/>
        <v>-6.9336124006641686E-2</v>
      </c>
      <c r="AE55" s="461">
        <f t="shared" si="305"/>
        <v>-5.3928853295886703E-2</v>
      </c>
      <c r="AF55" s="127">
        <f t="shared" si="305"/>
        <v>-6.3701241110203824E-2</v>
      </c>
      <c r="AG55" s="127">
        <f t="shared" si="305"/>
        <v>-1.259812929364079E-2</v>
      </c>
      <c r="AH55" s="127">
        <f t="shared" si="305"/>
        <v>-6.4490500218675152E-3</v>
      </c>
      <c r="AI55" s="127">
        <f t="shared" si="305"/>
        <v>-3.5225035517399916E-2</v>
      </c>
      <c r="AJ55" s="461">
        <f t="shared" si="305"/>
        <v>-2.8812306531183829E-2</v>
      </c>
      <c r="AK55" s="127">
        <f t="shared" ref="AK55:AN55" si="307">AK33</f>
        <v>2.0955815032809723E-2</v>
      </c>
      <c r="AL55" s="127">
        <f t="shared" si="307"/>
        <v>-4.5073715970930552E-2</v>
      </c>
      <c r="AM55" s="127">
        <f t="shared" si="307"/>
        <v>-7.1383687968958789E-2</v>
      </c>
      <c r="AN55" s="127">
        <f t="shared" si="307"/>
        <v>-6.0321813312471349E-2</v>
      </c>
      <c r="AO55" s="461">
        <f t="shared" si="305"/>
        <v>-4.0836130434168477E-2</v>
      </c>
      <c r="AP55" s="127">
        <f t="shared" si="305"/>
        <v>-0.11924842558331444</v>
      </c>
      <c r="AQ55" s="127">
        <f t="shared" si="305"/>
        <v>-8.121158431435338E-2</v>
      </c>
      <c r="AR55" s="127">
        <f t="shared" si="305"/>
        <v>-1.5629865886195554E-2</v>
      </c>
      <c r="AS55" s="127">
        <f t="shared" si="305"/>
        <v>1.7851423645452558E-2</v>
      </c>
      <c r="AT55" s="127">
        <f t="shared" si="305"/>
        <v>-4.1208763230137307E-2</v>
      </c>
      <c r="AU55" s="127">
        <f t="shared" si="305"/>
        <v>8.1766543121815638E-3</v>
      </c>
      <c r="AV55" s="127">
        <f t="shared" si="305"/>
        <v>-7.6046109603962742E-3</v>
      </c>
      <c r="AW55" s="127">
        <f t="shared" si="305"/>
        <v>-7.3800514710422593E-3</v>
      </c>
      <c r="AX55" s="127">
        <f t="shared" si="305"/>
        <v>-4.7602918680376693E-3</v>
      </c>
      <c r="AY55" s="127">
        <f t="shared" si="305"/>
        <v>-4.5790118960767623E-3</v>
      </c>
    </row>
    <row r="56" spans="2:53" x14ac:dyDescent="0.35">
      <c r="B56" s="124" t="s">
        <v>158</v>
      </c>
      <c r="H56" s="128">
        <f>H53/C53-1</f>
        <v>0.43815557051025911</v>
      </c>
      <c r="I56" s="128">
        <f t="shared" ref="I56" si="308">I53/D53-1</f>
        <v>0.42983593802089048</v>
      </c>
      <c r="J56" s="128"/>
      <c r="K56" s="128">
        <f t="shared" ref="K56" si="309">K53/E53-1</f>
        <v>0.99901582758791618</v>
      </c>
      <c r="L56" s="128">
        <f t="shared" ref="L56" si="310">L53/F53-1</f>
        <v>0.50119029407477056</v>
      </c>
      <c r="M56" s="128"/>
      <c r="N56" s="129">
        <f t="shared" ref="N56" si="311">N53/G53-1</f>
        <v>0.59215087246119413</v>
      </c>
      <c r="O56" s="128">
        <f t="shared" ref="O56" si="312">O53/H53-1</f>
        <v>0.96942505503668874</v>
      </c>
      <c r="P56" s="128">
        <f t="shared" ref="P56:Q56" si="313">P53/I53-1</f>
        <v>0.75754067549683013</v>
      </c>
      <c r="Q56" s="128">
        <f t="shared" si="313"/>
        <v>0.84591773956165306</v>
      </c>
      <c r="R56" s="128">
        <f t="shared" ref="R56" si="314">R53/K53-1</f>
        <v>0.67592598578917129</v>
      </c>
      <c r="S56" s="128">
        <f t="shared" ref="S56:T56" si="315">S53/L53-1</f>
        <v>0.53740690467806163</v>
      </c>
      <c r="T56" s="128">
        <f t="shared" si="315"/>
        <v>0.60823938927689869</v>
      </c>
      <c r="U56" s="346">
        <f t="shared" ref="U56" si="316">U53/N53-1</f>
        <v>0.70375758661841759</v>
      </c>
      <c r="V56" s="128">
        <f t="shared" ref="V56" si="317">V53/O53-1</f>
        <v>0.67877492877492829</v>
      </c>
      <c r="W56" s="128">
        <f t="shared" ref="W56" si="318">W53/P53-1</f>
        <v>0.66568817818389592</v>
      </c>
      <c r="X56" s="128">
        <f t="shared" ref="X56" si="319">X53/R53-1</f>
        <v>0.50464678899082505</v>
      </c>
      <c r="Y56" s="128">
        <f t="shared" ref="Y56" si="320">Y53/S53-1</f>
        <v>0.91902145473573915</v>
      </c>
      <c r="Z56" s="129">
        <f t="shared" ref="Z56" si="321">Z53/U53-1</f>
        <v>0.68658570245652739</v>
      </c>
      <c r="AA56" s="128">
        <f>AA53/V53-1</f>
        <v>0.78277471361900686</v>
      </c>
      <c r="AB56" s="128">
        <f t="shared" ref="AB56:AE56" si="322">AB53/W53-1</f>
        <v>0.52333865913283151</v>
      </c>
      <c r="AC56" s="128">
        <f t="shared" si="322"/>
        <v>0.46488096508370136</v>
      </c>
      <c r="AD56" s="128">
        <f t="shared" si="322"/>
        <v>0.21916967755129946</v>
      </c>
      <c r="AE56" s="128">
        <f t="shared" si="322"/>
        <v>0.46641027739137564</v>
      </c>
      <c r="AF56" s="128">
        <f>AF53/AA53-1</f>
        <v>0.20942408376963395</v>
      </c>
      <c r="AG56" s="128">
        <f t="shared" ref="AG56" si="323">AG53/AB53-1</f>
        <v>0.2777402655863157</v>
      </c>
      <c r="AH56" s="128">
        <f t="shared" ref="AH56" si="324">AH53/AC53-1</f>
        <v>0.32320499479708631</v>
      </c>
      <c r="AI56" s="128">
        <f t="shared" ref="AI56" si="325">AI53/AD53-1</f>
        <v>0.35674345783940953</v>
      </c>
      <c r="AJ56" s="129">
        <f>AJ53/AE53-1</f>
        <v>0.29362200770046321</v>
      </c>
      <c r="AK56" s="128">
        <f>AK53/AF53-1</f>
        <v>0.4296631247540339</v>
      </c>
      <c r="AL56" s="128">
        <f>AL53/AG53-1</f>
        <v>0.3197463449004756</v>
      </c>
      <c r="AM56" s="128">
        <f t="shared" ref="AM56" si="326">AM53/AH53-1</f>
        <v>0.24944951242529156</v>
      </c>
      <c r="AN56" s="128">
        <f t="shared" ref="AN56" si="327">AN53/AI53-1</f>
        <v>0.22622024398285534</v>
      </c>
      <c r="AO56" s="129">
        <f>AO53/AJ53-1</f>
        <v>0.30009058361730601</v>
      </c>
      <c r="AP56" s="128">
        <f>AP53/AK53-1</f>
        <v>0.14499277962240442</v>
      </c>
      <c r="AQ56" s="128">
        <f>AQ53/AL53-1</f>
        <v>0.13491364352259705</v>
      </c>
      <c r="AR56" s="128">
        <f t="shared" ref="AR56" si="328">AR53/AM53-1</f>
        <v>0.15440412202921228</v>
      </c>
      <c r="AS56" s="128">
        <f t="shared" ref="AS56" si="329">AS53/AN53-1</f>
        <v>0.21381630130890983</v>
      </c>
      <c r="AT56" s="128">
        <f>AT53/AO53-1</f>
        <v>0.16195281606647849</v>
      </c>
      <c r="AU56" s="128">
        <f t="shared" ref="AU56:AX56" si="330">AU53/AT53-1</f>
        <v>0.18742857651087741</v>
      </c>
      <c r="AV56" s="128">
        <f t="shared" si="330"/>
        <v>0.16438353024580721</v>
      </c>
      <c r="AW56" s="128">
        <f t="shared" si="330"/>
        <v>0.1575841533395681</v>
      </c>
      <c r="AX56" s="128">
        <f t="shared" si="330"/>
        <v>0.14354825313458131</v>
      </c>
      <c r="AY56" s="128">
        <f t="shared" ref="AY56" si="331">AY53/AX53-1</f>
        <v>0.11749940138114767</v>
      </c>
    </row>
    <row r="57" spans="2:53" x14ac:dyDescent="0.35">
      <c r="H57" s="128"/>
      <c r="I57" s="128"/>
      <c r="J57" s="128"/>
      <c r="K57" s="128"/>
      <c r="L57" s="128"/>
      <c r="M57" s="128"/>
      <c r="N57" s="129"/>
      <c r="O57" s="128"/>
      <c r="P57" s="128"/>
      <c r="Q57" s="128"/>
      <c r="R57" s="128"/>
      <c r="S57" s="128"/>
      <c r="T57" s="128"/>
      <c r="U57" s="346"/>
      <c r="V57" s="128"/>
      <c r="W57" s="128"/>
      <c r="X57" s="128"/>
      <c r="Y57" s="128"/>
      <c r="Z57" s="129"/>
      <c r="AA57" s="128"/>
      <c r="AB57" s="128"/>
      <c r="AC57" s="128"/>
      <c r="AD57" s="128"/>
      <c r="AE57" s="129"/>
      <c r="AF57" s="128"/>
      <c r="AG57" s="128"/>
      <c r="AH57" s="128"/>
      <c r="AI57" s="128"/>
      <c r="AJ57" s="129"/>
      <c r="AK57" s="128"/>
      <c r="AL57" s="128"/>
      <c r="AM57" s="128"/>
      <c r="AN57" s="128"/>
      <c r="AP57" s="128"/>
      <c r="AQ57" s="128"/>
      <c r="AR57" s="128"/>
      <c r="AS57" s="128"/>
    </row>
    <row r="58" spans="2:53" x14ac:dyDescent="0.35">
      <c r="B58" s="120" t="s">
        <v>155</v>
      </c>
      <c r="C58" s="121" t="str">
        <f t="shared" ref="C58:AX58" si="332">C2</f>
        <v>1Q19</v>
      </c>
      <c r="D58" s="121" t="str">
        <f t="shared" si="332"/>
        <v>2Q19</v>
      </c>
      <c r="E58" s="121" t="str">
        <f t="shared" si="332"/>
        <v>3Q19</v>
      </c>
      <c r="F58" s="121" t="str">
        <f t="shared" si="332"/>
        <v>4Q19</v>
      </c>
      <c r="G58" s="509">
        <f t="shared" si="332"/>
        <v>2019</v>
      </c>
      <c r="H58" s="121" t="str">
        <f t="shared" si="332"/>
        <v>1Q20</v>
      </c>
      <c r="I58" s="121" t="str">
        <f t="shared" si="332"/>
        <v>2Q20</v>
      </c>
      <c r="J58" s="121" t="str">
        <f>J2</f>
        <v>1H20</v>
      </c>
      <c r="K58" s="121" t="str">
        <f t="shared" si="332"/>
        <v>3Q20</v>
      </c>
      <c r="L58" s="121" t="str">
        <f t="shared" si="332"/>
        <v>4Q20</v>
      </c>
      <c r="M58" s="121" t="str">
        <f>M2</f>
        <v>2H20</v>
      </c>
      <c r="N58" s="122">
        <f t="shared" si="332"/>
        <v>2020</v>
      </c>
      <c r="O58" s="121" t="str">
        <f t="shared" si="332"/>
        <v>1Q21</v>
      </c>
      <c r="P58" s="121" t="str">
        <f t="shared" si="332"/>
        <v>2Q21</v>
      </c>
      <c r="Q58" s="121" t="str">
        <f>Q2</f>
        <v>1H21</v>
      </c>
      <c r="R58" s="121" t="str">
        <f t="shared" si="332"/>
        <v>3Q21</v>
      </c>
      <c r="S58" s="121" t="str">
        <f t="shared" si="332"/>
        <v>4Q21</v>
      </c>
      <c r="T58" s="121" t="str">
        <f>T2</f>
        <v>2H21</v>
      </c>
      <c r="U58" s="342">
        <f t="shared" si="332"/>
        <v>2021</v>
      </c>
      <c r="V58" s="121" t="str">
        <f t="shared" si="332"/>
        <v>1Q22</v>
      </c>
      <c r="W58" s="121" t="str">
        <f t="shared" si="332"/>
        <v>2Q22</v>
      </c>
      <c r="X58" s="121" t="str">
        <f t="shared" si="332"/>
        <v>3Q22</v>
      </c>
      <c r="Y58" s="121" t="str">
        <f t="shared" si="332"/>
        <v>4Q22</v>
      </c>
      <c r="Z58" s="122">
        <f t="shared" si="332"/>
        <v>2022</v>
      </c>
      <c r="AA58" s="121" t="str">
        <f t="shared" si="332"/>
        <v>1Q23</v>
      </c>
      <c r="AB58" s="121" t="str">
        <f t="shared" si="332"/>
        <v>2Q23</v>
      </c>
      <c r="AC58" s="121" t="str">
        <f t="shared" si="332"/>
        <v>3Q23</v>
      </c>
      <c r="AD58" s="121" t="str">
        <f t="shared" si="332"/>
        <v>4Q23</v>
      </c>
      <c r="AE58" s="122">
        <f t="shared" si="332"/>
        <v>2023</v>
      </c>
      <c r="AF58" s="121" t="str">
        <f t="shared" si="332"/>
        <v>1Q24</v>
      </c>
      <c r="AG58" s="121" t="str">
        <f t="shared" si="332"/>
        <v>2Q24</v>
      </c>
      <c r="AH58" s="121" t="str">
        <f t="shared" si="332"/>
        <v>3Q24</v>
      </c>
      <c r="AI58" s="121" t="str">
        <f t="shared" si="332"/>
        <v>4Q24</v>
      </c>
      <c r="AJ58" s="122">
        <f t="shared" si="332"/>
        <v>2024</v>
      </c>
      <c r="AK58" s="121" t="str">
        <f t="shared" si="332"/>
        <v>1Q25</v>
      </c>
      <c r="AL58" s="121" t="str">
        <f t="shared" si="332"/>
        <v>2Q25</v>
      </c>
      <c r="AM58" s="121" t="str">
        <f t="shared" si="332"/>
        <v>3Q25</v>
      </c>
      <c r="AN58" s="121" t="str">
        <f t="shared" si="332"/>
        <v>4Q25</v>
      </c>
      <c r="AO58" s="122">
        <f t="shared" si="332"/>
        <v>2025</v>
      </c>
      <c r="AP58" s="121" t="str">
        <f t="shared" ref="AP58:AS58" si="333">AP2</f>
        <v>1Q26</v>
      </c>
      <c r="AQ58" s="121" t="str">
        <f t="shared" si="333"/>
        <v>2Q26</v>
      </c>
      <c r="AR58" s="121" t="str">
        <f t="shared" si="333"/>
        <v>3Q26E</v>
      </c>
      <c r="AS58" s="121" t="str">
        <f t="shared" si="333"/>
        <v>4Q26E</v>
      </c>
      <c r="AT58" s="121" t="str">
        <f t="shared" si="332"/>
        <v>2026E</v>
      </c>
      <c r="AU58" s="121" t="str">
        <f t="shared" si="332"/>
        <v>2027E</v>
      </c>
      <c r="AV58" s="121" t="str">
        <f t="shared" si="332"/>
        <v>2028E</v>
      </c>
      <c r="AW58" s="121" t="str">
        <f t="shared" si="332"/>
        <v>2029E</v>
      </c>
      <c r="AX58" s="121" t="str">
        <f t="shared" si="332"/>
        <v>2030E</v>
      </c>
      <c r="AY58" s="121" t="str">
        <f t="shared" ref="AY58" si="334">AY2</f>
        <v>2031E</v>
      </c>
    </row>
    <row r="59" spans="2:53" x14ac:dyDescent="0.35">
      <c r="B59" s="217" t="s">
        <v>166</v>
      </c>
      <c r="C59" s="121"/>
      <c r="D59" s="121"/>
      <c r="E59" s="121"/>
      <c r="F59" s="121"/>
      <c r="G59" s="509"/>
      <c r="H59" s="121"/>
      <c r="I59" s="121"/>
      <c r="J59" s="121"/>
      <c r="K59" s="121"/>
      <c r="L59" s="121"/>
      <c r="M59" s="121"/>
      <c r="N59" s="122"/>
      <c r="O59" s="121"/>
      <c r="P59" s="121"/>
      <c r="Q59" s="121"/>
      <c r="R59" s="121"/>
      <c r="S59" s="121"/>
      <c r="T59" s="121"/>
      <c r="U59" s="342"/>
      <c r="V59" s="121"/>
      <c r="W59" s="121"/>
      <c r="X59" s="121"/>
      <c r="Y59" s="121"/>
      <c r="Z59" s="122"/>
      <c r="AA59" s="121"/>
      <c r="AB59" s="121"/>
      <c r="AC59" s="121"/>
      <c r="AD59" s="121"/>
      <c r="AE59" s="122"/>
      <c r="AF59" s="121"/>
      <c r="AG59" s="121"/>
      <c r="AH59" s="121"/>
      <c r="AI59" s="121"/>
      <c r="AJ59" s="122"/>
      <c r="AK59" s="121"/>
      <c r="AL59" s="121"/>
      <c r="AM59" s="121"/>
      <c r="AN59" s="121"/>
      <c r="AO59" s="122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</row>
    <row r="60" spans="2:53" x14ac:dyDescent="0.35">
      <c r="B60" s="204" t="s">
        <v>208</v>
      </c>
      <c r="C60" s="215"/>
      <c r="D60" s="215"/>
      <c r="E60" s="215"/>
      <c r="F60" s="215"/>
      <c r="G60" s="517"/>
      <c r="H60" s="215"/>
      <c r="I60" s="215"/>
      <c r="J60" s="215"/>
      <c r="K60" s="215"/>
      <c r="L60" s="215"/>
      <c r="M60" s="215"/>
      <c r="N60" s="216"/>
      <c r="O60" s="215"/>
      <c r="P60" s="215"/>
      <c r="Q60" s="215"/>
      <c r="R60" s="215"/>
      <c r="S60" s="215"/>
      <c r="T60" s="215"/>
      <c r="U60" s="352"/>
      <c r="V60" s="215"/>
      <c r="W60" s="215"/>
      <c r="X60" s="215"/>
      <c r="Y60" s="215"/>
      <c r="Z60" s="216"/>
      <c r="AA60" s="215"/>
      <c r="AB60" s="215"/>
      <c r="AC60" s="215"/>
      <c r="AD60" s="215"/>
      <c r="AE60" s="216"/>
      <c r="AF60" s="215"/>
      <c r="AG60" s="215"/>
      <c r="AH60" s="215"/>
      <c r="AI60" s="215"/>
      <c r="AJ60" s="216"/>
      <c r="AK60" s="215"/>
      <c r="AL60" s="215"/>
      <c r="AM60" s="215"/>
      <c r="AN60" s="215"/>
      <c r="AO60" s="216"/>
      <c r="AP60" s="215"/>
      <c r="AQ60" s="215"/>
      <c r="AR60" s="215"/>
      <c r="AS60" s="215"/>
      <c r="AT60" s="215"/>
      <c r="AU60" s="215"/>
      <c r="AV60" s="215"/>
      <c r="AW60" s="215"/>
      <c r="AX60" s="215"/>
      <c r="AY60" s="215"/>
    </row>
    <row r="61" spans="2:53" hidden="1" x14ac:dyDescent="0.35">
      <c r="B61" s="123" t="s">
        <v>1</v>
      </c>
      <c r="C61" s="140"/>
      <c r="D61" s="140"/>
      <c r="E61" s="140"/>
      <c r="F61" s="140"/>
      <c r="G61" s="518"/>
      <c r="H61" s="140"/>
      <c r="I61" s="140"/>
      <c r="J61" s="140"/>
      <c r="K61" s="140"/>
      <c r="L61" s="140"/>
      <c r="M61" s="140"/>
      <c r="N61" s="141">
        <f>N4-N94</f>
        <v>61.098244870000002</v>
      </c>
      <c r="O61" s="142"/>
      <c r="P61" s="142"/>
      <c r="Q61" s="142"/>
      <c r="R61" s="142"/>
      <c r="S61" s="142"/>
      <c r="T61" s="142"/>
      <c r="U61" s="353">
        <f>U4-U94</f>
        <v>82.53831599999998</v>
      </c>
      <c r="V61" s="142"/>
      <c r="W61" s="142"/>
      <c r="X61" s="142"/>
      <c r="Y61" s="142"/>
      <c r="Z61" s="141">
        <f>Z4-Z94</f>
        <v>130.19427815999998</v>
      </c>
      <c r="AA61" s="142"/>
      <c r="AB61" s="142"/>
      <c r="AC61" s="142"/>
      <c r="AD61" s="142"/>
      <c r="AE61" s="141">
        <f>AE4-AE94</f>
        <v>229.85789127479984</v>
      </c>
      <c r="AF61" s="142"/>
      <c r="AG61" s="142"/>
      <c r="AH61" s="142"/>
      <c r="AI61" s="142"/>
      <c r="AJ61" s="141">
        <f t="shared" ref="AJ61:AY61" si="335">AJ4-AJ94</f>
        <v>282.76799999999997</v>
      </c>
      <c r="AK61" s="142"/>
      <c r="AL61" s="142"/>
      <c r="AM61" s="142"/>
      <c r="AN61" s="142"/>
      <c r="AO61" s="141">
        <f t="shared" si="335"/>
        <v>421.93804000000017</v>
      </c>
      <c r="AP61" s="142"/>
      <c r="AQ61" s="142"/>
      <c r="AR61" s="142"/>
      <c r="AS61" s="142"/>
      <c r="AT61" s="142">
        <f t="shared" si="335"/>
        <v>518.21142561322858</v>
      </c>
      <c r="AU61" s="142">
        <f t="shared" si="335"/>
        <v>632.46161341072207</v>
      </c>
      <c r="AV61" s="142">
        <f t="shared" si="335"/>
        <v>735.13263529536266</v>
      </c>
      <c r="AW61" s="142">
        <f t="shared" si="335"/>
        <v>840.90595628924325</v>
      </c>
      <c r="AX61" s="142">
        <f t="shared" si="335"/>
        <v>944.2808072409822</v>
      </c>
      <c r="AY61" s="142">
        <f t="shared" si="335"/>
        <v>1029.817147257977</v>
      </c>
      <c r="AZ61" s="195"/>
      <c r="BA61" s="195"/>
    </row>
    <row r="62" spans="2:53" hidden="1" x14ac:dyDescent="0.35">
      <c r="B62" s="124" t="s">
        <v>156</v>
      </c>
      <c r="C62" s="140"/>
      <c r="D62" s="140"/>
      <c r="E62" s="140"/>
      <c r="F62" s="140"/>
      <c r="G62" s="518"/>
      <c r="H62" s="140"/>
      <c r="I62" s="140"/>
      <c r="J62" s="140"/>
      <c r="K62" s="140"/>
      <c r="L62" s="140"/>
      <c r="M62" s="140"/>
      <c r="N62" s="143"/>
      <c r="O62" s="140"/>
      <c r="P62" s="140"/>
      <c r="Q62" s="140"/>
      <c r="R62" s="140"/>
      <c r="S62" s="140"/>
      <c r="T62" s="140"/>
      <c r="U62" s="354">
        <f>((1+U64)/(1+U63))-1</f>
        <v>0.37333401488008344</v>
      </c>
      <c r="V62" s="140"/>
      <c r="W62" s="140"/>
      <c r="X62" s="140"/>
      <c r="Y62" s="140"/>
      <c r="Z62" s="462">
        <f>((1+Z64)/(1+Z63))-1</f>
        <v>0.49062428292062843</v>
      </c>
      <c r="AA62" s="144"/>
      <c r="AB62" s="144"/>
      <c r="AC62" s="144"/>
      <c r="AD62" s="144"/>
      <c r="AE62" s="462">
        <f>((1+AE64)/(1+AE63))-1</f>
        <v>0.72836791634006315</v>
      </c>
      <c r="AF62" s="144"/>
      <c r="AG62" s="144"/>
      <c r="AH62" s="144"/>
      <c r="AI62" s="144"/>
      <c r="AJ62" s="462">
        <f t="shared" ref="AJ62:AY62" si="336">((1+AJ64)/(1+AJ63))-1</f>
        <v>0.24795528423901425</v>
      </c>
      <c r="AK62" s="144"/>
      <c r="AL62" s="144"/>
      <c r="AM62" s="144"/>
      <c r="AN62" s="144"/>
      <c r="AO62" s="462">
        <f t="shared" si="336"/>
        <v>0.52300314557402228</v>
      </c>
      <c r="AP62" s="144"/>
      <c r="AQ62" s="144"/>
      <c r="AR62" s="144"/>
      <c r="AS62" s="144"/>
      <c r="AT62" s="144">
        <f t="shared" si="336"/>
        <v>0.24504537649136626</v>
      </c>
      <c r="AU62" s="144">
        <f t="shared" si="336"/>
        <v>0.2146220834468342</v>
      </c>
      <c r="AV62" s="144">
        <f t="shared" si="336"/>
        <v>0.16233557848824853</v>
      </c>
      <c r="AW62" s="144">
        <f t="shared" si="336"/>
        <v>0.14388331562967926</v>
      </c>
      <c r="AX62" s="144">
        <f t="shared" si="336"/>
        <v>0.12293271343672285</v>
      </c>
      <c r="AY62" s="144">
        <f t="shared" si="336"/>
        <v>9.0583584206181733E-2</v>
      </c>
    </row>
    <row r="63" spans="2:53" hidden="1" x14ac:dyDescent="0.35">
      <c r="B63" s="124" t="s">
        <v>157</v>
      </c>
      <c r="C63" s="140"/>
      <c r="D63" s="140"/>
      <c r="E63" s="140"/>
      <c r="F63" s="140"/>
      <c r="G63" s="518"/>
      <c r="H63" s="140"/>
      <c r="I63" s="140"/>
      <c r="J63" s="140"/>
      <c r="K63" s="140"/>
      <c r="L63" s="140"/>
      <c r="M63" s="140"/>
      <c r="N63" s="143"/>
      <c r="O63" s="140"/>
      <c r="P63" s="140"/>
      <c r="Q63" s="140"/>
      <c r="R63" s="140"/>
      <c r="S63" s="140"/>
      <c r="T63" s="140"/>
      <c r="U63" s="355">
        <f>U6</f>
        <v>-1.6327132873027193E-2</v>
      </c>
      <c r="V63" s="140"/>
      <c r="W63" s="140"/>
      <c r="X63" s="140"/>
      <c r="Y63" s="140"/>
      <c r="Z63" s="463">
        <f>Z6</f>
        <v>5.8200841116018261E-2</v>
      </c>
      <c r="AA63" s="145"/>
      <c r="AB63" s="145"/>
      <c r="AC63" s="145"/>
      <c r="AD63" s="145"/>
      <c r="AE63" s="463">
        <f>AE6</f>
        <v>2.1483425414364404E-2</v>
      </c>
      <c r="AF63" s="145"/>
      <c r="AG63" s="145"/>
      <c r="AH63" s="145"/>
      <c r="AI63" s="145"/>
      <c r="AJ63" s="463">
        <f t="shared" ref="AJ63:AY63" si="337">AJ6</f>
        <v>-1.4238578680203132E-2</v>
      </c>
      <c r="AK63" s="145"/>
      <c r="AL63" s="145"/>
      <c r="AM63" s="145"/>
      <c r="AN63" s="145"/>
      <c r="AO63" s="463">
        <f t="shared" si="337"/>
        <v>-2.0244701717582012E-2</v>
      </c>
      <c r="AP63" s="145"/>
      <c r="AQ63" s="145"/>
      <c r="AR63" s="145"/>
      <c r="AS63" s="145"/>
      <c r="AT63" s="145">
        <f t="shared" si="337"/>
        <v>-1.3554438288673826E-2</v>
      </c>
      <c r="AU63" s="145">
        <f t="shared" si="337"/>
        <v>4.8147799629874033E-3</v>
      </c>
      <c r="AV63" s="145">
        <f t="shared" si="337"/>
        <v>0</v>
      </c>
      <c r="AW63" s="145">
        <f t="shared" si="337"/>
        <v>0</v>
      </c>
      <c r="AX63" s="145">
        <f t="shared" si="337"/>
        <v>0</v>
      </c>
      <c r="AY63" s="145">
        <f t="shared" si="337"/>
        <v>0</v>
      </c>
    </row>
    <row r="64" spans="2:53" hidden="1" x14ac:dyDescent="0.35">
      <c r="B64" s="124" t="s">
        <v>158</v>
      </c>
      <c r="C64" s="140"/>
      <c r="D64" s="140"/>
      <c r="E64" s="140"/>
      <c r="F64" s="140"/>
      <c r="G64" s="518"/>
      <c r="H64" s="140"/>
      <c r="I64" s="140"/>
      <c r="J64" s="140"/>
      <c r="K64" s="140"/>
      <c r="L64" s="140"/>
      <c r="M64" s="140"/>
      <c r="N64" s="143"/>
      <c r="O64" s="140"/>
      <c r="P64" s="140"/>
      <c r="Q64" s="140"/>
      <c r="R64" s="140"/>
      <c r="S64" s="140"/>
      <c r="T64" s="140"/>
      <c r="U64" s="354">
        <f>U61/N61-1</f>
        <v>0.35091140794008835</v>
      </c>
      <c r="V64" s="140"/>
      <c r="W64" s="140"/>
      <c r="X64" s="140"/>
      <c r="Y64" s="140"/>
      <c r="Z64" s="462">
        <f>Z61/U61-1</f>
        <v>0.57737986997457047</v>
      </c>
      <c r="AA64" s="144"/>
      <c r="AB64" s="144"/>
      <c r="AC64" s="144"/>
      <c r="AD64" s="144"/>
      <c r="AE64" s="462">
        <f>AE61/Z61-1</f>
        <v>0.76549917955933511</v>
      </c>
      <c r="AF64" s="144"/>
      <c r="AG64" s="144"/>
      <c r="AH64" s="144"/>
      <c r="AI64" s="144"/>
      <c r="AJ64" s="462">
        <f>AJ61/AE61-1</f>
        <v>0.2301861747350018</v>
      </c>
      <c r="AK64" s="144"/>
      <c r="AL64" s="144"/>
      <c r="AM64" s="144"/>
      <c r="AN64" s="144"/>
      <c r="AO64" s="462">
        <f>AO61/AJ61-1</f>
        <v>0.49217040117693722</v>
      </c>
      <c r="AP64" s="144"/>
      <c r="AQ64" s="144"/>
      <c r="AR64" s="144"/>
      <c r="AS64" s="144"/>
      <c r="AT64" s="144">
        <f>AT61/AO61-1</f>
        <v>0.22816948576911522</v>
      </c>
      <c r="AU64" s="144">
        <f t="shared" ref="AU64:AY64" si="338">AU61/AT61-1</f>
        <v>0.22047022151681595</v>
      </c>
      <c r="AV64" s="144">
        <f t="shared" si="338"/>
        <v>0.16233557848824853</v>
      </c>
      <c r="AW64" s="144">
        <f t="shared" si="338"/>
        <v>0.14388331562967926</v>
      </c>
      <c r="AX64" s="144">
        <f t="shared" si="338"/>
        <v>0.12293271343672285</v>
      </c>
      <c r="AY64" s="144">
        <f t="shared" si="338"/>
        <v>9.0583584206181733E-2</v>
      </c>
    </row>
    <row r="65" spans="2:53" hidden="1" x14ac:dyDescent="0.35">
      <c r="B65" s="123" t="s">
        <v>2</v>
      </c>
      <c r="C65" s="140"/>
      <c r="D65" s="140"/>
      <c r="E65" s="140"/>
      <c r="F65" s="140"/>
      <c r="G65" s="518"/>
      <c r="H65" s="140"/>
      <c r="I65" s="140"/>
      <c r="J65" s="140"/>
      <c r="K65" s="140"/>
      <c r="L65" s="140"/>
      <c r="M65" s="140"/>
      <c r="N65" s="141">
        <f>N11-N99</f>
        <v>92.798999999999992</v>
      </c>
      <c r="O65" s="140"/>
      <c r="P65" s="140"/>
      <c r="Q65" s="140"/>
      <c r="R65" s="140"/>
      <c r="S65" s="140"/>
      <c r="T65" s="140"/>
      <c r="U65" s="353">
        <f>U11-U99</f>
        <v>161.61793399999993</v>
      </c>
      <c r="V65" s="140"/>
      <c r="W65" s="140"/>
      <c r="X65" s="140"/>
      <c r="Y65" s="140"/>
      <c r="Z65" s="141">
        <f t="shared" ref="Z65:AY65" si="339">Z11-Z99</f>
        <v>220.65411058999996</v>
      </c>
      <c r="AA65" s="142"/>
      <c r="AB65" s="142"/>
      <c r="AC65" s="142"/>
      <c r="AD65" s="142"/>
      <c r="AE65" s="141">
        <f t="shared" si="339"/>
        <v>350.47062719519977</v>
      </c>
      <c r="AF65" s="142"/>
      <c r="AG65" s="142"/>
      <c r="AH65" s="142"/>
      <c r="AI65" s="142"/>
      <c r="AJ65" s="141">
        <f t="shared" si="339"/>
        <v>465.65799999999933</v>
      </c>
      <c r="AK65" s="142"/>
      <c r="AL65" s="142"/>
      <c r="AM65" s="142"/>
      <c r="AN65" s="142"/>
      <c r="AO65" s="141">
        <f t="shared" si="339"/>
        <v>414.51684499999806</v>
      </c>
      <c r="AP65" s="142"/>
      <c r="AQ65" s="142"/>
      <c r="AR65" s="142"/>
      <c r="AS65" s="142"/>
      <c r="AT65" s="142">
        <f t="shared" si="339"/>
        <v>406.88483331633347</v>
      </c>
      <c r="AU65" s="142">
        <f t="shared" si="339"/>
        <v>376.23324005999962</v>
      </c>
      <c r="AV65" s="142">
        <f t="shared" si="339"/>
        <v>338.77383141068754</v>
      </c>
      <c r="AW65" s="142">
        <f t="shared" si="339"/>
        <v>286.84789551503832</v>
      </c>
      <c r="AX65" s="142">
        <f t="shared" si="339"/>
        <v>186.95178421122409</v>
      </c>
      <c r="AY65" s="142">
        <f t="shared" si="339"/>
        <v>101.4317795134416</v>
      </c>
      <c r="AZ65" s="195"/>
    </row>
    <row r="66" spans="2:53" hidden="1" x14ac:dyDescent="0.35">
      <c r="B66" s="124" t="s">
        <v>156</v>
      </c>
      <c r="C66" s="140"/>
      <c r="D66" s="140"/>
      <c r="E66" s="140"/>
      <c r="F66" s="140"/>
      <c r="G66" s="518"/>
      <c r="H66" s="140"/>
      <c r="I66" s="140"/>
      <c r="J66" s="140"/>
      <c r="K66" s="140"/>
      <c r="L66" s="140"/>
      <c r="M66" s="140"/>
      <c r="N66" s="143"/>
      <c r="O66" s="140"/>
      <c r="P66" s="140"/>
      <c r="Q66" s="140"/>
      <c r="R66" s="140"/>
      <c r="S66" s="140"/>
      <c r="T66" s="140"/>
      <c r="U66" s="354">
        <f>((1+U68)/(1+U67))-1</f>
        <v>0.77092603718493447</v>
      </c>
      <c r="V66" s="140"/>
      <c r="W66" s="140"/>
      <c r="X66" s="140"/>
      <c r="Y66" s="140"/>
      <c r="Z66" s="462">
        <f>((1+Z68)/(1+Z67))-1</f>
        <v>0.30565255111228429</v>
      </c>
      <c r="AA66" s="144"/>
      <c r="AB66" s="144"/>
      <c r="AC66" s="144"/>
      <c r="AD66" s="144"/>
      <c r="AE66" s="462">
        <f>((1+AE68)/(1+AE67))-1</f>
        <v>0.62526686423058053</v>
      </c>
      <c r="AF66" s="144"/>
      <c r="AG66" s="144"/>
      <c r="AH66" s="144"/>
      <c r="AI66" s="144"/>
      <c r="AJ66" s="462">
        <f t="shared" ref="AJ66:AY66" si="340">((1+AJ68)/(1+AJ67))-1</f>
        <v>0.36909284108570084</v>
      </c>
      <c r="AK66" s="144"/>
      <c r="AL66" s="144"/>
      <c r="AM66" s="144"/>
      <c r="AN66" s="144"/>
      <c r="AO66" s="462">
        <f t="shared" si="340"/>
        <v>-6.5600728097140348E-2</v>
      </c>
      <c r="AP66" s="144"/>
      <c r="AQ66" s="144"/>
      <c r="AR66" s="144"/>
      <c r="AS66" s="144"/>
      <c r="AT66" s="144">
        <f t="shared" si="340"/>
        <v>4.3668151376497377E-2</v>
      </c>
      <c r="AU66" s="144">
        <f t="shared" si="340"/>
        <v>-7.9005611571972945E-2</v>
      </c>
      <c r="AV66" s="144">
        <f t="shared" si="340"/>
        <v>-9.9564325159941403E-2</v>
      </c>
      <c r="AW66" s="144">
        <f t="shared" si="340"/>
        <v>-0.15327611250085205</v>
      </c>
      <c r="AX66" s="144">
        <f t="shared" si="340"/>
        <v>-0.3482546424977242</v>
      </c>
      <c r="AY66" s="144">
        <f t="shared" si="340"/>
        <v>-0.45744417502407608</v>
      </c>
    </row>
    <row r="67" spans="2:53" hidden="1" x14ac:dyDescent="0.35">
      <c r="B67" s="124" t="s">
        <v>157</v>
      </c>
      <c r="C67" s="140"/>
      <c r="D67" s="140"/>
      <c r="E67" s="140"/>
      <c r="F67" s="140"/>
      <c r="G67" s="518"/>
      <c r="H67" s="140"/>
      <c r="I67" s="140"/>
      <c r="J67" s="140"/>
      <c r="K67" s="140"/>
      <c r="L67" s="140"/>
      <c r="M67" s="140"/>
      <c r="N67" s="143"/>
      <c r="O67" s="140"/>
      <c r="P67" s="140"/>
      <c r="Q67" s="140"/>
      <c r="R67" s="140"/>
      <c r="S67" s="140"/>
      <c r="T67" s="140"/>
      <c r="U67" s="355">
        <f>U13</f>
        <v>-1.6564613521873047E-2</v>
      </c>
      <c r="V67" s="140"/>
      <c r="W67" s="140"/>
      <c r="X67" s="140"/>
      <c r="Y67" s="140"/>
      <c r="Z67" s="463">
        <f>Z13</f>
        <v>4.5670485285795384E-2</v>
      </c>
      <c r="AA67" s="145"/>
      <c r="AB67" s="145"/>
      <c r="AC67" s="145"/>
      <c r="AD67" s="145"/>
      <c r="AE67" s="463">
        <f>AE13</f>
        <v>-2.2729200722704838E-2</v>
      </c>
      <c r="AF67" s="145"/>
      <c r="AG67" s="145"/>
      <c r="AH67" s="145"/>
      <c r="AI67" s="145"/>
      <c r="AJ67" s="463">
        <f t="shared" ref="AJ67:AY67" si="341">AJ13</f>
        <v>-2.952904238618511E-2</v>
      </c>
      <c r="AK67" s="145"/>
      <c r="AL67" s="145"/>
      <c r="AM67" s="145"/>
      <c r="AN67" s="145"/>
      <c r="AO67" s="463">
        <f t="shared" si="341"/>
        <v>-4.7329704380130469E-2</v>
      </c>
      <c r="AP67" s="145"/>
      <c r="AQ67" s="145"/>
      <c r="AR67" s="145"/>
      <c r="AS67" s="145"/>
      <c r="AT67" s="145">
        <f t="shared" si="341"/>
        <v>-5.9482486337323406E-2</v>
      </c>
      <c r="AU67" s="145">
        <f t="shared" si="341"/>
        <v>3.9883578762943545E-3</v>
      </c>
      <c r="AV67" s="145">
        <f t="shared" si="341"/>
        <v>0</v>
      </c>
      <c r="AW67" s="145">
        <f t="shared" si="341"/>
        <v>0</v>
      </c>
      <c r="AX67" s="145">
        <f t="shared" si="341"/>
        <v>0</v>
      </c>
      <c r="AY67" s="145">
        <f t="shared" si="341"/>
        <v>0</v>
      </c>
    </row>
    <row r="68" spans="2:53" hidden="1" x14ac:dyDescent="0.35">
      <c r="B68" s="124" t="s">
        <v>158</v>
      </c>
      <c r="C68" s="140"/>
      <c r="D68" s="140"/>
      <c r="E68" s="140"/>
      <c r="F68" s="140"/>
      <c r="G68" s="518"/>
      <c r="H68" s="140"/>
      <c r="I68" s="140"/>
      <c r="J68" s="140"/>
      <c r="K68" s="140"/>
      <c r="L68" s="140"/>
      <c r="M68" s="140"/>
      <c r="N68" s="143"/>
      <c r="O68" s="140"/>
      <c r="P68" s="140"/>
      <c r="Q68" s="140"/>
      <c r="R68" s="140"/>
      <c r="S68" s="140"/>
      <c r="T68" s="140"/>
      <c r="U68" s="354">
        <f>U65/N65-1</f>
        <v>0.74159133180314396</v>
      </c>
      <c r="V68" s="140"/>
      <c r="W68" s="140"/>
      <c r="X68" s="140"/>
      <c r="Y68" s="140"/>
      <c r="Z68" s="462">
        <f>Z65/U65-1</f>
        <v>0.36528233673621924</v>
      </c>
      <c r="AA68" s="144"/>
      <c r="AB68" s="144"/>
      <c r="AC68" s="144"/>
      <c r="AD68" s="144"/>
      <c r="AE68" s="462">
        <f>AE65/Z65-1</f>
        <v>0.58832584744552263</v>
      </c>
      <c r="AF68" s="144"/>
      <c r="AG68" s="144"/>
      <c r="AH68" s="144"/>
      <c r="AI68" s="144"/>
      <c r="AJ68" s="462">
        <f>AJ65/AE65-1</f>
        <v>0.32866484055065848</v>
      </c>
      <c r="AK68" s="144"/>
      <c r="AL68" s="144"/>
      <c r="AM68" s="144"/>
      <c r="AN68" s="144"/>
      <c r="AO68" s="462">
        <f>AO65/AJ65-1</f>
        <v>-0.10982556940931187</v>
      </c>
      <c r="AP68" s="144"/>
      <c r="AQ68" s="144"/>
      <c r="AR68" s="144"/>
      <c r="AS68" s="144"/>
      <c r="AT68" s="144">
        <f>AT65/AO65-1</f>
        <v>-1.8411825178454744E-2</v>
      </c>
      <c r="AU68" s="144">
        <f t="shared" ref="AU68:AY68" si="342">AU65/AT65-1</f>
        <v>-7.5332356348863261E-2</v>
      </c>
      <c r="AV68" s="144">
        <f t="shared" si="342"/>
        <v>-9.9564325159941403E-2</v>
      </c>
      <c r="AW68" s="144">
        <f t="shared" si="342"/>
        <v>-0.15327611250085205</v>
      </c>
      <c r="AX68" s="144">
        <f t="shared" si="342"/>
        <v>-0.3482546424977242</v>
      </c>
      <c r="AY68" s="144">
        <f t="shared" si="342"/>
        <v>-0.45744417502407608</v>
      </c>
    </row>
    <row r="69" spans="2:53" hidden="1" x14ac:dyDescent="0.35">
      <c r="B69" s="123" t="s">
        <v>3</v>
      </c>
      <c r="C69" s="140"/>
      <c r="D69" s="140"/>
      <c r="E69" s="140"/>
      <c r="F69" s="140"/>
      <c r="G69" s="518"/>
      <c r="H69" s="140"/>
      <c r="I69" s="140"/>
      <c r="J69" s="140"/>
      <c r="K69" s="140"/>
      <c r="L69" s="140"/>
      <c r="M69" s="140"/>
      <c r="N69" s="141">
        <f>N18-N104</f>
        <v>8.0509999999999984</v>
      </c>
      <c r="O69" s="140"/>
      <c r="P69" s="140"/>
      <c r="Q69" s="140"/>
      <c r="R69" s="140"/>
      <c r="S69" s="140"/>
      <c r="T69" s="140"/>
      <c r="U69" s="353">
        <f>U18-U104</f>
        <v>19.343749999999996</v>
      </c>
      <c r="V69" s="140"/>
      <c r="W69" s="140"/>
      <c r="X69" s="140"/>
      <c r="Y69" s="140"/>
      <c r="Z69" s="141">
        <f t="shared" ref="Z69:AY69" si="343">Z18-Z104</f>
        <v>45.151611249999988</v>
      </c>
      <c r="AA69" s="142"/>
      <c r="AB69" s="142"/>
      <c r="AC69" s="142"/>
      <c r="AD69" s="142"/>
      <c r="AE69" s="141">
        <f t="shared" si="343"/>
        <v>91.471481530000062</v>
      </c>
      <c r="AF69" s="142"/>
      <c r="AG69" s="142"/>
      <c r="AH69" s="142"/>
      <c r="AI69" s="142"/>
      <c r="AJ69" s="141">
        <f t="shared" si="343"/>
        <v>194.37399999999994</v>
      </c>
      <c r="AK69" s="142"/>
      <c r="AL69" s="142"/>
      <c r="AM69" s="142"/>
      <c r="AN69" s="142"/>
      <c r="AO69" s="141">
        <f t="shared" si="343"/>
        <v>424.04511500000018</v>
      </c>
      <c r="AP69" s="142"/>
      <c r="AQ69" s="142"/>
      <c r="AR69" s="142"/>
      <c r="AS69" s="142"/>
      <c r="AT69" s="142">
        <f t="shared" si="343"/>
        <v>661.61009501884882</v>
      </c>
      <c r="AU69" s="142">
        <f t="shared" si="343"/>
        <v>958.82102542530811</v>
      </c>
      <c r="AV69" s="142">
        <f t="shared" si="343"/>
        <v>1306.787746758145</v>
      </c>
      <c r="AW69" s="142">
        <f t="shared" si="343"/>
        <v>1705.2722622181113</v>
      </c>
      <c r="AX69" s="142">
        <f t="shared" si="343"/>
        <v>2140.9125702436572</v>
      </c>
      <c r="AY69" s="142">
        <f t="shared" si="343"/>
        <v>2566.2751059449056</v>
      </c>
      <c r="AZ69" s="195"/>
    </row>
    <row r="70" spans="2:53" hidden="1" x14ac:dyDescent="0.35">
      <c r="B70" s="124" t="s">
        <v>156</v>
      </c>
      <c r="C70" s="140"/>
      <c r="D70" s="140"/>
      <c r="E70" s="140"/>
      <c r="F70" s="140"/>
      <c r="G70" s="518"/>
      <c r="H70" s="140"/>
      <c r="I70" s="140"/>
      <c r="J70" s="140"/>
      <c r="K70" s="140"/>
      <c r="L70" s="140"/>
      <c r="M70" s="140"/>
      <c r="N70" s="143"/>
      <c r="O70" s="140"/>
      <c r="P70" s="140"/>
      <c r="Q70" s="140"/>
      <c r="R70" s="140"/>
      <c r="S70" s="140"/>
      <c r="T70" s="140"/>
      <c r="U70" s="354">
        <f>((1+U72)/(1+U71))-1</f>
        <v>1.2896528070226521</v>
      </c>
      <c r="V70" s="140"/>
      <c r="W70" s="140"/>
      <c r="X70" s="140"/>
      <c r="Y70" s="140"/>
      <c r="Z70" s="462">
        <f>((1+Z72)/(1+Z71))-1</f>
        <v>1.3384715200088531</v>
      </c>
      <c r="AA70" s="144"/>
      <c r="AB70" s="144"/>
      <c r="AC70" s="144"/>
      <c r="AD70" s="144"/>
      <c r="AE70" s="462">
        <f>((1+AE72)/(1+AE71))-1</f>
        <v>1.2569017773275464</v>
      </c>
      <c r="AF70" s="144"/>
      <c r="AG70" s="144"/>
      <c r="AH70" s="144"/>
      <c r="AI70" s="144"/>
      <c r="AJ70" s="462">
        <f t="shared" ref="AJ70:AY70" si="344">((1+AJ72)/(1+AJ71))-1</f>
        <v>1.2524790732823701</v>
      </c>
      <c r="AK70" s="144"/>
      <c r="AL70" s="144"/>
      <c r="AM70" s="144"/>
      <c r="AN70" s="144"/>
      <c r="AO70" s="462">
        <f t="shared" si="344"/>
        <v>1.2954938042203836</v>
      </c>
      <c r="AP70" s="144"/>
      <c r="AQ70" s="144"/>
      <c r="AR70" s="144"/>
      <c r="AS70" s="144"/>
      <c r="AT70" s="144">
        <f t="shared" si="344"/>
        <v>0.5924957953301111</v>
      </c>
      <c r="AU70" s="144">
        <f t="shared" si="344"/>
        <v>0.41814134669908087</v>
      </c>
      <c r="AV70" s="144">
        <f t="shared" si="344"/>
        <v>0.36291102521295659</v>
      </c>
      <c r="AW70" s="144">
        <f t="shared" si="344"/>
        <v>0.30493438314563281</v>
      </c>
      <c r="AX70" s="144">
        <f t="shared" si="344"/>
        <v>0.25546671794150466</v>
      </c>
      <c r="AY70" s="144">
        <f t="shared" si="344"/>
        <v>0.19868281480211869</v>
      </c>
    </row>
    <row r="71" spans="2:53" hidden="1" x14ac:dyDescent="0.35">
      <c r="B71" s="124" t="s">
        <v>157</v>
      </c>
      <c r="C71" s="140"/>
      <c r="D71" s="140"/>
      <c r="E71" s="140"/>
      <c r="F71" s="140"/>
      <c r="G71" s="518"/>
      <c r="H71" s="140"/>
      <c r="I71" s="140"/>
      <c r="J71" s="140"/>
      <c r="K71" s="140"/>
      <c r="L71" s="140"/>
      <c r="M71" s="140"/>
      <c r="N71" s="143"/>
      <c r="O71" s="140"/>
      <c r="P71" s="140"/>
      <c r="Q71" s="140"/>
      <c r="R71" s="140"/>
      <c r="S71" s="140"/>
      <c r="T71" s="140"/>
      <c r="U71" s="355">
        <f>U20</f>
        <v>4.9352040240395134E-2</v>
      </c>
      <c r="V71" s="140"/>
      <c r="W71" s="140"/>
      <c r="X71" s="140"/>
      <c r="Y71" s="140"/>
      <c r="Z71" s="463">
        <f>Z20</f>
        <v>-1.8392299645816584E-3</v>
      </c>
      <c r="AA71" s="145"/>
      <c r="AB71" s="145"/>
      <c r="AC71" s="145"/>
      <c r="AD71" s="145"/>
      <c r="AE71" s="463">
        <f>AE20</f>
        <v>-0.10236495067525715</v>
      </c>
      <c r="AF71" s="145"/>
      <c r="AG71" s="145"/>
      <c r="AH71" s="145"/>
      <c r="AI71" s="145"/>
      <c r="AJ71" s="463">
        <f t="shared" ref="AJ71:AY71" si="345">AJ20</f>
        <v>-5.660907555026759E-2</v>
      </c>
      <c r="AK71" s="145"/>
      <c r="AL71" s="145"/>
      <c r="AM71" s="145"/>
      <c r="AN71" s="145"/>
      <c r="AO71" s="463">
        <f t="shared" si="345"/>
        <v>-4.9618951342070547E-2</v>
      </c>
      <c r="AP71" s="145"/>
      <c r="AQ71" s="145"/>
      <c r="AR71" s="145"/>
      <c r="AS71" s="145"/>
      <c r="AT71" s="145">
        <f t="shared" si="345"/>
        <v>-2.0257913458523843E-2</v>
      </c>
      <c r="AU71" s="145">
        <f t="shared" si="345"/>
        <v>2.1917664744442789E-2</v>
      </c>
      <c r="AV71" s="145">
        <f t="shared" si="345"/>
        <v>0</v>
      </c>
      <c r="AW71" s="145">
        <f t="shared" si="345"/>
        <v>0</v>
      </c>
      <c r="AX71" s="145">
        <f t="shared" si="345"/>
        <v>0</v>
      </c>
      <c r="AY71" s="145">
        <f t="shared" si="345"/>
        <v>0</v>
      </c>
    </row>
    <row r="72" spans="2:53" hidden="1" x14ac:dyDescent="0.35">
      <c r="B72" s="124" t="s">
        <v>158</v>
      </c>
      <c r="C72" s="140"/>
      <c r="D72" s="140"/>
      <c r="E72" s="140"/>
      <c r="F72" s="140"/>
      <c r="G72" s="518"/>
      <c r="H72" s="140"/>
      <c r="I72" s="140"/>
      <c r="J72" s="140"/>
      <c r="K72" s="140"/>
      <c r="L72" s="140"/>
      <c r="M72" s="140"/>
      <c r="N72" s="143"/>
      <c r="O72" s="140"/>
      <c r="P72" s="140"/>
      <c r="Q72" s="140"/>
      <c r="R72" s="140"/>
      <c r="S72" s="140"/>
      <c r="T72" s="140"/>
      <c r="U72" s="354">
        <f>U69/N69-1</f>
        <v>1.4026518444913676</v>
      </c>
      <c r="V72" s="140"/>
      <c r="W72" s="140"/>
      <c r="X72" s="140"/>
      <c r="Y72" s="140"/>
      <c r="Z72" s="462">
        <f>Z69/U69-1</f>
        <v>1.3341705331179319</v>
      </c>
      <c r="AA72" s="144"/>
      <c r="AB72" s="144"/>
      <c r="AC72" s="144"/>
      <c r="AD72" s="144"/>
      <c r="AE72" s="462">
        <f>AE69/Z69-1</f>
        <v>1.0258741382125116</v>
      </c>
      <c r="AF72" s="144"/>
      <c r="AG72" s="144"/>
      <c r="AH72" s="144"/>
      <c r="AI72" s="144"/>
      <c r="AJ72" s="462">
        <f>AJ69/AE69-1</f>
        <v>1.1249683152475316</v>
      </c>
      <c r="AK72" s="144"/>
      <c r="AL72" s="144"/>
      <c r="AM72" s="144"/>
      <c r="AN72" s="144"/>
      <c r="AO72" s="462">
        <f>AO69/AJ69-1</f>
        <v>1.1815938088427482</v>
      </c>
      <c r="AP72" s="144"/>
      <c r="AQ72" s="144"/>
      <c r="AR72" s="144"/>
      <c r="AS72" s="144"/>
      <c r="AT72" s="144">
        <f>AT69/AO69-1</f>
        <v>0.56023515332525076</v>
      </c>
      <c r="AU72" s="144">
        <f t="shared" ref="AU72:AY72" si="346">AU69/AT69-1</f>
        <v>0.44922369329626388</v>
      </c>
      <c r="AV72" s="144">
        <f t="shared" si="346"/>
        <v>0.36291102521295659</v>
      </c>
      <c r="AW72" s="144">
        <f t="shared" si="346"/>
        <v>0.30493438314563281</v>
      </c>
      <c r="AX72" s="144">
        <f t="shared" si="346"/>
        <v>0.25546671794150466</v>
      </c>
      <c r="AY72" s="144">
        <f t="shared" si="346"/>
        <v>0.19868281480211869</v>
      </c>
    </row>
    <row r="73" spans="2:53" hidden="1" x14ac:dyDescent="0.35">
      <c r="B73" s="123" t="s">
        <v>152</v>
      </c>
      <c r="C73" s="140"/>
      <c r="D73" s="140"/>
      <c r="E73" s="140"/>
      <c r="F73" s="140"/>
      <c r="G73" s="518"/>
      <c r="H73" s="140"/>
      <c r="I73" s="140"/>
      <c r="J73" s="140"/>
      <c r="K73" s="140"/>
      <c r="L73" s="140"/>
      <c r="M73" s="140"/>
      <c r="N73" s="146"/>
      <c r="O73" s="140"/>
      <c r="P73" s="140"/>
      <c r="Q73" s="140"/>
      <c r="R73" s="140"/>
      <c r="S73" s="140"/>
      <c r="T73" s="140"/>
      <c r="U73" s="353">
        <f>U25-U114</f>
        <v>12.000000000000094</v>
      </c>
      <c r="V73" s="140"/>
      <c r="W73" s="140"/>
      <c r="X73" s="140"/>
      <c r="Y73" s="140"/>
      <c r="Z73" s="141">
        <f t="shared" ref="Z73:AY73" si="347">Z25-Z114</f>
        <v>49.1</v>
      </c>
      <c r="AA73" s="142"/>
      <c r="AB73" s="142"/>
      <c r="AC73" s="142"/>
      <c r="AD73" s="142"/>
      <c r="AE73" s="141">
        <f t="shared" si="347"/>
        <v>0</v>
      </c>
      <c r="AF73" s="142"/>
      <c r="AG73" s="142"/>
      <c r="AH73" s="142"/>
      <c r="AI73" s="142"/>
      <c r="AJ73" s="141">
        <f t="shared" si="347"/>
        <v>0</v>
      </c>
      <c r="AK73" s="142"/>
      <c r="AL73" s="142"/>
      <c r="AM73" s="142"/>
      <c r="AN73" s="142"/>
      <c r="AO73" s="141">
        <f t="shared" si="347"/>
        <v>0</v>
      </c>
      <c r="AP73" s="142"/>
      <c r="AQ73" s="142"/>
      <c r="AR73" s="142"/>
      <c r="AS73" s="142"/>
      <c r="AT73" s="142">
        <f t="shared" si="347"/>
        <v>0</v>
      </c>
      <c r="AU73" s="142">
        <f t="shared" si="347"/>
        <v>0</v>
      </c>
      <c r="AV73" s="142">
        <f t="shared" si="347"/>
        <v>0</v>
      </c>
      <c r="AW73" s="142">
        <f t="shared" si="347"/>
        <v>0</v>
      </c>
      <c r="AX73" s="142">
        <f t="shared" si="347"/>
        <v>0</v>
      </c>
      <c r="AY73" s="142">
        <f t="shared" si="347"/>
        <v>0</v>
      </c>
      <c r="AZ73" s="195"/>
    </row>
    <row r="74" spans="2:53" hidden="1" x14ac:dyDescent="0.35">
      <c r="B74" s="124" t="s">
        <v>156</v>
      </c>
      <c r="C74" s="140"/>
      <c r="D74" s="140"/>
      <c r="E74" s="140"/>
      <c r="F74" s="140"/>
      <c r="G74" s="518"/>
      <c r="H74" s="140"/>
      <c r="I74" s="140"/>
      <c r="J74" s="140"/>
      <c r="K74" s="140"/>
      <c r="L74" s="140"/>
      <c r="M74" s="140"/>
      <c r="N74" s="143"/>
      <c r="O74" s="140"/>
      <c r="P74" s="140"/>
      <c r="Q74" s="140"/>
      <c r="R74" s="140"/>
      <c r="S74" s="140"/>
      <c r="T74" s="140"/>
      <c r="U74" s="356"/>
      <c r="V74" s="140"/>
      <c r="W74" s="140"/>
      <c r="X74" s="140"/>
      <c r="Y74" s="140"/>
      <c r="Z74" s="143"/>
      <c r="AA74" s="140"/>
      <c r="AB74" s="140"/>
      <c r="AC74" s="140"/>
      <c r="AD74" s="140"/>
      <c r="AE74" s="143"/>
      <c r="AF74" s="140"/>
      <c r="AG74" s="140"/>
      <c r="AH74" s="140"/>
      <c r="AI74" s="140"/>
      <c r="AJ74" s="143"/>
      <c r="AK74" s="140"/>
      <c r="AL74" s="140"/>
      <c r="AM74" s="140"/>
      <c r="AN74" s="140"/>
      <c r="AO74" s="143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</row>
    <row r="75" spans="2:53" hidden="1" x14ac:dyDescent="0.35">
      <c r="B75" s="124" t="s">
        <v>157</v>
      </c>
      <c r="C75" s="140"/>
      <c r="D75" s="140"/>
      <c r="E75" s="140"/>
      <c r="F75" s="140"/>
      <c r="G75" s="518"/>
      <c r="H75" s="140"/>
      <c r="I75" s="140"/>
      <c r="J75" s="140"/>
      <c r="K75" s="140"/>
      <c r="L75" s="140"/>
      <c r="M75" s="140"/>
      <c r="N75" s="143"/>
      <c r="O75" s="140"/>
      <c r="P75" s="140"/>
      <c r="Q75" s="140"/>
      <c r="R75" s="140"/>
      <c r="S75" s="140"/>
      <c r="T75" s="140"/>
      <c r="U75" s="356"/>
      <c r="V75" s="140"/>
      <c r="W75" s="140"/>
      <c r="X75" s="140"/>
      <c r="Y75" s="140"/>
      <c r="Z75" s="143"/>
      <c r="AA75" s="140"/>
      <c r="AB75" s="140"/>
      <c r="AC75" s="140"/>
      <c r="AD75" s="140"/>
      <c r="AE75" s="143"/>
      <c r="AF75" s="140"/>
      <c r="AG75" s="140"/>
      <c r="AH75" s="140"/>
      <c r="AI75" s="140"/>
      <c r="AJ75" s="143"/>
      <c r="AK75" s="140"/>
      <c r="AL75" s="140"/>
      <c r="AM75" s="140"/>
      <c r="AN75" s="140"/>
      <c r="AO75" s="143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</row>
    <row r="76" spans="2:53" hidden="1" x14ac:dyDescent="0.35">
      <c r="B76" s="124" t="s">
        <v>158</v>
      </c>
      <c r="C76" s="147"/>
      <c r="D76" s="147"/>
      <c r="E76" s="147"/>
      <c r="F76" s="147"/>
      <c r="G76" s="519"/>
      <c r="H76" s="147"/>
      <c r="I76" s="147"/>
      <c r="J76" s="147"/>
      <c r="K76" s="147"/>
      <c r="L76" s="147"/>
      <c r="M76" s="147"/>
      <c r="N76" s="148"/>
      <c r="O76" s="147"/>
      <c r="P76" s="147"/>
      <c r="Q76" s="147"/>
      <c r="R76" s="147"/>
      <c r="S76" s="147"/>
      <c r="T76" s="147"/>
      <c r="U76" s="357"/>
      <c r="V76" s="147"/>
      <c r="W76" s="147"/>
      <c r="X76" s="147"/>
      <c r="Y76" s="147"/>
      <c r="Z76" s="464">
        <f>Z73/U73-1</f>
        <v>3.0916666666666348</v>
      </c>
      <c r="AA76" s="149"/>
      <c r="AB76" s="149"/>
      <c r="AC76" s="149"/>
      <c r="AD76" s="149"/>
      <c r="AE76" s="464">
        <f>AE73/Z73-1</f>
        <v>-1</v>
      </c>
      <c r="AF76" s="149"/>
      <c r="AG76" s="149"/>
      <c r="AH76" s="149"/>
      <c r="AI76" s="149"/>
      <c r="AJ76" s="464" t="e">
        <f>AJ73/AE73-1</f>
        <v>#DIV/0!</v>
      </c>
      <c r="AK76" s="149"/>
      <c r="AL76" s="149"/>
      <c r="AM76" s="149"/>
      <c r="AN76" s="149"/>
      <c r="AO76" s="464" t="e">
        <f>AO73/AJ73-1</f>
        <v>#DIV/0!</v>
      </c>
      <c r="AP76" s="149"/>
      <c r="AQ76" s="149"/>
      <c r="AR76" s="149"/>
      <c r="AS76" s="149"/>
      <c r="AT76" s="149" t="e">
        <f>AT73/AO73-1</f>
        <v>#DIV/0!</v>
      </c>
      <c r="AU76" s="149" t="e">
        <f t="shared" ref="AU76:AY76" si="348">AU73/AT73-1</f>
        <v>#DIV/0!</v>
      </c>
      <c r="AV76" s="149" t="e">
        <f t="shared" si="348"/>
        <v>#DIV/0!</v>
      </c>
      <c r="AW76" s="149" t="e">
        <f t="shared" si="348"/>
        <v>#DIV/0!</v>
      </c>
      <c r="AX76" s="149" t="e">
        <f t="shared" si="348"/>
        <v>#DIV/0!</v>
      </c>
      <c r="AY76" s="149" t="e">
        <f t="shared" si="348"/>
        <v>#DIV/0!</v>
      </c>
    </row>
    <row r="77" spans="2:53" x14ac:dyDescent="0.35">
      <c r="B77" s="138"/>
      <c r="C77" s="137"/>
      <c r="D77" s="137"/>
      <c r="E77" s="137"/>
      <c r="F77" s="137"/>
      <c r="G77" s="520"/>
      <c r="H77" s="137"/>
      <c r="I77" s="137"/>
      <c r="J77" s="137"/>
      <c r="K77" s="137"/>
      <c r="L77" s="137"/>
      <c r="M77" s="137"/>
      <c r="N77" s="138"/>
      <c r="O77" s="137"/>
      <c r="P77" s="137"/>
      <c r="Q77" s="137"/>
      <c r="R77" s="137"/>
      <c r="S77" s="137"/>
      <c r="T77" s="137"/>
      <c r="U77" s="358"/>
      <c r="V77" s="137"/>
      <c r="W77" s="137"/>
      <c r="X77" s="137"/>
      <c r="Y77" s="137"/>
      <c r="Z77" s="138"/>
      <c r="AA77" s="137"/>
      <c r="AB77" s="137"/>
      <c r="AC77" s="137"/>
      <c r="AD77" s="137"/>
      <c r="AE77" s="138"/>
      <c r="AF77" s="137"/>
      <c r="AG77" s="137"/>
      <c r="AH77" s="137"/>
      <c r="AI77" s="137"/>
      <c r="AJ77" s="138"/>
      <c r="AK77" s="563"/>
      <c r="AL77" s="563"/>
      <c r="AM77" s="563"/>
      <c r="AN77" s="563"/>
      <c r="AO77" s="138"/>
      <c r="AP77" s="563"/>
      <c r="AQ77" s="563"/>
      <c r="AR77" s="563"/>
      <c r="AS77" s="563"/>
      <c r="AT77" s="137"/>
      <c r="AU77" s="137"/>
      <c r="AV77" s="137"/>
      <c r="AW77" s="137"/>
      <c r="AX77" s="137"/>
      <c r="AY77" s="137"/>
    </row>
    <row r="78" spans="2:53" s="110" customFormat="1" x14ac:dyDescent="0.35">
      <c r="B78" s="123" t="s">
        <v>115</v>
      </c>
      <c r="C78" s="125">
        <v>10.966701710000002</v>
      </c>
      <c r="D78" s="125">
        <v>16.20304149</v>
      </c>
      <c r="E78" s="125">
        <v>17.539587800000003</v>
      </c>
      <c r="F78" s="125">
        <v>21.694668999999994</v>
      </c>
      <c r="G78" s="515">
        <v>66.403999999999996</v>
      </c>
      <c r="H78" s="125">
        <v>21.437374759999997</v>
      </c>
      <c r="I78" s="125">
        <v>51.508072420000012</v>
      </c>
      <c r="J78" s="125">
        <f>I78+H78</f>
        <v>72.945447180000002</v>
      </c>
      <c r="K78" s="125">
        <v>39.49399051999999</v>
      </c>
      <c r="L78" s="125">
        <v>48.036562300000028</v>
      </c>
      <c r="M78" s="125">
        <f>L78+K78</f>
        <v>87.530552820000025</v>
      </c>
      <c r="N78" s="126">
        <v>160.476</v>
      </c>
      <c r="O78" s="125">
        <f>H78*(1+O81)</f>
        <v>49.7</v>
      </c>
      <c r="P78" s="125">
        <f>I78*(1+P81)</f>
        <v>65.400000000000006</v>
      </c>
      <c r="Q78" s="125">
        <f>P78+O78</f>
        <v>115.10000000000001</v>
      </c>
      <c r="R78" s="125">
        <f>K78*(1+R81)</f>
        <v>75.700000000000017</v>
      </c>
      <c r="S78" s="125">
        <f>L78*(1+S81)</f>
        <v>84.7</v>
      </c>
      <c r="T78" s="125">
        <f>S78+R78</f>
        <v>160.40000000000003</v>
      </c>
      <c r="U78" s="350">
        <f>T78+Q78</f>
        <v>275.50000000000006</v>
      </c>
      <c r="V78" s="125">
        <f>O78*(1+V81)</f>
        <v>83.4</v>
      </c>
      <c r="W78" s="125">
        <f>P78*(1+W81)</f>
        <v>105.64100000000001</v>
      </c>
      <c r="X78" s="125">
        <f>R78*(1+X81)</f>
        <v>106.57599999999996</v>
      </c>
      <c r="Y78" s="125">
        <f>S78*(1+Y81)</f>
        <v>149.48300000000009</v>
      </c>
      <c r="Z78" s="126">
        <f>SUM(V78:Y78)</f>
        <v>445.1</v>
      </c>
      <c r="AA78" s="125">
        <v>137</v>
      </c>
      <c r="AB78" s="125">
        <v>163.5</v>
      </c>
      <c r="AC78" s="125">
        <v>164.7</v>
      </c>
      <c r="AD78" s="125">
        <f>AE78-AC78-AB78-AA78</f>
        <v>206.59999999999974</v>
      </c>
      <c r="AE78" s="126">
        <f>Z78*(1+AE81)</f>
        <v>671.79999999999973</v>
      </c>
      <c r="AF78" s="125">
        <f>AA78*(1+AF81)</f>
        <v>190.49999999999997</v>
      </c>
      <c r="AG78" s="125">
        <f t="shared" ref="AG78:AH78" si="349">AB78*(1+AG81)</f>
        <v>209.39999999999995</v>
      </c>
      <c r="AH78" s="125">
        <f t="shared" si="349"/>
        <v>246.69999999999996</v>
      </c>
      <c r="AI78" s="125">
        <f>AJ78-AH78-AG78-AF78</f>
        <v>296.19999999999993</v>
      </c>
      <c r="AJ78" s="126">
        <f>AE78*(1+AJ81)</f>
        <v>942.79999999999984</v>
      </c>
      <c r="AK78" s="125">
        <f>AF78*(1+AK81)</f>
        <v>276.89999999999998</v>
      </c>
      <c r="AL78" s="125">
        <f t="shared" ref="AL78" si="350">AG78*(1+AL81)</f>
        <v>308.3</v>
      </c>
      <c r="AM78" s="125">
        <v>314.7</v>
      </c>
      <c r="AN78" s="125">
        <f>AO78-AM78-AL78-AK78</f>
        <v>360.59999999999889</v>
      </c>
      <c r="AO78" s="158">
        <f>AJ78*(1+AO81)</f>
        <v>1260.4999999999989</v>
      </c>
      <c r="AP78" s="125">
        <f>AK78*(1+AP81)</f>
        <v>322.29999999999984</v>
      </c>
      <c r="AQ78" s="125">
        <f t="shared" ref="AQ78" si="351">AL78*(1+AQ81)</f>
        <v>388.40000000000003</v>
      </c>
      <c r="AR78" s="125">
        <f t="shared" ref="AR78" si="352">AM78*(1+AR81)</f>
        <v>397.89728120561426</v>
      </c>
      <c r="AS78" s="125">
        <f>AT78-AR78-AQ78-AP78</f>
        <v>478.10907274279646</v>
      </c>
      <c r="AT78" s="150">
        <f>AO78*(1+AT81)</f>
        <v>1586.7063539484107</v>
      </c>
      <c r="AU78" s="150">
        <f t="shared" ref="AU78:AY78" si="353">AT78*(1+AU81)</f>
        <v>1967.5158788960291</v>
      </c>
      <c r="AV78" s="150">
        <f t="shared" si="353"/>
        <v>2380.6942134641949</v>
      </c>
      <c r="AW78" s="150">
        <f t="shared" si="353"/>
        <v>2833.026114022392</v>
      </c>
      <c r="AX78" s="150">
        <f t="shared" si="353"/>
        <v>3272.145161695863</v>
      </c>
      <c r="AY78" s="150">
        <f t="shared" si="353"/>
        <v>3697.5240327163247</v>
      </c>
      <c r="AZ78" s="195"/>
      <c r="BA78" s="195"/>
    </row>
    <row r="79" spans="2:53" x14ac:dyDescent="0.35">
      <c r="B79" s="124" t="s">
        <v>156</v>
      </c>
      <c r="O79" s="505">
        <f>((1+O81)/(1+O80))-1</f>
        <v>1.4613035865777317</v>
      </c>
      <c r="P79" s="505">
        <f>((1+P81)/(1+P80))-1</f>
        <v>0.33369397275616475</v>
      </c>
      <c r="Q79" s="506"/>
      <c r="R79" s="505">
        <f>((1+R81)/(1+R80))-1</f>
        <v>0.92412554203700781</v>
      </c>
      <c r="S79" s="505">
        <f>((1+S81)/(1+S80))-1</f>
        <v>0.70778734105760344</v>
      </c>
      <c r="T79" s="506"/>
      <c r="U79" s="505">
        <f t="shared" ref="U79:AD79" si="354">((1+U81)/(1+U80))-1</f>
        <v>0.73909160954521891</v>
      </c>
      <c r="V79" s="505">
        <f t="shared" si="354"/>
        <v>0.61815349648246887</v>
      </c>
      <c r="W79" s="505">
        <f t="shared" si="354"/>
        <v>0.5258611919770888</v>
      </c>
      <c r="X79" s="505">
        <f t="shared" si="354"/>
        <v>0.33359096093423535</v>
      </c>
      <c r="Y79" s="505">
        <f t="shared" si="354"/>
        <v>0.7045745935561234</v>
      </c>
      <c r="Z79" s="505">
        <f t="shared" si="354"/>
        <v>0.54249008591099668</v>
      </c>
      <c r="AA79" s="505">
        <f t="shared" si="354"/>
        <v>0.63345334213141768</v>
      </c>
      <c r="AB79" s="505">
        <f t="shared" si="354"/>
        <v>0.63015471790212962</v>
      </c>
      <c r="AC79" s="505">
        <f t="shared" si="354"/>
        <v>0.74507504435686234</v>
      </c>
      <c r="AD79" s="505">
        <f t="shared" si="354"/>
        <v>0.48506565744073882</v>
      </c>
      <c r="AE79" s="129">
        <v>0.6</v>
      </c>
      <c r="AF79" s="127">
        <f t="shared" ref="AF79:AH79" si="355">((1+AF81)/(1+AF80))-1</f>
        <v>0.48664457740725697</v>
      </c>
      <c r="AG79" s="127">
        <f t="shared" si="355"/>
        <v>0.30401750652344206</v>
      </c>
      <c r="AH79" s="127">
        <f t="shared" si="355"/>
        <v>0.50696356368474516</v>
      </c>
      <c r="AI79" s="127">
        <v>0.48199999999999998</v>
      </c>
      <c r="AJ79" s="461">
        <v>0.44600000000000001</v>
      </c>
      <c r="AK79" s="127">
        <f t="shared" ref="AK79:AL79" si="356">((1+AK81)/(1+AK80))-1</f>
        <v>0.42430478345180234</v>
      </c>
      <c r="AL79" s="127">
        <f t="shared" si="356"/>
        <v>0.54289559899622541</v>
      </c>
      <c r="AM79" s="127">
        <v>0.375</v>
      </c>
      <c r="AN79" s="127">
        <v>0.3</v>
      </c>
      <c r="AO79" s="461">
        <v>0.39900000000000002</v>
      </c>
      <c r="AP79" s="127">
        <v>0.28699999999999998</v>
      </c>
      <c r="AQ79" s="127">
        <v>0.34300000000000003</v>
      </c>
      <c r="AR79" s="127">
        <v>0.28000000000000003</v>
      </c>
      <c r="AS79" s="127">
        <f t="shared" ref="AS79" si="357">((1+AS81)/(1+AS80))-1</f>
        <v>0.3026173976510369</v>
      </c>
      <c r="AT79" s="127">
        <v>0.3</v>
      </c>
    </row>
    <row r="80" spans="2:53" x14ac:dyDescent="0.35">
      <c r="B80" s="124" t="s">
        <v>157</v>
      </c>
      <c r="H80" s="128"/>
      <c r="I80" s="128"/>
      <c r="J80" s="128"/>
      <c r="K80" s="128"/>
      <c r="L80" s="128"/>
      <c r="M80" s="128"/>
      <c r="N80" s="129"/>
      <c r="O80" s="505">
        <f>O55</f>
        <v>-5.8067885736396659E-2</v>
      </c>
      <c r="P80" s="505">
        <f>P55</f>
        <v>-4.7979583377296062E-2</v>
      </c>
      <c r="Q80" s="505"/>
      <c r="R80" s="505">
        <f>R55</f>
        <v>-3.8345909163137438E-3</v>
      </c>
      <c r="S80" s="505">
        <f>S55</f>
        <v>3.2470615709640549E-2</v>
      </c>
      <c r="T80" s="505"/>
      <c r="U80" s="505">
        <f t="shared" ref="U80:AD80" si="358">U55</f>
        <v>-1.2836582662641845E-2</v>
      </c>
      <c r="V80" s="505">
        <f t="shared" si="358"/>
        <v>3.7026718485329561E-2</v>
      </c>
      <c r="W80" s="505">
        <f t="shared" si="358"/>
        <v>5.8619105650475033E-2</v>
      </c>
      <c r="X80" s="505">
        <f t="shared" si="358"/>
        <v>5.5700904446200725E-2</v>
      </c>
      <c r="Y80" s="505">
        <f t="shared" si="358"/>
        <v>3.5362387177841549E-2</v>
      </c>
      <c r="Z80" s="505">
        <f t="shared" si="358"/>
        <v>4.7402508604626331E-2</v>
      </c>
      <c r="AA80" s="505">
        <f t="shared" si="358"/>
        <v>5.6521413556140368E-3</v>
      </c>
      <c r="AB80" s="505">
        <f t="shared" si="358"/>
        <v>-5.0584258405208374E-2</v>
      </c>
      <c r="AC80" s="505">
        <f t="shared" si="358"/>
        <v>-0.11443575182822564</v>
      </c>
      <c r="AD80" s="505">
        <f t="shared" si="358"/>
        <v>-6.9336124006641686E-2</v>
      </c>
      <c r="AE80" s="129">
        <f>((1+AE81)/(1+AE79))-1</f>
        <v>-5.6672657829701656E-2</v>
      </c>
      <c r="AF80" s="128">
        <v>-6.4664836480153906E-2</v>
      </c>
      <c r="AG80" s="128">
        <v>-1.7855252289816805E-2</v>
      </c>
      <c r="AH80" s="128">
        <v>-6.0310944466964523E-3</v>
      </c>
      <c r="AI80" s="128">
        <f>AI81-AI79</f>
        <v>-4.8311713455952088E-2</v>
      </c>
      <c r="AJ80" s="129">
        <f>AJ81-AJ79</f>
        <v>-4.2606132777611883E-2</v>
      </c>
      <c r="AK80" s="128">
        <v>2.0528277356446335E-2</v>
      </c>
      <c r="AL80" s="128">
        <v>-4.5754090123440762E-2</v>
      </c>
      <c r="AM80" s="128">
        <f>AM81-AM79</f>
        <v>-9.9361572760437555E-2</v>
      </c>
      <c r="AN80" s="128">
        <f>AN81-AN79</f>
        <v>-8.257933828494618E-2</v>
      </c>
      <c r="AO80" s="129">
        <f>AO81-AO79</f>
        <v>-6.2025031820111209E-2</v>
      </c>
      <c r="AP80" s="128">
        <v>-9.5603645982844668E-2</v>
      </c>
      <c r="AQ80" s="128">
        <v>-6.194201671356564E-2</v>
      </c>
      <c r="AR80" s="128">
        <f t="shared" ref="AR80" si="359">AR133</f>
        <v>-1.5629865886195554E-2</v>
      </c>
      <c r="AS80" s="128">
        <f t="shared" ref="AS80:AT80" si="360">AS133</f>
        <v>1.7851423645452558E-2</v>
      </c>
      <c r="AT80" s="128">
        <f t="shared" si="360"/>
        <v>-4.1208763230137307E-2</v>
      </c>
      <c r="AU80" s="128"/>
      <c r="AV80" s="128"/>
      <c r="AW80" s="128"/>
      <c r="AX80" s="128"/>
      <c r="AY80" s="128"/>
    </row>
    <row r="81" spans="1:53" x14ac:dyDescent="0.35">
      <c r="B81" s="124" t="s">
        <v>158</v>
      </c>
      <c r="H81" s="128">
        <f t="shared" ref="H81:Z81" si="361">H78/C78-1</f>
        <v>0.95476956763146914</v>
      </c>
      <c r="I81" s="128">
        <f t="shared" si="361"/>
        <v>2.1789138139150697</v>
      </c>
      <c r="J81" s="128"/>
      <c r="K81" s="128">
        <f>K78/E78-1</f>
        <v>1.2517057396297524</v>
      </c>
      <c r="L81" s="128">
        <f>L78/F78-1</f>
        <v>1.2142104265338198</v>
      </c>
      <c r="M81" s="128"/>
      <c r="N81" s="129">
        <f>N78/G78-1</f>
        <v>1.4166616468887416</v>
      </c>
      <c r="O81" s="128">
        <v>1.3183808911497523</v>
      </c>
      <c r="P81" s="128">
        <v>0.26970389159051322</v>
      </c>
      <c r="Q81" s="128">
        <f>Q78/J78-1</f>
        <v>0.57789148534492552</v>
      </c>
      <c r="R81" s="128">
        <v>0.91674730771166546</v>
      </c>
      <c r="S81" s="128">
        <v>0.76324024752287378</v>
      </c>
      <c r="T81" s="128">
        <f>T78/M78-1</f>
        <v>0.83250299275329076</v>
      </c>
      <c r="U81" s="346">
        <f>U78/N78-1</f>
        <v>0.71676761634138475</v>
      </c>
      <c r="V81" s="128">
        <v>0.67806841046277666</v>
      </c>
      <c r="W81" s="128">
        <v>0.6153058103975535</v>
      </c>
      <c r="X81" s="128">
        <v>0.40787318361955022</v>
      </c>
      <c r="Y81" s="128">
        <v>0.76485242030696687</v>
      </c>
      <c r="Z81" s="129">
        <f t="shared" si="361"/>
        <v>0.61560798548094353</v>
      </c>
      <c r="AA81" s="128">
        <f>AA78/V78-1</f>
        <v>0.64268585131894462</v>
      </c>
      <c r="AB81" s="128">
        <f>AB78/W78-1</f>
        <v>0.54769455041129866</v>
      </c>
      <c r="AC81" s="128">
        <f>AC78/X78-1</f>
        <v>0.5453760696592107</v>
      </c>
      <c r="AD81" s="128">
        <f>AD78/Y78-1</f>
        <v>0.38209696085842282</v>
      </c>
      <c r="AE81" s="129">
        <v>0.50932374747247755</v>
      </c>
      <c r="AF81" s="128">
        <v>0.39051094890510935</v>
      </c>
      <c r="AG81" s="128">
        <v>0.28073394495412812</v>
      </c>
      <c r="AH81" s="128">
        <v>0.49787492410443224</v>
      </c>
      <c r="AI81" s="128">
        <f>AI78/AD78-1</f>
        <v>0.4336882865440479</v>
      </c>
      <c r="AJ81" s="129">
        <v>0.40339386722238812</v>
      </c>
      <c r="AK81" s="128">
        <v>0.45354330708661417</v>
      </c>
      <c r="AL81" s="128">
        <v>0.47230181470869198</v>
      </c>
      <c r="AM81" s="128">
        <f>AM78/AH78-1</f>
        <v>0.27563842723956244</v>
      </c>
      <c r="AN81" s="128">
        <f>AN78/AI78-1</f>
        <v>0.21742066171505381</v>
      </c>
      <c r="AO81" s="129">
        <v>0.33697496817988881</v>
      </c>
      <c r="AP81" s="128">
        <f>((1+AP80)*(1+AP79))-1</f>
        <v>0.1639581076200789</v>
      </c>
      <c r="AQ81" s="128">
        <f>((1+AQ80)*(1+AQ79))-1</f>
        <v>0.25981187155368146</v>
      </c>
      <c r="AR81" s="128">
        <f>AR80+AR79</f>
        <v>0.2643701341138045</v>
      </c>
      <c r="AS81" s="128">
        <f>AS78/AN78-1</f>
        <v>0.32587097266444243</v>
      </c>
      <c r="AT81" s="128">
        <f>AT80+AT79</f>
        <v>0.25879123676986271</v>
      </c>
      <c r="AU81" s="128">
        <v>0.24</v>
      </c>
      <c r="AV81" s="128">
        <v>0.21</v>
      </c>
      <c r="AW81" s="128">
        <v>0.19</v>
      </c>
      <c r="AX81" s="128">
        <v>0.155</v>
      </c>
      <c r="AY81" s="128">
        <v>0.13</v>
      </c>
    </row>
    <row r="82" spans="1:53" x14ac:dyDescent="0.35">
      <c r="B82" s="124" t="s">
        <v>163</v>
      </c>
      <c r="C82" s="128">
        <f t="shared" ref="C82:AW82" si="362">C78/C131</f>
        <v>0.22123521142312039</v>
      </c>
      <c r="D82" s="128">
        <f t="shared" si="362"/>
        <v>0.2325423148968021</v>
      </c>
      <c r="E82" s="128">
        <f t="shared" si="362"/>
        <v>0.26954666123798615</v>
      </c>
      <c r="F82" s="128">
        <f t="shared" si="362"/>
        <v>0.26200942640894637</v>
      </c>
      <c r="G82" s="513">
        <f t="shared" si="362"/>
        <v>0.24859244915195355</v>
      </c>
      <c r="H82" s="128">
        <f t="shared" si="362"/>
        <v>0.30070728608657482</v>
      </c>
      <c r="I82" s="128">
        <f t="shared" si="362"/>
        <v>0.51700475382402344</v>
      </c>
      <c r="J82" s="128">
        <f t="shared" si="362"/>
        <v>0.42678698881083854</v>
      </c>
      <c r="K82" s="128">
        <f t="shared" si="362"/>
        <v>0.30361928896779428</v>
      </c>
      <c r="L82" s="128">
        <f t="shared" si="362"/>
        <v>0.38645600503903332</v>
      </c>
      <c r="M82" s="128">
        <f t="shared" si="362"/>
        <v>0.34409700028315821</v>
      </c>
      <c r="N82" s="129">
        <f t="shared" si="362"/>
        <v>0.37732846048878987</v>
      </c>
      <c r="O82" s="128">
        <f t="shared" si="362"/>
        <v>0.35398860398860393</v>
      </c>
      <c r="P82" s="128">
        <f t="shared" si="362"/>
        <v>0.37350085665334115</v>
      </c>
      <c r="Q82" s="128">
        <f t="shared" ref="Q82" si="363">Q78/Q131</f>
        <v>0.36481774960380359</v>
      </c>
      <c r="R82" s="128">
        <f t="shared" si="362"/>
        <v>0.34724770642201835</v>
      </c>
      <c r="S82" s="128">
        <f t="shared" si="362"/>
        <v>0.44322344322344309</v>
      </c>
      <c r="T82" s="128">
        <f t="shared" ref="T82" si="364">T78/T131</f>
        <v>0.39208017599608896</v>
      </c>
      <c r="U82" s="346">
        <f t="shared" si="362"/>
        <v>0.38020977090808722</v>
      </c>
      <c r="V82" s="128">
        <f t="shared" si="362"/>
        <v>0.35383962664403906</v>
      </c>
      <c r="W82" s="128">
        <f t="shared" si="362"/>
        <v>0.36220350954186692</v>
      </c>
      <c r="X82" s="128">
        <f t="shared" si="362"/>
        <v>0.3249139515811873</v>
      </c>
      <c r="Y82" s="128">
        <f t="shared" si="362"/>
        <v>0.40761606108119203</v>
      </c>
      <c r="Z82" s="129">
        <f t="shared" si="362"/>
        <v>0.36420914818754607</v>
      </c>
      <c r="AA82" s="128">
        <f t="shared" si="362"/>
        <v>0.32603522132317952</v>
      </c>
      <c r="AB82" s="128">
        <f t="shared" ref="AB82:AC82" si="365">AB78/AB131</f>
        <v>0.36799459824442948</v>
      </c>
      <c r="AC82" s="128">
        <f t="shared" si="365"/>
        <v>0.34276795005202909</v>
      </c>
      <c r="AD82" s="128">
        <f t="shared" ref="AD82" si="366">AD78/AD131</f>
        <v>0.46208901811675168</v>
      </c>
      <c r="AE82" s="129">
        <f t="shared" si="362"/>
        <v>0.37486747391328595</v>
      </c>
      <c r="AF82" s="128">
        <f t="shared" ref="AF82:AI82" si="367">AF78/AF131</f>
        <v>0.37485242030696569</v>
      </c>
      <c r="AG82" s="128">
        <f t="shared" si="367"/>
        <v>0.36885679055839338</v>
      </c>
      <c r="AH82" s="128">
        <f t="shared" si="367"/>
        <v>0.38801509908776344</v>
      </c>
      <c r="AI82" s="128">
        <f t="shared" si="367"/>
        <v>0.48829541707879964</v>
      </c>
      <c r="AJ82" s="129">
        <f t="shared" si="362"/>
        <v>0.40667730664711199</v>
      </c>
      <c r="AK82" s="128">
        <f t="shared" si="362"/>
        <v>0.38111371640514929</v>
      </c>
      <c r="AL82" s="128">
        <f t="shared" si="362"/>
        <v>0.41149462107258217</v>
      </c>
      <c r="AM82" s="128">
        <f t="shared" si="362"/>
        <v>0.39614803625377626</v>
      </c>
      <c r="AN82" s="128">
        <f t="shared" si="362"/>
        <v>0.48479131925081159</v>
      </c>
      <c r="AO82" s="129">
        <f t="shared" si="362"/>
        <v>0.41821499668214945</v>
      </c>
      <c r="AP82" s="128">
        <f t="shared" ref="AP82:AS82" si="368">AP78/AP131</f>
        <v>0.38742637336218272</v>
      </c>
      <c r="AQ82" s="128">
        <f t="shared" si="368"/>
        <v>0.45677996001411258</v>
      </c>
      <c r="AR82" s="128">
        <f t="shared" si="368"/>
        <v>0.43388423184652541</v>
      </c>
      <c r="AS82" s="128">
        <f t="shared" si="368"/>
        <v>0.52954531694888651</v>
      </c>
      <c r="AT82" s="128">
        <f t="shared" si="362"/>
        <v>0.45306949269367547</v>
      </c>
      <c r="AU82" s="128">
        <f t="shared" si="362"/>
        <v>0.47312839024891962</v>
      </c>
      <c r="AV82" s="128">
        <f t="shared" si="362"/>
        <v>0.49166390397186238</v>
      </c>
      <c r="AW82" s="128">
        <f t="shared" si="362"/>
        <v>0.50543197575622623</v>
      </c>
      <c r="AX82" s="128">
        <f>AX78/AX131</f>
        <v>0.51049348411687745</v>
      </c>
      <c r="AY82" s="128">
        <f>AY78/AY131</f>
        <v>0.51620397857852762</v>
      </c>
    </row>
    <row r="83" spans="1:53" x14ac:dyDescent="0.35">
      <c r="B83" s="124" t="s">
        <v>192</v>
      </c>
      <c r="C83" s="128"/>
      <c r="D83" s="128"/>
      <c r="E83" s="128"/>
      <c r="F83" s="128"/>
      <c r="G83" s="513"/>
      <c r="H83" s="128"/>
      <c r="I83" s="128"/>
      <c r="J83" s="128"/>
      <c r="K83" s="128"/>
      <c r="L83" s="128"/>
      <c r="M83" s="128"/>
      <c r="N83" s="129"/>
      <c r="O83" s="128">
        <f t="shared" ref="O83" si="369">(1*(1+H81)*(1+O81))-1</f>
        <v>3.5319004121978619</v>
      </c>
      <c r="P83" s="128">
        <f t="shared" ref="P83" si="370">(1*(1+I81)*(1+P81))-1</f>
        <v>3.0362792405588044</v>
      </c>
      <c r="Q83" s="128"/>
      <c r="R83" s="128">
        <f t="shared" ref="R83" si="371">(1*(1+K81)*(1+R81))-1</f>
        <v>3.3159509141942323</v>
      </c>
      <c r="S83" s="128">
        <f t="shared" ref="S83" si="372">(1*(1+L81)*(1+S81))-1</f>
        <v>2.9041849405492206</v>
      </c>
      <c r="T83" s="128"/>
      <c r="U83" s="346">
        <f t="shared" ref="U83" si="373">(1*(1+N81)*(1+U81))-1</f>
        <v>3.1488464550328299</v>
      </c>
      <c r="V83" s="128">
        <f>(1*(1+O81)*(1+V81))-1</f>
        <v>2.8904017368589412</v>
      </c>
      <c r="W83" s="128">
        <f t="shared" ref="W83" si="374">(1*(1+P81)*(1+W81))-1</f>
        <v>1.0509600735705416</v>
      </c>
      <c r="X83" s="128">
        <f t="shared" ref="X83" si="375">(1*(1+R81)*(1+X81))-1</f>
        <v>1.698537134302224</v>
      </c>
      <c r="Y83" s="128">
        <f t="shared" ref="Y83" si="376">(1*(1+S81)*(1+Y81))-1</f>
        <v>2.1118588184233995</v>
      </c>
      <c r="Z83" s="129">
        <f t="shared" ref="Z83" si="377">(1*(1+U81)*(1+Z81))-1</f>
        <v>1.7736234701762261</v>
      </c>
      <c r="AA83" s="128"/>
      <c r="AB83" s="128"/>
      <c r="AC83" s="128"/>
      <c r="AD83" s="128"/>
      <c r="AE83" s="129">
        <f>(1*(1+Z81)*(1+AE81))-1</f>
        <v>1.4384754990925575</v>
      </c>
      <c r="AF83" s="128"/>
      <c r="AG83" s="128"/>
      <c r="AH83" s="128"/>
      <c r="AI83" s="128"/>
      <c r="AJ83" s="129">
        <f>(1*(1+AE81)*(1+AJ81))-1</f>
        <v>1.118175690855987</v>
      </c>
      <c r="AK83" s="128"/>
      <c r="AL83" s="128"/>
      <c r="AM83" s="128"/>
      <c r="AN83" s="128"/>
      <c r="AO83" s="129">
        <f>(1*(1+AJ81)*(1+AO81))-1</f>
        <v>0.87630247097350322</v>
      </c>
      <c r="AP83" s="128"/>
      <c r="AQ83" s="128"/>
      <c r="AR83" s="128"/>
      <c r="AS83" s="128"/>
      <c r="AT83" s="128">
        <f>(1*(1+AO81)*(1+AT81))-1</f>
        <v>0.68297237372551023</v>
      </c>
      <c r="AU83" s="128">
        <f t="shared" ref="AU83:AX83" si="378">(1*(1+AT81)*(1+AU81))-1</f>
        <v>0.5609011335946299</v>
      </c>
      <c r="AV83" s="128">
        <f t="shared" si="378"/>
        <v>0.50039999999999996</v>
      </c>
      <c r="AW83" s="128">
        <f t="shared" si="378"/>
        <v>0.43989999999999996</v>
      </c>
      <c r="AX83" s="128">
        <f t="shared" si="378"/>
        <v>0.37444999999999995</v>
      </c>
      <c r="AY83" s="128">
        <f t="shared" ref="AY83" si="379">(1*(1+AX81)*(1+AY81))-1</f>
        <v>0.30514999999999981</v>
      </c>
    </row>
    <row r="84" spans="1:53" s="110" customFormat="1" hidden="1" x14ac:dyDescent="0.35">
      <c r="B84" s="123" t="s">
        <v>194</v>
      </c>
      <c r="G84" s="521"/>
      <c r="N84" s="151">
        <f>N78*N85</f>
        <v>112.33319999999999</v>
      </c>
      <c r="O84" s="139">
        <f>O78*O85</f>
        <v>36.026585715820765</v>
      </c>
      <c r="P84" s="139">
        <f t="shared" ref="P84:S84" si="380">P78*P85</f>
        <v>49.333331339933736</v>
      </c>
      <c r="Q84" s="139">
        <f>P84+O84</f>
        <v>85.359917055754494</v>
      </c>
      <c r="R84" s="139">
        <f t="shared" si="380"/>
        <v>56.275000000000013</v>
      </c>
      <c r="S84" s="139">
        <f t="shared" si="380"/>
        <v>63.177999999999898</v>
      </c>
      <c r="T84" s="139">
        <f>S84+R84</f>
        <v>119.45299999999992</v>
      </c>
      <c r="U84" s="359">
        <f>T84+Q84</f>
        <v>204.81291705575441</v>
      </c>
      <c r="V84" s="152">
        <f t="shared" ref="V84:Y84" si="381">V78*V85</f>
        <v>55.322604953174881</v>
      </c>
      <c r="W84" s="152">
        <f t="shared" si="381"/>
        <v>72.85408297441009</v>
      </c>
      <c r="X84" s="152">
        <f t="shared" si="381"/>
        <v>77.180206986286336</v>
      </c>
      <c r="Y84" s="152">
        <f t="shared" si="381"/>
        <v>111.36483500000007</v>
      </c>
      <c r="Z84" s="151">
        <f>SUM(V84:Y84)</f>
        <v>316.7217299138714</v>
      </c>
      <c r="AA84" s="152"/>
      <c r="AB84" s="152"/>
      <c r="AC84" s="152"/>
      <c r="AD84" s="152"/>
      <c r="AE84" s="151"/>
      <c r="AF84" s="152"/>
      <c r="AG84" s="152"/>
      <c r="AH84" s="152"/>
      <c r="AI84" s="152"/>
      <c r="AJ84" s="151"/>
      <c r="AK84" s="152"/>
      <c r="AL84" s="152"/>
      <c r="AM84" s="152"/>
      <c r="AN84" s="152"/>
      <c r="AO84" s="151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</row>
    <row r="85" spans="1:53" hidden="1" x14ac:dyDescent="0.35">
      <c r="B85" s="124" t="s">
        <v>116</v>
      </c>
      <c r="N85" s="129">
        <v>0.7</v>
      </c>
      <c r="O85" s="127">
        <v>0.72488100031832525</v>
      </c>
      <c r="P85" s="127">
        <v>0.7543322834852253</v>
      </c>
      <c r="Q85" s="128">
        <f>Q84/Q78</f>
        <v>0.74161526547136825</v>
      </c>
      <c r="R85" s="127">
        <v>0.74339498018494055</v>
      </c>
      <c r="S85" s="127">
        <v>0.74590318772136832</v>
      </c>
      <c r="T85" s="128">
        <f>T84/T78</f>
        <v>0.74471945137157036</v>
      </c>
      <c r="U85" s="346">
        <f>U84/U78</f>
        <v>0.74342256644556937</v>
      </c>
      <c r="V85" s="127">
        <v>0.66334058696852372</v>
      </c>
      <c r="W85" s="127">
        <v>0.68963833146609821</v>
      </c>
      <c r="X85" s="127">
        <v>0.7241799934909019</v>
      </c>
      <c r="Y85" s="127">
        <v>0.745</v>
      </c>
      <c r="Z85" s="461">
        <f>Z84/Z78</f>
        <v>0.71157432018393929</v>
      </c>
      <c r="AA85" s="127"/>
      <c r="AB85" s="127"/>
      <c r="AC85" s="127"/>
      <c r="AD85" s="127"/>
      <c r="AE85" s="461"/>
      <c r="AF85" s="127"/>
      <c r="AG85" s="127"/>
      <c r="AH85" s="127"/>
      <c r="AI85" s="127"/>
      <c r="AJ85" s="461"/>
      <c r="AK85" s="127"/>
      <c r="AL85" s="127"/>
      <c r="AM85" s="127"/>
      <c r="AN85" s="127"/>
      <c r="AO85" s="461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</row>
    <row r="86" spans="1:53" hidden="1" x14ac:dyDescent="0.35">
      <c r="B86" s="124" t="s">
        <v>190</v>
      </c>
      <c r="N86" s="153">
        <f>N84-N89</f>
        <v>65.197028089650019</v>
      </c>
      <c r="O86" s="154">
        <f t="shared" ref="O86:T86" si="382">O84-O89</f>
        <v>18.550022121890517</v>
      </c>
      <c r="P86" s="154">
        <f t="shared" si="382"/>
        <v>24.971720359431366</v>
      </c>
      <c r="Q86" s="154">
        <f t="shared" ref="Q86" si="383">Q84-Q89</f>
        <v>43.52174248132188</v>
      </c>
      <c r="R86" s="154">
        <f t="shared" si="382"/>
        <v>26.190305849875649</v>
      </c>
      <c r="S86" s="154">
        <f t="shared" si="382"/>
        <v>61.139043298989563</v>
      </c>
      <c r="T86" s="154">
        <f t="shared" si="382"/>
        <v>87.329349148865219</v>
      </c>
      <c r="U86" s="360">
        <f>U84-U89</f>
        <v>89.012917055754485</v>
      </c>
      <c r="V86" s="154">
        <f t="shared" ref="V86:X86" si="384">V84-V89</f>
        <v>23.580604953174792</v>
      </c>
      <c r="W86" s="154">
        <f t="shared" si="384"/>
        <v>44.818828974410089</v>
      </c>
      <c r="X86" s="154">
        <f t="shared" si="384"/>
        <v>33.77096898628632</v>
      </c>
      <c r="Y86" s="154">
        <f>Y84-Y89</f>
        <v>71.953327000000087</v>
      </c>
      <c r="Z86" s="153">
        <f t="shared" ref="Z86" si="385">Z84-Z89</f>
        <v>174.12372991387133</v>
      </c>
      <c r="AA86" s="154"/>
      <c r="AB86" s="154"/>
      <c r="AC86" s="154"/>
      <c r="AD86" s="154"/>
      <c r="AE86" s="153"/>
      <c r="AF86" s="154"/>
      <c r="AG86" s="154"/>
      <c r="AH86" s="154"/>
      <c r="AI86" s="154"/>
      <c r="AJ86" s="153"/>
      <c r="AK86" s="154"/>
      <c r="AL86" s="154"/>
      <c r="AM86" s="154"/>
      <c r="AN86" s="154"/>
      <c r="AO86" s="153"/>
      <c r="AP86" s="154"/>
      <c r="AQ86" s="154"/>
      <c r="AR86" s="154"/>
      <c r="AS86" s="154"/>
      <c r="AT86" s="154"/>
      <c r="AU86" s="154"/>
      <c r="AV86" s="154"/>
      <c r="AW86" s="154"/>
      <c r="AX86" s="154"/>
      <c r="AY86" s="154"/>
    </row>
    <row r="87" spans="1:53" hidden="1" x14ac:dyDescent="0.35">
      <c r="B87" s="124" t="s">
        <v>275</v>
      </c>
      <c r="N87" s="129">
        <f>N86/N78</f>
        <v>0.40627276408715335</v>
      </c>
      <c r="O87" s="128">
        <f t="shared" ref="O87:T87" si="386">O86/O78</f>
        <v>0.3732398817281794</v>
      </c>
      <c r="P87" s="128">
        <f t="shared" si="386"/>
        <v>0.38183058653564778</v>
      </c>
      <c r="Q87" s="128">
        <f t="shared" ref="Q87" si="387">Q86/Q78</f>
        <v>0.37812113363442118</v>
      </c>
      <c r="R87" s="128">
        <f t="shared" si="386"/>
        <v>0.34597497820179185</v>
      </c>
      <c r="S87" s="128">
        <f t="shared" si="386"/>
        <v>0.72183049939775157</v>
      </c>
      <c r="T87" s="128">
        <f t="shared" si="386"/>
        <v>0.54444731389566836</v>
      </c>
      <c r="U87" s="346">
        <f>U86/U78</f>
        <v>0.32309588767968955</v>
      </c>
      <c r="V87" s="128">
        <f t="shared" ref="V87" si="388">V86/V78</f>
        <v>0.28274106658482961</v>
      </c>
      <c r="W87" s="128">
        <f t="shared" ref="W87" si="389">W86/W78</f>
        <v>0.42425600831504895</v>
      </c>
      <c r="X87" s="128">
        <f t="shared" ref="X87" si="390">X86/X78</f>
        <v>0.3168721755956907</v>
      </c>
      <c r="Y87" s="128">
        <f>Y86/Y78</f>
        <v>0.48134789240248083</v>
      </c>
      <c r="Z87" s="129">
        <f t="shared" ref="Z87" si="391">Z86/Z78</f>
        <v>0.39120137028504004</v>
      </c>
      <c r="AA87" s="128"/>
      <c r="AB87" s="128"/>
      <c r="AC87" s="128"/>
      <c r="AD87" s="128"/>
      <c r="AE87" s="129"/>
      <c r="AF87" s="128"/>
      <c r="AG87" s="128"/>
      <c r="AH87" s="128"/>
      <c r="AI87" s="128"/>
      <c r="AJ87" s="129"/>
      <c r="AK87" s="128"/>
      <c r="AL87" s="128"/>
      <c r="AM87" s="128"/>
      <c r="AN87" s="128"/>
      <c r="AO87" s="129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</row>
    <row r="88" spans="1:53" hidden="1" x14ac:dyDescent="0.35">
      <c r="B88" s="124" t="s">
        <v>167</v>
      </c>
      <c r="Z88" s="129">
        <f>Z86/U86-1</f>
        <v>0.95616249498717698</v>
      </c>
      <c r="AA88" s="128"/>
      <c r="AB88" s="128"/>
      <c r="AC88" s="128"/>
      <c r="AD88" s="128"/>
      <c r="AE88" s="129"/>
      <c r="AF88" s="128"/>
      <c r="AG88" s="128"/>
      <c r="AH88" s="128"/>
      <c r="AI88" s="128"/>
      <c r="AJ88" s="129"/>
      <c r="AK88" s="128"/>
      <c r="AL88" s="128"/>
      <c r="AM88" s="128"/>
      <c r="AN88" s="128"/>
      <c r="AO88" s="129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</row>
    <row r="89" spans="1:53" s="110" customFormat="1" hidden="1" x14ac:dyDescent="0.35">
      <c r="B89" s="123" t="s">
        <v>193</v>
      </c>
      <c r="G89" s="521"/>
      <c r="N89" s="155">
        <f>N147-N126</f>
        <v>47.136171910349972</v>
      </c>
      <c r="O89" s="139">
        <f>O147-O126</f>
        <v>17.476563593930248</v>
      </c>
      <c r="P89" s="139">
        <f>P147-P126</f>
        <v>24.36161098050237</v>
      </c>
      <c r="Q89" s="139">
        <f>P89+O89</f>
        <v>41.838174574432614</v>
      </c>
      <c r="R89" s="139">
        <f>R147-R126</f>
        <v>30.084694150124363</v>
      </c>
      <c r="S89" s="139">
        <f>U89-SUM(O89:R89)</f>
        <v>2.0389567010103349</v>
      </c>
      <c r="T89" s="139">
        <f>S89+R89</f>
        <v>32.123650851134698</v>
      </c>
      <c r="U89" s="348">
        <f>U147-U126</f>
        <v>115.79999999999993</v>
      </c>
      <c r="V89" s="139">
        <f>V147-V126</f>
        <v>31.74200000000009</v>
      </c>
      <c r="W89" s="139">
        <f>W147-W126</f>
        <v>28.035254000000002</v>
      </c>
      <c r="X89" s="139">
        <f>X147-X126</f>
        <v>43.409238000000016</v>
      </c>
      <c r="Y89" s="139">
        <f>Y147-Y126</f>
        <v>39.411507999999984</v>
      </c>
      <c r="Z89" s="155">
        <f>SUM(V89:Y89)</f>
        <v>142.59800000000007</v>
      </c>
      <c r="AA89" s="139"/>
      <c r="AB89" s="139"/>
      <c r="AC89" s="139"/>
      <c r="AD89" s="139"/>
      <c r="AE89" s="155"/>
      <c r="AF89" s="139"/>
      <c r="AG89" s="139"/>
      <c r="AH89" s="139"/>
      <c r="AI89" s="139"/>
      <c r="AJ89" s="155"/>
      <c r="AK89" s="139"/>
      <c r="AL89" s="139"/>
      <c r="AM89" s="139"/>
      <c r="AN89" s="139"/>
      <c r="AO89" s="155"/>
      <c r="AP89" s="139"/>
      <c r="AQ89" s="139"/>
      <c r="AR89" s="139"/>
      <c r="AS89" s="139"/>
      <c r="AT89" s="139"/>
      <c r="AU89" s="139"/>
      <c r="AV89" s="139"/>
      <c r="AW89" s="139"/>
      <c r="AX89" s="139"/>
      <c r="AY89" s="139"/>
    </row>
    <row r="90" spans="1:53" hidden="1" x14ac:dyDescent="0.35">
      <c r="B90" s="124" t="s">
        <v>189</v>
      </c>
      <c r="N90" s="129">
        <f>N89/N78</f>
        <v>0.29372723591284661</v>
      </c>
      <c r="O90" s="128">
        <f>O89/O78</f>
        <v>0.3516411185901458</v>
      </c>
      <c r="P90" s="128">
        <f t="shared" ref="P90:S90" si="392">P89/P78</f>
        <v>0.37250169694957747</v>
      </c>
      <c r="Q90" s="128">
        <f t="shared" si="392"/>
        <v>0.36349413183694712</v>
      </c>
      <c r="R90" s="128">
        <f t="shared" si="392"/>
        <v>0.3974200019831487</v>
      </c>
      <c r="S90" s="128">
        <f t="shared" si="392"/>
        <v>2.4072688323616705E-2</v>
      </c>
      <c r="T90" s="128">
        <f t="shared" ref="T90" si="393">T89/T78</f>
        <v>0.20027213747590206</v>
      </c>
      <c r="U90" s="346">
        <f>U89/U78</f>
        <v>0.42032667876587987</v>
      </c>
      <c r="V90" s="128">
        <f t="shared" ref="V90" si="394">V89/V78</f>
        <v>0.3805995203836941</v>
      </c>
      <c r="W90" s="128">
        <f t="shared" ref="W90" si="395">W89/W78</f>
        <v>0.26538232315104932</v>
      </c>
      <c r="X90" s="128">
        <f t="shared" ref="X90" si="396">X89/X78</f>
        <v>0.4073078178952112</v>
      </c>
      <c r="Y90" s="128">
        <f>Y89/Y78</f>
        <v>0.26365210759751917</v>
      </c>
      <c r="Z90" s="129">
        <f>Z89/Z78</f>
        <v>0.32037294989889925</v>
      </c>
      <c r="AA90" s="128"/>
      <c r="AB90" s="128"/>
      <c r="AC90" s="128"/>
      <c r="AD90" s="128"/>
      <c r="AE90" s="129"/>
      <c r="AF90" s="128"/>
      <c r="AG90" s="128"/>
      <c r="AH90" s="128"/>
      <c r="AI90" s="128"/>
      <c r="AJ90" s="129"/>
      <c r="AK90" s="128"/>
      <c r="AL90" s="128"/>
      <c r="AM90" s="128"/>
      <c r="AN90" s="128"/>
      <c r="AO90" s="129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</row>
    <row r="91" spans="1:53" hidden="1" x14ac:dyDescent="0.35">
      <c r="B91" s="124" t="s">
        <v>167</v>
      </c>
      <c r="U91" s="346">
        <f>U89/N89-1</f>
        <v>1.4567120176887558</v>
      </c>
      <c r="V91" s="128">
        <f>V89/O89-1</f>
        <v>0.81626095023762812</v>
      </c>
      <c r="W91" s="128">
        <f>W89/P89-1</f>
        <v>0.15079639119259425</v>
      </c>
      <c r="X91" s="128">
        <f>X89/R89-1</f>
        <v>0.4429010906138986</v>
      </c>
      <c r="Y91" s="128">
        <f>Y89/S89-1</f>
        <v>18.329252053499207</v>
      </c>
      <c r="Z91" s="129">
        <f>Z89/U89-1</f>
        <v>0.23141623488773888</v>
      </c>
      <c r="AA91" s="128"/>
      <c r="AB91" s="128"/>
      <c r="AC91" s="128"/>
      <c r="AD91" s="128"/>
      <c r="AE91" s="129"/>
      <c r="AF91" s="128"/>
      <c r="AG91" s="128"/>
      <c r="AH91" s="128"/>
      <c r="AI91" s="128"/>
      <c r="AJ91" s="129"/>
      <c r="AK91" s="128"/>
      <c r="AL91" s="128"/>
      <c r="AM91" s="128"/>
      <c r="AN91" s="128"/>
      <c r="AO91" s="129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</row>
    <row r="92" spans="1:53" hidden="1" x14ac:dyDescent="0.35">
      <c r="B92" s="157"/>
      <c r="C92" s="156"/>
      <c r="D92" s="156"/>
      <c r="E92" s="156"/>
      <c r="F92" s="156"/>
      <c r="G92" s="522"/>
      <c r="H92" s="156"/>
      <c r="I92" s="156"/>
      <c r="J92" s="156"/>
      <c r="K92" s="156"/>
      <c r="L92" s="156"/>
      <c r="M92" s="156"/>
      <c r="N92" s="157"/>
      <c r="O92" s="156"/>
      <c r="P92" s="156"/>
      <c r="Q92" s="156"/>
      <c r="R92" s="156"/>
      <c r="S92" s="156"/>
      <c r="T92" s="156"/>
      <c r="U92" s="361"/>
      <c r="V92" s="156"/>
      <c r="W92" s="156"/>
      <c r="X92" s="156"/>
      <c r="Y92" s="156"/>
      <c r="Z92" s="157"/>
      <c r="AA92" s="156"/>
      <c r="AB92" s="156"/>
      <c r="AC92" s="156"/>
      <c r="AD92" s="156"/>
      <c r="AE92" s="157"/>
      <c r="AF92" s="156"/>
      <c r="AG92" s="156"/>
      <c r="AH92" s="156"/>
      <c r="AI92" s="156"/>
      <c r="AJ92" s="157"/>
      <c r="AK92" s="156"/>
      <c r="AL92" s="156"/>
      <c r="AM92" s="156"/>
      <c r="AN92" s="156"/>
      <c r="AO92" s="157"/>
      <c r="AP92" s="156"/>
      <c r="AQ92" s="156"/>
      <c r="AR92" s="156"/>
      <c r="AS92" s="156"/>
      <c r="AT92" s="156"/>
      <c r="AU92" s="156"/>
      <c r="AV92" s="156"/>
      <c r="AW92" s="156"/>
      <c r="AX92" s="156"/>
      <c r="AY92" s="156"/>
    </row>
    <row r="93" spans="1:53" x14ac:dyDescent="0.35">
      <c r="B93" s="204" t="s">
        <v>207</v>
      </c>
      <c r="C93" s="205"/>
      <c r="D93" s="205"/>
      <c r="E93" s="205"/>
      <c r="F93" s="205"/>
      <c r="G93" s="510"/>
      <c r="H93" s="205"/>
      <c r="I93" s="205"/>
      <c r="J93" s="205"/>
      <c r="K93" s="205"/>
      <c r="L93" s="205"/>
      <c r="M93" s="205"/>
      <c r="N93" s="206"/>
      <c r="O93" s="205"/>
      <c r="P93" s="205"/>
      <c r="Q93" s="205"/>
      <c r="R93" s="205"/>
      <c r="S93" s="205"/>
      <c r="T93" s="205"/>
      <c r="U93" s="362"/>
      <c r="V93" s="205"/>
      <c r="W93" s="205"/>
      <c r="X93" s="205"/>
      <c r="Y93" s="205"/>
      <c r="Z93" s="206"/>
      <c r="AA93" s="205"/>
      <c r="AB93" s="205"/>
      <c r="AC93" s="205"/>
      <c r="AD93" s="205"/>
      <c r="AE93" s="206"/>
      <c r="AF93" s="205"/>
      <c r="AG93" s="205"/>
      <c r="AH93" s="205"/>
      <c r="AI93" s="205"/>
      <c r="AJ93" s="206"/>
      <c r="AK93" s="205"/>
      <c r="AL93" s="205"/>
      <c r="AM93" s="205"/>
      <c r="AN93" s="205"/>
      <c r="AO93" s="206"/>
      <c r="AP93" s="205"/>
      <c r="AQ93" s="205"/>
      <c r="AR93" s="205"/>
      <c r="AS93" s="205"/>
      <c r="AT93" s="205"/>
      <c r="AU93" s="205"/>
      <c r="AV93" s="205"/>
      <c r="AW93" s="205"/>
      <c r="AX93" s="205"/>
      <c r="AY93" s="205"/>
    </row>
    <row r="94" spans="1:53" s="110" customFormat="1" hidden="1" x14ac:dyDescent="0.35">
      <c r="B94" s="123" t="s">
        <v>216</v>
      </c>
      <c r="G94" s="521"/>
      <c r="N94" s="158">
        <f>N95*N97/1000000</f>
        <v>126.41200000000001</v>
      </c>
      <c r="U94" s="363">
        <f>U95*U97/1000000</f>
        <v>177.861684</v>
      </c>
      <c r="Z94" s="158">
        <f t="shared" ref="Z94:AY94" si="397">Z95*Z97/1000000</f>
        <v>224.10572184000003</v>
      </c>
      <c r="AA94" s="150"/>
      <c r="AB94" s="150"/>
      <c r="AC94" s="150"/>
      <c r="AD94" s="150"/>
      <c r="AE94" s="158">
        <f t="shared" si="397"/>
        <v>258.84210872520009</v>
      </c>
      <c r="AF94" s="150"/>
      <c r="AG94" s="150"/>
      <c r="AH94" s="150"/>
      <c r="AI94" s="150"/>
      <c r="AJ94" s="158">
        <f t="shared" si="397"/>
        <v>295.03199999999998</v>
      </c>
      <c r="AK94" s="150"/>
      <c r="AL94" s="150"/>
      <c r="AM94" s="150"/>
      <c r="AN94" s="150"/>
      <c r="AO94" s="158">
        <f t="shared" si="397"/>
        <v>340.76195999999999</v>
      </c>
      <c r="AP94" s="150"/>
      <c r="AQ94" s="150"/>
      <c r="AR94" s="150"/>
      <c r="AS94" s="150"/>
      <c r="AT94" s="150">
        <f t="shared" si="397"/>
        <v>379.06360430400008</v>
      </c>
      <c r="AU94" s="150">
        <f t="shared" si="397"/>
        <v>421.67035342776967</v>
      </c>
      <c r="AV94" s="150">
        <f t="shared" si="397"/>
        <v>456.03648723213297</v>
      </c>
      <c r="AW94" s="150">
        <f t="shared" si="397"/>
        <v>493.2034609415519</v>
      </c>
      <c r="AX94" s="150">
        <f t="shared" si="397"/>
        <v>523.23955171289242</v>
      </c>
      <c r="AY94" s="150">
        <f t="shared" si="397"/>
        <v>555.10484041220764</v>
      </c>
      <c r="BA94" s="195"/>
    </row>
    <row r="95" spans="1:53" s="162" customFormat="1" hidden="1" x14ac:dyDescent="0.35">
      <c r="A95" s="159"/>
      <c r="B95" s="160" t="s">
        <v>209</v>
      </c>
      <c r="C95" s="159"/>
      <c r="D95" s="159"/>
      <c r="E95" s="159"/>
      <c r="F95" s="159"/>
      <c r="G95" s="523"/>
      <c r="H95" s="159"/>
      <c r="I95" s="159"/>
      <c r="J95" s="159"/>
      <c r="K95" s="159"/>
      <c r="L95" s="159"/>
      <c r="M95" s="159"/>
      <c r="N95" s="161">
        <v>3740</v>
      </c>
      <c r="O95" s="159"/>
      <c r="P95" s="159"/>
      <c r="Q95" s="159"/>
      <c r="R95" s="159"/>
      <c r="S95" s="159"/>
      <c r="T95" s="159"/>
      <c r="U95" s="364">
        <f>N95*(1+U96)</f>
        <v>3927</v>
      </c>
      <c r="V95" s="159"/>
      <c r="W95" s="159"/>
      <c r="X95" s="159"/>
      <c r="Y95" s="159"/>
      <c r="Z95" s="161">
        <f>U95*(1+Z96)</f>
        <v>4123.3500000000004</v>
      </c>
      <c r="AA95" s="159"/>
      <c r="AB95" s="159"/>
      <c r="AC95" s="159"/>
      <c r="AD95" s="159"/>
      <c r="AE95" s="161">
        <f>Z95*(1+AE96)</f>
        <v>4329.5175000000008</v>
      </c>
      <c r="AF95" s="159"/>
      <c r="AG95" s="159"/>
      <c r="AH95" s="159"/>
      <c r="AI95" s="159"/>
      <c r="AJ95" s="161">
        <v>4560</v>
      </c>
      <c r="AK95" s="159"/>
      <c r="AL95" s="159"/>
      <c r="AM95" s="159"/>
      <c r="AN95" s="159"/>
      <c r="AO95" s="161">
        <f>AJ95*(1+AO96)</f>
        <v>4788</v>
      </c>
      <c r="AP95" s="159"/>
      <c r="AQ95" s="159"/>
      <c r="AR95" s="159"/>
      <c r="AS95" s="159"/>
      <c r="AT95" s="159">
        <f>AO95*(1+AT96)</f>
        <v>4931.6400000000003</v>
      </c>
      <c r="AU95" s="159">
        <f t="shared" ref="AU95:AY95" si="398">AT95*(1+AU96)</f>
        <v>5079.5892000000003</v>
      </c>
      <c r="AV95" s="159">
        <f t="shared" si="398"/>
        <v>5231.9768760000006</v>
      </c>
      <c r="AW95" s="159">
        <f t="shared" si="398"/>
        <v>5388.936182280001</v>
      </c>
      <c r="AX95" s="159">
        <f t="shared" si="398"/>
        <v>5550.6042677484011</v>
      </c>
      <c r="AY95" s="159">
        <f t="shared" si="398"/>
        <v>5717.1223957808534</v>
      </c>
      <c r="AZ95" s="159"/>
      <c r="BA95" s="159"/>
    </row>
    <row r="96" spans="1:53" s="162" customFormat="1" hidden="1" x14ac:dyDescent="0.35">
      <c r="A96" s="159"/>
      <c r="B96" s="160" t="s">
        <v>211</v>
      </c>
      <c r="C96" s="159"/>
      <c r="D96" s="159"/>
      <c r="E96" s="159"/>
      <c r="F96" s="159"/>
      <c r="G96" s="523"/>
      <c r="H96" s="159"/>
      <c r="I96" s="159"/>
      <c r="J96" s="159"/>
      <c r="K96" s="159"/>
      <c r="L96" s="159"/>
      <c r="M96" s="159"/>
      <c r="N96" s="161"/>
      <c r="O96" s="159"/>
      <c r="P96" s="159"/>
      <c r="Q96" s="159"/>
      <c r="R96" s="159"/>
      <c r="S96" s="159"/>
      <c r="T96" s="159"/>
      <c r="U96" s="346">
        <v>0.05</v>
      </c>
      <c r="V96" s="159"/>
      <c r="W96" s="159"/>
      <c r="X96" s="159"/>
      <c r="Y96" s="159"/>
      <c r="Z96" s="129">
        <v>0.05</v>
      </c>
      <c r="AA96" s="128"/>
      <c r="AB96" s="128"/>
      <c r="AC96" s="128"/>
      <c r="AD96" s="128"/>
      <c r="AE96" s="129">
        <v>0.05</v>
      </c>
      <c r="AF96" s="128"/>
      <c r="AG96" s="128"/>
      <c r="AH96" s="128"/>
      <c r="AI96" s="128"/>
      <c r="AJ96" s="129">
        <f>AJ95/AE95-1</f>
        <v>5.3235146872601558E-2</v>
      </c>
      <c r="AK96" s="128"/>
      <c r="AL96" s="128"/>
      <c r="AM96" s="128"/>
      <c r="AN96" s="128"/>
      <c r="AO96" s="129">
        <v>0.05</v>
      </c>
      <c r="AP96" s="128"/>
      <c r="AQ96" s="128"/>
      <c r="AR96" s="128"/>
      <c r="AS96" s="128"/>
      <c r="AT96" s="128">
        <v>0.03</v>
      </c>
      <c r="AU96" s="128">
        <v>0.03</v>
      </c>
      <c r="AV96" s="128">
        <v>0.03</v>
      </c>
      <c r="AW96" s="128">
        <v>0.03</v>
      </c>
      <c r="AX96" s="128">
        <v>0.03</v>
      </c>
      <c r="AY96" s="128">
        <v>0.03</v>
      </c>
      <c r="AZ96" s="159"/>
      <c r="BA96" s="159"/>
    </row>
    <row r="97" spans="1:16196" s="162" customFormat="1" hidden="1" x14ac:dyDescent="0.35">
      <c r="A97" s="159"/>
      <c r="B97" s="160" t="s">
        <v>210</v>
      </c>
      <c r="C97" s="159"/>
      <c r="D97" s="159"/>
      <c r="E97" s="159"/>
      <c r="F97" s="159"/>
      <c r="G97" s="523"/>
      <c r="H97" s="159"/>
      <c r="I97" s="159"/>
      <c r="J97" s="159"/>
      <c r="K97" s="159"/>
      <c r="L97" s="159"/>
      <c r="M97" s="159"/>
      <c r="N97" s="161">
        <v>33800</v>
      </c>
      <c r="O97" s="159"/>
      <c r="P97" s="159"/>
      <c r="Q97" s="159"/>
      <c r="R97" s="159"/>
      <c r="S97" s="159"/>
      <c r="T97" s="159"/>
      <c r="U97" s="364">
        <f>N97*(1+U98)</f>
        <v>45292</v>
      </c>
      <c r="V97" s="159"/>
      <c r="W97" s="159"/>
      <c r="X97" s="159"/>
      <c r="Y97" s="159"/>
      <c r="Z97" s="161">
        <f>U97*(1+Z98)</f>
        <v>54350.400000000001</v>
      </c>
      <c r="AA97" s="159"/>
      <c r="AB97" s="159"/>
      <c r="AC97" s="159"/>
      <c r="AD97" s="159"/>
      <c r="AE97" s="161">
        <f>Z97*(1+AE98)</f>
        <v>59785.44000000001</v>
      </c>
      <c r="AF97" s="159"/>
      <c r="AG97" s="159"/>
      <c r="AH97" s="159"/>
      <c r="AI97" s="159"/>
      <c r="AJ97" s="161">
        <v>64700</v>
      </c>
      <c r="AK97" s="159"/>
      <c r="AL97" s="159"/>
      <c r="AM97" s="159"/>
      <c r="AN97" s="159"/>
      <c r="AO97" s="161">
        <f>AJ97*(1+AO98)</f>
        <v>71170</v>
      </c>
      <c r="AP97" s="159"/>
      <c r="AQ97" s="159"/>
      <c r="AR97" s="159"/>
      <c r="AS97" s="159"/>
      <c r="AT97" s="159">
        <f>AO97*(1+AT98)</f>
        <v>76863.600000000006</v>
      </c>
      <c r="AU97" s="159">
        <f t="shared" ref="AU97:AY97" si="399">AT97*(1+AU98)</f>
        <v>83012.688000000009</v>
      </c>
      <c r="AV97" s="159">
        <f t="shared" si="399"/>
        <v>87163.322400000019</v>
      </c>
      <c r="AW97" s="159">
        <f t="shared" si="399"/>
        <v>91521.488520000028</v>
      </c>
      <c r="AX97" s="159">
        <f t="shared" si="399"/>
        <v>94267.133175600029</v>
      </c>
      <c r="AY97" s="159">
        <f t="shared" si="399"/>
        <v>97095.147170868033</v>
      </c>
      <c r="AZ97" s="159"/>
      <c r="BA97" s="159"/>
    </row>
    <row r="98" spans="1:16196" s="162" customFormat="1" hidden="1" x14ac:dyDescent="0.35">
      <c r="A98" s="159"/>
      <c r="B98" s="160" t="s">
        <v>211</v>
      </c>
      <c r="C98" s="159"/>
      <c r="D98" s="159"/>
      <c r="E98" s="159"/>
      <c r="F98" s="159"/>
      <c r="G98" s="523"/>
      <c r="H98" s="159"/>
      <c r="I98" s="159"/>
      <c r="J98" s="159"/>
      <c r="K98" s="159"/>
      <c r="L98" s="159"/>
      <c r="M98" s="159"/>
      <c r="N98" s="161"/>
      <c r="O98" s="159"/>
      <c r="P98" s="159"/>
      <c r="Q98" s="159"/>
      <c r="R98" s="159"/>
      <c r="S98" s="159"/>
      <c r="T98" s="159"/>
      <c r="U98" s="346">
        <v>0.34</v>
      </c>
      <c r="V98" s="159"/>
      <c r="W98" s="159"/>
      <c r="X98" s="159"/>
      <c r="Y98" s="159"/>
      <c r="Z98" s="129">
        <v>0.2</v>
      </c>
      <c r="AA98" s="128"/>
      <c r="AB98" s="128"/>
      <c r="AC98" s="128"/>
      <c r="AD98" s="128"/>
      <c r="AE98" s="129">
        <v>0.1</v>
      </c>
      <c r="AF98" s="128"/>
      <c r="AG98" s="128"/>
      <c r="AH98" s="128"/>
      <c r="AI98" s="128"/>
      <c r="AJ98" s="129">
        <f>AJ97/AE97-1</f>
        <v>8.22032923066216E-2</v>
      </c>
      <c r="AK98" s="128"/>
      <c r="AL98" s="128"/>
      <c r="AM98" s="128"/>
      <c r="AN98" s="128"/>
      <c r="AO98" s="129">
        <v>0.1</v>
      </c>
      <c r="AP98" s="128"/>
      <c r="AQ98" s="128"/>
      <c r="AR98" s="128"/>
      <c r="AS98" s="128"/>
      <c r="AT98" s="128">
        <v>0.08</v>
      </c>
      <c r="AU98" s="128">
        <v>0.08</v>
      </c>
      <c r="AV98" s="128">
        <v>0.05</v>
      </c>
      <c r="AW98" s="128">
        <v>0.05</v>
      </c>
      <c r="AX98" s="128">
        <v>0.03</v>
      </c>
      <c r="AY98" s="128">
        <v>0.03</v>
      </c>
      <c r="AZ98" s="159"/>
      <c r="BA98" s="159"/>
    </row>
    <row r="99" spans="1:16196" s="110" customFormat="1" hidden="1" x14ac:dyDescent="0.35">
      <c r="B99" s="123" t="s">
        <v>217</v>
      </c>
      <c r="G99" s="521"/>
      <c r="N99" s="158">
        <f>N100*N102/1000000</f>
        <v>115.29</v>
      </c>
      <c r="U99" s="363">
        <f>U100*U102/1000000</f>
        <v>247.88206600000007</v>
      </c>
      <c r="Z99" s="158">
        <f t="shared" ref="Z99:AY99" si="400">Z100*Z102/1000000</f>
        <v>517.84588940999993</v>
      </c>
      <c r="AA99" s="150"/>
      <c r="AB99" s="150"/>
      <c r="AC99" s="150"/>
      <c r="AD99" s="150"/>
      <c r="AE99" s="158">
        <f t="shared" si="400"/>
        <v>811.82937280480019</v>
      </c>
      <c r="AF99" s="150"/>
      <c r="AG99" s="150"/>
      <c r="AH99" s="150"/>
      <c r="AI99" s="150"/>
      <c r="AJ99" s="158">
        <f t="shared" si="400"/>
        <v>1014.6420000000006</v>
      </c>
      <c r="AK99" s="150"/>
      <c r="AL99" s="150"/>
      <c r="AM99" s="150"/>
      <c r="AN99" s="150"/>
      <c r="AO99" s="158">
        <f t="shared" si="400"/>
        <v>1325.6831550000022</v>
      </c>
      <c r="AP99" s="150"/>
      <c r="AQ99" s="150"/>
      <c r="AR99" s="150"/>
      <c r="AS99" s="150"/>
      <c r="AT99" s="150">
        <f t="shared" si="400"/>
        <v>1421.2257439594566</v>
      </c>
      <c r="AU99" s="150">
        <f t="shared" si="400"/>
        <v>1623.6984483902265</v>
      </c>
      <c r="AV99" s="150">
        <f t="shared" si="400"/>
        <v>1821.1523921155569</v>
      </c>
      <c r="AW99" s="150">
        <f t="shared" si="400"/>
        <v>2045.8724258933059</v>
      </c>
      <c r="AX99" s="150">
        <f t="shared" si="400"/>
        <v>2332.3861629097878</v>
      </c>
      <c r="AY99" s="150">
        <f t="shared" si="400"/>
        <v>2569.0664444348313</v>
      </c>
    </row>
    <row r="100" spans="1:16196" s="162" customFormat="1" hidden="1" x14ac:dyDescent="0.35">
      <c r="A100" s="159"/>
      <c r="B100" s="160" t="s">
        <v>209</v>
      </c>
      <c r="C100" s="159"/>
      <c r="D100" s="159"/>
      <c r="E100" s="159"/>
      <c r="F100" s="159"/>
      <c r="G100" s="523"/>
      <c r="H100" s="159"/>
      <c r="I100" s="159"/>
      <c r="J100" s="159"/>
      <c r="K100" s="159"/>
      <c r="L100" s="159"/>
      <c r="M100" s="159"/>
      <c r="N100" s="161">
        <v>2700</v>
      </c>
      <c r="O100" s="159"/>
      <c r="P100" s="159"/>
      <c r="Q100" s="159"/>
      <c r="R100" s="159"/>
      <c r="S100" s="159"/>
      <c r="T100" s="159"/>
      <c r="U100" s="364">
        <f>N100*(1+U101)</f>
        <v>3186</v>
      </c>
      <c r="V100" s="159"/>
      <c r="W100" s="159"/>
      <c r="X100" s="159"/>
      <c r="Y100" s="159"/>
      <c r="Z100" s="161">
        <f>U100*(1+Z101)</f>
        <v>3663.8999999999996</v>
      </c>
      <c r="AA100" s="159"/>
      <c r="AB100" s="159"/>
      <c r="AC100" s="159"/>
      <c r="AD100" s="159"/>
      <c r="AE100" s="161">
        <f>Z100*(1+AE101)</f>
        <v>4103.5680000000002</v>
      </c>
      <c r="AF100" s="159"/>
      <c r="AG100" s="159"/>
      <c r="AH100" s="159"/>
      <c r="AI100" s="159"/>
      <c r="AJ100" s="161">
        <v>4450</v>
      </c>
      <c r="AK100" s="159"/>
      <c r="AL100" s="159"/>
      <c r="AM100" s="159"/>
      <c r="AN100" s="159"/>
      <c r="AO100" s="161">
        <f t="shared" ref="AO100" si="401">AJ100*(1+AO101)</f>
        <v>4806</v>
      </c>
      <c r="AP100" s="159"/>
      <c r="AQ100" s="159"/>
      <c r="AR100" s="159"/>
      <c r="AS100" s="159"/>
      <c r="AT100" s="159">
        <f t="shared" ref="AT100" si="402">AO100*(1+AT101)</f>
        <v>4950.18</v>
      </c>
      <c r="AU100" s="159">
        <f t="shared" ref="AU100" si="403">AT100*(1+AU101)</f>
        <v>5098.6854000000003</v>
      </c>
      <c r="AV100" s="159">
        <f t="shared" ref="AV100" si="404">AU100*(1+AV101)</f>
        <v>5251.6459620000005</v>
      </c>
      <c r="AW100" s="159">
        <f t="shared" ref="AW100" si="405">AV100*(1+AW101)</f>
        <v>5409.1953408600002</v>
      </c>
      <c r="AX100" s="159">
        <f t="shared" ref="AX100" si="406">AW100*(1+AX101)</f>
        <v>5571.4712010858002</v>
      </c>
      <c r="AY100" s="159">
        <f t="shared" ref="AY100" si="407">AX100*(1+AY101)</f>
        <v>5738.6153371183746</v>
      </c>
      <c r="AZ100" s="159"/>
      <c r="BA100" s="159"/>
    </row>
    <row r="101" spans="1:16196" s="162" customFormat="1" hidden="1" x14ac:dyDescent="0.35">
      <c r="A101" s="159"/>
      <c r="B101" s="160" t="s">
        <v>211</v>
      </c>
      <c r="C101" s="159"/>
      <c r="D101" s="159"/>
      <c r="E101" s="159"/>
      <c r="F101" s="159"/>
      <c r="G101" s="523"/>
      <c r="H101" s="159"/>
      <c r="I101" s="159"/>
      <c r="J101" s="159"/>
      <c r="K101" s="159"/>
      <c r="L101" s="159"/>
      <c r="M101" s="159"/>
      <c r="N101" s="161"/>
      <c r="O101" s="159"/>
      <c r="P101" s="159"/>
      <c r="Q101" s="159"/>
      <c r="R101" s="159"/>
      <c r="S101" s="159"/>
      <c r="T101" s="159"/>
      <c r="U101" s="346">
        <v>0.18</v>
      </c>
      <c r="V101" s="159"/>
      <c r="W101" s="159"/>
      <c r="X101" s="159"/>
      <c r="Y101" s="159"/>
      <c r="Z101" s="129">
        <v>0.15</v>
      </c>
      <c r="AA101" s="128"/>
      <c r="AB101" s="128"/>
      <c r="AC101" s="128"/>
      <c r="AD101" s="128"/>
      <c r="AE101" s="129">
        <v>0.12</v>
      </c>
      <c r="AF101" s="128"/>
      <c r="AG101" s="128"/>
      <c r="AH101" s="128"/>
      <c r="AI101" s="128"/>
      <c r="AJ101" s="129">
        <f>AJ100/AE100-1</f>
        <v>8.4422141901876468E-2</v>
      </c>
      <c r="AK101" s="128"/>
      <c r="AL101" s="128"/>
      <c r="AM101" s="128"/>
      <c r="AN101" s="128"/>
      <c r="AO101" s="129">
        <v>0.08</v>
      </c>
      <c r="AP101" s="128"/>
      <c r="AQ101" s="128"/>
      <c r="AR101" s="128"/>
      <c r="AS101" s="128"/>
      <c r="AT101" s="128">
        <v>0.03</v>
      </c>
      <c r="AU101" s="128">
        <v>0.03</v>
      </c>
      <c r="AV101" s="128">
        <v>0.03</v>
      </c>
      <c r="AW101" s="128">
        <v>0.03</v>
      </c>
      <c r="AX101" s="128">
        <v>0.03</v>
      </c>
      <c r="AY101" s="128">
        <v>0.03</v>
      </c>
      <c r="AZ101" s="159"/>
      <c r="BA101" s="159"/>
    </row>
    <row r="102" spans="1:16196" hidden="1" x14ac:dyDescent="0.35">
      <c r="B102" s="160" t="s">
        <v>210</v>
      </c>
      <c r="C102" s="159"/>
      <c r="D102" s="159"/>
      <c r="E102" s="159"/>
      <c r="F102" s="159"/>
      <c r="G102" s="523"/>
      <c r="H102" s="159"/>
      <c r="I102" s="159"/>
      <c r="J102" s="159"/>
      <c r="K102" s="159"/>
      <c r="L102" s="159"/>
      <c r="M102" s="159"/>
      <c r="N102" s="161">
        <v>42700</v>
      </c>
      <c r="O102" s="159"/>
      <c r="P102" s="159"/>
      <c r="Q102" s="159"/>
      <c r="R102" s="159"/>
      <c r="S102" s="159"/>
      <c r="T102" s="159"/>
      <c r="U102" s="365">
        <f>(U115-U94-U104)/U100*1000000</f>
        <v>77803.536095417468</v>
      </c>
      <c r="V102" s="159"/>
      <c r="W102" s="159"/>
      <c r="X102" s="159"/>
      <c r="Y102" s="159"/>
      <c r="Z102" s="465">
        <f t="shared" ref="Z102:AY102" si="408">(Z115-Z94-Z104)/Z100*1000000</f>
        <v>141337.34256120527</v>
      </c>
      <c r="AA102" s="163"/>
      <c r="AB102" s="163"/>
      <c r="AC102" s="163"/>
      <c r="AD102" s="163"/>
      <c r="AE102" s="465">
        <f t="shared" si="408"/>
        <v>197834.99939681761</v>
      </c>
      <c r="AF102" s="163"/>
      <c r="AG102" s="163"/>
      <c r="AH102" s="163"/>
      <c r="AI102" s="163"/>
      <c r="AJ102" s="465">
        <f t="shared" si="408"/>
        <v>228009.43820224731</v>
      </c>
      <c r="AK102" s="163"/>
      <c r="AL102" s="163"/>
      <c r="AM102" s="163"/>
      <c r="AN102" s="163"/>
      <c r="AO102" s="465">
        <f t="shared" si="408"/>
        <v>275839.19163545611</v>
      </c>
      <c r="AP102" s="163"/>
      <c r="AQ102" s="163"/>
      <c r="AR102" s="163"/>
      <c r="AS102" s="163"/>
      <c r="AT102" s="163">
        <f t="shared" si="408"/>
        <v>287105.87169748504</v>
      </c>
      <c r="AU102" s="163">
        <f t="shared" si="408"/>
        <v>318454.33106938243</v>
      </c>
      <c r="AV102" s="163">
        <f t="shared" si="408"/>
        <v>346777.44944977248</v>
      </c>
      <c r="AW102" s="163">
        <f t="shared" si="408"/>
        <v>378221.21350271587</v>
      </c>
      <c r="AX102" s="163">
        <f t="shared" si="408"/>
        <v>418630.21071619983</v>
      </c>
      <c r="AY102" s="163">
        <f t="shared" si="408"/>
        <v>447680.54548240185</v>
      </c>
      <c r="AZ102" s="159"/>
      <c r="BA102" s="159"/>
      <c r="BB102" s="162"/>
      <c r="BC102" s="162"/>
      <c r="BD102" s="162"/>
      <c r="BE102" s="162"/>
      <c r="BF102" s="162"/>
      <c r="BG102" s="162"/>
      <c r="BH102" s="162"/>
      <c r="BI102" s="162"/>
      <c r="BJ102" s="162"/>
      <c r="BK102" s="162"/>
      <c r="BL102" s="162"/>
      <c r="BM102" s="162"/>
      <c r="BN102" s="162"/>
      <c r="BO102" s="162"/>
      <c r="BP102" s="162"/>
      <c r="BQ102" s="162"/>
      <c r="BR102" s="162"/>
      <c r="BS102" s="162"/>
      <c r="BT102" s="162"/>
      <c r="BU102" s="162"/>
      <c r="BV102" s="162"/>
      <c r="BW102" s="162"/>
      <c r="BX102" s="162"/>
      <c r="BY102" s="162"/>
      <c r="BZ102" s="162"/>
      <c r="CA102" s="162"/>
      <c r="CB102" s="162"/>
      <c r="CC102" s="162"/>
      <c r="CD102" s="162"/>
      <c r="CE102" s="162"/>
      <c r="CF102" s="162"/>
      <c r="CG102" s="162"/>
      <c r="CH102" s="162"/>
      <c r="CI102" s="162"/>
      <c r="CJ102" s="162"/>
      <c r="CK102" s="162"/>
      <c r="CL102" s="162"/>
      <c r="CM102" s="162"/>
      <c r="CN102" s="162"/>
      <c r="CO102" s="162"/>
      <c r="CP102" s="162"/>
      <c r="CQ102" s="162"/>
      <c r="CR102" s="162"/>
      <c r="CS102" s="162"/>
      <c r="CT102" s="162"/>
      <c r="CU102" s="162"/>
      <c r="CV102" s="162"/>
      <c r="CW102" s="162"/>
      <c r="CX102" s="162"/>
      <c r="CY102" s="162"/>
      <c r="CZ102" s="162"/>
      <c r="DA102" s="162"/>
      <c r="DB102" s="162"/>
      <c r="DC102" s="162"/>
      <c r="DD102" s="162"/>
      <c r="DE102" s="162"/>
      <c r="DF102" s="162"/>
      <c r="DG102" s="162"/>
      <c r="DH102" s="162"/>
      <c r="DI102" s="162"/>
      <c r="DJ102" s="162"/>
      <c r="DK102" s="162"/>
      <c r="DL102" s="162"/>
      <c r="DM102" s="162"/>
      <c r="DN102" s="162"/>
      <c r="DO102" s="162"/>
      <c r="DP102" s="162"/>
      <c r="DQ102" s="162"/>
      <c r="DR102" s="162"/>
      <c r="DS102" s="162"/>
      <c r="DT102" s="162"/>
      <c r="DU102" s="162"/>
      <c r="DV102" s="162"/>
      <c r="DW102" s="162"/>
      <c r="DX102" s="162"/>
      <c r="DY102" s="162"/>
      <c r="DZ102" s="162"/>
      <c r="EA102" s="162"/>
      <c r="EB102" s="162"/>
      <c r="EC102" s="162"/>
      <c r="ED102" s="162"/>
      <c r="EE102" s="162"/>
      <c r="EF102" s="162"/>
      <c r="EG102" s="162"/>
      <c r="EH102" s="162"/>
      <c r="EI102" s="162"/>
      <c r="EJ102" s="162"/>
      <c r="EK102" s="162"/>
      <c r="EL102" s="162"/>
      <c r="EM102" s="162"/>
      <c r="EN102" s="162"/>
      <c r="EO102" s="162"/>
      <c r="EP102" s="162"/>
      <c r="EQ102" s="162"/>
      <c r="ER102" s="162"/>
      <c r="ES102" s="162"/>
      <c r="ET102" s="162"/>
      <c r="EU102" s="162"/>
      <c r="EV102" s="162"/>
      <c r="EW102" s="162"/>
      <c r="EX102" s="162"/>
      <c r="EY102" s="162"/>
      <c r="EZ102" s="162"/>
      <c r="FA102" s="162"/>
      <c r="FB102" s="162"/>
      <c r="FC102" s="162"/>
      <c r="FD102" s="162"/>
      <c r="FE102" s="162"/>
      <c r="FF102" s="162"/>
      <c r="FG102" s="162"/>
      <c r="FH102" s="162"/>
      <c r="FI102" s="162"/>
      <c r="FJ102" s="162"/>
      <c r="FK102" s="162"/>
      <c r="FL102" s="162"/>
      <c r="FM102" s="162"/>
      <c r="FN102" s="162"/>
      <c r="FO102" s="162"/>
      <c r="FP102" s="162"/>
      <c r="FQ102" s="162"/>
      <c r="FR102" s="162"/>
      <c r="FS102" s="162"/>
      <c r="FT102" s="162"/>
      <c r="FU102" s="162"/>
      <c r="FV102" s="162"/>
      <c r="FW102" s="162"/>
      <c r="FX102" s="162"/>
      <c r="FY102" s="162"/>
      <c r="FZ102" s="162"/>
      <c r="GA102" s="162"/>
      <c r="GB102" s="162"/>
      <c r="GC102" s="162"/>
      <c r="GD102" s="162"/>
      <c r="GE102" s="162"/>
      <c r="GF102" s="162"/>
      <c r="GG102" s="162"/>
      <c r="GH102" s="162"/>
      <c r="GI102" s="162"/>
      <c r="GJ102" s="162"/>
      <c r="GK102" s="162"/>
      <c r="GL102" s="162"/>
      <c r="GM102" s="162"/>
      <c r="GN102" s="162"/>
      <c r="GO102" s="162"/>
      <c r="GP102" s="162"/>
      <c r="GQ102" s="162"/>
      <c r="GR102" s="162"/>
      <c r="GS102" s="162"/>
      <c r="GT102" s="162"/>
      <c r="GU102" s="162"/>
      <c r="GV102" s="162"/>
      <c r="GW102" s="162"/>
      <c r="GX102" s="162"/>
      <c r="GY102" s="162"/>
      <c r="GZ102" s="162"/>
      <c r="HA102" s="162"/>
      <c r="HB102" s="162"/>
      <c r="HC102" s="162"/>
      <c r="HD102" s="162"/>
      <c r="HE102" s="162"/>
      <c r="HF102" s="162"/>
      <c r="HG102" s="162"/>
      <c r="HH102" s="162"/>
      <c r="HI102" s="162"/>
      <c r="HJ102" s="162"/>
      <c r="HK102" s="162"/>
      <c r="HL102" s="162"/>
      <c r="HM102" s="162"/>
      <c r="HN102" s="162"/>
      <c r="HO102" s="162"/>
      <c r="HP102" s="162"/>
      <c r="HQ102" s="162"/>
      <c r="HR102" s="162"/>
      <c r="HS102" s="162"/>
      <c r="HT102" s="162"/>
      <c r="HU102" s="162"/>
      <c r="HV102" s="162"/>
      <c r="HW102" s="162"/>
      <c r="HX102" s="162"/>
      <c r="HY102" s="162"/>
      <c r="HZ102" s="162"/>
      <c r="IA102" s="162"/>
      <c r="IB102" s="162"/>
      <c r="IC102" s="162"/>
      <c r="ID102" s="162"/>
      <c r="IE102" s="162"/>
      <c r="IF102" s="162"/>
      <c r="IG102" s="162"/>
      <c r="IH102" s="162"/>
      <c r="II102" s="162"/>
      <c r="IJ102" s="162"/>
      <c r="IK102" s="162"/>
      <c r="IL102" s="162"/>
      <c r="IM102" s="162"/>
      <c r="IN102" s="162"/>
      <c r="IO102" s="162"/>
      <c r="IP102" s="162"/>
      <c r="IQ102" s="162"/>
      <c r="IR102" s="162"/>
      <c r="IS102" s="162"/>
      <c r="IT102" s="162"/>
      <c r="IU102" s="162"/>
      <c r="IV102" s="162"/>
      <c r="IW102" s="162"/>
      <c r="IX102" s="162"/>
      <c r="IY102" s="162"/>
      <c r="IZ102" s="162"/>
      <c r="JA102" s="162"/>
      <c r="JB102" s="162"/>
      <c r="JC102" s="162"/>
      <c r="JD102" s="162"/>
      <c r="JE102" s="162"/>
      <c r="JF102" s="162"/>
      <c r="JG102" s="162"/>
      <c r="JH102" s="162"/>
      <c r="JI102" s="162"/>
      <c r="JJ102" s="162"/>
      <c r="JK102" s="162"/>
      <c r="JL102" s="162"/>
      <c r="JM102" s="162"/>
      <c r="JN102" s="162"/>
      <c r="JO102" s="162"/>
      <c r="JP102" s="162"/>
      <c r="JQ102" s="162"/>
      <c r="JR102" s="162"/>
      <c r="JS102" s="162"/>
      <c r="JT102" s="162"/>
      <c r="JU102" s="162"/>
      <c r="JV102" s="162"/>
      <c r="JW102" s="162"/>
      <c r="JX102" s="162"/>
      <c r="JY102" s="162"/>
      <c r="JZ102" s="162"/>
      <c r="KA102" s="162"/>
      <c r="KB102" s="162"/>
      <c r="KC102" s="162"/>
      <c r="KD102" s="162"/>
      <c r="KE102" s="162"/>
      <c r="KF102" s="162"/>
      <c r="KG102" s="162"/>
      <c r="KH102" s="162"/>
      <c r="KI102" s="162"/>
      <c r="KJ102" s="162"/>
      <c r="KK102" s="162"/>
      <c r="KL102" s="162"/>
      <c r="KM102" s="162"/>
      <c r="KN102" s="162"/>
      <c r="KO102" s="162"/>
      <c r="KP102" s="162"/>
      <c r="KQ102" s="162"/>
      <c r="KR102" s="162"/>
      <c r="KS102" s="162"/>
      <c r="KT102" s="162"/>
      <c r="KU102" s="162"/>
      <c r="KV102" s="162"/>
      <c r="KW102" s="162"/>
      <c r="KX102" s="162"/>
      <c r="KY102" s="162"/>
      <c r="KZ102" s="162"/>
      <c r="LA102" s="162"/>
      <c r="LB102" s="162"/>
      <c r="LC102" s="162"/>
      <c r="LD102" s="162"/>
      <c r="LE102" s="162"/>
      <c r="LF102" s="162"/>
      <c r="LG102" s="162"/>
      <c r="LH102" s="162"/>
      <c r="LI102" s="162"/>
      <c r="LJ102" s="162"/>
      <c r="LK102" s="162"/>
      <c r="LL102" s="162"/>
      <c r="LM102" s="162"/>
      <c r="LN102" s="162"/>
      <c r="LO102" s="162"/>
      <c r="LP102" s="162"/>
      <c r="LQ102" s="162"/>
      <c r="LR102" s="162"/>
      <c r="LS102" s="162"/>
      <c r="LT102" s="162"/>
      <c r="LU102" s="162"/>
      <c r="LV102" s="162"/>
      <c r="LW102" s="162"/>
      <c r="LX102" s="162"/>
      <c r="LY102" s="162"/>
      <c r="LZ102" s="162"/>
      <c r="MA102" s="162"/>
      <c r="MB102" s="162"/>
      <c r="MC102" s="162"/>
      <c r="MD102" s="162"/>
      <c r="ME102" s="162"/>
      <c r="MF102" s="162"/>
      <c r="MG102" s="162"/>
      <c r="MH102" s="162"/>
      <c r="MI102" s="162"/>
      <c r="MJ102" s="162"/>
      <c r="MK102" s="162"/>
      <c r="ML102" s="162"/>
      <c r="MM102" s="162"/>
      <c r="MN102" s="162"/>
      <c r="MO102" s="162"/>
      <c r="MP102" s="162"/>
      <c r="MQ102" s="162"/>
      <c r="MR102" s="162"/>
      <c r="MS102" s="162"/>
      <c r="MT102" s="162"/>
      <c r="MU102" s="162"/>
      <c r="MV102" s="162"/>
      <c r="MW102" s="162"/>
      <c r="MX102" s="162"/>
      <c r="MY102" s="162"/>
      <c r="MZ102" s="162"/>
      <c r="NA102" s="162"/>
      <c r="NB102" s="162"/>
      <c r="NC102" s="162"/>
      <c r="ND102" s="162"/>
      <c r="NE102" s="162"/>
      <c r="NF102" s="162"/>
      <c r="NG102" s="162"/>
      <c r="NH102" s="162"/>
      <c r="NI102" s="162"/>
      <c r="NJ102" s="162"/>
      <c r="NK102" s="162"/>
      <c r="NL102" s="162"/>
      <c r="NM102" s="162"/>
      <c r="NN102" s="162"/>
      <c r="NO102" s="162"/>
      <c r="NP102" s="162"/>
      <c r="NQ102" s="162"/>
      <c r="NR102" s="162"/>
      <c r="NS102" s="162"/>
      <c r="NT102" s="162"/>
      <c r="NU102" s="162"/>
      <c r="NV102" s="162"/>
      <c r="NW102" s="162"/>
      <c r="NX102" s="162"/>
      <c r="NY102" s="162"/>
      <c r="NZ102" s="162"/>
      <c r="OA102" s="162"/>
      <c r="OB102" s="162"/>
      <c r="OC102" s="162"/>
      <c r="OD102" s="162"/>
      <c r="OE102" s="162"/>
      <c r="OF102" s="162"/>
      <c r="OG102" s="162"/>
      <c r="OH102" s="162"/>
      <c r="OI102" s="162"/>
      <c r="OJ102" s="162"/>
      <c r="OK102" s="162"/>
      <c r="OL102" s="162"/>
      <c r="OM102" s="162"/>
      <c r="ON102" s="162"/>
      <c r="OO102" s="162"/>
      <c r="OP102" s="162"/>
      <c r="OQ102" s="162"/>
      <c r="OR102" s="162"/>
      <c r="OS102" s="162"/>
      <c r="OT102" s="162"/>
      <c r="OU102" s="162"/>
      <c r="OV102" s="162"/>
      <c r="OW102" s="162"/>
      <c r="OX102" s="162"/>
      <c r="OY102" s="162"/>
      <c r="OZ102" s="162"/>
      <c r="PA102" s="162"/>
      <c r="PB102" s="162"/>
      <c r="PC102" s="162"/>
      <c r="PD102" s="162"/>
      <c r="PE102" s="162"/>
      <c r="PF102" s="162"/>
      <c r="PG102" s="162"/>
      <c r="PH102" s="162"/>
      <c r="PI102" s="162"/>
      <c r="PJ102" s="162"/>
      <c r="PK102" s="162"/>
      <c r="PL102" s="162"/>
      <c r="PM102" s="162"/>
      <c r="PN102" s="162"/>
      <c r="PO102" s="162"/>
      <c r="PP102" s="162"/>
      <c r="PQ102" s="162"/>
      <c r="PR102" s="162"/>
      <c r="PS102" s="162"/>
      <c r="PT102" s="162"/>
      <c r="PU102" s="162"/>
      <c r="PV102" s="162"/>
      <c r="PW102" s="162"/>
      <c r="PX102" s="162"/>
      <c r="PY102" s="162"/>
      <c r="PZ102" s="162"/>
      <c r="QA102" s="162"/>
      <c r="QB102" s="162"/>
      <c r="QC102" s="162"/>
      <c r="QD102" s="162"/>
      <c r="QE102" s="162"/>
      <c r="QF102" s="162"/>
      <c r="QG102" s="162"/>
      <c r="QH102" s="162"/>
      <c r="QI102" s="162"/>
      <c r="QJ102" s="162"/>
      <c r="QK102" s="162"/>
      <c r="QL102" s="162"/>
      <c r="QM102" s="162"/>
      <c r="QN102" s="162"/>
      <c r="QO102" s="162"/>
      <c r="QP102" s="162"/>
      <c r="QQ102" s="162"/>
      <c r="QR102" s="162"/>
      <c r="QS102" s="162"/>
      <c r="QT102" s="162"/>
      <c r="QU102" s="162"/>
      <c r="QV102" s="162"/>
      <c r="QW102" s="162"/>
      <c r="QX102" s="162"/>
      <c r="QY102" s="162"/>
      <c r="QZ102" s="162"/>
      <c r="RA102" s="162"/>
      <c r="RB102" s="162"/>
      <c r="RC102" s="162"/>
      <c r="RD102" s="162"/>
      <c r="RE102" s="162"/>
      <c r="RF102" s="162"/>
      <c r="RG102" s="162"/>
      <c r="RH102" s="162"/>
      <c r="RI102" s="162"/>
      <c r="RJ102" s="162"/>
      <c r="RK102" s="162"/>
      <c r="RL102" s="162"/>
      <c r="RM102" s="162"/>
      <c r="RN102" s="162"/>
      <c r="RO102" s="162"/>
      <c r="RP102" s="162"/>
      <c r="RQ102" s="162"/>
      <c r="RR102" s="162"/>
      <c r="RS102" s="162"/>
      <c r="RT102" s="162"/>
      <c r="RU102" s="162"/>
      <c r="RV102" s="162"/>
      <c r="RW102" s="162"/>
      <c r="RX102" s="162"/>
      <c r="RY102" s="162"/>
      <c r="RZ102" s="162"/>
      <c r="SA102" s="162"/>
      <c r="SB102" s="162"/>
      <c r="SC102" s="162"/>
      <c r="SD102" s="162"/>
      <c r="SE102" s="162"/>
      <c r="SF102" s="162"/>
      <c r="SG102" s="162"/>
      <c r="SH102" s="162"/>
      <c r="SI102" s="162"/>
      <c r="SJ102" s="162"/>
      <c r="SK102" s="162"/>
      <c r="SL102" s="162"/>
      <c r="SM102" s="162"/>
      <c r="SN102" s="162"/>
      <c r="SO102" s="162"/>
      <c r="SP102" s="162"/>
      <c r="SQ102" s="162"/>
      <c r="SR102" s="162"/>
      <c r="SS102" s="162"/>
      <c r="ST102" s="162"/>
      <c r="SU102" s="162"/>
      <c r="SV102" s="162"/>
      <c r="SW102" s="162"/>
      <c r="SX102" s="162"/>
      <c r="SY102" s="162"/>
      <c r="SZ102" s="162"/>
      <c r="TA102" s="162"/>
      <c r="TB102" s="162"/>
      <c r="TC102" s="162"/>
      <c r="TD102" s="162"/>
      <c r="TE102" s="162"/>
      <c r="TF102" s="162"/>
      <c r="TG102" s="162"/>
      <c r="TH102" s="162"/>
      <c r="TI102" s="162"/>
      <c r="TJ102" s="162"/>
      <c r="TK102" s="162"/>
      <c r="TL102" s="162"/>
      <c r="TM102" s="162"/>
      <c r="TN102" s="162"/>
      <c r="TO102" s="162"/>
      <c r="TP102" s="162"/>
      <c r="TQ102" s="162"/>
      <c r="TR102" s="162"/>
      <c r="TS102" s="162"/>
      <c r="TT102" s="162"/>
      <c r="TU102" s="162"/>
      <c r="TV102" s="162"/>
      <c r="TW102" s="162"/>
      <c r="TX102" s="162"/>
      <c r="TY102" s="162"/>
      <c r="TZ102" s="162"/>
      <c r="UA102" s="162"/>
      <c r="UB102" s="162"/>
      <c r="UC102" s="162"/>
      <c r="UD102" s="162"/>
      <c r="UE102" s="162"/>
      <c r="UF102" s="162"/>
      <c r="UG102" s="162"/>
      <c r="UH102" s="162"/>
      <c r="UI102" s="162"/>
      <c r="UJ102" s="162"/>
      <c r="UK102" s="162"/>
      <c r="UL102" s="162"/>
      <c r="UM102" s="162"/>
      <c r="UN102" s="162"/>
      <c r="UO102" s="162"/>
      <c r="UP102" s="162"/>
      <c r="UQ102" s="162"/>
      <c r="UR102" s="162"/>
      <c r="US102" s="162"/>
      <c r="UT102" s="162"/>
      <c r="UU102" s="162"/>
      <c r="UV102" s="162"/>
      <c r="UW102" s="162"/>
      <c r="UX102" s="162"/>
      <c r="UY102" s="162"/>
      <c r="UZ102" s="162"/>
      <c r="VA102" s="162"/>
      <c r="VB102" s="162"/>
      <c r="VC102" s="162"/>
      <c r="VD102" s="162"/>
      <c r="VE102" s="162"/>
      <c r="VF102" s="162"/>
      <c r="VG102" s="162"/>
      <c r="VH102" s="162"/>
      <c r="VI102" s="162"/>
      <c r="VJ102" s="162"/>
      <c r="VK102" s="162"/>
      <c r="VL102" s="162"/>
      <c r="VM102" s="162"/>
      <c r="VN102" s="162"/>
      <c r="VO102" s="162"/>
      <c r="VP102" s="162"/>
      <c r="VQ102" s="162"/>
      <c r="VR102" s="162"/>
      <c r="VS102" s="162"/>
      <c r="VT102" s="162"/>
      <c r="VU102" s="162"/>
      <c r="VV102" s="162"/>
      <c r="VW102" s="162"/>
      <c r="VX102" s="162"/>
      <c r="VY102" s="162"/>
      <c r="VZ102" s="162"/>
      <c r="WA102" s="162"/>
      <c r="WB102" s="162"/>
      <c r="WC102" s="162"/>
      <c r="WD102" s="162"/>
      <c r="WE102" s="162"/>
      <c r="WF102" s="162"/>
      <c r="WG102" s="162"/>
      <c r="WH102" s="162"/>
      <c r="WI102" s="162"/>
      <c r="WJ102" s="162"/>
      <c r="WK102" s="162"/>
      <c r="WL102" s="162"/>
      <c r="WM102" s="162"/>
      <c r="WN102" s="162"/>
      <c r="WO102" s="162"/>
      <c r="WP102" s="162"/>
      <c r="WQ102" s="162"/>
      <c r="WR102" s="162"/>
      <c r="WS102" s="162"/>
      <c r="WT102" s="162"/>
      <c r="WU102" s="162"/>
      <c r="WV102" s="162"/>
      <c r="WW102" s="162"/>
      <c r="WX102" s="162"/>
      <c r="WY102" s="162"/>
      <c r="WZ102" s="162"/>
      <c r="XA102" s="162"/>
      <c r="XB102" s="162"/>
      <c r="XC102" s="162"/>
      <c r="XD102" s="162"/>
      <c r="XE102" s="162"/>
      <c r="XF102" s="162"/>
      <c r="XG102" s="162"/>
      <c r="XH102" s="162"/>
      <c r="XI102" s="162"/>
      <c r="XJ102" s="162"/>
      <c r="XK102" s="162"/>
      <c r="XL102" s="162"/>
      <c r="XM102" s="162"/>
      <c r="XN102" s="162"/>
      <c r="XO102" s="162"/>
      <c r="XP102" s="162"/>
      <c r="XQ102" s="162"/>
      <c r="XR102" s="162"/>
      <c r="XS102" s="162"/>
      <c r="XT102" s="162"/>
      <c r="XU102" s="162"/>
      <c r="XV102" s="162"/>
      <c r="XW102" s="162"/>
      <c r="XX102" s="162"/>
      <c r="XY102" s="162"/>
      <c r="XZ102" s="162"/>
      <c r="YA102" s="162"/>
      <c r="YB102" s="162"/>
      <c r="YC102" s="162"/>
      <c r="YD102" s="162"/>
      <c r="YE102" s="162"/>
      <c r="YF102" s="162"/>
      <c r="YG102" s="162"/>
      <c r="YH102" s="162"/>
      <c r="YI102" s="162"/>
      <c r="YJ102" s="162"/>
      <c r="YK102" s="162"/>
      <c r="YL102" s="162"/>
      <c r="YM102" s="162"/>
      <c r="YN102" s="162"/>
      <c r="YO102" s="162"/>
      <c r="YP102" s="162"/>
      <c r="YQ102" s="162"/>
      <c r="YR102" s="162"/>
      <c r="YS102" s="162"/>
      <c r="YT102" s="162"/>
      <c r="YU102" s="162"/>
      <c r="YV102" s="162"/>
      <c r="YW102" s="162"/>
      <c r="YX102" s="162"/>
      <c r="YY102" s="162"/>
      <c r="YZ102" s="162"/>
      <c r="ZA102" s="162"/>
      <c r="ZB102" s="162"/>
      <c r="ZC102" s="162"/>
      <c r="ZD102" s="162"/>
      <c r="ZE102" s="162"/>
      <c r="ZF102" s="162"/>
      <c r="ZG102" s="162"/>
      <c r="ZH102" s="162"/>
      <c r="ZI102" s="162"/>
      <c r="ZJ102" s="162"/>
      <c r="ZK102" s="162"/>
      <c r="ZL102" s="162"/>
      <c r="ZM102" s="162"/>
      <c r="ZN102" s="162"/>
      <c r="ZO102" s="162"/>
      <c r="ZP102" s="162"/>
      <c r="ZQ102" s="162"/>
      <c r="ZR102" s="162"/>
      <c r="ZS102" s="162"/>
      <c r="ZT102" s="162"/>
      <c r="ZU102" s="162"/>
      <c r="ZV102" s="162"/>
      <c r="ZW102" s="162"/>
      <c r="ZX102" s="162"/>
      <c r="ZY102" s="162"/>
      <c r="ZZ102" s="162"/>
      <c r="AAA102" s="162"/>
      <c r="AAB102" s="162"/>
      <c r="AAC102" s="162"/>
      <c r="AAD102" s="162"/>
      <c r="AAE102" s="162"/>
      <c r="AAF102" s="162"/>
      <c r="AAG102" s="162"/>
      <c r="AAH102" s="162"/>
      <c r="AAI102" s="162"/>
      <c r="AAJ102" s="162"/>
      <c r="AAK102" s="162"/>
      <c r="AAL102" s="162"/>
      <c r="AAM102" s="162"/>
      <c r="AAN102" s="162"/>
      <c r="AAO102" s="162"/>
      <c r="AAP102" s="162"/>
      <c r="AAQ102" s="162"/>
      <c r="AAR102" s="162"/>
      <c r="AAS102" s="162"/>
      <c r="AAT102" s="162"/>
      <c r="AAU102" s="162"/>
      <c r="AAV102" s="162"/>
      <c r="AAW102" s="162"/>
      <c r="AAX102" s="162"/>
      <c r="AAY102" s="162"/>
      <c r="AAZ102" s="162"/>
      <c r="ABA102" s="162"/>
      <c r="ABB102" s="162"/>
      <c r="ABC102" s="162"/>
      <c r="ABD102" s="162"/>
      <c r="ABE102" s="162"/>
      <c r="ABF102" s="162"/>
      <c r="ABG102" s="162"/>
      <c r="ABH102" s="162"/>
      <c r="ABI102" s="162"/>
      <c r="ABJ102" s="162"/>
      <c r="ABK102" s="162"/>
      <c r="ABL102" s="162"/>
      <c r="ABM102" s="162"/>
      <c r="ABN102" s="162"/>
      <c r="ABO102" s="162"/>
      <c r="ABP102" s="162"/>
      <c r="ABQ102" s="162"/>
      <c r="ABR102" s="162"/>
      <c r="ABS102" s="162"/>
      <c r="ABT102" s="162"/>
      <c r="ABU102" s="162"/>
      <c r="ABV102" s="162"/>
      <c r="ABW102" s="162"/>
      <c r="ABX102" s="162"/>
      <c r="ABY102" s="162"/>
      <c r="ABZ102" s="162"/>
      <c r="ACA102" s="162"/>
      <c r="ACB102" s="162"/>
      <c r="ACC102" s="162"/>
      <c r="ACD102" s="162"/>
      <c r="ACE102" s="162"/>
      <c r="ACF102" s="162"/>
      <c r="ACG102" s="162"/>
      <c r="ACH102" s="162"/>
      <c r="ACI102" s="162"/>
      <c r="ACJ102" s="162"/>
      <c r="ACK102" s="162"/>
      <c r="ACL102" s="162"/>
      <c r="ACM102" s="162"/>
      <c r="ACN102" s="162"/>
      <c r="ACO102" s="162"/>
      <c r="ACP102" s="162"/>
      <c r="ACQ102" s="162"/>
      <c r="ACR102" s="162"/>
      <c r="ACS102" s="162"/>
      <c r="ACT102" s="162"/>
      <c r="ACU102" s="162"/>
      <c r="ACV102" s="162"/>
      <c r="ACW102" s="162"/>
      <c r="ACX102" s="162"/>
      <c r="ACY102" s="162"/>
      <c r="ACZ102" s="162"/>
      <c r="ADA102" s="162"/>
      <c r="ADB102" s="162"/>
      <c r="ADC102" s="162"/>
      <c r="ADD102" s="162"/>
      <c r="ADE102" s="162"/>
      <c r="ADF102" s="162"/>
      <c r="ADG102" s="162"/>
      <c r="ADH102" s="162"/>
      <c r="ADI102" s="162"/>
      <c r="ADJ102" s="162"/>
      <c r="ADK102" s="162"/>
      <c r="ADL102" s="162"/>
      <c r="ADM102" s="162"/>
      <c r="ADN102" s="162"/>
      <c r="ADO102" s="162"/>
      <c r="ADP102" s="162"/>
      <c r="ADQ102" s="162"/>
      <c r="ADR102" s="162"/>
      <c r="ADS102" s="162"/>
      <c r="ADT102" s="162"/>
      <c r="ADU102" s="162"/>
      <c r="ADV102" s="162"/>
      <c r="ADW102" s="162"/>
      <c r="ADX102" s="162"/>
      <c r="ADY102" s="162"/>
      <c r="ADZ102" s="162"/>
      <c r="AEA102" s="162"/>
      <c r="AEB102" s="162"/>
      <c r="AEC102" s="162"/>
      <c r="AED102" s="162"/>
      <c r="AEE102" s="162"/>
      <c r="AEF102" s="162"/>
      <c r="AEG102" s="162"/>
      <c r="AEH102" s="162"/>
      <c r="AEI102" s="162"/>
      <c r="AEJ102" s="162"/>
      <c r="AEK102" s="162"/>
      <c r="AEL102" s="162"/>
      <c r="AEM102" s="162"/>
      <c r="AEN102" s="162"/>
      <c r="AEO102" s="162"/>
      <c r="AEP102" s="162"/>
      <c r="AEQ102" s="162"/>
      <c r="AER102" s="162"/>
      <c r="AES102" s="162"/>
      <c r="AET102" s="162"/>
      <c r="AEU102" s="162"/>
      <c r="AEV102" s="162"/>
      <c r="AEW102" s="162"/>
      <c r="AEX102" s="162"/>
      <c r="AEY102" s="162"/>
      <c r="AEZ102" s="162"/>
      <c r="AFA102" s="162"/>
      <c r="AFB102" s="162"/>
      <c r="AFC102" s="162"/>
      <c r="AFD102" s="162"/>
      <c r="AFE102" s="162"/>
      <c r="AFF102" s="162"/>
      <c r="AFG102" s="162"/>
      <c r="AFH102" s="162"/>
      <c r="AFI102" s="162"/>
      <c r="AFJ102" s="162"/>
      <c r="AFK102" s="162"/>
      <c r="AFL102" s="162"/>
      <c r="AFM102" s="162"/>
      <c r="AFN102" s="162"/>
      <c r="AFO102" s="162"/>
      <c r="AFP102" s="162"/>
      <c r="AFQ102" s="162"/>
      <c r="AFR102" s="162"/>
      <c r="AFS102" s="162"/>
      <c r="AFT102" s="162"/>
      <c r="AFU102" s="162"/>
      <c r="AFV102" s="162"/>
      <c r="AFW102" s="162"/>
      <c r="AFX102" s="162"/>
      <c r="AFY102" s="162"/>
      <c r="AFZ102" s="162"/>
      <c r="AGA102" s="162"/>
      <c r="AGB102" s="162"/>
      <c r="AGC102" s="162"/>
      <c r="AGD102" s="162"/>
      <c r="AGE102" s="162"/>
      <c r="AGF102" s="162"/>
      <c r="AGG102" s="162"/>
      <c r="AGH102" s="162"/>
      <c r="AGI102" s="162"/>
      <c r="AGJ102" s="162"/>
      <c r="AGK102" s="162"/>
      <c r="AGL102" s="162"/>
      <c r="AGM102" s="162"/>
      <c r="AGN102" s="162"/>
      <c r="AGO102" s="162"/>
      <c r="AGP102" s="162"/>
      <c r="AGQ102" s="162"/>
      <c r="AGR102" s="162"/>
      <c r="AGS102" s="162"/>
      <c r="AGT102" s="162"/>
      <c r="AGU102" s="162"/>
      <c r="AGV102" s="162"/>
      <c r="AGW102" s="162"/>
      <c r="AGX102" s="162"/>
      <c r="AGY102" s="162"/>
      <c r="AGZ102" s="162"/>
      <c r="AHA102" s="162"/>
      <c r="AHB102" s="162"/>
      <c r="AHC102" s="162"/>
      <c r="AHD102" s="162"/>
      <c r="AHE102" s="162"/>
      <c r="AHF102" s="162"/>
      <c r="AHG102" s="162"/>
      <c r="AHH102" s="162"/>
      <c r="AHI102" s="162"/>
      <c r="AHJ102" s="162"/>
      <c r="AHK102" s="162"/>
      <c r="AHL102" s="162"/>
      <c r="AHM102" s="162"/>
      <c r="AHN102" s="162"/>
      <c r="AHO102" s="162"/>
      <c r="AHP102" s="162"/>
      <c r="AHQ102" s="162"/>
      <c r="AHR102" s="162"/>
      <c r="AHS102" s="162"/>
      <c r="AHT102" s="162"/>
      <c r="AHU102" s="162"/>
      <c r="AHV102" s="162"/>
      <c r="AHW102" s="162"/>
      <c r="AHX102" s="162"/>
      <c r="AHY102" s="162"/>
      <c r="AHZ102" s="162"/>
      <c r="AIA102" s="162"/>
      <c r="AIB102" s="162"/>
      <c r="AIC102" s="162"/>
      <c r="AID102" s="162"/>
      <c r="AIE102" s="162"/>
      <c r="AIF102" s="162"/>
      <c r="AIG102" s="162"/>
      <c r="AIH102" s="162"/>
      <c r="AII102" s="162"/>
      <c r="AIJ102" s="162"/>
      <c r="AIK102" s="162"/>
      <c r="AIL102" s="162"/>
      <c r="AIM102" s="162"/>
      <c r="AIN102" s="162"/>
      <c r="AIO102" s="162"/>
      <c r="AIP102" s="162"/>
      <c r="AIQ102" s="162"/>
      <c r="AIR102" s="162"/>
      <c r="AIS102" s="162"/>
      <c r="AIT102" s="162"/>
      <c r="AIU102" s="162"/>
      <c r="AIV102" s="162"/>
      <c r="AIW102" s="162"/>
      <c r="AIX102" s="162"/>
      <c r="AIY102" s="162"/>
      <c r="AIZ102" s="162"/>
      <c r="AJA102" s="162"/>
      <c r="AJB102" s="162"/>
      <c r="AJC102" s="162"/>
      <c r="AJD102" s="162"/>
      <c r="AJE102" s="162"/>
      <c r="AJF102" s="162"/>
      <c r="AJG102" s="162"/>
      <c r="AJH102" s="162"/>
      <c r="AJI102" s="162"/>
      <c r="AJJ102" s="162"/>
      <c r="AJK102" s="162"/>
      <c r="AJL102" s="162"/>
      <c r="AJM102" s="162"/>
      <c r="AJN102" s="162"/>
      <c r="AJO102" s="162"/>
      <c r="AJP102" s="162"/>
      <c r="AJQ102" s="162"/>
      <c r="AJR102" s="162"/>
      <c r="AJS102" s="162"/>
      <c r="AJT102" s="162"/>
      <c r="AJU102" s="162"/>
      <c r="AJV102" s="162"/>
      <c r="AJW102" s="162"/>
      <c r="AJX102" s="162"/>
      <c r="AJY102" s="162"/>
      <c r="AJZ102" s="162"/>
      <c r="AKA102" s="162"/>
      <c r="AKB102" s="162"/>
      <c r="AKC102" s="162"/>
      <c r="AKD102" s="162"/>
      <c r="AKE102" s="162"/>
      <c r="AKF102" s="162"/>
      <c r="AKG102" s="162"/>
      <c r="AKH102" s="162"/>
      <c r="AKI102" s="162"/>
      <c r="AKJ102" s="162"/>
      <c r="AKK102" s="162"/>
      <c r="AKL102" s="162"/>
      <c r="AKM102" s="162"/>
      <c r="AKN102" s="162"/>
      <c r="AKO102" s="162"/>
      <c r="AKP102" s="162"/>
      <c r="AKQ102" s="162"/>
      <c r="AKR102" s="162"/>
      <c r="AKS102" s="162"/>
      <c r="AKT102" s="162"/>
      <c r="AKU102" s="162"/>
      <c r="AKV102" s="162"/>
      <c r="AKW102" s="162"/>
      <c r="AKX102" s="162"/>
      <c r="AKY102" s="162"/>
      <c r="AKZ102" s="162"/>
      <c r="ALA102" s="162"/>
      <c r="ALB102" s="162"/>
      <c r="ALC102" s="162"/>
      <c r="ALD102" s="162"/>
      <c r="ALE102" s="162"/>
      <c r="ALF102" s="162"/>
      <c r="ALG102" s="162"/>
      <c r="ALH102" s="162"/>
      <c r="ALI102" s="162"/>
      <c r="ALJ102" s="162"/>
      <c r="ALK102" s="162"/>
      <c r="ALL102" s="162"/>
      <c r="ALM102" s="162"/>
      <c r="ALN102" s="162"/>
      <c r="ALO102" s="162"/>
      <c r="ALP102" s="162"/>
      <c r="ALQ102" s="162"/>
      <c r="ALR102" s="162"/>
      <c r="ALS102" s="162"/>
      <c r="ALT102" s="162"/>
      <c r="ALU102" s="162"/>
      <c r="ALV102" s="162"/>
      <c r="ALW102" s="162"/>
      <c r="ALX102" s="162"/>
      <c r="ALY102" s="162"/>
      <c r="ALZ102" s="162"/>
      <c r="AMA102" s="162"/>
      <c r="AMB102" s="162"/>
      <c r="AMC102" s="162"/>
      <c r="AMD102" s="162"/>
      <c r="AME102" s="162"/>
      <c r="AMF102" s="162"/>
      <c r="AMG102" s="162"/>
      <c r="AMH102" s="162"/>
      <c r="AMI102" s="162"/>
      <c r="AMJ102" s="162"/>
      <c r="AMK102" s="162"/>
      <c r="AML102" s="162"/>
      <c r="AMM102" s="162"/>
      <c r="AMN102" s="162"/>
      <c r="AMO102" s="162"/>
      <c r="AMP102" s="162"/>
      <c r="AMQ102" s="162"/>
      <c r="AMR102" s="162"/>
      <c r="AMS102" s="162"/>
      <c r="AMT102" s="162"/>
      <c r="AMU102" s="162"/>
      <c r="AMV102" s="162"/>
      <c r="AMW102" s="162"/>
      <c r="AMX102" s="162"/>
      <c r="AMY102" s="162"/>
      <c r="AMZ102" s="162"/>
      <c r="ANA102" s="162"/>
      <c r="ANB102" s="162"/>
      <c r="ANC102" s="162"/>
      <c r="AND102" s="162"/>
      <c r="ANE102" s="162"/>
      <c r="ANF102" s="162"/>
      <c r="ANG102" s="162"/>
      <c r="ANH102" s="162"/>
      <c r="ANI102" s="162"/>
      <c r="ANJ102" s="162"/>
      <c r="ANK102" s="162"/>
      <c r="ANL102" s="162"/>
      <c r="ANM102" s="162"/>
      <c r="ANN102" s="162"/>
      <c r="ANO102" s="162"/>
      <c r="ANP102" s="162"/>
      <c r="ANQ102" s="162"/>
      <c r="ANR102" s="162"/>
      <c r="ANS102" s="162"/>
      <c r="ANT102" s="162"/>
      <c r="ANU102" s="162"/>
      <c r="ANV102" s="162"/>
      <c r="ANW102" s="162"/>
      <c r="ANX102" s="162"/>
      <c r="ANY102" s="162"/>
      <c r="ANZ102" s="162"/>
      <c r="AOA102" s="162"/>
      <c r="AOB102" s="162"/>
      <c r="AOC102" s="162"/>
      <c r="AOD102" s="162"/>
      <c r="AOE102" s="162"/>
      <c r="AOF102" s="162"/>
      <c r="AOG102" s="162"/>
      <c r="AOH102" s="162"/>
      <c r="AOI102" s="162"/>
      <c r="AOJ102" s="162"/>
      <c r="AOK102" s="162"/>
      <c r="AOL102" s="162"/>
      <c r="AOM102" s="162"/>
      <c r="AON102" s="162"/>
      <c r="AOO102" s="162"/>
      <c r="AOP102" s="162"/>
      <c r="AOQ102" s="162"/>
      <c r="AOR102" s="162"/>
      <c r="AOS102" s="162"/>
      <c r="AOT102" s="162"/>
      <c r="AOU102" s="162"/>
      <c r="AOV102" s="162"/>
      <c r="AOW102" s="162"/>
      <c r="AOX102" s="162"/>
      <c r="AOY102" s="162"/>
      <c r="AOZ102" s="162"/>
      <c r="APA102" s="162"/>
      <c r="APB102" s="162"/>
      <c r="APC102" s="162"/>
      <c r="APD102" s="162"/>
      <c r="APE102" s="162"/>
      <c r="APF102" s="162"/>
      <c r="APG102" s="162"/>
      <c r="APH102" s="162"/>
      <c r="API102" s="162"/>
      <c r="APJ102" s="162"/>
      <c r="APK102" s="162"/>
      <c r="APL102" s="162"/>
      <c r="APM102" s="162"/>
      <c r="APN102" s="162"/>
      <c r="APO102" s="162"/>
      <c r="APP102" s="162"/>
      <c r="APQ102" s="162"/>
      <c r="APR102" s="162"/>
      <c r="APS102" s="162"/>
      <c r="APT102" s="162"/>
      <c r="APU102" s="162"/>
      <c r="APV102" s="162"/>
      <c r="APW102" s="162"/>
      <c r="APX102" s="162"/>
      <c r="APY102" s="162"/>
      <c r="APZ102" s="162"/>
      <c r="AQA102" s="162"/>
      <c r="AQB102" s="162"/>
      <c r="AQC102" s="162"/>
      <c r="AQD102" s="162"/>
      <c r="AQE102" s="162"/>
      <c r="AQF102" s="162"/>
      <c r="AQG102" s="162"/>
      <c r="AQH102" s="162"/>
      <c r="AQI102" s="162"/>
      <c r="AQJ102" s="162"/>
      <c r="AQK102" s="162"/>
      <c r="AQL102" s="162"/>
      <c r="AQM102" s="162"/>
      <c r="AQN102" s="162"/>
      <c r="AQO102" s="162"/>
      <c r="AQP102" s="162"/>
      <c r="AQQ102" s="162"/>
      <c r="AQR102" s="162"/>
      <c r="AQS102" s="162"/>
      <c r="AQT102" s="162"/>
      <c r="AQU102" s="162"/>
      <c r="AQV102" s="162"/>
      <c r="AQW102" s="162"/>
      <c r="AQX102" s="162"/>
      <c r="AQY102" s="162"/>
      <c r="AQZ102" s="162"/>
      <c r="ARA102" s="162"/>
      <c r="ARB102" s="162"/>
      <c r="ARC102" s="162"/>
      <c r="ARD102" s="162"/>
      <c r="ARE102" s="162"/>
      <c r="ARF102" s="162"/>
      <c r="ARG102" s="162"/>
      <c r="ARH102" s="162"/>
      <c r="ARI102" s="162"/>
      <c r="ARJ102" s="162"/>
      <c r="ARK102" s="162"/>
      <c r="ARL102" s="162"/>
      <c r="ARM102" s="162"/>
      <c r="ARN102" s="162"/>
      <c r="ARO102" s="162"/>
      <c r="ARP102" s="162"/>
      <c r="ARQ102" s="162"/>
      <c r="ARR102" s="162"/>
      <c r="ARS102" s="162"/>
      <c r="ART102" s="162"/>
      <c r="ARU102" s="162"/>
      <c r="ARV102" s="162"/>
      <c r="ARW102" s="162"/>
      <c r="ARX102" s="162"/>
      <c r="ARY102" s="162"/>
      <c r="ARZ102" s="162"/>
      <c r="ASA102" s="162"/>
      <c r="ASB102" s="162"/>
      <c r="ASC102" s="162"/>
      <c r="ASD102" s="162"/>
      <c r="ASE102" s="162"/>
      <c r="ASF102" s="162"/>
      <c r="ASG102" s="162"/>
      <c r="ASH102" s="162"/>
      <c r="ASI102" s="162"/>
      <c r="ASJ102" s="162"/>
      <c r="ASK102" s="162"/>
      <c r="ASL102" s="162"/>
      <c r="ASM102" s="162"/>
      <c r="ASN102" s="162"/>
      <c r="ASO102" s="162"/>
      <c r="ASP102" s="162"/>
      <c r="ASQ102" s="162"/>
      <c r="ASR102" s="162"/>
      <c r="ASS102" s="162"/>
      <c r="AST102" s="162"/>
      <c r="ASU102" s="162"/>
      <c r="ASV102" s="162"/>
      <c r="ASW102" s="162"/>
      <c r="ASX102" s="162"/>
      <c r="ASY102" s="162"/>
      <c r="ASZ102" s="162"/>
      <c r="ATA102" s="162"/>
      <c r="ATB102" s="162"/>
      <c r="ATC102" s="162"/>
      <c r="ATD102" s="162"/>
      <c r="ATE102" s="162"/>
      <c r="ATF102" s="162"/>
      <c r="ATG102" s="162"/>
      <c r="ATH102" s="162"/>
      <c r="ATI102" s="162"/>
      <c r="ATJ102" s="162"/>
      <c r="ATK102" s="162"/>
      <c r="ATL102" s="162"/>
      <c r="ATM102" s="162"/>
      <c r="ATN102" s="162"/>
      <c r="ATO102" s="162"/>
      <c r="ATP102" s="162"/>
      <c r="ATQ102" s="162"/>
      <c r="ATR102" s="162"/>
      <c r="ATS102" s="162"/>
      <c r="ATT102" s="162"/>
      <c r="ATU102" s="162"/>
      <c r="ATV102" s="162"/>
      <c r="ATW102" s="162"/>
      <c r="ATX102" s="162"/>
      <c r="ATY102" s="162"/>
      <c r="ATZ102" s="162"/>
      <c r="AUA102" s="162"/>
      <c r="AUB102" s="162"/>
      <c r="AUC102" s="162"/>
      <c r="AUD102" s="162"/>
      <c r="AUE102" s="162"/>
      <c r="AUF102" s="162"/>
      <c r="AUG102" s="162"/>
      <c r="AUH102" s="162"/>
      <c r="AUI102" s="162"/>
      <c r="AUJ102" s="162"/>
      <c r="AUK102" s="162"/>
      <c r="AUL102" s="162"/>
      <c r="AUM102" s="162"/>
      <c r="AUN102" s="162"/>
      <c r="AUO102" s="162"/>
      <c r="AUP102" s="162"/>
      <c r="AUQ102" s="162"/>
      <c r="AUR102" s="162"/>
      <c r="AUS102" s="162"/>
      <c r="AUT102" s="162"/>
      <c r="AUU102" s="162"/>
      <c r="AUV102" s="162"/>
      <c r="AUW102" s="162"/>
      <c r="AUX102" s="162"/>
      <c r="AUY102" s="162"/>
      <c r="AUZ102" s="162"/>
      <c r="AVA102" s="162"/>
      <c r="AVB102" s="162"/>
      <c r="AVC102" s="162"/>
      <c r="AVD102" s="162"/>
      <c r="AVE102" s="162"/>
      <c r="AVF102" s="162"/>
      <c r="AVG102" s="162"/>
      <c r="AVH102" s="162"/>
      <c r="AVI102" s="162"/>
      <c r="AVJ102" s="162"/>
      <c r="AVK102" s="162"/>
      <c r="AVL102" s="162"/>
      <c r="AVM102" s="162"/>
      <c r="AVN102" s="162"/>
      <c r="AVO102" s="162"/>
      <c r="AVP102" s="162"/>
      <c r="AVQ102" s="162"/>
      <c r="AVR102" s="162"/>
      <c r="AVS102" s="162"/>
      <c r="AVT102" s="162"/>
      <c r="AVU102" s="162"/>
      <c r="AVV102" s="162"/>
      <c r="AVW102" s="162"/>
      <c r="AVX102" s="162"/>
      <c r="AVY102" s="162"/>
      <c r="AVZ102" s="162"/>
      <c r="AWA102" s="162"/>
      <c r="AWB102" s="162"/>
      <c r="AWC102" s="162"/>
      <c r="AWD102" s="162"/>
      <c r="AWE102" s="162"/>
      <c r="AWF102" s="162"/>
      <c r="AWG102" s="162"/>
      <c r="AWH102" s="162"/>
      <c r="AWI102" s="162"/>
      <c r="AWJ102" s="162"/>
      <c r="AWK102" s="162"/>
      <c r="AWL102" s="162"/>
      <c r="AWM102" s="162"/>
      <c r="AWN102" s="162"/>
      <c r="AWO102" s="162"/>
      <c r="AWP102" s="162"/>
      <c r="AWQ102" s="162"/>
      <c r="AWR102" s="162"/>
      <c r="AWS102" s="162"/>
      <c r="AWT102" s="162"/>
      <c r="AWU102" s="162"/>
      <c r="AWV102" s="162"/>
      <c r="AWW102" s="162"/>
      <c r="AWX102" s="162"/>
      <c r="AWY102" s="162"/>
      <c r="AWZ102" s="162"/>
      <c r="AXA102" s="162"/>
      <c r="AXB102" s="162"/>
      <c r="AXC102" s="162"/>
      <c r="AXD102" s="162"/>
      <c r="AXE102" s="162"/>
      <c r="AXF102" s="162"/>
      <c r="AXG102" s="162"/>
      <c r="AXH102" s="162"/>
      <c r="AXI102" s="162"/>
      <c r="AXJ102" s="162"/>
      <c r="AXK102" s="162"/>
      <c r="AXL102" s="162"/>
      <c r="AXM102" s="162"/>
      <c r="AXN102" s="162"/>
      <c r="AXO102" s="162"/>
      <c r="AXP102" s="162"/>
      <c r="AXQ102" s="162"/>
      <c r="AXR102" s="162"/>
      <c r="AXS102" s="162"/>
      <c r="AXT102" s="162"/>
      <c r="AXU102" s="162"/>
      <c r="AXV102" s="162"/>
      <c r="AXW102" s="162"/>
      <c r="AXX102" s="162"/>
      <c r="AXY102" s="162"/>
      <c r="AXZ102" s="162"/>
      <c r="AYA102" s="162"/>
      <c r="AYB102" s="162"/>
      <c r="AYC102" s="162"/>
      <c r="AYD102" s="162"/>
      <c r="AYE102" s="162"/>
      <c r="AYF102" s="162"/>
      <c r="AYG102" s="162"/>
      <c r="AYH102" s="162"/>
      <c r="AYI102" s="162"/>
      <c r="AYJ102" s="162"/>
      <c r="AYK102" s="162"/>
      <c r="AYL102" s="162"/>
      <c r="AYM102" s="162"/>
      <c r="AYN102" s="162"/>
      <c r="AYO102" s="162"/>
      <c r="AYP102" s="162"/>
      <c r="AYQ102" s="162"/>
      <c r="AYR102" s="162"/>
      <c r="AYS102" s="162"/>
      <c r="AYT102" s="162"/>
      <c r="AYU102" s="162"/>
      <c r="AYV102" s="162"/>
      <c r="AYW102" s="162"/>
      <c r="AYX102" s="162"/>
      <c r="AYY102" s="162"/>
      <c r="AYZ102" s="162"/>
      <c r="AZA102" s="162"/>
      <c r="AZB102" s="162"/>
      <c r="AZC102" s="162"/>
      <c r="AZD102" s="162"/>
      <c r="AZE102" s="162"/>
      <c r="AZF102" s="162"/>
      <c r="AZG102" s="162"/>
      <c r="AZH102" s="162"/>
      <c r="AZI102" s="162"/>
      <c r="AZJ102" s="162"/>
      <c r="AZK102" s="162"/>
      <c r="AZL102" s="162"/>
      <c r="AZM102" s="162"/>
      <c r="AZN102" s="162"/>
      <c r="AZO102" s="162"/>
      <c r="AZP102" s="162"/>
      <c r="AZQ102" s="162"/>
      <c r="AZR102" s="162"/>
      <c r="AZS102" s="162"/>
      <c r="AZT102" s="162"/>
      <c r="AZU102" s="162"/>
      <c r="AZV102" s="162"/>
      <c r="AZW102" s="162"/>
      <c r="AZX102" s="162"/>
      <c r="AZY102" s="162"/>
      <c r="AZZ102" s="162"/>
      <c r="BAA102" s="162"/>
      <c r="BAB102" s="162"/>
      <c r="BAC102" s="162"/>
      <c r="BAD102" s="162"/>
      <c r="BAE102" s="162"/>
      <c r="BAF102" s="162"/>
      <c r="BAG102" s="162"/>
      <c r="BAH102" s="162"/>
      <c r="BAI102" s="162"/>
      <c r="BAJ102" s="162"/>
      <c r="BAK102" s="162"/>
      <c r="BAL102" s="162"/>
      <c r="BAM102" s="162"/>
      <c r="BAN102" s="162"/>
      <c r="BAO102" s="162"/>
      <c r="BAP102" s="162"/>
      <c r="BAQ102" s="162"/>
      <c r="BAR102" s="162"/>
      <c r="BAS102" s="162"/>
      <c r="BAT102" s="162"/>
      <c r="BAU102" s="162"/>
      <c r="BAV102" s="162"/>
      <c r="BAW102" s="162"/>
      <c r="BAX102" s="162"/>
      <c r="BAY102" s="162"/>
      <c r="BAZ102" s="162"/>
      <c r="BBA102" s="162"/>
      <c r="BBB102" s="162"/>
      <c r="BBC102" s="162"/>
      <c r="BBD102" s="162"/>
      <c r="BBE102" s="162"/>
      <c r="BBF102" s="162"/>
      <c r="BBG102" s="162"/>
      <c r="BBH102" s="162"/>
      <c r="BBI102" s="162"/>
      <c r="BBJ102" s="162"/>
      <c r="BBK102" s="162"/>
      <c r="BBL102" s="162"/>
      <c r="BBM102" s="162"/>
      <c r="BBN102" s="162"/>
      <c r="BBO102" s="162"/>
      <c r="BBP102" s="162"/>
      <c r="BBQ102" s="162"/>
      <c r="BBR102" s="162"/>
      <c r="BBS102" s="162"/>
      <c r="BBT102" s="162"/>
      <c r="BBU102" s="162"/>
      <c r="BBV102" s="162"/>
      <c r="BBW102" s="162"/>
      <c r="BBX102" s="162"/>
      <c r="BBY102" s="162"/>
      <c r="BBZ102" s="162"/>
      <c r="BCA102" s="162"/>
      <c r="BCB102" s="162"/>
      <c r="BCC102" s="162"/>
      <c r="BCD102" s="162"/>
      <c r="BCE102" s="162"/>
      <c r="BCF102" s="162"/>
      <c r="BCG102" s="162"/>
      <c r="BCH102" s="162"/>
      <c r="BCI102" s="162"/>
      <c r="BCJ102" s="162"/>
      <c r="BCK102" s="162"/>
      <c r="BCL102" s="162"/>
      <c r="BCM102" s="162"/>
      <c r="BCN102" s="162"/>
      <c r="BCO102" s="162"/>
      <c r="BCP102" s="162"/>
      <c r="BCQ102" s="162"/>
      <c r="BCR102" s="162"/>
      <c r="BCS102" s="162"/>
      <c r="BCT102" s="162"/>
      <c r="BCU102" s="162"/>
      <c r="BCV102" s="162"/>
      <c r="BCW102" s="162"/>
      <c r="BCX102" s="162"/>
      <c r="BCY102" s="162"/>
      <c r="BCZ102" s="162"/>
      <c r="BDA102" s="162"/>
      <c r="BDB102" s="162"/>
      <c r="BDC102" s="162"/>
      <c r="BDD102" s="162"/>
      <c r="BDE102" s="162"/>
      <c r="BDF102" s="162"/>
      <c r="BDG102" s="162"/>
      <c r="BDH102" s="162"/>
      <c r="BDI102" s="162"/>
      <c r="BDJ102" s="162"/>
      <c r="BDK102" s="162"/>
      <c r="BDL102" s="162"/>
      <c r="BDM102" s="162"/>
      <c r="BDN102" s="162"/>
      <c r="BDO102" s="162"/>
      <c r="BDP102" s="162"/>
      <c r="BDQ102" s="162"/>
      <c r="BDR102" s="162"/>
      <c r="BDS102" s="162"/>
      <c r="BDT102" s="162"/>
      <c r="BDU102" s="162"/>
      <c r="BDV102" s="162"/>
      <c r="BDW102" s="162"/>
      <c r="BDX102" s="162"/>
      <c r="BDY102" s="162"/>
      <c r="BDZ102" s="162"/>
      <c r="BEA102" s="162"/>
      <c r="BEB102" s="162"/>
      <c r="BEC102" s="162"/>
      <c r="BED102" s="162"/>
      <c r="BEE102" s="162"/>
      <c r="BEF102" s="162"/>
      <c r="BEG102" s="162"/>
      <c r="BEH102" s="162"/>
      <c r="BEI102" s="162"/>
      <c r="BEJ102" s="162"/>
      <c r="BEK102" s="162"/>
      <c r="BEL102" s="162"/>
      <c r="BEM102" s="162"/>
      <c r="BEN102" s="162"/>
      <c r="BEO102" s="162"/>
      <c r="BEP102" s="162"/>
      <c r="BEQ102" s="162"/>
      <c r="BER102" s="162"/>
      <c r="BES102" s="162"/>
      <c r="BET102" s="162"/>
      <c r="BEU102" s="162"/>
      <c r="BEV102" s="162"/>
      <c r="BEW102" s="162"/>
      <c r="BEX102" s="162"/>
      <c r="BEY102" s="162"/>
      <c r="BEZ102" s="162"/>
      <c r="BFA102" s="162"/>
      <c r="BFB102" s="162"/>
      <c r="BFC102" s="162"/>
      <c r="BFD102" s="162"/>
      <c r="BFE102" s="162"/>
      <c r="BFF102" s="162"/>
      <c r="BFG102" s="162"/>
      <c r="BFH102" s="162"/>
      <c r="BFI102" s="162"/>
      <c r="BFJ102" s="162"/>
      <c r="BFK102" s="162"/>
      <c r="BFL102" s="162"/>
      <c r="BFM102" s="162"/>
      <c r="BFN102" s="162"/>
      <c r="BFO102" s="162"/>
      <c r="BFP102" s="162"/>
      <c r="BFQ102" s="162"/>
      <c r="BFR102" s="162"/>
      <c r="BFS102" s="162"/>
      <c r="BFT102" s="162"/>
      <c r="BFU102" s="162"/>
      <c r="BFV102" s="162"/>
      <c r="BFW102" s="162"/>
      <c r="BFX102" s="162"/>
      <c r="BFY102" s="162"/>
      <c r="BFZ102" s="162"/>
      <c r="BGA102" s="162"/>
      <c r="BGB102" s="162"/>
      <c r="BGC102" s="162"/>
      <c r="BGD102" s="162"/>
      <c r="BGE102" s="162"/>
      <c r="BGF102" s="162"/>
      <c r="BGG102" s="162"/>
      <c r="BGH102" s="162"/>
      <c r="BGI102" s="162"/>
      <c r="BGJ102" s="162"/>
      <c r="BGK102" s="162"/>
      <c r="BGL102" s="162"/>
      <c r="BGM102" s="162"/>
      <c r="BGN102" s="162"/>
      <c r="BGO102" s="162"/>
      <c r="BGP102" s="162"/>
      <c r="BGQ102" s="162"/>
      <c r="BGR102" s="162"/>
      <c r="BGS102" s="162"/>
      <c r="BGT102" s="162"/>
      <c r="BGU102" s="162"/>
      <c r="BGV102" s="162"/>
      <c r="BGW102" s="162"/>
      <c r="BGX102" s="162"/>
      <c r="BGY102" s="162"/>
      <c r="BGZ102" s="162"/>
      <c r="BHA102" s="162"/>
      <c r="BHB102" s="162"/>
      <c r="BHC102" s="162"/>
      <c r="BHD102" s="162"/>
      <c r="BHE102" s="162"/>
      <c r="BHF102" s="162"/>
      <c r="BHG102" s="162"/>
      <c r="BHH102" s="162"/>
      <c r="BHI102" s="162"/>
      <c r="BHJ102" s="162"/>
      <c r="BHK102" s="162"/>
      <c r="BHL102" s="162"/>
      <c r="BHM102" s="162"/>
      <c r="BHN102" s="162"/>
      <c r="BHO102" s="162"/>
      <c r="BHP102" s="162"/>
      <c r="BHQ102" s="162"/>
      <c r="BHR102" s="162"/>
      <c r="BHS102" s="162"/>
      <c r="BHT102" s="162"/>
      <c r="BHU102" s="162"/>
      <c r="BHV102" s="162"/>
      <c r="BHW102" s="162"/>
      <c r="BHX102" s="162"/>
      <c r="BHY102" s="162"/>
      <c r="BHZ102" s="162"/>
      <c r="BIA102" s="162"/>
      <c r="BIB102" s="162"/>
      <c r="BIC102" s="162"/>
      <c r="BID102" s="162"/>
      <c r="BIE102" s="162"/>
      <c r="BIF102" s="162"/>
      <c r="BIG102" s="162"/>
      <c r="BIH102" s="162"/>
      <c r="BII102" s="162"/>
      <c r="BIJ102" s="162"/>
      <c r="BIK102" s="162"/>
      <c r="BIL102" s="162"/>
      <c r="BIM102" s="162"/>
      <c r="BIN102" s="162"/>
      <c r="BIO102" s="162"/>
      <c r="BIP102" s="162"/>
      <c r="BIQ102" s="162"/>
      <c r="BIR102" s="162"/>
      <c r="BIS102" s="162"/>
      <c r="BIT102" s="162"/>
      <c r="BIU102" s="162"/>
      <c r="BIV102" s="162"/>
      <c r="BIW102" s="162"/>
      <c r="BIX102" s="162"/>
      <c r="BIY102" s="162"/>
      <c r="BIZ102" s="162"/>
      <c r="BJA102" s="162"/>
      <c r="BJB102" s="162"/>
      <c r="BJC102" s="162"/>
      <c r="BJD102" s="162"/>
      <c r="BJE102" s="162"/>
      <c r="BJF102" s="162"/>
      <c r="BJG102" s="162"/>
      <c r="BJH102" s="162"/>
      <c r="BJI102" s="162"/>
      <c r="BJJ102" s="162"/>
      <c r="BJK102" s="162"/>
      <c r="BJL102" s="162"/>
      <c r="BJM102" s="162"/>
      <c r="BJN102" s="162"/>
      <c r="BJO102" s="162"/>
      <c r="BJP102" s="162"/>
      <c r="BJQ102" s="162"/>
      <c r="BJR102" s="162"/>
      <c r="BJS102" s="162"/>
      <c r="BJT102" s="162"/>
      <c r="BJU102" s="162"/>
      <c r="BJV102" s="162"/>
      <c r="BJW102" s="162"/>
      <c r="BJX102" s="162"/>
      <c r="BJY102" s="162"/>
      <c r="BJZ102" s="162"/>
      <c r="BKA102" s="162"/>
      <c r="BKB102" s="162"/>
      <c r="BKC102" s="162"/>
      <c r="BKD102" s="162"/>
      <c r="BKE102" s="162"/>
      <c r="BKF102" s="162"/>
      <c r="BKG102" s="162"/>
      <c r="BKH102" s="162"/>
      <c r="BKI102" s="162"/>
      <c r="BKJ102" s="162"/>
      <c r="BKK102" s="162"/>
      <c r="BKL102" s="162"/>
      <c r="BKM102" s="162"/>
      <c r="BKN102" s="162"/>
      <c r="BKO102" s="162"/>
      <c r="BKP102" s="162"/>
      <c r="BKQ102" s="162"/>
      <c r="BKR102" s="162"/>
      <c r="BKS102" s="162"/>
      <c r="BKT102" s="162"/>
      <c r="BKU102" s="162"/>
      <c r="BKV102" s="162"/>
      <c r="BKW102" s="162"/>
      <c r="BKX102" s="162"/>
      <c r="BKY102" s="162"/>
      <c r="BKZ102" s="162"/>
      <c r="BLA102" s="162"/>
      <c r="BLB102" s="162"/>
      <c r="BLC102" s="162"/>
      <c r="BLD102" s="162"/>
      <c r="BLE102" s="162"/>
      <c r="BLF102" s="162"/>
      <c r="BLG102" s="162"/>
      <c r="BLH102" s="162"/>
      <c r="BLI102" s="162"/>
      <c r="BLJ102" s="162"/>
      <c r="BLK102" s="162"/>
      <c r="BLL102" s="162"/>
      <c r="BLM102" s="162"/>
      <c r="BLN102" s="162"/>
      <c r="BLO102" s="162"/>
      <c r="BLP102" s="162"/>
      <c r="BLQ102" s="162"/>
      <c r="BLR102" s="162"/>
      <c r="BLS102" s="162"/>
      <c r="BLT102" s="162"/>
      <c r="BLU102" s="162"/>
      <c r="BLV102" s="162"/>
      <c r="BLW102" s="162"/>
      <c r="BLX102" s="162"/>
      <c r="BLY102" s="162"/>
      <c r="BLZ102" s="162"/>
      <c r="BMA102" s="162"/>
      <c r="BMB102" s="162"/>
      <c r="BMC102" s="162"/>
      <c r="BMD102" s="162"/>
      <c r="BME102" s="162"/>
      <c r="BMF102" s="162"/>
      <c r="BMG102" s="162"/>
      <c r="BMH102" s="162"/>
      <c r="BMI102" s="162"/>
      <c r="BMJ102" s="162"/>
      <c r="BMK102" s="162"/>
      <c r="BML102" s="162"/>
      <c r="BMM102" s="162"/>
      <c r="BMN102" s="162"/>
      <c r="BMO102" s="162"/>
      <c r="BMP102" s="162"/>
      <c r="BMQ102" s="162"/>
      <c r="BMR102" s="162"/>
      <c r="BMS102" s="162"/>
      <c r="BMT102" s="162"/>
      <c r="BMU102" s="162"/>
      <c r="BMV102" s="162"/>
      <c r="BMW102" s="162"/>
      <c r="BMX102" s="162"/>
      <c r="BMY102" s="162"/>
      <c r="BMZ102" s="162"/>
      <c r="BNA102" s="162"/>
      <c r="BNB102" s="162"/>
      <c r="BNC102" s="162"/>
      <c r="BND102" s="162"/>
      <c r="BNE102" s="162"/>
      <c r="BNF102" s="162"/>
      <c r="BNG102" s="162"/>
      <c r="BNH102" s="162"/>
      <c r="BNI102" s="162"/>
      <c r="BNJ102" s="162"/>
      <c r="BNK102" s="162"/>
      <c r="BNL102" s="162"/>
      <c r="BNM102" s="162"/>
      <c r="BNN102" s="162"/>
      <c r="BNO102" s="162"/>
      <c r="BNP102" s="162"/>
      <c r="BNQ102" s="162"/>
      <c r="BNR102" s="162"/>
      <c r="BNS102" s="162"/>
      <c r="BNT102" s="162"/>
      <c r="BNU102" s="162"/>
      <c r="BNV102" s="162"/>
      <c r="BNW102" s="162"/>
      <c r="BNX102" s="162"/>
      <c r="BNY102" s="162"/>
      <c r="BNZ102" s="162"/>
      <c r="BOA102" s="162"/>
      <c r="BOB102" s="162"/>
      <c r="BOC102" s="162"/>
      <c r="BOD102" s="162"/>
      <c r="BOE102" s="162"/>
      <c r="BOF102" s="162"/>
      <c r="BOG102" s="162"/>
      <c r="BOH102" s="162"/>
      <c r="BOI102" s="162"/>
      <c r="BOJ102" s="162"/>
      <c r="BOK102" s="162"/>
      <c r="BOL102" s="162"/>
      <c r="BOM102" s="162"/>
      <c r="BON102" s="162"/>
      <c r="BOO102" s="162"/>
      <c r="BOP102" s="162"/>
      <c r="BOQ102" s="162"/>
      <c r="BOR102" s="162"/>
      <c r="BOS102" s="162"/>
      <c r="BOT102" s="162"/>
      <c r="BOU102" s="162"/>
      <c r="BOV102" s="162"/>
      <c r="BOW102" s="162"/>
      <c r="BOX102" s="162"/>
      <c r="BOY102" s="162"/>
      <c r="BOZ102" s="162"/>
      <c r="BPA102" s="162"/>
      <c r="BPB102" s="162"/>
      <c r="BPC102" s="162"/>
      <c r="BPD102" s="162"/>
      <c r="BPE102" s="162"/>
      <c r="BPF102" s="162"/>
      <c r="BPG102" s="162"/>
      <c r="BPH102" s="162"/>
      <c r="BPI102" s="162"/>
      <c r="BPJ102" s="162"/>
      <c r="BPK102" s="162"/>
      <c r="BPL102" s="162"/>
      <c r="BPM102" s="162"/>
      <c r="BPN102" s="162"/>
      <c r="BPO102" s="162"/>
      <c r="BPP102" s="162"/>
      <c r="BPQ102" s="162"/>
      <c r="BPR102" s="162"/>
      <c r="BPS102" s="162"/>
      <c r="BPT102" s="162"/>
      <c r="BPU102" s="162"/>
      <c r="BPV102" s="162"/>
      <c r="BPW102" s="162"/>
      <c r="BPX102" s="162"/>
      <c r="BPY102" s="162"/>
      <c r="BPZ102" s="162"/>
      <c r="BQA102" s="162"/>
      <c r="BQB102" s="162"/>
      <c r="BQC102" s="162"/>
      <c r="BQD102" s="162"/>
      <c r="BQE102" s="162"/>
      <c r="BQF102" s="162"/>
      <c r="BQG102" s="162"/>
      <c r="BQH102" s="162"/>
      <c r="BQI102" s="162"/>
      <c r="BQJ102" s="162"/>
      <c r="BQK102" s="162"/>
      <c r="BQL102" s="162"/>
      <c r="BQM102" s="162"/>
      <c r="BQN102" s="162"/>
      <c r="BQO102" s="162"/>
      <c r="BQP102" s="162"/>
      <c r="BQQ102" s="162"/>
      <c r="BQR102" s="162"/>
      <c r="BQS102" s="162"/>
      <c r="BQT102" s="162"/>
      <c r="BQU102" s="162"/>
      <c r="BQV102" s="162"/>
      <c r="BQW102" s="162"/>
      <c r="BQX102" s="162"/>
      <c r="BQY102" s="162"/>
      <c r="BQZ102" s="162"/>
      <c r="BRA102" s="162"/>
      <c r="BRB102" s="162"/>
      <c r="BRC102" s="162"/>
      <c r="BRD102" s="162"/>
      <c r="BRE102" s="162"/>
      <c r="BRF102" s="162"/>
      <c r="BRG102" s="162"/>
      <c r="BRH102" s="162"/>
      <c r="BRI102" s="162"/>
      <c r="BRJ102" s="162"/>
      <c r="BRK102" s="162"/>
      <c r="BRL102" s="162"/>
      <c r="BRM102" s="162"/>
      <c r="BRN102" s="162"/>
      <c r="BRO102" s="162"/>
      <c r="BRP102" s="162"/>
      <c r="BRQ102" s="162"/>
      <c r="BRR102" s="162"/>
      <c r="BRS102" s="162"/>
      <c r="BRT102" s="162"/>
      <c r="BRU102" s="162"/>
      <c r="BRV102" s="162"/>
      <c r="BRW102" s="162"/>
      <c r="BRX102" s="162"/>
      <c r="BRY102" s="162"/>
      <c r="BRZ102" s="162"/>
      <c r="BSA102" s="162"/>
      <c r="BSB102" s="162"/>
      <c r="BSC102" s="162"/>
      <c r="BSD102" s="162"/>
      <c r="BSE102" s="162"/>
      <c r="BSF102" s="162"/>
      <c r="BSG102" s="162"/>
      <c r="BSH102" s="162"/>
      <c r="BSI102" s="162"/>
      <c r="BSJ102" s="162"/>
      <c r="BSK102" s="162"/>
      <c r="BSL102" s="162"/>
      <c r="BSM102" s="162"/>
      <c r="BSN102" s="162"/>
      <c r="BSO102" s="162"/>
      <c r="BSP102" s="162"/>
      <c r="BSQ102" s="162"/>
      <c r="BSR102" s="162"/>
      <c r="BSS102" s="162"/>
      <c r="BST102" s="162"/>
      <c r="BSU102" s="162"/>
      <c r="BSV102" s="162"/>
      <c r="BSW102" s="162"/>
      <c r="BSX102" s="162"/>
      <c r="BSY102" s="162"/>
      <c r="BSZ102" s="162"/>
      <c r="BTA102" s="162"/>
      <c r="BTB102" s="162"/>
      <c r="BTC102" s="162"/>
      <c r="BTD102" s="162"/>
      <c r="BTE102" s="162"/>
      <c r="BTF102" s="162"/>
      <c r="BTG102" s="162"/>
      <c r="BTH102" s="162"/>
      <c r="BTI102" s="162"/>
      <c r="BTJ102" s="162"/>
      <c r="BTK102" s="162"/>
      <c r="BTL102" s="162"/>
      <c r="BTM102" s="162"/>
      <c r="BTN102" s="162"/>
      <c r="BTO102" s="162"/>
      <c r="BTP102" s="162"/>
      <c r="BTQ102" s="162"/>
      <c r="BTR102" s="162"/>
      <c r="BTS102" s="162"/>
      <c r="BTT102" s="162"/>
      <c r="BTU102" s="162"/>
      <c r="BTV102" s="162"/>
      <c r="BTW102" s="162"/>
      <c r="BTX102" s="162"/>
      <c r="BTY102" s="162"/>
      <c r="BTZ102" s="162"/>
      <c r="BUA102" s="162"/>
      <c r="BUB102" s="162"/>
      <c r="BUC102" s="162"/>
      <c r="BUD102" s="162"/>
      <c r="BUE102" s="162"/>
      <c r="BUF102" s="162"/>
      <c r="BUG102" s="162"/>
      <c r="BUH102" s="162"/>
      <c r="BUI102" s="162"/>
      <c r="BUJ102" s="162"/>
      <c r="BUK102" s="162"/>
      <c r="BUL102" s="162"/>
      <c r="BUM102" s="162"/>
      <c r="BUN102" s="162"/>
      <c r="BUO102" s="162"/>
      <c r="BUP102" s="162"/>
      <c r="BUQ102" s="162"/>
      <c r="BUR102" s="162"/>
      <c r="BUS102" s="162"/>
      <c r="BUT102" s="162"/>
      <c r="BUU102" s="162"/>
      <c r="BUV102" s="162"/>
      <c r="BUW102" s="162"/>
      <c r="BUX102" s="162"/>
      <c r="BUY102" s="162"/>
      <c r="BUZ102" s="162"/>
      <c r="BVA102" s="162"/>
      <c r="BVB102" s="162"/>
      <c r="BVC102" s="162"/>
      <c r="BVD102" s="162"/>
      <c r="BVE102" s="162"/>
      <c r="BVF102" s="162"/>
      <c r="BVG102" s="162"/>
      <c r="BVH102" s="162"/>
      <c r="BVI102" s="162"/>
      <c r="BVJ102" s="162"/>
      <c r="BVK102" s="162"/>
      <c r="BVL102" s="162"/>
      <c r="BVM102" s="162"/>
      <c r="BVN102" s="162"/>
      <c r="BVO102" s="162"/>
      <c r="BVP102" s="162"/>
      <c r="BVQ102" s="162"/>
      <c r="BVR102" s="162"/>
      <c r="BVS102" s="162"/>
      <c r="BVT102" s="162"/>
      <c r="BVU102" s="162"/>
      <c r="BVV102" s="162"/>
      <c r="BVW102" s="162"/>
      <c r="BVX102" s="162"/>
      <c r="BVY102" s="162"/>
      <c r="BVZ102" s="162"/>
      <c r="BWA102" s="162"/>
      <c r="BWB102" s="162"/>
      <c r="BWC102" s="162"/>
      <c r="BWD102" s="162"/>
      <c r="BWE102" s="162"/>
      <c r="BWF102" s="162"/>
      <c r="BWG102" s="162"/>
      <c r="BWH102" s="162"/>
      <c r="BWI102" s="162"/>
      <c r="BWJ102" s="162"/>
      <c r="BWK102" s="162"/>
      <c r="BWL102" s="162"/>
      <c r="BWM102" s="162"/>
      <c r="BWN102" s="162"/>
      <c r="BWO102" s="162"/>
      <c r="BWP102" s="162"/>
      <c r="BWQ102" s="162"/>
      <c r="BWR102" s="162"/>
      <c r="BWS102" s="162"/>
      <c r="BWT102" s="162"/>
      <c r="BWU102" s="162"/>
      <c r="BWV102" s="162"/>
      <c r="BWW102" s="162"/>
      <c r="BWX102" s="162"/>
      <c r="BWY102" s="162"/>
      <c r="BWZ102" s="162"/>
      <c r="BXA102" s="162"/>
      <c r="BXB102" s="162"/>
      <c r="BXC102" s="162"/>
      <c r="BXD102" s="162"/>
      <c r="BXE102" s="162"/>
      <c r="BXF102" s="162"/>
      <c r="BXG102" s="162"/>
      <c r="BXH102" s="162"/>
      <c r="BXI102" s="162"/>
      <c r="BXJ102" s="162"/>
      <c r="BXK102" s="162"/>
      <c r="BXL102" s="162"/>
      <c r="BXM102" s="162"/>
      <c r="BXN102" s="162"/>
      <c r="BXO102" s="162"/>
      <c r="BXP102" s="162"/>
      <c r="BXQ102" s="162"/>
      <c r="BXR102" s="162"/>
      <c r="BXS102" s="162"/>
      <c r="BXT102" s="162"/>
      <c r="BXU102" s="162"/>
      <c r="BXV102" s="162"/>
      <c r="BXW102" s="162"/>
      <c r="BXX102" s="162"/>
      <c r="BXY102" s="162"/>
      <c r="BXZ102" s="162"/>
      <c r="BYA102" s="162"/>
      <c r="BYB102" s="162"/>
      <c r="BYC102" s="162"/>
      <c r="BYD102" s="162"/>
      <c r="BYE102" s="162"/>
      <c r="BYF102" s="162"/>
      <c r="BYG102" s="162"/>
      <c r="BYH102" s="162"/>
      <c r="BYI102" s="162"/>
      <c r="BYJ102" s="162"/>
      <c r="BYK102" s="162"/>
      <c r="BYL102" s="162"/>
      <c r="BYM102" s="162"/>
      <c r="BYN102" s="162"/>
      <c r="BYO102" s="162"/>
      <c r="BYP102" s="162"/>
      <c r="BYQ102" s="162"/>
      <c r="BYR102" s="162"/>
      <c r="BYS102" s="162"/>
      <c r="BYT102" s="162"/>
      <c r="BYU102" s="162"/>
      <c r="BYV102" s="162"/>
      <c r="BYW102" s="162"/>
      <c r="BYX102" s="162"/>
      <c r="BYY102" s="162"/>
      <c r="BYZ102" s="162"/>
      <c r="BZA102" s="162"/>
      <c r="BZB102" s="162"/>
      <c r="BZC102" s="162"/>
      <c r="BZD102" s="162"/>
      <c r="BZE102" s="162"/>
      <c r="BZF102" s="162"/>
      <c r="BZG102" s="162"/>
      <c r="BZH102" s="162"/>
      <c r="BZI102" s="162"/>
      <c r="BZJ102" s="162"/>
      <c r="BZK102" s="162"/>
      <c r="BZL102" s="162"/>
      <c r="BZM102" s="162"/>
      <c r="BZN102" s="162"/>
      <c r="BZO102" s="162"/>
      <c r="BZP102" s="162"/>
      <c r="BZQ102" s="162"/>
      <c r="BZR102" s="162"/>
      <c r="BZS102" s="162"/>
      <c r="BZT102" s="162"/>
      <c r="BZU102" s="162"/>
      <c r="BZV102" s="162"/>
      <c r="BZW102" s="162"/>
      <c r="BZX102" s="162"/>
      <c r="BZY102" s="162"/>
      <c r="BZZ102" s="162"/>
      <c r="CAA102" s="162"/>
      <c r="CAB102" s="162"/>
      <c r="CAC102" s="162"/>
      <c r="CAD102" s="162"/>
      <c r="CAE102" s="162"/>
      <c r="CAF102" s="162"/>
      <c r="CAG102" s="162"/>
      <c r="CAH102" s="162"/>
      <c r="CAI102" s="162"/>
      <c r="CAJ102" s="162"/>
      <c r="CAK102" s="162"/>
      <c r="CAL102" s="162"/>
      <c r="CAM102" s="162"/>
      <c r="CAN102" s="162"/>
      <c r="CAO102" s="162"/>
      <c r="CAP102" s="162"/>
      <c r="CAQ102" s="162"/>
      <c r="CAR102" s="162"/>
      <c r="CAS102" s="162"/>
      <c r="CAT102" s="162"/>
      <c r="CAU102" s="162"/>
      <c r="CAV102" s="162"/>
      <c r="CAW102" s="162"/>
      <c r="CAX102" s="162"/>
      <c r="CAY102" s="162"/>
      <c r="CAZ102" s="162"/>
      <c r="CBA102" s="162"/>
      <c r="CBB102" s="162"/>
      <c r="CBC102" s="162"/>
      <c r="CBD102" s="162"/>
      <c r="CBE102" s="162"/>
      <c r="CBF102" s="162"/>
      <c r="CBG102" s="162"/>
      <c r="CBH102" s="162"/>
      <c r="CBI102" s="162"/>
      <c r="CBJ102" s="162"/>
      <c r="CBK102" s="162"/>
      <c r="CBL102" s="162"/>
      <c r="CBM102" s="162"/>
      <c r="CBN102" s="162"/>
      <c r="CBO102" s="162"/>
      <c r="CBP102" s="162"/>
      <c r="CBQ102" s="162"/>
      <c r="CBR102" s="162"/>
      <c r="CBS102" s="162"/>
      <c r="CBT102" s="162"/>
      <c r="CBU102" s="162"/>
      <c r="CBV102" s="162"/>
      <c r="CBW102" s="162"/>
      <c r="CBX102" s="162"/>
      <c r="CBY102" s="162"/>
      <c r="CBZ102" s="162"/>
      <c r="CCA102" s="162"/>
      <c r="CCB102" s="162"/>
      <c r="CCC102" s="162"/>
      <c r="CCD102" s="162"/>
      <c r="CCE102" s="162"/>
      <c r="CCF102" s="162"/>
      <c r="CCG102" s="162"/>
      <c r="CCH102" s="162"/>
      <c r="CCI102" s="162"/>
      <c r="CCJ102" s="162"/>
      <c r="CCK102" s="162"/>
      <c r="CCL102" s="162"/>
      <c r="CCM102" s="162"/>
      <c r="CCN102" s="162"/>
      <c r="CCO102" s="162"/>
      <c r="CCP102" s="162"/>
      <c r="CCQ102" s="162"/>
      <c r="CCR102" s="162"/>
      <c r="CCS102" s="162"/>
      <c r="CCT102" s="162"/>
      <c r="CCU102" s="162"/>
      <c r="CCV102" s="162"/>
      <c r="CCW102" s="162"/>
      <c r="CCX102" s="162"/>
      <c r="CCY102" s="162"/>
      <c r="CCZ102" s="162"/>
      <c r="CDA102" s="162"/>
      <c r="CDB102" s="162"/>
      <c r="CDC102" s="162"/>
      <c r="CDD102" s="162"/>
      <c r="CDE102" s="162"/>
      <c r="CDF102" s="162"/>
      <c r="CDG102" s="162"/>
      <c r="CDH102" s="162"/>
      <c r="CDI102" s="162"/>
      <c r="CDJ102" s="162"/>
      <c r="CDK102" s="162"/>
      <c r="CDL102" s="162"/>
      <c r="CDM102" s="162"/>
      <c r="CDN102" s="162"/>
      <c r="CDO102" s="162"/>
      <c r="CDP102" s="162"/>
      <c r="CDQ102" s="162"/>
      <c r="CDR102" s="162"/>
      <c r="CDS102" s="162"/>
      <c r="CDT102" s="162"/>
      <c r="CDU102" s="162"/>
      <c r="CDV102" s="162"/>
      <c r="CDW102" s="162"/>
      <c r="CDX102" s="162"/>
      <c r="CDY102" s="162"/>
      <c r="CDZ102" s="162"/>
      <c r="CEA102" s="162"/>
      <c r="CEB102" s="162"/>
      <c r="CEC102" s="162"/>
      <c r="CED102" s="162"/>
      <c r="CEE102" s="162"/>
      <c r="CEF102" s="162"/>
      <c r="CEG102" s="162"/>
      <c r="CEH102" s="162"/>
      <c r="CEI102" s="162"/>
      <c r="CEJ102" s="162"/>
      <c r="CEK102" s="162"/>
      <c r="CEL102" s="162"/>
      <c r="CEM102" s="162"/>
      <c r="CEN102" s="162"/>
      <c r="CEO102" s="162"/>
      <c r="CEP102" s="162"/>
      <c r="CEQ102" s="162"/>
      <c r="CER102" s="162"/>
      <c r="CES102" s="162"/>
      <c r="CET102" s="162"/>
      <c r="CEU102" s="162"/>
      <c r="CEV102" s="162"/>
      <c r="CEW102" s="162"/>
      <c r="CEX102" s="162"/>
      <c r="CEY102" s="162"/>
      <c r="CEZ102" s="162"/>
      <c r="CFA102" s="162"/>
      <c r="CFB102" s="162"/>
      <c r="CFC102" s="162"/>
      <c r="CFD102" s="162"/>
      <c r="CFE102" s="162"/>
      <c r="CFF102" s="162"/>
      <c r="CFG102" s="162"/>
      <c r="CFH102" s="162"/>
      <c r="CFI102" s="162"/>
      <c r="CFJ102" s="162"/>
      <c r="CFK102" s="162"/>
      <c r="CFL102" s="162"/>
      <c r="CFM102" s="162"/>
      <c r="CFN102" s="162"/>
      <c r="CFO102" s="162"/>
      <c r="CFP102" s="162"/>
      <c r="CFQ102" s="162"/>
      <c r="CFR102" s="162"/>
      <c r="CFS102" s="162"/>
      <c r="CFT102" s="162"/>
      <c r="CFU102" s="162"/>
      <c r="CFV102" s="162"/>
      <c r="CFW102" s="162"/>
      <c r="CFX102" s="162"/>
      <c r="CFY102" s="162"/>
      <c r="CFZ102" s="162"/>
      <c r="CGA102" s="162"/>
      <c r="CGB102" s="162"/>
      <c r="CGC102" s="162"/>
      <c r="CGD102" s="162"/>
      <c r="CGE102" s="162"/>
      <c r="CGF102" s="162"/>
      <c r="CGG102" s="162"/>
      <c r="CGH102" s="162"/>
      <c r="CGI102" s="162"/>
      <c r="CGJ102" s="162"/>
      <c r="CGK102" s="162"/>
      <c r="CGL102" s="162"/>
      <c r="CGM102" s="162"/>
      <c r="CGN102" s="162"/>
      <c r="CGO102" s="162"/>
      <c r="CGP102" s="162"/>
      <c r="CGQ102" s="162"/>
      <c r="CGR102" s="162"/>
      <c r="CGS102" s="162"/>
      <c r="CGT102" s="162"/>
      <c r="CGU102" s="162"/>
      <c r="CGV102" s="162"/>
      <c r="CGW102" s="162"/>
      <c r="CGX102" s="162"/>
      <c r="CGY102" s="162"/>
      <c r="CGZ102" s="162"/>
      <c r="CHA102" s="162"/>
      <c r="CHB102" s="162"/>
      <c r="CHC102" s="162"/>
      <c r="CHD102" s="162"/>
      <c r="CHE102" s="162"/>
      <c r="CHF102" s="162"/>
      <c r="CHG102" s="162"/>
      <c r="CHH102" s="162"/>
      <c r="CHI102" s="162"/>
      <c r="CHJ102" s="162"/>
      <c r="CHK102" s="162"/>
      <c r="CHL102" s="162"/>
      <c r="CHM102" s="162"/>
      <c r="CHN102" s="162"/>
      <c r="CHO102" s="162"/>
      <c r="CHP102" s="162"/>
      <c r="CHQ102" s="162"/>
      <c r="CHR102" s="162"/>
      <c r="CHS102" s="162"/>
      <c r="CHT102" s="162"/>
      <c r="CHU102" s="162"/>
      <c r="CHV102" s="162"/>
      <c r="CHW102" s="162"/>
      <c r="CHX102" s="162"/>
      <c r="CHY102" s="162"/>
      <c r="CHZ102" s="162"/>
      <c r="CIA102" s="162"/>
      <c r="CIB102" s="162"/>
      <c r="CIC102" s="162"/>
      <c r="CID102" s="162"/>
      <c r="CIE102" s="162"/>
      <c r="CIF102" s="162"/>
      <c r="CIG102" s="162"/>
      <c r="CIH102" s="162"/>
      <c r="CII102" s="162"/>
      <c r="CIJ102" s="162"/>
      <c r="CIK102" s="162"/>
      <c r="CIL102" s="162"/>
      <c r="CIM102" s="162"/>
      <c r="CIN102" s="162"/>
      <c r="CIO102" s="162"/>
      <c r="CIP102" s="162"/>
      <c r="CIQ102" s="162"/>
      <c r="CIR102" s="162"/>
      <c r="CIS102" s="162"/>
      <c r="CIT102" s="162"/>
      <c r="CIU102" s="162"/>
      <c r="CIV102" s="162"/>
      <c r="CIW102" s="162"/>
      <c r="CIX102" s="162"/>
      <c r="CIY102" s="162"/>
      <c r="CIZ102" s="162"/>
      <c r="CJA102" s="162"/>
      <c r="CJB102" s="162"/>
      <c r="CJC102" s="162"/>
      <c r="CJD102" s="162"/>
      <c r="CJE102" s="162"/>
      <c r="CJF102" s="162"/>
      <c r="CJG102" s="162"/>
      <c r="CJH102" s="162"/>
      <c r="CJI102" s="162"/>
      <c r="CJJ102" s="162"/>
      <c r="CJK102" s="162"/>
      <c r="CJL102" s="162"/>
      <c r="CJM102" s="162"/>
      <c r="CJN102" s="162"/>
      <c r="CJO102" s="162"/>
      <c r="CJP102" s="162"/>
      <c r="CJQ102" s="162"/>
      <c r="CJR102" s="162"/>
      <c r="CJS102" s="162"/>
      <c r="CJT102" s="162"/>
      <c r="CJU102" s="162"/>
      <c r="CJV102" s="162"/>
      <c r="CJW102" s="162"/>
      <c r="CJX102" s="162"/>
      <c r="CJY102" s="162"/>
      <c r="CJZ102" s="162"/>
      <c r="CKA102" s="162"/>
      <c r="CKB102" s="162"/>
      <c r="CKC102" s="162"/>
      <c r="CKD102" s="162"/>
      <c r="CKE102" s="162"/>
      <c r="CKF102" s="162"/>
      <c r="CKG102" s="162"/>
      <c r="CKH102" s="162"/>
      <c r="CKI102" s="162"/>
      <c r="CKJ102" s="162"/>
      <c r="CKK102" s="162"/>
      <c r="CKL102" s="162"/>
      <c r="CKM102" s="162"/>
      <c r="CKN102" s="162"/>
      <c r="CKO102" s="162"/>
      <c r="CKP102" s="162"/>
      <c r="CKQ102" s="162"/>
      <c r="CKR102" s="162"/>
      <c r="CKS102" s="162"/>
      <c r="CKT102" s="162"/>
      <c r="CKU102" s="162"/>
      <c r="CKV102" s="162"/>
      <c r="CKW102" s="162"/>
      <c r="CKX102" s="162"/>
      <c r="CKY102" s="162"/>
      <c r="CKZ102" s="162"/>
      <c r="CLA102" s="162"/>
      <c r="CLB102" s="162"/>
      <c r="CLC102" s="162"/>
      <c r="CLD102" s="162"/>
      <c r="CLE102" s="162"/>
      <c r="CLF102" s="162"/>
      <c r="CLG102" s="162"/>
      <c r="CLH102" s="162"/>
      <c r="CLI102" s="162"/>
      <c r="CLJ102" s="162"/>
      <c r="CLK102" s="162"/>
      <c r="CLL102" s="162"/>
      <c r="CLM102" s="162"/>
      <c r="CLN102" s="162"/>
      <c r="CLO102" s="162"/>
      <c r="CLP102" s="162"/>
      <c r="CLQ102" s="162"/>
      <c r="CLR102" s="162"/>
      <c r="CLS102" s="162"/>
      <c r="CLT102" s="162"/>
      <c r="CLU102" s="162"/>
      <c r="CLV102" s="162"/>
      <c r="CLW102" s="162"/>
      <c r="CLX102" s="162"/>
      <c r="CLY102" s="162"/>
      <c r="CLZ102" s="162"/>
      <c r="CMA102" s="162"/>
      <c r="CMB102" s="162"/>
      <c r="CMC102" s="162"/>
      <c r="CMD102" s="162"/>
      <c r="CME102" s="162"/>
      <c r="CMF102" s="162"/>
      <c r="CMG102" s="162"/>
      <c r="CMH102" s="162"/>
      <c r="CMI102" s="162"/>
      <c r="CMJ102" s="162"/>
      <c r="CMK102" s="162"/>
      <c r="CML102" s="162"/>
      <c r="CMM102" s="162"/>
      <c r="CMN102" s="162"/>
      <c r="CMO102" s="162"/>
      <c r="CMP102" s="162"/>
      <c r="CMQ102" s="162"/>
      <c r="CMR102" s="162"/>
      <c r="CMS102" s="162"/>
      <c r="CMT102" s="162"/>
      <c r="CMU102" s="162"/>
      <c r="CMV102" s="162"/>
      <c r="CMW102" s="162"/>
      <c r="CMX102" s="162"/>
      <c r="CMY102" s="162"/>
      <c r="CMZ102" s="162"/>
      <c r="CNA102" s="162"/>
      <c r="CNB102" s="162"/>
      <c r="CNC102" s="162"/>
      <c r="CND102" s="162"/>
      <c r="CNE102" s="162"/>
      <c r="CNF102" s="162"/>
      <c r="CNG102" s="162"/>
      <c r="CNH102" s="162"/>
      <c r="CNI102" s="162"/>
      <c r="CNJ102" s="162"/>
      <c r="CNK102" s="162"/>
      <c r="CNL102" s="162"/>
      <c r="CNM102" s="162"/>
      <c r="CNN102" s="162"/>
      <c r="CNO102" s="162"/>
      <c r="CNP102" s="162"/>
      <c r="CNQ102" s="162"/>
      <c r="CNR102" s="162"/>
      <c r="CNS102" s="162"/>
      <c r="CNT102" s="162"/>
      <c r="CNU102" s="162"/>
      <c r="CNV102" s="162"/>
      <c r="CNW102" s="162"/>
      <c r="CNX102" s="162"/>
      <c r="CNY102" s="162"/>
      <c r="CNZ102" s="162"/>
      <c r="COA102" s="162"/>
      <c r="COB102" s="162"/>
      <c r="COC102" s="162"/>
      <c r="COD102" s="162"/>
      <c r="COE102" s="162"/>
      <c r="COF102" s="162"/>
      <c r="COG102" s="162"/>
      <c r="COH102" s="162"/>
      <c r="COI102" s="162"/>
      <c r="COJ102" s="162"/>
      <c r="COK102" s="162"/>
      <c r="COL102" s="162"/>
      <c r="COM102" s="162"/>
      <c r="CON102" s="162"/>
      <c r="COO102" s="162"/>
      <c r="COP102" s="162"/>
      <c r="COQ102" s="162"/>
      <c r="COR102" s="162"/>
      <c r="COS102" s="162"/>
      <c r="COT102" s="162"/>
      <c r="COU102" s="162"/>
      <c r="COV102" s="162"/>
      <c r="COW102" s="162"/>
      <c r="COX102" s="162"/>
      <c r="COY102" s="162"/>
      <c r="COZ102" s="162"/>
      <c r="CPA102" s="162"/>
      <c r="CPB102" s="162"/>
      <c r="CPC102" s="162"/>
      <c r="CPD102" s="162"/>
      <c r="CPE102" s="162"/>
      <c r="CPF102" s="162"/>
      <c r="CPG102" s="162"/>
      <c r="CPH102" s="162"/>
      <c r="CPI102" s="162"/>
      <c r="CPJ102" s="162"/>
      <c r="CPK102" s="162"/>
      <c r="CPL102" s="162"/>
      <c r="CPM102" s="162"/>
      <c r="CPN102" s="162"/>
      <c r="CPO102" s="162"/>
      <c r="CPP102" s="162"/>
      <c r="CPQ102" s="162"/>
      <c r="CPR102" s="162"/>
      <c r="CPS102" s="162"/>
      <c r="CPT102" s="162"/>
      <c r="CPU102" s="162"/>
      <c r="CPV102" s="162"/>
      <c r="CPW102" s="162"/>
      <c r="CPX102" s="162"/>
      <c r="CPY102" s="162"/>
      <c r="CPZ102" s="162"/>
      <c r="CQA102" s="162"/>
      <c r="CQB102" s="162"/>
      <c r="CQC102" s="162"/>
      <c r="CQD102" s="162"/>
      <c r="CQE102" s="162"/>
      <c r="CQF102" s="162"/>
      <c r="CQG102" s="162"/>
      <c r="CQH102" s="162"/>
      <c r="CQI102" s="162"/>
      <c r="CQJ102" s="162"/>
      <c r="CQK102" s="162"/>
      <c r="CQL102" s="162"/>
      <c r="CQM102" s="162"/>
      <c r="CQN102" s="162"/>
      <c r="CQO102" s="162"/>
      <c r="CQP102" s="162"/>
      <c r="CQQ102" s="162"/>
      <c r="CQR102" s="162"/>
      <c r="CQS102" s="162"/>
      <c r="CQT102" s="162"/>
      <c r="CQU102" s="162"/>
      <c r="CQV102" s="162"/>
      <c r="CQW102" s="162"/>
      <c r="CQX102" s="162"/>
      <c r="CQY102" s="162"/>
      <c r="CQZ102" s="162"/>
      <c r="CRA102" s="162"/>
      <c r="CRB102" s="162"/>
      <c r="CRC102" s="162"/>
      <c r="CRD102" s="162"/>
      <c r="CRE102" s="162"/>
      <c r="CRF102" s="162"/>
      <c r="CRG102" s="162"/>
      <c r="CRH102" s="162"/>
      <c r="CRI102" s="162"/>
      <c r="CRJ102" s="162"/>
      <c r="CRK102" s="162"/>
      <c r="CRL102" s="162"/>
      <c r="CRM102" s="162"/>
      <c r="CRN102" s="162"/>
      <c r="CRO102" s="162"/>
      <c r="CRP102" s="162"/>
      <c r="CRQ102" s="162"/>
      <c r="CRR102" s="162"/>
      <c r="CRS102" s="162"/>
      <c r="CRT102" s="162"/>
      <c r="CRU102" s="162"/>
      <c r="CRV102" s="162"/>
      <c r="CRW102" s="162"/>
      <c r="CRX102" s="162"/>
      <c r="CRY102" s="162"/>
      <c r="CRZ102" s="162"/>
      <c r="CSA102" s="162"/>
      <c r="CSB102" s="162"/>
      <c r="CSC102" s="162"/>
      <c r="CSD102" s="162"/>
      <c r="CSE102" s="162"/>
      <c r="CSF102" s="162"/>
      <c r="CSG102" s="162"/>
      <c r="CSH102" s="162"/>
      <c r="CSI102" s="162"/>
      <c r="CSJ102" s="162"/>
      <c r="CSK102" s="162"/>
      <c r="CSL102" s="162"/>
      <c r="CSM102" s="162"/>
      <c r="CSN102" s="162"/>
      <c r="CSO102" s="162"/>
      <c r="CSP102" s="162"/>
      <c r="CSQ102" s="162"/>
      <c r="CSR102" s="162"/>
      <c r="CSS102" s="162"/>
      <c r="CST102" s="162"/>
      <c r="CSU102" s="162"/>
      <c r="CSV102" s="162"/>
      <c r="CSW102" s="162"/>
      <c r="CSX102" s="162"/>
      <c r="CSY102" s="162"/>
      <c r="CSZ102" s="162"/>
      <c r="CTA102" s="162"/>
      <c r="CTB102" s="162"/>
      <c r="CTC102" s="162"/>
      <c r="CTD102" s="162"/>
      <c r="CTE102" s="162"/>
      <c r="CTF102" s="162"/>
      <c r="CTG102" s="162"/>
      <c r="CTH102" s="162"/>
      <c r="CTI102" s="162"/>
      <c r="CTJ102" s="162"/>
      <c r="CTK102" s="162"/>
      <c r="CTL102" s="162"/>
      <c r="CTM102" s="162"/>
      <c r="CTN102" s="162"/>
      <c r="CTO102" s="162"/>
      <c r="CTP102" s="162"/>
      <c r="CTQ102" s="162"/>
      <c r="CTR102" s="162"/>
      <c r="CTS102" s="162"/>
      <c r="CTT102" s="162"/>
      <c r="CTU102" s="162"/>
      <c r="CTV102" s="162"/>
      <c r="CTW102" s="162"/>
      <c r="CTX102" s="162"/>
      <c r="CTY102" s="162"/>
      <c r="CTZ102" s="162"/>
      <c r="CUA102" s="162"/>
      <c r="CUB102" s="162"/>
      <c r="CUC102" s="162"/>
      <c r="CUD102" s="162"/>
      <c r="CUE102" s="162"/>
      <c r="CUF102" s="162"/>
      <c r="CUG102" s="162"/>
      <c r="CUH102" s="162"/>
      <c r="CUI102" s="162"/>
      <c r="CUJ102" s="162"/>
      <c r="CUK102" s="162"/>
      <c r="CUL102" s="162"/>
      <c r="CUM102" s="162"/>
      <c r="CUN102" s="162"/>
      <c r="CUO102" s="162"/>
      <c r="CUP102" s="162"/>
      <c r="CUQ102" s="162"/>
      <c r="CUR102" s="162"/>
      <c r="CUS102" s="162"/>
      <c r="CUT102" s="162"/>
      <c r="CUU102" s="162"/>
      <c r="CUV102" s="162"/>
      <c r="CUW102" s="162"/>
      <c r="CUX102" s="162"/>
      <c r="CUY102" s="162"/>
      <c r="CUZ102" s="162"/>
      <c r="CVA102" s="162"/>
      <c r="CVB102" s="162"/>
      <c r="CVC102" s="162"/>
      <c r="CVD102" s="162"/>
      <c r="CVE102" s="162"/>
      <c r="CVF102" s="162"/>
      <c r="CVG102" s="162"/>
      <c r="CVH102" s="162"/>
      <c r="CVI102" s="162"/>
      <c r="CVJ102" s="162"/>
      <c r="CVK102" s="162"/>
      <c r="CVL102" s="162"/>
      <c r="CVM102" s="162"/>
      <c r="CVN102" s="162"/>
      <c r="CVO102" s="162"/>
      <c r="CVP102" s="162"/>
      <c r="CVQ102" s="162"/>
      <c r="CVR102" s="162"/>
      <c r="CVS102" s="162"/>
      <c r="CVT102" s="162"/>
      <c r="CVU102" s="162"/>
      <c r="CVV102" s="162"/>
      <c r="CVW102" s="162"/>
      <c r="CVX102" s="162"/>
      <c r="CVY102" s="162"/>
      <c r="CVZ102" s="162"/>
      <c r="CWA102" s="162"/>
      <c r="CWB102" s="162"/>
      <c r="CWC102" s="162"/>
      <c r="CWD102" s="162"/>
      <c r="CWE102" s="162"/>
      <c r="CWF102" s="162"/>
      <c r="CWG102" s="162"/>
      <c r="CWH102" s="162"/>
      <c r="CWI102" s="162"/>
      <c r="CWJ102" s="162"/>
      <c r="CWK102" s="162"/>
      <c r="CWL102" s="162"/>
      <c r="CWM102" s="162"/>
      <c r="CWN102" s="162"/>
      <c r="CWO102" s="162"/>
      <c r="CWP102" s="162"/>
      <c r="CWQ102" s="162"/>
      <c r="CWR102" s="162"/>
      <c r="CWS102" s="162"/>
      <c r="CWT102" s="162"/>
      <c r="CWU102" s="162"/>
      <c r="CWV102" s="162"/>
      <c r="CWW102" s="162"/>
      <c r="CWX102" s="162"/>
      <c r="CWY102" s="162"/>
      <c r="CWZ102" s="162"/>
      <c r="CXA102" s="162"/>
      <c r="CXB102" s="162"/>
      <c r="CXC102" s="162"/>
      <c r="CXD102" s="162"/>
      <c r="CXE102" s="162"/>
      <c r="CXF102" s="162"/>
      <c r="CXG102" s="162"/>
      <c r="CXH102" s="162"/>
      <c r="CXI102" s="162"/>
      <c r="CXJ102" s="162"/>
      <c r="CXK102" s="162"/>
      <c r="CXL102" s="162"/>
      <c r="CXM102" s="162"/>
      <c r="CXN102" s="162"/>
      <c r="CXO102" s="162"/>
      <c r="CXP102" s="162"/>
      <c r="CXQ102" s="162"/>
      <c r="CXR102" s="162"/>
      <c r="CXS102" s="162"/>
      <c r="CXT102" s="162"/>
      <c r="CXU102" s="162"/>
      <c r="CXV102" s="162"/>
      <c r="CXW102" s="162"/>
      <c r="CXX102" s="162"/>
      <c r="CXY102" s="162"/>
      <c r="CXZ102" s="162"/>
      <c r="CYA102" s="162"/>
      <c r="CYB102" s="162"/>
      <c r="CYC102" s="162"/>
      <c r="CYD102" s="162"/>
      <c r="CYE102" s="162"/>
      <c r="CYF102" s="162"/>
      <c r="CYG102" s="162"/>
      <c r="CYH102" s="162"/>
      <c r="CYI102" s="162"/>
      <c r="CYJ102" s="162"/>
      <c r="CYK102" s="162"/>
      <c r="CYL102" s="162"/>
      <c r="CYM102" s="162"/>
      <c r="CYN102" s="162"/>
      <c r="CYO102" s="162"/>
      <c r="CYP102" s="162"/>
      <c r="CYQ102" s="162"/>
      <c r="CYR102" s="162"/>
      <c r="CYS102" s="162"/>
      <c r="CYT102" s="162"/>
      <c r="CYU102" s="162"/>
      <c r="CYV102" s="162"/>
      <c r="CYW102" s="162"/>
      <c r="CYX102" s="162"/>
      <c r="CYY102" s="162"/>
      <c r="CYZ102" s="162"/>
      <c r="CZA102" s="162"/>
      <c r="CZB102" s="162"/>
      <c r="CZC102" s="162"/>
      <c r="CZD102" s="162"/>
      <c r="CZE102" s="162"/>
      <c r="CZF102" s="162"/>
      <c r="CZG102" s="162"/>
      <c r="CZH102" s="162"/>
      <c r="CZI102" s="162"/>
      <c r="CZJ102" s="162"/>
      <c r="CZK102" s="162"/>
      <c r="CZL102" s="162"/>
      <c r="CZM102" s="162"/>
      <c r="CZN102" s="162"/>
      <c r="CZO102" s="162"/>
      <c r="CZP102" s="162"/>
      <c r="CZQ102" s="162"/>
      <c r="CZR102" s="162"/>
      <c r="CZS102" s="162"/>
      <c r="CZT102" s="162"/>
      <c r="CZU102" s="162"/>
      <c r="CZV102" s="162"/>
      <c r="CZW102" s="162"/>
      <c r="CZX102" s="162"/>
      <c r="CZY102" s="162"/>
      <c r="CZZ102" s="162"/>
      <c r="DAA102" s="162"/>
      <c r="DAB102" s="162"/>
      <c r="DAC102" s="162"/>
      <c r="DAD102" s="162"/>
      <c r="DAE102" s="162"/>
      <c r="DAF102" s="162"/>
      <c r="DAG102" s="162"/>
      <c r="DAH102" s="162"/>
      <c r="DAI102" s="162"/>
      <c r="DAJ102" s="162"/>
      <c r="DAK102" s="162"/>
      <c r="DAL102" s="162"/>
      <c r="DAM102" s="162"/>
      <c r="DAN102" s="162"/>
      <c r="DAO102" s="162"/>
      <c r="DAP102" s="162"/>
      <c r="DAQ102" s="162"/>
      <c r="DAR102" s="162"/>
      <c r="DAS102" s="162"/>
      <c r="DAT102" s="162"/>
      <c r="DAU102" s="162"/>
      <c r="DAV102" s="162"/>
      <c r="DAW102" s="162"/>
      <c r="DAX102" s="162"/>
      <c r="DAY102" s="162"/>
      <c r="DAZ102" s="162"/>
      <c r="DBA102" s="162"/>
      <c r="DBB102" s="162"/>
      <c r="DBC102" s="162"/>
      <c r="DBD102" s="162"/>
      <c r="DBE102" s="162"/>
      <c r="DBF102" s="162"/>
      <c r="DBG102" s="162"/>
      <c r="DBH102" s="162"/>
      <c r="DBI102" s="162"/>
      <c r="DBJ102" s="162"/>
      <c r="DBK102" s="162"/>
      <c r="DBL102" s="162"/>
      <c r="DBM102" s="162"/>
      <c r="DBN102" s="162"/>
      <c r="DBO102" s="162"/>
      <c r="DBP102" s="162"/>
      <c r="DBQ102" s="162"/>
      <c r="DBR102" s="162"/>
      <c r="DBS102" s="162"/>
      <c r="DBT102" s="162"/>
      <c r="DBU102" s="162"/>
      <c r="DBV102" s="162"/>
      <c r="DBW102" s="162"/>
      <c r="DBX102" s="162"/>
      <c r="DBY102" s="162"/>
      <c r="DBZ102" s="162"/>
      <c r="DCA102" s="162"/>
      <c r="DCB102" s="162"/>
      <c r="DCC102" s="162"/>
      <c r="DCD102" s="162"/>
      <c r="DCE102" s="162"/>
      <c r="DCF102" s="162"/>
      <c r="DCG102" s="162"/>
      <c r="DCH102" s="162"/>
      <c r="DCI102" s="162"/>
      <c r="DCJ102" s="162"/>
      <c r="DCK102" s="162"/>
      <c r="DCL102" s="162"/>
      <c r="DCM102" s="162"/>
      <c r="DCN102" s="162"/>
      <c r="DCO102" s="162"/>
      <c r="DCP102" s="162"/>
      <c r="DCQ102" s="162"/>
      <c r="DCR102" s="162"/>
      <c r="DCS102" s="162"/>
      <c r="DCT102" s="162"/>
      <c r="DCU102" s="162"/>
      <c r="DCV102" s="162"/>
      <c r="DCW102" s="162"/>
      <c r="DCX102" s="162"/>
      <c r="DCY102" s="162"/>
      <c r="DCZ102" s="162"/>
      <c r="DDA102" s="162"/>
      <c r="DDB102" s="162"/>
      <c r="DDC102" s="162"/>
      <c r="DDD102" s="162"/>
      <c r="DDE102" s="162"/>
      <c r="DDF102" s="162"/>
      <c r="DDG102" s="162"/>
      <c r="DDH102" s="162"/>
      <c r="DDI102" s="162"/>
      <c r="DDJ102" s="162"/>
      <c r="DDK102" s="162"/>
      <c r="DDL102" s="162"/>
      <c r="DDM102" s="162"/>
      <c r="DDN102" s="162"/>
      <c r="DDO102" s="162"/>
      <c r="DDP102" s="162"/>
      <c r="DDQ102" s="162"/>
      <c r="DDR102" s="162"/>
      <c r="DDS102" s="162"/>
      <c r="DDT102" s="162"/>
      <c r="DDU102" s="162"/>
      <c r="DDV102" s="162"/>
      <c r="DDW102" s="162"/>
      <c r="DDX102" s="162"/>
      <c r="DDY102" s="162"/>
      <c r="DDZ102" s="162"/>
      <c r="DEA102" s="162"/>
      <c r="DEB102" s="162"/>
      <c r="DEC102" s="162"/>
      <c r="DED102" s="162"/>
      <c r="DEE102" s="162"/>
      <c r="DEF102" s="162"/>
      <c r="DEG102" s="162"/>
      <c r="DEH102" s="162"/>
      <c r="DEI102" s="162"/>
      <c r="DEJ102" s="162"/>
      <c r="DEK102" s="162"/>
      <c r="DEL102" s="162"/>
      <c r="DEM102" s="162"/>
      <c r="DEN102" s="162"/>
      <c r="DEO102" s="162"/>
      <c r="DEP102" s="162"/>
      <c r="DEQ102" s="162"/>
      <c r="DER102" s="162"/>
      <c r="DES102" s="162"/>
      <c r="DET102" s="162"/>
      <c r="DEU102" s="162"/>
      <c r="DEV102" s="162"/>
      <c r="DEW102" s="162"/>
      <c r="DEX102" s="162"/>
      <c r="DEY102" s="162"/>
      <c r="DEZ102" s="162"/>
      <c r="DFA102" s="162"/>
      <c r="DFB102" s="162"/>
      <c r="DFC102" s="162"/>
      <c r="DFD102" s="162"/>
      <c r="DFE102" s="162"/>
      <c r="DFF102" s="162"/>
      <c r="DFG102" s="162"/>
      <c r="DFH102" s="162"/>
      <c r="DFI102" s="162"/>
      <c r="DFJ102" s="162"/>
      <c r="DFK102" s="162"/>
      <c r="DFL102" s="162"/>
      <c r="DFM102" s="162"/>
      <c r="DFN102" s="162"/>
      <c r="DFO102" s="162"/>
      <c r="DFP102" s="162"/>
      <c r="DFQ102" s="162"/>
      <c r="DFR102" s="162"/>
      <c r="DFS102" s="162"/>
      <c r="DFT102" s="162"/>
      <c r="DFU102" s="162"/>
      <c r="DFV102" s="162"/>
      <c r="DFW102" s="162"/>
      <c r="DFX102" s="162"/>
      <c r="DFY102" s="162"/>
      <c r="DFZ102" s="162"/>
      <c r="DGA102" s="162"/>
      <c r="DGB102" s="162"/>
      <c r="DGC102" s="162"/>
      <c r="DGD102" s="162"/>
      <c r="DGE102" s="162"/>
      <c r="DGF102" s="162"/>
      <c r="DGG102" s="162"/>
      <c r="DGH102" s="162"/>
      <c r="DGI102" s="162"/>
      <c r="DGJ102" s="162"/>
      <c r="DGK102" s="162"/>
      <c r="DGL102" s="162"/>
      <c r="DGM102" s="162"/>
      <c r="DGN102" s="162"/>
      <c r="DGO102" s="162"/>
      <c r="DGP102" s="162"/>
      <c r="DGQ102" s="162"/>
      <c r="DGR102" s="162"/>
      <c r="DGS102" s="162"/>
      <c r="DGT102" s="162"/>
      <c r="DGU102" s="162"/>
      <c r="DGV102" s="162"/>
      <c r="DGW102" s="162"/>
      <c r="DGX102" s="162"/>
      <c r="DGY102" s="162"/>
      <c r="DGZ102" s="162"/>
      <c r="DHA102" s="162"/>
      <c r="DHB102" s="162"/>
      <c r="DHC102" s="162"/>
      <c r="DHD102" s="162"/>
      <c r="DHE102" s="162"/>
      <c r="DHF102" s="162"/>
      <c r="DHG102" s="162"/>
      <c r="DHH102" s="162"/>
      <c r="DHI102" s="162"/>
      <c r="DHJ102" s="162"/>
      <c r="DHK102" s="162"/>
      <c r="DHL102" s="162"/>
      <c r="DHM102" s="162"/>
      <c r="DHN102" s="162"/>
      <c r="DHO102" s="162"/>
      <c r="DHP102" s="162"/>
      <c r="DHQ102" s="162"/>
      <c r="DHR102" s="162"/>
      <c r="DHS102" s="162"/>
      <c r="DHT102" s="162"/>
      <c r="DHU102" s="162"/>
      <c r="DHV102" s="162"/>
      <c r="DHW102" s="162"/>
      <c r="DHX102" s="162"/>
      <c r="DHY102" s="162"/>
      <c r="DHZ102" s="162"/>
      <c r="DIA102" s="162"/>
      <c r="DIB102" s="162"/>
      <c r="DIC102" s="162"/>
      <c r="DID102" s="162"/>
      <c r="DIE102" s="162"/>
      <c r="DIF102" s="162"/>
      <c r="DIG102" s="162"/>
      <c r="DIH102" s="162"/>
      <c r="DII102" s="162"/>
      <c r="DIJ102" s="162"/>
      <c r="DIK102" s="162"/>
      <c r="DIL102" s="162"/>
      <c r="DIM102" s="162"/>
      <c r="DIN102" s="162"/>
      <c r="DIO102" s="162"/>
      <c r="DIP102" s="162"/>
      <c r="DIQ102" s="162"/>
      <c r="DIR102" s="162"/>
      <c r="DIS102" s="162"/>
      <c r="DIT102" s="162"/>
      <c r="DIU102" s="162"/>
      <c r="DIV102" s="162"/>
      <c r="DIW102" s="162"/>
      <c r="DIX102" s="162"/>
      <c r="DIY102" s="162"/>
      <c r="DIZ102" s="162"/>
      <c r="DJA102" s="162"/>
      <c r="DJB102" s="162"/>
      <c r="DJC102" s="162"/>
      <c r="DJD102" s="162"/>
      <c r="DJE102" s="162"/>
      <c r="DJF102" s="162"/>
      <c r="DJG102" s="162"/>
      <c r="DJH102" s="162"/>
      <c r="DJI102" s="162"/>
      <c r="DJJ102" s="162"/>
      <c r="DJK102" s="162"/>
      <c r="DJL102" s="162"/>
      <c r="DJM102" s="162"/>
      <c r="DJN102" s="162"/>
      <c r="DJO102" s="162"/>
      <c r="DJP102" s="162"/>
      <c r="DJQ102" s="162"/>
      <c r="DJR102" s="162"/>
      <c r="DJS102" s="162"/>
      <c r="DJT102" s="162"/>
      <c r="DJU102" s="162"/>
      <c r="DJV102" s="162"/>
      <c r="DJW102" s="162"/>
      <c r="DJX102" s="162"/>
      <c r="DJY102" s="162"/>
      <c r="DJZ102" s="162"/>
      <c r="DKA102" s="162"/>
      <c r="DKB102" s="162"/>
      <c r="DKC102" s="162"/>
      <c r="DKD102" s="162"/>
      <c r="DKE102" s="162"/>
      <c r="DKF102" s="162"/>
      <c r="DKG102" s="162"/>
      <c r="DKH102" s="162"/>
      <c r="DKI102" s="162"/>
      <c r="DKJ102" s="162"/>
      <c r="DKK102" s="162"/>
      <c r="DKL102" s="162"/>
      <c r="DKM102" s="162"/>
      <c r="DKN102" s="162"/>
      <c r="DKO102" s="162"/>
      <c r="DKP102" s="162"/>
      <c r="DKQ102" s="162"/>
      <c r="DKR102" s="162"/>
      <c r="DKS102" s="162"/>
      <c r="DKT102" s="162"/>
      <c r="DKU102" s="162"/>
      <c r="DKV102" s="162"/>
      <c r="DKW102" s="162"/>
      <c r="DKX102" s="162"/>
      <c r="DKY102" s="162"/>
      <c r="DKZ102" s="162"/>
      <c r="DLA102" s="162"/>
      <c r="DLB102" s="162"/>
      <c r="DLC102" s="162"/>
      <c r="DLD102" s="162"/>
      <c r="DLE102" s="162"/>
      <c r="DLF102" s="162"/>
      <c r="DLG102" s="162"/>
      <c r="DLH102" s="162"/>
      <c r="DLI102" s="162"/>
      <c r="DLJ102" s="162"/>
      <c r="DLK102" s="162"/>
      <c r="DLL102" s="162"/>
      <c r="DLM102" s="162"/>
      <c r="DLN102" s="162"/>
      <c r="DLO102" s="162"/>
      <c r="DLP102" s="162"/>
      <c r="DLQ102" s="162"/>
      <c r="DLR102" s="162"/>
      <c r="DLS102" s="162"/>
      <c r="DLT102" s="162"/>
      <c r="DLU102" s="162"/>
      <c r="DLV102" s="162"/>
      <c r="DLW102" s="162"/>
      <c r="DLX102" s="162"/>
      <c r="DLY102" s="162"/>
      <c r="DLZ102" s="162"/>
      <c r="DMA102" s="162"/>
      <c r="DMB102" s="162"/>
      <c r="DMC102" s="162"/>
      <c r="DMD102" s="162"/>
      <c r="DME102" s="162"/>
      <c r="DMF102" s="162"/>
      <c r="DMG102" s="162"/>
      <c r="DMH102" s="162"/>
      <c r="DMI102" s="162"/>
      <c r="DMJ102" s="162"/>
      <c r="DMK102" s="162"/>
      <c r="DML102" s="162"/>
      <c r="DMM102" s="162"/>
      <c r="DMN102" s="162"/>
      <c r="DMO102" s="162"/>
      <c r="DMP102" s="162"/>
      <c r="DMQ102" s="162"/>
      <c r="DMR102" s="162"/>
      <c r="DMS102" s="162"/>
      <c r="DMT102" s="162"/>
      <c r="DMU102" s="162"/>
      <c r="DMV102" s="162"/>
      <c r="DMW102" s="162"/>
      <c r="DMX102" s="162"/>
      <c r="DMY102" s="162"/>
      <c r="DMZ102" s="162"/>
      <c r="DNA102" s="162"/>
      <c r="DNB102" s="162"/>
      <c r="DNC102" s="162"/>
      <c r="DND102" s="162"/>
      <c r="DNE102" s="162"/>
      <c r="DNF102" s="162"/>
      <c r="DNG102" s="162"/>
      <c r="DNH102" s="162"/>
      <c r="DNI102" s="162"/>
      <c r="DNJ102" s="162"/>
      <c r="DNK102" s="162"/>
      <c r="DNL102" s="162"/>
      <c r="DNM102" s="162"/>
      <c r="DNN102" s="162"/>
      <c r="DNO102" s="162"/>
      <c r="DNP102" s="162"/>
      <c r="DNQ102" s="162"/>
      <c r="DNR102" s="162"/>
      <c r="DNS102" s="162"/>
      <c r="DNT102" s="162"/>
      <c r="DNU102" s="162"/>
      <c r="DNV102" s="162"/>
      <c r="DNW102" s="162"/>
      <c r="DNX102" s="162"/>
      <c r="DNY102" s="162"/>
      <c r="DNZ102" s="162"/>
      <c r="DOA102" s="162"/>
      <c r="DOB102" s="162"/>
      <c r="DOC102" s="162"/>
      <c r="DOD102" s="162"/>
      <c r="DOE102" s="162"/>
      <c r="DOF102" s="162"/>
      <c r="DOG102" s="162"/>
      <c r="DOH102" s="162"/>
      <c r="DOI102" s="162"/>
      <c r="DOJ102" s="162"/>
      <c r="DOK102" s="162"/>
      <c r="DOL102" s="162"/>
      <c r="DOM102" s="162"/>
      <c r="DON102" s="162"/>
      <c r="DOO102" s="162"/>
      <c r="DOP102" s="162"/>
      <c r="DOQ102" s="162"/>
      <c r="DOR102" s="162"/>
      <c r="DOS102" s="162"/>
      <c r="DOT102" s="162"/>
      <c r="DOU102" s="162"/>
      <c r="DOV102" s="162"/>
      <c r="DOW102" s="162"/>
      <c r="DOX102" s="162"/>
      <c r="DOY102" s="162"/>
      <c r="DOZ102" s="162"/>
      <c r="DPA102" s="162"/>
      <c r="DPB102" s="162"/>
      <c r="DPC102" s="162"/>
      <c r="DPD102" s="162"/>
      <c r="DPE102" s="162"/>
      <c r="DPF102" s="162"/>
      <c r="DPG102" s="162"/>
      <c r="DPH102" s="162"/>
      <c r="DPI102" s="162"/>
      <c r="DPJ102" s="162"/>
      <c r="DPK102" s="162"/>
      <c r="DPL102" s="162"/>
      <c r="DPM102" s="162"/>
      <c r="DPN102" s="162"/>
      <c r="DPO102" s="162"/>
      <c r="DPP102" s="162"/>
      <c r="DPQ102" s="162"/>
      <c r="DPR102" s="162"/>
      <c r="DPS102" s="162"/>
      <c r="DPT102" s="162"/>
      <c r="DPU102" s="162"/>
      <c r="DPV102" s="162"/>
      <c r="DPW102" s="162"/>
      <c r="DPX102" s="162"/>
      <c r="DPY102" s="162"/>
      <c r="DPZ102" s="162"/>
      <c r="DQA102" s="162"/>
      <c r="DQB102" s="162"/>
      <c r="DQC102" s="162"/>
      <c r="DQD102" s="162"/>
      <c r="DQE102" s="162"/>
      <c r="DQF102" s="162"/>
      <c r="DQG102" s="162"/>
      <c r="DQH102" s="162"/>
      <c r="DQI102" s="162"/>
      <c r="DQJ102" s="162"/>
      <c r="DQK102" s="162"/>
      <c r="DQL102" s="162"/>
      <c r="DQM102" s="162"/>
      <c r="DQN102" s="162"/>
      <c r="DQO102" s="162"/>
      <c r="DQP102" s="162"/>
      <c r="DQQ102" s="162"/>
      <c r="DQR102" s="162"/>
      <c r="DQS102" s="162"/>
      <c r="DQT102" s="162"/>
      <c r="DQU102" s="162"/>
      <c r="DQV102" s="162"/>
      <c r="DQW102" s="162"/>
      <c r="DQX102" s="162"/>
      <c r="DQY102" s="162"/>
      <c r="DQZ102" s="162"/>
      <c r="DRA102" s="162"/>
      <c r="DRB102" s="162"/>
      <c r="DRC102" s="162"/>
      <c r="DRD102" s="162"/>
      <c r="DRE102" s="162"/>
      <c r="DRF102" s="162"/>
      <c r="DRG102" s="162"/>
      <c r="DRH102" s="162"/>
      <c r="DRI102" s="162"/>
      <c r="DRJ102" s="162"/>
      <c r="DRK102" s="162"/>
      <c r="DRL102" s="162"/>
      <c r="DRM102" s="162"/>
      <c r="DRN102" s="162"/>
      <c r="DRO102" s="162"/>
      <c r="DRP102" s="162"/>
      <c r="DRQ102" s="162"/>
      <c r="DRR102" s="162"/>
      <c r="DRS102" s="162"/>
      <c r="DRT102" s="162"/>
      <c r="DRU102" s="162"/>
      <c r="DRV102" s="162"/>
      <c r="DRW102" s="162"/>
      <c r="DRX102" s="162"/>
      <c r="DRY102" s="162"/>
      <c r="DRZ102" s="162"/>
      <c r="DSA102" s="162"/>
      <c r="DSB102" s="162"/>
      <c r="DSC102" s="162"/>
      <c r="DSD102" s="162"/>
      <c r="DSE102" s="162"/>
      <c r="DSF102" s="162"/>
      <c r="DSG102" s="162"/>
      <c r="DSH102" s="162"/>
      <c r="DSI102" s="162"/>
      <c r="DSJ102" s="162"/>
      <c r="DSK102" s="162"/>
      <c r="DSL102" s="162"/>
      <c r="DSM102" s="162"/>
      <c r="DSN102" s="162"/>
      <c r="DSO102" s="162"/>
      <c r="DSP102" s="162"/>
      <c r="DSQ102" s="162"/>
      <c r="DSR102" s="162"/>
      <c r="DSS102" s="162"/>
      <c r="DST102" s="162"/>
      <c r="DSU102" s="162"/>
      <c r="DSV102" s="162"/>
      <c r="DSW102" s="162"/>
      <c r="DSX102" s="162"/>
      <c r="DSY102" s="162"/>
      <c r="DSZ102" s="162"/>
      <c r="DTA102" s="162"/>
      <c r="DTB102" s="162"/>
      <c r="DTC102" s="162"/>
      <c r="DTD102" s="162"/>
      <c r="DTE102" s="162"/>
      <c r="DTF102" s="162"/>
      <c r="DTG102" s="162"/>
      <c r="DTH102" s="162"/>
      <c r="DTI102" s="162"/>
      <c r="DTJ102" s="162"/>
      <c r="DTK102" s="162"/>
      <c r="DTL102" s="162"/>
      <c r="DTM102" s="162"/>
      <c r="DTN102" s="162"/>
      <c r="DTO102" s="162"/>
      <c r="DTP102" s="162"/>
      <c r="DTQ102" s="162"/>
      <c r="DTR102" s="162"/>
      <c r="DTS102" s="162"/>
      <c r="DTT102" s="162"/>
      <c r="DTU102" s="162"/>
      <c r="DTV102" s="162"/>
      <c r="DTW102" s="162"/>
      <c r="DTX102" s="162"/>
      <c r="DTY102" s="162"/>
      <c r="DTZ102" s="162"/>
      <c r="DUA102" s="162"/>
      <c r="DUB102" s="162"/>
      <c r="DUC102" s="162"/>
      <c r="DUD102" s="162"/>
      <c r="DUE102" s="162"/>
      <c r="DUF102" s="162"/>
      <c r="DUG102" s="162"/>
      <c r="DUH102" s="162"/>
      <c r="DUI102" s="162"/>
      <c r="DUJ102" s="162"/>
      <c r="DUK102" s="162"/>
      <c r="DUL102" s="162"/>
      <c r="DUM102" s="162"/>
      <c r="DUN102" s="162"/>
      <c r="DUO102" s="162"/>
      <c r="DUP102" s="162"/>
      <c r="DUQ102" s="162"/>
      <c r="DUR102" s="162"/>
      <c r="DUS102" s="162"/>
      <c r="DUT102" s="162"/>
      <c r="DUU102" s="162"/>
      <c r="DUV102" s="162"/>
      <c r="DUW102" s="162"/>
      <c r="DUX102" s="162"/>
      <c r="DUY102" s="162"/>
      <c r="DUZ102" s="162"/>
      <c r="DVA102" s="162"/>
      <c r="DVB102" s="162"/>
      <c r="DVC102" s="162"/>
      <c r="DVD102" s="162"/>
      <c r="DVE102" s="162"/>
      <c r="DVF102" s="162"/>
      <c r="DVG102" s="162"/>
      <c r="DVH102" s="162"/>
      <c r="DVI102" s="162"/>
      <c r="DVJ102" s="162"/>
      <c r="DVK102" s="162"/>
      <c r="DVL102" s="162"/>
      <c r="DVM102" s="162"/>
      <c r="DVN102" s="162"/>
      <c r="DVO102" s="162"/>
      <c r="DVP102" s="162"/>
      <c r="DVQ102" s="162"/>
      <c r="DVR102" s="162"/>
      <c r="DVS102" s="162"/>
      <c r="DVT102" s="162"/>
      <c r="DVU102" s="162"/>
      <c r="DVV102" s="162"/>
      <c r="DVW102" s="162"/>
      <c r="DVX102" s="162"/>
      <c r="DVY102" s="162"/>
      <c r="DVZ102" s="162"/>
      <c r="DWA102" s="162"/>
      <c r="DWB102" s="162"/>
      <c r="DWC102" s="162"/>
      <c r="DWD102" s="162"/>
      <c r="DWE102" s="162"/>
      <c r="DWF102" s="162"/>
      <c r="DWG102" s="162"/>
      <c r="DWH102" s="162"/>
      <c r="DWI102" s="162"/>
      <c r="DWJ102" s="162"/>
      <c r="DWK102" s="162"/>
      <c r="DWL102" s="162"/>
      <c r="DWM102" s="162"/>
      <c r="DWN102" s="162"/>
      <c r="DWO102" s="162"/>
      <c r="DWP102" s="162"/>
      <c r="DWQ102" s="162"/>
      <c r="DWR102" s="162"/>
      <c r="DWS102" s="162"/>
      <c r="DWT102" s="162"/>
      <c r="DWU102" s="162"/>
      <c r="DWV102" s="162"/>
      <c r="DWW102" s="162"/>
      <c r="DWX102" s="162"/>
      <c r="DWY102" s="162"/>
      <c r="DWZ102" s="162"/>
      <c r="DXA102" s="162"/>
      <c r="DXB102" s="162"/>
      <c r="DXC102" s="162"/>
      <c r="DXD102" s="162"/>
      <c r="DXE102" s="162"/>
      <c r="DXF102" s="162"/>
      <c r="DXG102" s="162"/>
      <c r="DXH102" s="162"/>
      <c r="DXI102" s="162"/>
      <c r="DXJ102" s="162"/>
      <c r="DXK102" s="162"/>
      <c r="DXL102" s="162"/>
      <c r="DXM102" s="162"/>
      <c r="DXN102" s="162"/>
      <c r="DXO102" s="162"/>
      <c r="DXP102" s="162"/>
      <c r="DXQ102" s="162"/>
      <c r="DXR102" s="162"/>
      <c r="DXS102" s="162"/>
      <c r="DXT102" s="162"/>
      <c r="DXU102" s="162"/>
      <c r="DXV102" s="162"/>
      <c r="DXW102" s="162"/>
      <c r="DXX102" s="162"/>
      <c r="DXY102" s="162"/>
      <c r="DXZ102" s="162"/>
      <c r="DYA102" s="162"/>
      <c r="DYB102" s="162"/>
      <c r="DYC102" s="162"/>
      <c r="DYD102" s="162"/>
      <c r="DYE102" s="162"/>
      <c r="DYF102" s="162"/>
      <c r="DYG102" s="162"/>
      <c r="DYH102" s="162"/>
      <c r="DYI102" s="162"/>
      <c r="DYJ102" s="162"/>
      <c r="DYK102" s="162"/>
      <c r="DYL102" s="162"/>
      <c r="DYM102" s="162"/>
      <c r="DYN102" s="162"/>
      <c r="DYO102" s="162"/>
      <c r="DYP102" s="162"/>
      <c r="DYQ102" s="162"/>
      <c r="DYR102" s="162"/>
      <c r="DYS102" s="162"/>
      <c r="DYT102" s="162"/>
      <c r="DYU102" s="162"/>
      <c r="DYV102" s="162"/>
      <c r="DYW102" s="162"/>
      <c r="DYX102" s="162"/>
      <c r="DYY102" s="162"/>
      <c r="DYZ102" s="162"/>
      <c r="DZA102" s="162"/>
      <c r="DZB102" s="162"/>
      <c r="DZC102" s="162"/>
      <c r="DZD102" s="162"/>
      <c r="DZE102" s="162"/>
      <c r="DZF102" s="162"/>
      <c r="DZG102" s="162"/>
      <c r="DZH102" s="162"/>
      <c r="DZI102" s="162"/>
      <c r="DZJ102" s="162"/>
      <c r="DZK102" s="162"/>
      <c r="DZL102" s="162"/>
      <c r="DZM102" s="162"/>
      <c r="DZN102" s="162"/>
      <c r="DZO102" s="162"/>
      <c r="DZP102" s="162"/>
      <c r="DZQ102" s="162"/>
      <c r="DZR102" s="162"/>
      <c r="DZS102" s="162"/>
      <c r="DZT102" s="162"/>
      <c r="DZU102" s="162"/>
      <c r="DZV102" s="162"/>
      <c r="DZW102" s="162"/>
      <c r="DZX102" s="162"/>
      <c r="DZY102" s="162"/>
      <c r="DZZ102" s="162"/>
      <c r="EAA102" s="162"/>
      <c r="EAB102" s="162"/>
      <c r="EAC102" s="162"/>
      <c r="EAD102" s="162"/>
      <c r="EAE102" s="162"/>
      <c r="EAF102" s="162"/>
      <c r="EAG102" s="162"/>
      <c r="EAH102" s="162"/>
      <c r="EAI102" s="162"/>
      <c r="EAJ102" s="162"/>
      <c r="EAK102" s="162"/>
      <c r="EAL102" s="162"/>
      <c r="EAM102" s="162"/>
      <c r="EAN102" s="162"/>
      <c r="EAO102" s="162"/>
      <c r="EAP102" s="162"/>
      <c r="EAQ102" s="162"/>
      <c r="EAR102" s="162"/>
      <c r="EAS102" s="162"/>
      <c r="EAT102" s="162"/>
      <c r="EAU102" s="162"/>
      <c r="EAV102" s="162"/>
      <c r="EAW102" s="162"/>
      <c r="EAX102" s="162"/>
      <c r="EAY102" s="162"/>
      <c r="EAZ102" s="162"/>
      <c r="EBA102" s="162"/>
      <c r="EBB102" s="162"/>
      <c r="EBC102" s="162"/>
      <c r="EBD102" s="162"/>
      <c r="EBE102" s="162"/>
      <c r="EBF102" s="162"/>
      <c r="EBG102" s="162"/>
      <c r="EBH102" s="162"/>
      <c r="EBI102" s="162"/>
      <c r="EBJ102" s="162"/>
      <c r="EBK102" s="162"/>
      <c r="EBL102" s="162"/>
      <c r="EBM102" s="162"/>
      <c r="EBN102" s="162"/>
      <c r="EBO102" s="162"/>
      <c r="EBP102" s="162"/>
      <c r="EBQ102" s="162"/>
      <c r="EBR102" s="162"/>
      <c r="EBS102" s="162"/>
      <c r="EBT102" s="162"/>
      <c r="EBU102" s="162"/>
      <c r="EBV102" s="162"/>
      <c r="EBW102" s="162"/>
      <c r="EBX102" s="162"/>
      <c r="EBY102" s="162"/>
      <c r="EBZ102" s="162"/>
      <c r="ECA102" s="162"/>
      <c r="ECB102" s="162"/>
      <c r="ECC102" s="162"/>
      <c r="ECD102" s="162"/>
      <c r="ECE102" s="162"/>
      <c r="ECF102" s="162"/>
      <c r="ECG102" s="162"/>
      <c r="ECH102" s="162"/>
      <c r="ECI102" s="162"/>
      <c r="ECJ102" s="162"/>
      <c r="ECK102" s="162"/>
      <c r="ECL102" s="162"/>
      <c r="ECM102" s="162"/>
      <c r="ECN102" s="162"/>
      <c r="ECO102" s="162"/>
      <c r="ECP102" s="162"/>
      <c r="ECQ102" s="162"/>
      <c r="ECR102" s="162"/>
      <c r="ECS102" s="162"/>
      <c r="ECT102" s="162"/>
      <c r="ECU102" s="162"/>
      <c r="ECV102" s="162"/>
      <c r="ECW102" s="162"/>
      <c r="ECX102" s="162"/>
      <c r="ECY102" s="162"/>
      <c r="ECZ102" s="162"/>
      <c r="EDA102" s="162"/>
      <c r="EDB102" s="162"/>
      <c r="EDC102" s="162"/>
      <c r="EDD102" s="162"/>
      <c r="EDE102" s="162"/>
      <c r="EDF102" s="162"/>
      <c r="EDG102" s="162"/>
      <c r="EDH102" s="162"/>
      <c r="EDI102" s="162"/>
      <c r="EDJ102" s="162"/>
      <c r="EDK102" s="162"/>
      <c r="EDL102" s="162"/>
      <c r="EDM102" s="162"/>
      <c r="EDN102" s="162"/>
      <c r="EDO102" s="162"/>
      <c r="EDP102" s="162"/>
      <c r="EDQ102" s="162"/>
      <c r="EDR102" s="162"/>
      <c r="EDS102" s="162"/>
      <c r="EDT102" s="162"/>
      <c r="EDU102" s="162"/>
      <c r="EDV102" s="162"/>
      <c r="EDW102" s="162"/>
      <c r="EDX102" s="162"/>
      <c r="EDY102" s="162"/>
      <c r="EDZ102" s="162"/>
      <c r="EEA102" s="162"/>
      <c r="EEB102" s="162"/>
      <c r="EEC102" s="162"/>
      <c r="EED102" s="162"/>
      <c r="EEE102" s="162"/>
      <c r="EEF102" s="162"/>
      <c r="EEG102" s="162"/>
      <c r="EEH102" s="162"/>
      <c r="EEI102" s="162"/>
      <c r="EEJ102" s="162"/>
      <c r="EEK102" s="162"/>
      <c r="EEL102" s="162"/>
      <c r="EEM102" s="162"/>
      <c r="EEN102" s="162"/>
      <c r="EEO102" s="162"/>
      <c r="EEP102" s="162"/>
      <c r="EEQ102" s="162"/>
      <c r="EER102" s="162"/>
      <c r="EES102" s="162"/>
      <c r="EET102" s="162"/>
      <c r="EEU102" s="162"/>
      <c r="EEV102" s="162"/>
      <c r="EEW102" s="162"/>
      <c r="EEX102" s="162"/>
      <c r="EEY102" s="162"/>
      <c r="EEZ102" s="162"/>
      <c r="EFA102" s="162"/>
      <c r="EFB102" s="162"/>
      <c r="EFC102" s="162"/>
      <c r="EFD102" s="162"/>
      <c r="EFE102" s="162"/>
      <c r="EFF102" s="162"/>
      <c r="EFG102" s="162"/>
      <c r="EFH102" s="162"/>
      <c r="EFI102" s="162"/>
      <c r="EFJ102" s="162"/>
      <c r="EFK102" s="162"/>
      <c r="EFL102" s="162"/>
      <c r="EFM102" s="162"/>
      <c r="EFN102" s="162"/>
      <c r="EFO102" s="162"/>
      <c r="EFP102" s="162"/>
      <c r="EFQ102" s="162"/>
      <c r="EFR102" s="162"/>
      <c r="EFS102" s="162"/>
      <c r="EFT102" s="162"/>
      <c r="EFU102" s="162"/>
      <c r="EFV102" s="162"/>
      <c r="EFW102" s="162"/>
      <c r="EFX102" s="162"/>
      <c r="EFY102" s="162"/>
      <c r="EFZ102" s="162"/>
      <c r="EGA102" s="162"/>
      <c r="EGB102" s="162"/>
      <c r="EGC102" s="162"/>
      <c r="EGD102" s="162"/>
      <c r="EGE102" s="162"/>
      <c r="EGF102" s="162"/>
      <c r="EGG102" s="162"/>
      <c r="EGH102" s="162"/>
      <c r="EGI102" s="162"/>
      <c r="EGJ102" s="162"/>
      <c r="EGK102" s="162"/>
      <c r="EGL102" s="162"/>
      <c r="EGM102" s="162"/>
      <c r="EGN102" s="162"/>
      <c r="EGO102" s="162"/>
      <c r="EGP102" s="162"/>
      <c r="EGQ102" s="162"/>
      <c r="EGR102" s="162"/>
      <c r="EGS102" s="162"/>
      <c r="EGT102" s="162"/>
      <c r="EGU102" s="162"/>
      <c r="EGV102" s="162"/>
      <c r="EGW102" s="162"/>
      <c r="EGX102" s="162"/>
      <c r="EGY102" s="162"/>
      <c r="EGZ102" s="162"/>
      <c r="EHA102" s="162"/>
      <c r="EHB102" s="162"/>
      <c r="EHC102" s="162"/>
      <c r="EHD102" s="162"/>
      <c r="EHE102" s="162"/>
      <c r="EHF102" s="162"/>
      <c r="EHG102" s="162"/>
      <c r="EHH102" s="162"/>
      <c r="EHI102" s="162"/>
      <c r="EHJ102" s="162"/>
      <c r="EHK102" s="162"/>
      <c r="EHL102" s="162"/>
      <c r="EHM102" s="162"/>
      <c r="EHN102" s="162"/>
      <c r="EHO102" s="162"/>
      <c r="EHP102" s="162"/>
      <c r="EHQ102" s="162"/>
      <c r="EHR102" s="162"/>
      <c r="EHS102" s="162"/>
      <c r="EHT102" s="162"/>
      <c r="EHU102" s="162"/>
      <c r="EHV102" s="162"/>
      <c r="EHW102" s="162"/>
      <c r="EHX102" s="162"/>
      <c r="EHY102" s="162"/>
      <c r="EHZ102" s="162"/>
      <c r="EIA102" s="162"/>
      <c r="EIB102" s="162"/>
      <c r="EIC102" s="162"/>
      <c r="EID102" s="162"/>
      <c r="EIE102" s="162"/>
      <c r="EIF102" s="162"/>
      <c r="EIG102" s="162"/>
      <c r="EIH102" s="162"/>
      <c r="EII102" s="162"/>
      <c r="EIJ102" s="162"/>
      <c r="EIK102" s="162"/>
      <c r="EIL102" s="162"/>
      <c r="EIM102" s="162"/>
      <c r="EIN102" s="162"/>
      <c r="EIO102" s="162"/>
      <c r="EIP102" s="162"/>
      <c r="EIQ102" s="162"/>
      <c r="EIR102" s="162"/>
      <c r="EIS102" s="162"/>
      <c r="EIT102" s="162"/>
      <c r="EIU102" s="162"/>
      <c r="EIV102" s="162"/>
      <c r="EIW102" s="162"/>
      <c r="EIX102" s="162"/>
      <c r="EIY102" s="162"/>
      <c r="EIZ102" s="162"/>
      <c r="EJA102" s="162"/>
      <c r="EJB102" s="162"/>
      <c r="EJC102" s="162"/>
      <c r="EJD102" s="162"/>
      <c r="EJE102" s="162"/>
      <c r="EJF102" s="162"/>
      <c r="EJG102" s="162"/>
      <c r="EJH102" s="162"/>
      <c r="EJI102" s="162"/>
      <c r="EJJ102" s="162"/>
      <c r="EJK102" s="162"/>
      <c r="EJL102" s="162"/>
      <c r="EJM102" s="162"/>
      <c r="EJN102" s="162"/>
      <c r="EJO102" s="162"/>
      <c r="EJP102" s="162"/>
      <c r="EJQ102" s="162"/>
      <c r="EJR102" s="162"/>
      <c r="EJS102" s="162"/>
      <c r="EJT102" s="162"/>
      <c r="EJU102" s="162"/>
      <c r="EJV102" s="162"/>
      <c r="EJW102" s="162"/>
      <c r="EJX102" s="162"/>
      <c r="EJY102" s="162"/>
      <c r="EJZ102" s="162"/>
      <c r="EKA102" s="162"/>
      <c r="EKB102" s="162"/>
      <c r="EKC102" s="162"/>
      <c r="EKD102" s="162"/>
      <c r="EKE102" s="162"/>
      <c r="EKF102" s="162"/>
      <c r="EKG102" s="162"/>
      <c r="EKH102" s="162"/>
      <c r="EKI102" s="162"/>
      <c r="EKJ102" s="162"/>
      <c r="EKK102" s="162"/>
      <c r="EKL102" s="162"/>
      <c r="EKM102" s="162"/>
      <c r="EKN102" s="162"/>
      <c r="EKO102" s="162"/>
      <c r="EKP102" s="162"/>
      <c r="EKQ102" s="162"/>
      <c r="EKR102" s="162"/>
      <c r="EKS102" s="162"/>
      <c r="EKT102" s="162"/>
      <c r="EKU102" s="162"/>
      <c r="EKV102" s="162"/>
      <c r="EKW102" s="162"/>
      <c r="EKX102" s="162"/>
      <c r="EKY102" s="162"/>
      <c r="EKZ102" s="162"/>
      <c r="ELA102" s="162"/>
      <c r="ELB102" s="162"/>
      <c r="ELC102" s="162"/>
      <c r="ELD102" s="162"/>
      <c r="ELE102" s="162"/>
      <c r="ELF102" s="162"/>
      <c r="ELG102" s="162"/>
      <c r="ELH102" s="162"/>
      <c r="ELI102" s="162"/>
      <c r="ELJ102" s="162"/>
      <c r="ELK102" s="162"/>
      <c r="ELL102" s="162"/>
      <c r="ELM102" s="162"/>
      <c r="ELN102" s="162"/>
      <c r="ELO102" s="162"/>
      <c r="ELP102" s="162"/>
      <c r="ELQ102" s="162"/>
      <c r="ELR102" s="162"/>
      <c r="ELS102" s="162"/>
      <c r="ELT102" s="162"/>
      <c r="ELU102" s="162"/>
      <c r="ELV102" s="162"/>
      <c r="ELW102" s="162"/>
      <c r="ELX102" s="162"/>
      <c r="ELY102" s="162"/>
      <c r="ELZ102" s="162"/>
      <c r="EMA102" s="162"/>
      <c r="EMB102" s="162"/>
      <c r="EMC102" s="162"/>
      <c r="EMD102" s="162"/>
      <c r="EME102" s="162"/>
      <c r="EMF102" s="162"/>
      <c r="EMG102" s="162"/>
      <c r="EMH102" s="162"/>
      <c r="EMI102" s="162"/>
      <c r="EMJ102" s="162"/>
      <c r="EMK102" s="162"/>
      <c r="EML102" s="162"/>
      <c r="EMM102" s="162"/>
      <c r="EMN102" s="162"/>
      <c r="EMO102" s="162"/>
      <c r="EMP102" s="162"/>
      <c r="EMQ102" s="162"/>
      <c r="EMR102" s="162"/>
      <c r="EMS102" s="162"/>
      <c r="EMT102" s="162"/>
      <c r="EMU102" s="162"/>
      <c r="EMV102" s="162"/>
      <c r="EMW102" s="162"/>
      <c r="EMX102" s="162"/>
      <c r="EMY102" s="162"/>
      <c r="EMZ102" s="162"/>
      <c r="ENA102" s="162"/>
      <c r="ENB102" s="162"/>
      <c r="ENC102" s="162"/>
      <c r="END102" s="162"/>
      <c r="ENE102" s="162"/>
      <c r="ENF102" s="162"/>
      <c r="ENG102" s="162"/>
      <c r="ENH102" s="162"/>
      <c r="ENI102" s="162"/>
      <c r="ENJ102" s="162"/>
      <c r="ENK102" s="162"/>
      <c r="ENL102" s="162"/>
      <c r="ENM102" s="162"/>
      <c r="ENN102" s="162"/>
      <c r="ENO102" s="162"/>
      <c r="ENP102" s="162"/>
      <c r="ENQ102" s="162"/>
      <c r="ENR102" s="162"/>
      <c r="ENS102" s="162"/>
      <c r="ENT102" s="162"/>
      <c r="ENU102" s="162"/>
      <c r="ENV102" s="162"/>
      <c r="ENW102" s="162"/>
      <c r="ENX102" s="162"/>
      <c r="ENY102" s="162"/>
      <c r="ENZ102" s="162"/>
      <c r="EOA102" s="162"/>
      <c r="EOB102" s="162"/>
      <c r="EOC102" s="162"/>
      <c r="EOD102" s="162"/>
      <c r="EOE102" s="162"/>
      <c r="EOF102" s="162"/>
      <c r="EOG102" s="162"/>
      <c r="EOH102" s="162"/>
      <c r="EOI102" s="162"/>
      <c r="EOJ102" s="162"/>
      <c r="EOK102" s="162"/>
      <c r="EOL102" s="162"/>
      <c r="EOM102" s="162"/>
      <c r="EON102" s="162"/>
      <c r="EOO102" s="162"/>
      <c r="EOP102" s="162"/>
      <c r="EOQ102" s="162"/>
      <c r="EOR102" s="162"/>
      <c r="EOS102" s="162"/>
      <c r="EOT102" s="162"/>
      <c r="EOU102" s="162"/>
      <c r="EOV102" s="162"/>
      <c r="EOW102" s="162"/>
      <c r="EOX102" s="162"/>
      <c r="EOY102" s="162"/>
      <c r="EOZ102" s="162"/>
      <c r="EPA102" s="162"/>
      <c r="EPB102" s="162"/>
      <c r="EPC102" s="162"/>
      <c r="EPD102" s="162"/>
      <c r="EPE102" s="162"/>
      <c r="EPF102" s="162"/>
      <c r="EPG102" s="162"/>
      <c r="EPH102" s="162"/>
      <c r="EPI102" s="162"/>
      <c r="EPJ102" s="162"/>
      <c r="EPK102" s="162"/>
      <c r="EPL102" s="162"/>
      <c r="EPM102" s="162"/>
      <c r="EPN102" s="162"/>
      <c r="EPO102" s="162"/>
      <c r="EPP102" s="162"/>
      <c r="EPQ102" s="162"/>
      <c r="EPR102" s="162"/>
      <c r="EPS102" s="162"/>
      <c r="EPT102" s="162"/>
      <c r="EPU102" s="162"/>
      <c r="EPV102" s="162"/>
      <c r="EPW102" s="162"/>
      <c r="EPX102" s="162"/>
      <c r="EPY102" s="162"/>
      <c r="EPZ102" s="162"/>
      <c r="EQA102" s="162"/>
      <c r="EQB102" s="162"/>
      <c r="EQC102" s="162"/>
      <c r="EQD102" s="162"/>
      <c r="EQE102" s="162"/>
      <c r="EQF102" s="162"/>
      <c r="EQG102" s="162"/>
      <c r="EQH102" s="162"/>
      <c r="EQI102" s="162"/>
      <c r="EQJ102" s="162"/>
      <c r="EQK102" s="162"/>
      <c r="EQL102" s="162"/>
      <c r="EQM102" s="162"/>
      <c r="EQN102" s="162"/>
      <c r="EQO102" s="162"/>
      <c r="EQP102" s="162"/>
      <c r="EQQ102" s="162"/>
      <c r="EQR102" s="162"/>
      <c r="EQS102" s="162"/>
      <c r="EQT102" s="162"/>
      <c r="EQU102" s="162"/>
      <c r="EQV102" s="162"/>
      <c r="EQW102" s="162"/>
      <c r="EQX102" s="162"/>
      <c r="EQY102" s="162"/>
      <c r="EQZ102" s="162"/>
      <c r="ERA102" s="162"/>
      <c r="ERB102" s="162"/>
      <c r="ERC102" s="162"/>
      <c r="ERD102" s="162"/>
      <c r="ERE102" s="162"/>
      <c r="ERF102" s="162"/>
      <c r="ERG102" s="162"/>
      <c r="ERH102" s="162"/>
      <c r="ERI102" s="162"/>
      <c r="ERJ102" s="162"/>
      <c r="ERK102" s="162"/>
      <c r="ERL102" s="162"/>
      <c r="ERM102" s="162"/>
      <c r="ERN102" s="162"/>
      <c r="ERO102" s="162"/>
      <c r="ERP102" s="162"/>
      <c r="ERQ102" s="162"/>
      <c r="ERR102" s="162"/>
      <c r="ERS102" s="162"/>
      <c r="ERT102" s="162"/>
      <c r="ERU102" s="162"/>
      <c r="ERV102" s="162"/>
      <c r="ERW102" s="162"/>
      <c r="ERX102" s="162"/>
      <c r="ERY102" s="162"/>
      <c r="ERZ102" s="162"/>
      <c r="ESA102" s="162"/>
      <c r="ESB102" s="162"/>
      <c r="ESC102" s="162"/>
      <c r="ESD102" s="162"/>
      <c r="ESE102" s="162"/>
      <c r="ESF102" s="162"/>
      <c r="ESG102" s="162"/>
      <c r="ESH102" s="162"/>
      <c r="ESI102" s="162"/>
      <c r="ESJ102" s="162"/>
      <c r="ESK102" s="162"/>
      <c r="ESL102" s="162"/>
      <c r="ESM102" s="162"/>
      <c r="ESN102" s="162"/>
      <c r="ESO102" s="162"/>
      <c r="ESP102" s="162"/>
      <c r="ESQ102" s="162"/>
      <c r="ESR102" s="162"/>
      <c r="ESS102" s="162"/>
      <c r="EST102" s="162"/>
      <c r="ESU102" s="162"/>
      <c r="ESV102" s="162"/>
      <c r="ESW102" s="162"/>
      <c r="ESX102" s="162"/>
      <c r="ESY102" s="162"/>
      <c r="ESZ102" s="162"/>
      <c r="ETA102" s="162"/>
      <c r="ETB102" s="162"/>
      <c r="ETC102" s="162"/>
      <c r="ETD102" s="162"/>
      <c r="ETE102" s="162"/>
      <c r="ETF102" s="162"/>
      <c r="ETG102" s="162"/>
      <c r="ETH102" s="162"/>
      <c r="ETI102" s="162"/>
      <c r="ETJ102" s="162"/>
      <c r="ETK102" s="162"/>
      <c r="ETL102" s="162"/>
      <c r="ETM102" s="162"/>
      <c r="ETN102" s="162"/>
      <c r="ETO102" s="162"/>
      <c r="ETP102" s="162"/>
      <c r="ETQ102" s="162"/>
      <c r="ETR102" s="162"/>
      <c r="ETS102" s="162"/>
      <c r="ETT102" s="162"/>
      <c r="ETU102" s="162"/>
      <c r="ETV102" s="162"/>
      <c r="ETW102" s="162"/>
      <c r="ETX102" s="162"/>
      <c r="ETY102" s="162"/>
      <c r="ETZ102" s="162"/>
      <c r="EUA102" s="162"/>
      <c r="EUB102" s="162"/>
      <c r="EUC102" s="162"/>
      <c r="EUD102" s="162"/>
      <c r="EUE102" s="162"/>
      <c r="EUF102" s="162"/>
      <c r="EUG102" s="162"/>
      <c r="EUH102" s="162"/>
      <c r="EUI102" s="162"/>
      <c r="EUJ102" s="162"/>
      <c r="EUK102" s="162"/>
      <c r="EUL102" s="162"/>
      <c r="EUM102" s="162"/>
      <c r="EUN102" s="162"/>
      <c r="EUO102" s="162"/>
      <c r="EUP102" s="162"/>
      <c r="EUQ102" s="162"/>
      <c r="EUR102" s="162"/>
      <c r="EUS102" s="162"/>
      <c r="EUT102" s="162"/>
      <c r="EUU102" s="162"/>
      <c r="EUV102" s="162"/>
      <c r="EUW102" s="162"/>
      <c r="EUX102" s="162"/>
      <c r="EUY102" s="162"/>
      <c r="EUZ102" s="162"/>
      <c r="EVA102" s="162"/>
      <c r="EVB102" s="162"/>
      <c r="EVC102" s="162"/>
      <c r="EVD102" s="162"/>
      <c r="EVE102" s="162"/>
      <c r="EVF102" s="162"/>
      <c r="EVG102" s="162"/>
      <c r="EVH102" s="162"/>
      <c r="EVI102" s="162"/>
      <c r="EVJ102" s="162"/>
      <c r="EVK102" s="162"/>
      <c r="EVL102" s="162"/>
      <c r="EVM102" s="162"/>
      <c r="EVN102" s="162"/>
      <c r="EVO102" s="162"/>
      <c r="EVP102" s="162"/>
      <c r="EVQ102" s="162"/>
      <c r="EVR102" s="162"/>
      <c r="EVS102" s="162"/>
      <c r="EVT102" s="162"/>
      <c r="EVU102" s="162"/>
      <c r="EVV102" s="162"/>
      <c r="EVW102" s="162"/>
      <c r="EVX102" s="162"/>
      <c r="EVY102" s="162"/>
      <c r="EVZ102" s="162"/>
      <c r="EWA102" s="162"/>
      <c r="EWB102" s="162"/>
      <c r="EWC102" s="162"/>
      <c r="EWD102" s="162"/>
      <c r="EWE102" s="162"/>
      <c r="EWF102" s="162"/>
      <c r="EWG102" s="162"/>
      <c r="EWH102" s="162"/>
      <c r="EWI102" s="162"/>
      <c r="EWJ102" s="162"/>
      <c r="EWK102" s="162"/>
      <c r="EWL102" s="162"/>
      <c r="EWM102" s="162"/>
      <c r="EWN102" s="162"/>
      <c r="EWO102" s="162"/>
      <c r="EWP102" s="162"/>
      <c r="EWQ102" s="162"/>
      <c r="EWR102" s="162"/>
      <c r="EWS102" s="162"/>
      <c r="EWT102" s="162"/>
      <c r="EWU102" s="162"/>
      <c r="EWV102" s="162"/>
      <c r="EWW102" s="162"/>
      <c r="EWX102" s="162"/>
      <c r="EWY102" s="162"/>
      <c r="EWZ102" s="162"/>
      <c r="EXA102" s="162"/>
      <c r="EXB102" s="162"/>
      <c r="EXC102" s="162"/>
      <c r="EXD102" s="162"/>
      <c r="EXE102" s="162"/>
      <c r="EXF102" s="162"/>
      <c r="EXG102" s="162"/>
      <c r="EXH102" s="162"/>
      <c r="EXI102" s="162"/>
      <c r="EXJ102" s="162"/>
      <c r="EXK102" s="162"/>
      <c r="EXL102" s="162"/>
      <c r="EXM102" s="162"/>
      <c r="EXN102" s="162"/>
      <c r="EXO102" s="162"/>
      <c r="EXP102" s="162"/>
      <c r="EXQ102" s="162"/>
      <c r="EXR102" s="162"/>
      <c r="EXS102" s="162"/>
      <c r="EXT102" s="162"/>
      <c r="EXU102" s="162"/>
      <c r="EXV102" s="162"/>
      <c r="EXW102" s="162"/>
      <c r="EXX102" s="162"/>
      <c r="EXY102" s="162"/>
      <c r="EXZ102" s="162"/>
      <c r="EYA102" s="162"/>
      <c r="EYB102" s="162"/>
      <c r="EYC102" s="162"/>
      <c r="EYD102" s="162"/>
      <c r="EYE102" s="162"/>
      <c r="EYF102" s="162"/>
      <c r="EYG102" s="162"/>
      <c r="EYH102" s="162"/>
      <c r="EYI102" s="162"/>
      <c r="EYJ102" s="162"/>
      <c r="EYK102" s="162"/>
      <c r="EYL102" s="162"/>
      <c r="EYM102" s="162"/>
      <c r="EYN102" s="162"/>
      <c r="EYO102" s="162"/>
      <c r="EYP102" s="162"/>
      <c r="EYQ102" s="162"/>
      <c r="EYR102" s="162"/>
      <c r="EYS102" s="162"/>
      <c r="EYT102" s="162"/>
      <c r="EYU102" s="162"/>
      <c r="EYV102" s="162"/>
      <c r="EYW102" s="162"/>
      <c r="EYX102" s="162"/>
      <c r="EYY102" s="162"/>
      <c r="EYZ102" s="162"/>
      <c r="EZA102" s="162"/>
      <c r="EZB102" s="162"/>
      <c r="EZC102" s="162"/>
      <c r="EZD102" s="162"/>
      <c r="EZE102" s="162"/>
      <c r="EZF102" s="162"/>
      <c r="EZG102" s="162"/>
      <c r="EZH102" s="162"/>
      <c r="EZI102" s="162"/>
      <c r="EZJ102" s="162"/>
      <c r="EZK102" s="162"/>
      <c r="EZL102" s="162"/>
      <c r="EZM102" s="162"/>
      <c r="EZN102" s="162"/>
      <c r="EZO102" s="162"/>
      <c r="EZP102" s="162"/>
      <c r="EZQ102" s="162"/>
      <c r="EZR102" s="162"/>
      <c r="EZS102" s="162"/>
      <c r="EZT102" s="162"/>
      <c r="EZU102" s="162"/>
      <c r="EZV102" s="162"/>
      <c r="EZW102" s="162"/>
      <c r="EZX102" s="162"/>
      <c r="EZY102" s="162"/>
      <c r="EZZ102" s="162"/>
      <c r="FAA102" s="162"/>
      <c r="FAB102" s="162"/>
      <c r="FAC102" s="162"/>
      <c r="FAD102" s="162"/>
      <c r="FAE102" s="162"/>
      <c r="FAF102" s="162"/>
      <c r="FAG102" s="162"/>
      <c r="FAH102" s="162"/>
      <c r="FAI102" s="162"/>
      <c r="FAJ102" s="162"/>
      <c r="FAK102" s="162"/>
      <c r="FAL102" s="162"/>
      <c r="FAM102" s="162"/>
      <c r="FAN102" s="162"/>
      <c r="FAO102" s="162"/>
      <c r="FAP102" s="162"/>
      <c r="FAQ102" s="162"/>
      <c r="FAR102" s="162"/>
      <c r="FAS102" s="162"/>
      <c r="FAT102" s="162"/>
      <c r="FAU102" s="162"/>
      <c r="FAV102" s="162"/>
      <c r="FAW102" s="162"/>
      <c r="FAX102" s="162"/>
      <c r="FAY102" s="162"/>
      <c r="FAZ102" s="162"/>
      <c r="FBA102" s="162"/>
      <c r="FBB102" s="162"/>
      <c r="FBC102" s="162"/>
      <c r="FBD102" s="162"/>
      <c r="FBE102" s="162"/>
      <c r="FBF102" s="162"/>
      <c r="FBG102" s="162"/>
      <c r="FBH102" s="162"/>
      <c r="FBI102" s="162"/>
      <c r="FBJ102" s="162"/>
      <c r="FBK102" s="162"/>
      <c r="FBL102" s="162"/>
      <c r="FBM102" s="162"/>
      <c r="FBN102" s="162"/>
      <c r="FBO102" s="162"/>
      <c r="FBP102" s="162"/>
      <c r="FBQ102" s="162"/>
      <c r="FBR102" s="162"/>
      <c r="FBS102" s="162"/>
      <c r="FBT102" s="162"/>
      <c r="FBU102" s="162"/>
      <c r="FBV102" s="162"/>
      <c r="FBW102" s="162"/>
      <c r="FBX102" s="162"/>
      <c r="FBY102" s="162"/>
      <c r="FBZ102" s="162"/>
      <c r="FCA102" s="162"/>
      <c r="FCB102" s="162"/>
      <c r="FCC102" s="162"/>
      <c r="FCD102" s="162"/>
      <c r="FCE102" s="162"/>
      <c r="FCF102" s="162"/>
      <c r="FCG102" s="162"/>
      <c r="FCH102" s="162"/>
      <c r="FCI102" s="162"/>
      <c r="FCJ102" s="162"/>
      <c r="FCK102" s="162"/>
      <c r="FCL102" s="162"/>
      <c r="FCM102" s="162"/>
      <c r="FCN102" s="162"/>
      <c r="FCO102" s="162"/>
      <c r="FCP102" s="162"/>
      <c r="FCQ102" s="162"/>
      <c r="FCR102" s="162"/>
      <c r="FCS102" s="162"/>
      <c r="FCT102" s="162"/>
      <c r="FCU102" s="162"/>
      <c r="FCV102" s="162"/>
      <c r="FCW102" s="162"/>
      <c r="FCX102" s="162"/>
      <c r="FCY102" s="162"/>
      <c r="FCZ102" s="162"/>
      <c r="FDA102" s="162"/>
      <c r="FDB102" s="162"/>
      <c r="FDC102" s="162"/>
      <c r="FDD102" s="162"/>
      <c r="FDE102" s="162"/>
      <c r="FDF102" s="162"/>
      <c r="FDG102" s="162"/>
      <c r="FDH102" s="162"/>
      <c r="FDI102" s="162"/>
      <c r="FDJ102" s="162"/>
      <c r="FDK102" s="162"/>
      <c r="FDL102" s="162"/>
      <c r="FDM102" s="162"/>
      <c r="FDN102" s="162"/>
      <c r="FDO102" s="162"/>
      <c r="FDP102" s="162"/>
      <c r="FDQ102" s="162"/>
      <c r="FDR102" s="162"/>
      <c r="FDS102" s="162"/>
      <c r="FDT102" s="162"/>
      <c r="FDU102" s="162"/>
      <c r="FDV102" s="162"/>
      <c r="FDW102" s="162"/>
      <c r="FDX102" s="162"/>
      <c r="FDY102" s="162"/>
      <c r="FDZ102" s="162"/>
      <c r="FEA102" s="162"/>
      <c r="FEB102" s="162"/>
      <c r="FEC102" s="162"/>
      <c r="FED102" s="162"/>
      <c r="FEE102" s="162"/>
      <c r="FEF102" s="162"/>
      <c r="FEG102" s="162"/>
      <c r="FEH102" s="162"/>
      <c r="FEI102" s="162"/>
      <c r="FEJ102" s="162"/>
      <c r="FEK102" s="162"/>
      <c r="FEL102" s="162"/>
      <c r="FEM102" s="162"/>
      <c r="FEN102" s="162"/>
      <c r="FEO102" s="162"/>
      <c r="FEP102" s="162"/>
      <c r="FEQ102" s="162"/>
      <c r="FER102" s="162"/>
      <c r="FES102" s="162"/>
      <c r="FET102" s="162"/>
      <c r="FEU102" s="162"/>
      <c r="FEV102" s="162"/>
      <c r="FEW102" s="162"/>
      <c r="FEX102" s="162"/>
      <c r="FEY102" s="162"/>
      <c r="FEZ102" s="162"/>
      <c r="FFA102" s="162"/>
      <c r="FFB102" s="162"/>
      <c r="FFC102" s="162"/>
      <c r="FFD102" s="162"/>
      <c r="FFE102" s="162"/>
      <c r="FFF102" s="162"/>
      <c r="FFG102" s="162"/>
      <c r="FFH102" s="162"/>
      <c r="FFI102" s="162"/>
      <c r="FFJ102" s="162"/>
      <c r="FFK102" s="162"/>
      <c r="FFL102" s="162"/>
      <c r="FFM102" s="162"/>
      <c r="FFN102" s="162"/>
      <c r="FFO102" s="162"/>
      <c r="FFP102" s="162"/>
      <c r="FFQ102" s="162"/>
      <c r="FFR102" s="162"/>
      <c r="FFS102" s="162"/>
      <c r="FFT102" s="162"/>
      <c r="FFU102" s="162"/>
      <c r="FFV102" s="162"/>
      <c r="FFW102" s="162"/>
      <c r="FFX102" s="162"/>
      <c r="FFY102" s="162"/>
      <c r="FFZ102" s="162"/>
      <c r="FGA102" s="162"/>
      <c r="FGB102" s="162"/>
      <c r="FGC102" s="162"/>
      <c r="FGD102" s="162"/>
      <c r="FGE102" s="162"/>
      <c r="FGF102" s="162"/>
      <c r="FGG102" s="162"/>
      <c r="FGH102" s="162"/>
      <c r="FGI102" s="162"/>
      <c r="FGJ102" s="162"/>
      <c r="FGK102" s="162"/>
      <c r="FGL102" s="162"/>
      <c r="FGM102" s="162"/>
      <c r="FGN102" s="162"/>
      <c r="FGO102" s="162"/>
      <c r="FGP102" s="162"/>
      <c r="FGQ102" s="162"/>
      <c r="FGR102" s="162"/>
      <c r="FGS102" s="162"/>
      <c r="FGT102" s="162"/>
      <c r="FGU102" s="162"/>
      <c r="FGV102" s="162"/>
      <c r="FGW102" s="162"/>
      <c r="FGX102" s="162"/>
      <c r="FGY102" s="162"/>
      <c r="FGZ102" s="162"/>
      <c r="FHA102" s="162"/>
      <c r="FHB102" s="162"/>
      <c r="FHC102" s="162"/>
      <c r="FHD102" s="162"/>
      <c r="FHE102" s="162"/>
      <c r="FHF102" s="162"/>
      <c r="FHG102" s="162"/>
      <c r="FHH102" s="162"/>
      <c r="FHI102" s="162"/>
      <c r="FHJ102" s="162"/>
      <c r="FHK102" s="162"/>
      <c r="FHL102" s="162"/>
      <c r="FHM102" s="162"/>
      <c r="FHN102" s="162"/>
      <c r="FHO102" s="162"/>
      <c r="FHP102" s="162"/>
      <c r="FHQ102" s="162"/>
      <c r="FHR102" s="162"/>
      <c r="FHS102" s="162"/>
      <c r="FHT102" s="162"/>
      <c r="FHU102" s="162"/>
      <c r="FHV102" s="162"/>
      <c r="FHW102" s="162"/>
      <c r="FHX102" s="162"/>
      <c r="FHY102" s="162"/>
      <c r="FHZ102" s="162"/>
      <c r="FIA102" s="162"/>
      <c r="FIB102" s="162"/>
      <c r="FIC102" s="162"/>
      <c r="FID102" s="162"/>
      <c r="FIE102" s="162"/>
      <c r="FIF102" s="162"/>
      <c r="FIG102" s="162"/>
      <c r="FIH102" s="162"/>
      <c r="FII102" s="162"/>
      <c r="FIJ102" s="162"/>
      <c r="FIK102" s="162"/>
      <c r="FIL102" s="162"/>
      <c r="FIM102" s="162"/>
      <c r="FIN102" s="162"/>
      <c r="FIO102" s="162"/>
      <c r="FIP102" s="162"/>
      <c r="FIQ102" s="162"/>
      <c r="FIR102" s="162"/>
      <c r="FIS102" s="162"/>
      <c r="FIT102" s="162"/>
      <c r="FIU102" s="162"/>
      <c r="FIV102" s="162"/>
      <c r="FIW102" s="162"/>
      <c r="FIX102" s="162"/>
      <c r="FIY102" s="162"/>
      <c r="FIZ102" s="162"/>
      <c r="FJA102" s="162"/>
      <c r="FJB102" s="162"/>
      <c r="FJC102" s="162"/>
      <c r="FJD102" s="162"/>
      <c r="FJE102" s="162"/>
      <c r="FJF102" s="162"/>
      <c r="FJG102" s="162"/>
      <c r="FJH102" s="162"/>
      <c r="FJI102" s="162"/>
      <c r="FJJ102" s="162"/>
      <c r="FJK102" s="162"/>
      <c r="FJL102" s="162"/>
      <c r="FJM102" s="162"/>
      <c r="FJN102" s="162"/>
      <c r="FJO102" s="162"/>
      <c r="FJP102" s="162"/>
      <c r="FJQ102" s="162"/>
      <c r="FJR102" s="162"/>
      <c r="FJS102" s="162"/>
      <c r="FJT102" s="162"/>
      <c r="FJU102" s="162"/>
      <c r="FJV102" s="162"/>
      <c r="FJW102" s="162"/>
      <c r="FJX102" s="162"/>
      <c r="FJY102" s="162"/>
      <c r="FJZ102" s="162"/>
      <c r="FKA102" s="162"/>
      <c r="FKB102" s="162"/>
      <c r="FKC102" s="162"/>
      <c r="FKD102" s="162"/>
      <c r="FKE102" s="162"/>
      <c r="FKF102" s="162"/>
      <c r="FKG102" s="162"/>
      <c r="FKH102" s="162"/>
      <c r="FKI102" s="162"/>
      <c r="FKJ102" s="162"/>
      <c r="FKK102" s="162"/>
      <c r="FKL102" s="162"/>
      <c r="FKM102" s="162"/>
      <c r="FKN102" s="162"/>
      <c r="FKO102" s="162"/>
      <c r="FKP102" s="162"/>
      <c r="FKQ102" s="162"/>
      <c r="FKR102" s="162"/>
      <c r="FKS102" s="162"/>
      <c r="FKT102" s="162"/>
      <c r="FKU102" s="162"/>
      <c r="FKV102" s="162"/>
      <c r="FKW102" s="162"/>
      <c r="FKX102" s="162"/>
      <c r="FKY102" s="162"/>
      <c r="FKZ102" s="162"/>
      <c r="FLA102" s="162"/>
      <c r="FLB102" s="162"/>
      <c r="FLC102" s="162"/>
      <c r="FLD102" s="162"/>
      <c r="FLE102" s="162"/>
      <c r="FLF102" s="162"/>
      <c r="FLG102" s="162"/>
      <c r="FLH102" s="162"/>
      <c r="FLI102" s="162"/>
      <c r="FLJ102" s="162"/>
      <c r="FLK102" s="162"/>
      <c r="FLL102" s="162"/>
      <c r="FLM102" s="162"/>
      <c r="FLN102" s="162"/>
      <c r="FLO102" s="162"/>
      <c r="FLP102" s="162"/>
      <c r="FLQ102" s="162"/>
      <c r="FLR102" s="162"/>
      <c r="FLS102" s="162"/>
      <c r="FLT102" s="162"/>
      <c r="FLU102" s="162"/>
      <c r="FLV102" s="162"/>
      <c r="FLW102" s="162"/>
      <c r="FLX102" s="162"/>
      <c r="FLY102" s="162"/>
      <c r="FLZ102" s="162"/>
      <c r="FMA102" s="162"/>
      <c r="FMB102" s="162"/>
      <c r="FMC102" s="162"/>
      <c r="FMD102" s="162"/>
      <c r="FME102" s="162"/>
      <c r="FMF102" s="162"/>
      <c r="FMG102" s="162"/>
      <c r="FMH102" s="162"/>
      <c r="FMI102" s="162"/>
      <c r="FMJ102" s="162"/>
      <c r="FMK102" s="162"/>
      <c r="FML102" s="162"/>
      <c r="FMM102" s="162"/>
      <c r="FMN102" s="162"/>
      <c r="FMO102" s="162"/>
      <c r="FMP102" s="162"/>
      <c r="FMQ102" s="162"/>
      <c r="FMR102" s="162"/>
      <c r="FMS102" s="162"/>
      <c r="FMT102" s="162"/>
      <c r="FMU102" s="162"/>
      <c r="FMV102" s="162"/>
      <c r="FMW102" s="162"/>
      <c r="FMX102" s="162"/>
      <c r="FMY102" s="162"/>
      <c r="FMZ102" s="162"/>
      <c r="FNA102" s="162"/>
      <c r="FNB102" s="162"/>
      <c r="FNC102" s="162"/>
      <c r="FND102" s="162"/>
      <c r="FNE102" s="162"/>
      <c r="FNF102" s="162"/>
      <c r="FNG102" s="162"/>
      <c r="FNH102" s="162"/>
      <c r="FNI102" s="162"/>
      <c r="FNJ102" s="162"/>
      <c r="FNK102" s="162"/>
      <c r="FNL102" s="162"/>
      <c r="FNM102" s="162"/>
      <c r="FNN102" s="162"/>
      <c r="FNO102" s="162"/>
      <c r="FNP102" s="162"/>
      <c r="FNQ102" s="162"/>
      <c r="FNR102" s="162"/>
      <c r="FNS102" s="162"/>
      <c r="FNT102" s="162"/>
      <c r="FNU102" s="162"/>
      <c r="FNV102" s="162"/>
      <c r="FNW102" s="162"/>
      <c r="FNX102" s="162"/>
      <c r="FNY102" s="162"/>
      <c r="FNZ102" s="162"/>
      <c r="FOA102" s="162"/>
      <c r="FOB102" s="162"/>
      <c r="FOC102" s="162"/>
      <c r="FOD102" s="162"/>
      <c r="FOE102" s="162"/>
      <c r="FOF102" s="162"/>
      <c r="FOG102" s="162"/>
      <c r="FOH102" s="162"/>
      <c r="FOI102" s="162"/>
      <c r="FOJ102" s="162"/>
      <c r="FOK102" s="162"/>
      <c r="FOL102" s="162"/>
      <c r="FOM102" s="162"/>
      <c r="FON102" s="162"/>
      <c r="FOO102" s="162"/>
      <c r="FOP102" s="162"/>
      <c r="FOQ102" s="162"/>
      <c r="FOR102" s="162"/>
      <c r="FOS102" s="162"/>
      <c r="FOT102" s="162"/>
      <c r="FOU102" s="162"/>
      <c r="FOV102" s="162"/>
      <c r="FOW102" s="162"/>
      <c r="FOX102" s="162"/>
      <c r="FOY102" s="162"/>
      <c r="FOZ102" s="162"/>
      <c r="FPA102" s="162"/>
      <c r="FPB102" s="162"/>
      <c r="FPC102" s="162"/>
      <c r="FPD102" s="162"/>
      <c r="FPE102" s="162"/>
      <c r="FPF102" s="162"/>
      <c r="FPG102" s="162"/>
      <c r="FPH102" s="162"/>
      <c r="FPI102" s="162"/>
      <c r="FPJ102" s="162"/>
      <c r="FPK102" s="162"/>
      <c r="FPL102" s="162"/>
      <c r="FPM102" s="162"/>
      <c r="FPN102" s="162"/>
      <c r="FPO102" s="162"/>
      <c r="FPP102" s="162"/>
      <c r="FPQ102" s="162"/>
      <c r="FPR102" s="162"/>
      <c r="FPS102" s="162"/>
      <c r="FPT102" s="162"/>
      <c r="FPU102" s="162"/>
      <c r="FPV102" s="162"/>
      <c r="FPW102" s="162"/>
      <c r="FPX102" s="162"/>
      <c r="FPY102" s="162"/>
      <c r="FPZ102" s="162"/>
      <c r="FQA102" s="162"/>
      <c r="FQB102" s="162"/>
      <c r="FQC102" s="162"/>
      <c r="FQD102" s="162"/>
      <c r="FQE102" s="162"/>
      <c r="FQF102" s="162"/>
      <c r="FQG102" s="162"/>
      <c r="FQH102" s="162"/>
      <c r="FQI102" s="162"/>
      <c r="FQJ102" s="162"/>
      <c r="FQK102" s="162"/>
      <c r="FQL102" s="162"/>
      <c r="FQM102" s="162"/>
      <c r="FQN102" s="162"/>
      <c r="FQO102" s="162"/>
      <c r="FQP102" s="162"/>
      <c r="FQQ102" s="162"/>
      <c r="FQR102" s="162"/>
      <c r="FQS102" s="162"/>
      <c r="FQT102" s="162"/>
      <c r="FQU102" s="162"/>
      <c r="FQV102" s="162"/>
      <c r="FQW102" s="162"/>
      <c r="FQX102" s="162"/>
      <c r="FQY102" s="162"/>
      <c r="FQZ102" s="162"/>
      <c r="FRA102" s="162"/>
      <c r="FRB102" s="162"/>
      <c r="FRC102" s="162"/>
      <c r="FRD102" s="162"/>
      <c r="FRE102" s="162"/>
      <c r="FRF102" s="162"/>
      <c r="FRG102" s="162"/>
      <c r="FRH102" s="162"/>
      <c r="FRI102" s="162"/>
      <c r="FRJ102" s="162"/>
      <c r="FRK102" s="162"/>
      <c r="FRL102" s="162"/>
      <c r="FRM102" s="162"/>
      <c r="FRN102" s="162"/>
      <c r="FRO102" s="162"/>
      <c r="FRP102" s="162"/>
      <c r="FRQ102" s="162"/>
      <c r="FRR102" s="162"/>
      <c r="FRS102" s="162"/>
      <c r="FRT102" s="162"/>
      <c r="FRU102" s="162"/>
      <c r="FRV102" s="162"/>
      <c r="FRW102" s="162"/>
      <c r="FRX102" s="162"/>
      <c r="FRY102" s="162"/>
      <c r="FRZ102" s="162"/>
      <c r="FSA102" s="162"/>
      <c r="FSB102" s="162"/>
      <c r="FSC102" s="162"/>
      <c r="FSD102" s="162"/>
      <c r="FSE102" s="162"/>
      <c r="FSF102" s="162"/>
      <c r="FSG102" s="162"/>
      <c r="FSH102" s="162"/>
      <c r="FSI102" s="162"/>
      <c r="FSJ102" s="162"/>
      <c r="FSK102" s="162"/>
      <c r="FSL102" s="162"/>
      <c r="FSM102" s="162"/>
      <c r="FSN102" s="162"/>
      <c r="FSO102" s="162"/>
      <c r="FSP102" s="162"/>
      <c r="FSQ102" s="162"/>
      <c r="FSR102" s="162"/>
      <c r="FSS102" s="162"/>
      <c r="FST102" s="162"/>
      <c r="FSU102" s="162"/>
      <c r="FSV102" s="162"/>
      <c r="FSW102" s="162"/>
      <c r="FSX102" s="162"/>
      <c r="FSY102" s="162"/>
      <c r="FSZ102" s="162"/>
      <c r="FTA102" s="162"/>
      <c r="FTB102" s="162"/>
      <c r="FTC102" s="162"/>
      <c r="FTD102" s="162"/>
      <c r="FTE102" s="162"/>
      <c r="FTF102" s="162"/>
      <c r="FTG102" s="162"/>
      <c r="FTH102" s="162"/>
      <c r="FTI102" s="162"/>
      <c r="FTJ102" s="162"/>
      <c r="FTK102" s="162"/>
      <c r="FTL102" s="162"/>
      <c r="FTM102" s="162"/>
      <c r="FTN102" s="162"/>
      <c r="FTO102" s="162"/>
      <c r="FTP102" s="162"/>
      <c r="FTQ102" s="162"/>
      <c r="FTR102" s="162"/>
      <c r="FTS102" s="162"/>
      <c r="FTT102" s="162"/>
      <c r="FTU102" s="162"/>
      <c r="FTV102" s="162"/>
      <c r="FTW102" s="162"/>
      <c r="FTX102" s="162"/>
      <c r="FTY102" s="162"/>
      <c r="FTZ102" s="162"/>
      <c r="FUA102" s="162"/>
      <c r="FUB102" s="162"/>
      <c r="FUC102" s="162"/>
      <c r="FUD102" s="162"/>
      <c r="FUE102" s="162"/>
      <c r="FUF102" s="162"/>
      <c r="FUG102" s="162"/>
      <c r="FUH102" s="162"/>
      <c r="FUI102" s="162"/>
      <c r="FUJ102" s="162"/>
      <c r="FUK102" s="162"/>
      <c r="FUL102" s="162"/>
      <c r="FUM102" s="162"/>
      <c r="FUN102" s="162"/>
      <c r="FUO102" s="162"/>
      <c r="FUP102" s="162"/>
      <c r="FUQ102" s="162"/>
      <c r="FUR102" s="162"/>
      <c r="FUS102" s="162"/>
      <c r="FUT102" s="162"/>
      <c r="FUU102" s="162"/>
      <c r="FUV102" s="162"/>
      <c r="FUW102" s="162"/>
      <c r="FUX102" s="162"/>
      <c r="FUY102" s="162"/>
      <c r="FUZ102" s="162"/>
      <c r="FVA102" s="162"/>
      <c r="FVB102" s="162"/>
      <c r="FVC102" s="162"/>
      <c r="FVD102" s="162"/>
      <c r="FVE102" s="162"/>
      <c r="FVF102" s="162"/>
      <c r="FVG102" s="162"/>
      <c r="FVH102" s="162"/>
      <c r="FVI102" s="162"/>
      <c r="FVJ102" s="162"/>
      <c r="FVK102" s="162"/>
      <c r="FVL102" s="162"/>
      <c r="FVM102" s="162"/>
      <c r="FVN102" s="162"/>
      <c r="FVO102" s="162"/>
      <c r="FVP102" s="162"/>
      <c r="FVQ102" s="162"/>
      <c r="FVR102" s="162"/>
      <c r="FVS102" s="162"/>
      <c r="FVT102" s="162"/>
      <c r="FVU102" s="162"/>
      <c r="FVV102" s="162"/>
      <c r="FVW102" s="162"/>
      <c r="FVX102" s="162"/>
      <c r="FVY102" s="162"/>
      <c r="FVZ102" s="162"/>
      <c r="FWA102" s="162"/>
      <c r="FWB102" s="162"/>
      <c r="FWC102" s="162"/>
      <c r="FWD102" s="162"/>
      <c r="FWE102" s="162"/>
      <c r="FWF102" s="162"/>
      <c r="FWG102" s="162"/>
      <c r="FWH102" s="162"/>
      <c r="FWI102" s="162"/>
      <c r="FWJ102" s="162"/>
      <c r="FWK102" s="162"/>
      <c r="FWL102" s="162"/>
      <c r="FWM102" s="162"/>
      <c r="FWN102" s="162"/>
      <c r="FWO102" s="162"/>
      <c r="FWP102" s="162"/>
      <c r="FWQ102" s="162"/>
      <c r="FWR102" s="162"/>
      <c r="FWS102" s="162"/>
      <c r="FWT102" s="162"/>
      <c r="FWU102" s="162"/>
      <c r="FWV102" s="162"/>
      <c r="FWW102" s="162"/>
      <c r="FWX102" s="162"/>
      <c r="FWY102" s="162"/>
      <c r="FWZ102" s="162"/>
      <c r="FXA102" s="162"/>
      <c r="FXB102" s="162"/>
      <c r="FXC102" s="162"/>
      <c r="FXD102" s="162"/>
      <c r="FXE102" s="162"/>
      <c r="FXF102" s="162"/>
      <c r="FXG102" s="162"/>
      <c r="FXH102" s="162"/>
      <c r="FXI102" s="162"/>
      <c r="FXJ102" s="162"/>
      <c r="FXK102" s="162"/>
      <c r="FXL102" s="162"/>
      <c r="FXM102" s="162"/>
      <c r="FXN102" s="162"/>
      <c r="FXO102" s="162"/>
      <c r="FXP102" s="162"/>
      <c r="FXQ102" s="162"/>
      <c r="FXR102" s="162"/>
      <c r="FXS102" s="162"/>
      <c r="FXT102" s="162"/>
      <c r="FXU102" s="162"/>
      <c r="FXV102" s="162"/>
      <c r="FXW102" s="162"/>
      <c r="FXX102" s="162"/>
      <c r="FXY102" s="162"/>
      <c r="FXZ102" s="162"/>
      <c r="FYA102" s="162"/>
      <c r="FYB102" s="162"/>
      <c r="FYC102" s="162"/>
      <c r="FYD102" s="162"/>
      <c r="FYE102" s="162"/>
      <c r="FYF102" s="162"/>
      <c r="FYG102" s="162"/>
      <c r="FYH102" s="162"/>
      <c r="FYI102" s="162"/>
      <c r="FYJ102" s="162"/>
      <c r="FYK102" s="162"/>
      <c r="FYL102" s="162"/>
      <c r="FYM102" s="162"/>
      <c r="FYN102" s="162"/>
      <c r="FYO102" s="162"/>
      <c r="FYP102" s="162"/>
      <c r="FYQ102" s="162"/>
      <c r="FYR102" s="162"/>
      <c r="FYS102" s="162"/>
      <c r="FYT102" s="162"/>
      <c r="FYU102" s="162"/>
      <c r="FYV102" s="162"/>
      <c r="FYW102" s="162"/>
      <c r="FYX102" s="162"/>
      <c r="FYY102" s="162"/>
      <c r="FYZ102" s="162"/>
      <c r="FZA102" s="162"/>
      <c r="FZB102" s="162"/>
      <c r="FZC102" s="162"/>
      <c r="FZD102" s="162"/>
      <c r="FZE102" s="162"/>
      <c r="FZF102" s="162"/>
      <c r="FZG102" s="162"/>
      <c r="FZH102" s="162"/>
      <c r="FZI102" s="162"/>
      <c r="FZJ102" s="162"/>
      <c r="FZK102" s="162"/>
      <c r="FZL102" s="162"/>
      <c r="FZM102" s="162"/>
      <c r="FZN102" s="162"/>
      <c r="FZO102" s="162"/>
      <c r="FZP102" s="162"/>
      <c r="FZQ102" s="162"/>
      <c r="FZR102" s="162"/>
      <c r="FZS102" s="162"/>
      <c r="FZT102" s="162"/>
      <c r="FZU102" s="162"/>
      <c r="FZV102" s="162"/>
      <c r="FZW102" s="162"/>
      <c r="FZX102" s="162"/>
      <c r="FZY102" s="162"/>
      <c r="FZZ102" s="162"/>
      <c r="GAA102" s="162"/>
      <c r="GAB102" s="162"/>
      <c r="GAC102" s="162"/>
      <c r="GAD102" s="162"/>
      <c r="GAE102" s="162"/>
      <c r="GAF102" s="162"/>
      <c r="GAG102" s="162"/>
      <c r="GAH102" s="162"/>
      <c r="GAI102" s="162"/>
      <c r="GAJ102" s="162"/>
      <c r="GAK102" s="162"/>
      <c r="GAL102" s="162"/>
      <c r="GAM102" s="162"/>
      <c r="GAN102" s="162"/>
      <c r="GAO102" s="162"/>
      <c r="GAP102" s="162"/>
      <c r="GAQ102" s="162"/>
      <c r="GAR102" s="162"/>
      <c r="GAS102" s="162"/>
      <c r="GAT102" s="162"/>
      <c r="GAU102" s="162"/>
      <c r="GAV102" s="162"/>
      <c r="GAW102" s="162"/>
      <c r="GAX102" s="162"/>
      <c r="GAY102" s="162"/>
      <c r="GAZ102" s="162"/>
      <c r="GBA102" s="162"/>
      <c r="GBB102" s="162"/>
      <c r="GBC102" s="162"/>
      <c r="GBD102" s="162"/>
      <c r="GBE102" s="162"/>
      <c r="GBF102" s="162"/>
      <c r="GBG102" s="162"/>
      <c r="GBH102" s="162"/>
      <c r="GBI102" s="162"/>
      <c r="GBJ102" s="162"/>
      <c r="GBK102" s="162"/>
      <c r="GBL102" s="162"/>
      <c r="GBM102" s="162"/>
      <c r="GBN102" s="162"/>
      <c r="GBO102" s="162"/>
      <c r="GBP102" s="162"/>
      <c r="GBQ102" s="162"/>
      <c r="GBR102" s="162"/>
      <c r="GBS102" s="162"/>
      <c r="GBT102" s="162"/>
      <c r="GBU102" s="162"/>
      <c r="GBV102" s="162"/>
      <c r="GBW102" s="162"/>
      <c r="GBX102" s="162"/>
      <c r="GBY102" s="162"/>
      <c r="GBZ102" s="162"/>
      <c r="GCA102" s="162"/>
      <c r="GCB102" s="162"/>
      <c r="GCC102" s="162"/>
      <c r="GCD102" s="162"/>
      <c r="GCE102" s="162"/>
      <c r="GCF102" s="162"/>
      <c r="GCG102" s="162"/>
      <c r="GCH102" s="162"/>
      <c r="GCI102" s="162"/>
      <c r="GCJ102" s="162"/>
      <c r="GCK102" s="162"/>
      <c r="GCL102" s="162"/>
      <c r="GCM102" s="162"/>
      <c r="GCN102" s="162"/>
      <c r="GCO102" s="162"/>
      <c r="GCP102" s="162"/>
      <c r="GCQ102" s="162"/>
      <c r="GCR102" s="162"/>
      <c r="GCS102" s="162"/>
      <c r="GCT102" s="162"/>
      <c r="GCU102" s="162"/>
      <c r="GCV102" s="162"/>
      <c r="GCW102" s="162"/>
      <c r="GCX102" s="162"/>
      <c r="GCY102" s="162"/>
      <c r="GCZ102" s="162"/>
      <c r="GDA102" s="162"/>
      <c r="GDB102" s="162"/>
      <c r="GDC102" s="162"/>
      <c r="GDD102" s="162"/>
      <c r="GDE102" s="162"/>
      <c r="GDF102" s="162"/>
      <c r="GDG102" s="162"/>
      <c r="GDH102" s="162"/>
      <c r="GDI102" s="162"/>
      <c r="GDJ102" s="162"/>
      <c r="GDK102" s="162"/>
      <c r="GDL102" s="162"/>
      <c r="GDM102" s="162"/>
      <c r="GDN102" s="162"/>
      <c r="GDO102" s="162"/>
      <c r="GDP102" s="162"/>
      <c r="GDQ102" s="162"/>
      <c r="GDR102" s="162"/>
      <c r="GDS102" s="162"/>
      <c r="GDT102" s="162"/>
      <c r="GDU102" s="162"/>
      <c r="GDV102" s="162"/>
      <c r="GDW102" s="162"/>
      <c r="GDX102" s="162"/>
      <c r="GDY102" s="162"/>
      <c r="GDZ102" s="162"/>
      <c r="GEA102" s="162"/>
      <c r="GEB102" s="162"/>
      <c r="GEC102" s="162"/>
      <c r="GED102" s="162"/>
      <c r="GEE102" s="162"/>
      <c r="GEF102" s="162"/>
      <c r="GEG102" s="162"/>
      <c r="GEH102" s="162"/>
      <c r="GEI102" s="162"/>
      <c r="GEJ102" s="162"/>
      <c r="GEK102" s="162"/>
      <c r="GEL102" s="162"/>
      <c r="GEM102" s="162"/>
      <c r="GEN102" s="162"/>
      <c r="GEO102" s="162"/>
      <c r="GEP102" s="162"/>
      <c r="GEQ102" s="162"/>
      <c r="GER102" s="162"/>
      <c r="GES102" s="162"/>
      <c r="GET102" s="162"/>
      <c r="GEU102" s="162"/>
      <c r="GEV102" s="162"/>
      <c r="GEW102" s="162"/>
      <c r="GEX102" s="162"/>
      <c r="GEY102" s="162"/>
      <c r="GEZ102" s="162"/>
      <c r="GFA102" s="162"/>
      <c r="GFB102" s="162"/>
      <c r="GFC102" s="162"/>
      <c r="GFD102" s="162"/>
      <c r="GFE102" s="162"/>
      <c r="GFF102" s="162"/>
      <c r="GFG102" s="162"/>
      <c r="GFH102" s="162"/>
      <c r="GFI102" s="162"/>
      <c r="GFJ102" s="162"/>
      <c r="GFK102" s="162"/>
      <c r="GFL102" s="162"/>
      <c r="GFM102" s="162"/>
      <c r="GFN102" s="162"/>
      <c r="GFO102" s="162"/>
      <c r="GFP102" s="162"/>
      <c r="GFQ102" s="162"/>
      <c r="GFR102" s="162"/>
      <c r="GFS102" s="162"/>
      <c r="GFT102" s="162"/>
      <c r="GFU102" s="162"/>
      <c r="GFV102" s="162"/>
      <c r="GFW102" s="162"/>
      <c r="GFX102" s="162"/>
      <c r="GFY102" s="162"/>
      <c r="GFZ102" s="162"/>
      <c r="GGA102" s="162"/>
      <c r="GGB102" s="162"/>
      <c r="GGC102" s="162"/>
      <c r="GGD102" s="162"/>
      <c r="GGE102" s="162"/>
      <c r="GGF102" s="162"/>
      <c r="GGG102" s="162"/>
      <c r="GGH102" s="162"/>
      <c r="GGI102" s="162"/>
      <c r="GGJ102" s="162"/>
      <c r="GGK102" s="162"/>
      <c r="GGL102" s="162"/>
      <c r="GGM102" s="162"/>
      <c r="GGN102" s="162"/>
      <c r="GGO102" s="162"/>
      <c r="GGP102" s="162"/>
      <c r="GGQ102" s="162"/>
      <c r="GGR102" s="162"/>
      <c r="GGS102" s="162"/>
      <c r="GGT102" s="162"/>
      <c r="GGU102" s="162"/>
      <c r="GGV102" s="162"/>
      <c r="GGW102" s="162"/>
      <c r="GGX102" s="162"/>
      <c r="GGY102" s="162"/>
      <c r="GGZ102" s="162"/>
      <c r="GHA102" s="162"/>
      <c r="GHB102" s="162"/>
      <c r="GHC102" s="162"/>
      <c r="GHD102" s="162"/>
      <c r="GHE102" s="162"/>
      <c r="GHF102" s="162"/>
      <c r="GHG102" s="162"/>
      <c r="GHH102" s="162"/>
      <c r="GHI102" s="162"/>
      <c r="GHJ102" s="162"/>
      <c r="GHK102" s="162"/>
      <c r="GHL102" s="162"/>
      <c r="GHM102" s="162"/>
      <c r="GHN102" s="162"/>
      <c r="GHO102" s="162"/>
      <c r="GHP102" s="162"/>
      <c r="GHQ102" s="162"/>
      <c r="GHR102" s="162"/>
      <c r="GHS102" s="162"/>
      <c r="GHT102" s="162"/>
      <c r="GHU102" s="162"/>
      <c r="GHV102" s="162"/>
      <c r="GHW102" s="162"/>
      <c r="GHX102" s="162"/>
      <c r="GHY102" s="162"/>
      <c r="GHZ102" s="162"/>
      <c r="GIA102" s="162"/>
      <c r="GIB102" s="162"/>
      <c r="GIC102" s="162"/>
      <c r="GID102" s="162"/>
      <c r="GIE102" s="162"/>
      <c r="GIF102" s="162"/>
      <c r="GIG102" s="162"/>
      <c r="GIH102" s="162"/>
      <c r="GII102" s="162"/>
      <c r="GIJ102" s="162"/>
      <c r="GIK102" s="162"/>
      <c r="GIL102" s="162"/>
      <c r="GIM102" s="162"/>
      <c r="GIN102" s="162"/>
      <c r="GIO102" s="162"/>
      <c r="GIP102" s="162"/>
      <c r="GIQ102" s="162"/>
      <c r="GIR102" s="162"/>
      <c r="GIS102" s="162"/>
      <c r="GIT102" s="162"/>
      <c r="GIU102" s="162"/>
      <c r="GIV102" s="162"/>
      <c r="GIW102" s="162"/>
      <c r="GIX102" s="162"/>
      <c r="GIY102" s="162"/>
      <c r="GIZ102" s="162"/>
      <c r="GJA102" s="162"/>
      <c r="GJB102" s="162"/>
      <c r="GJC102" s="162"/>
      <c r="GJD102" s="162"/>
      <c r="GJE102" s="162"/>
      <c r="GJF102" s="162"/>
      <c r="GJG102" s="162"/>
      <c r="GJH102" s="162"/>
      <c r="GJI102" s="162"/>
      <c r="GJJ102" s="162"/>
      <c r="GJK102" s="162"/>
      <c r="GJL102" s="162"/>
      <c r="GJM102" s="162"/>
      <c r="GJN102" s="162"/>
      <c r="GJO102" s="162"/>
      <c r="GJP102" s="162"/>
      <c r="GJQ102" s="162"/>
      <c r="GJR102" s="162"/>
      <c r="GJS102" s="162"/>
      <c r="GJT102" s="162"/>
      <c r="GJU102" s="162"/>
      <c r="GJV102" s="162"/>
      <c r="GJW102" s="162"/>
      <c r="GJX102" s="162"/>
      <c r="GJY102" s="162"/>
      <c r="GJZ102" s="162"/>
      <c r="GKA102" s="162"/>
      <c r="GKB102" s="162"/>
      <c r="GKC102" s="162"/>
      <c r="GKD102" s="162"/>
      <c r="GKE102" s="162"/>
      <c r="GKF102" s="162"/>
      <c r="GKG102" s="162"/>
      <c r="GKH102" s="162"/>
      <c r="GKI102" s="162"/>
      <c r="GKJ102" s="162"/>
      <c r="GKK102" s="162"/>
      <c r="GKL102" s="162"/>
      <c r="GKM102" s="162"/>
      <c r="GKN102" s="162"/>
      <c r="GKO102" s="162"/>
      <c r="GKP102" s="162"/>
      <c r="GKQ102" s="162"/>
      <c r="GKR102" s="162"/>
      <c r="GKS102" s="162"/>
      <c r="GKT102" s="162"/>
      <c r="GKU102" s="162"/>
      <c r="GKV102" s="162"/>
      <c r="GKW102" s="162"/>
      <c r="GKX102" s="162"/>
      <c r="GKY102" s="162"/>
      <c r="GKZ102" s="162"/>
      <c r="GLA102" s="162"/>
      <c r="GLB102" s="162"/>
      <c r="GLC102" s="162"/>
      <c r="GLD102" s="162"/>
      <c r="GLE102" s="162"/>
      <c r="GLF102" s="162"/>
      <c r="GLG102" s="162"/>
      <c r="GLH102" s="162"/>
      <c r="GLI102" s="162"/>
      <c r="GLJ102" s="162"/>
      <c r="GLK102" s="162"/>
      <c r="GLL102" s="162"/>
      <c r="GLM102" s="162"/>
      <c r="GLN102" s="162"/>
      <c r="GLO102" s="162"/>
      <c r="GLP102" s="162"/>
      <c r="GLQ102" s="162"/>
      <c r="GLR102" s="162"/>
      <c r="GLS102" s="162"/>
      <c r="GLT102" s="162"/>
      <c r="GLU102" s="162"/>
      <c r="GLV102" s="162"/>
      <c r="GLW102" s="162"/>
      <c r="GLX102" s="162"/>
      <c r="GLY102" s="162"/>
      <c r="GLZ102" s="162"/>
      <c r="GMA102" s="162"/>
      <c r="GMB102" s="162"/>
      <c r="GMC102" s="162"/>
      <c r="GMD102" s="162"/>
      <c r="GME102" s="162"/>
      <c r="GMF102" s="162"/>
      <c r="GMG102" s="162"/>
      <c r="GMH102" s="162"/>
      <c r="GMI102" s="162"/>
      <c r="GMJ102" s="162"/>
      <c r="GMK102" s="162"/>
      <c r="GML102" s="162"/>
      <c r="GMM102" s="162"/>
      <c r="GMN102" s="162"/>
      <c r="GMO102" s="162"/>
      <c r="GMP102" s="162"/>
      <c r="GMQ102" s="162"/>
      <c r="GMR102" s="162"/>
      <c r="GMS102" s="162"/>
      <c r="GMT102" s="162"/>
      <c r="GMU102" s="162"/>
      <c r="GMV102" s="162"/>
      <c r="GMW102" s="162"/>
      <c r="GMX102" s="162"/>
      <c r="GMY102" s="162"/>
      <c r="GMZ102" s="162"/>
      <c r="GNA102" s="162"/>
      <c r="GNB102" s="162"/>
      <c r="GNC102" s="162"/>
      <c r="GND102" s="162"/>
      <c r="GNE102" s="162"/>
      <c r="GNF102" s="162"/>
      <c r="GNG102" s="162"/>
      <c r="GNH102" s="162"/>
      <c r="GNI102" s="162"/>
      <c r="GNJ102" s="162"/>
      <c r="GNK102" s="162"/>
      <c r="GNL102" s="162"/>
      <c r="GNM102" s="162"/>
      <c r="GNN102" s="162"/>
      <c r="GNO102" s="162"/>
      <c r="GNP102" s="162"/>
      <c r="GNQ102" s="162"/>
      <c r="GNR102" s="162"/>
      <c r="GNS102" s="162"/>
      <c r="GNT102" s="162"/>
      <c r="GNU102" s="162"/>
      <c r="GNV102" s="162"/>
      <c r="GNW102" s="162"/>
      <c r="GNX102" s="162"/>
      <c r="GNY102" s="162"/>
      <c r="GNZ102" s="162"/>
      <c r="GOA102" s="162"/>
      <c r="GOB102" s="162"/>
      <c r="GOC102" s="162"/>
      <c r="GOD102" s="162"/>
      <c r="GOE102" s="162"/>
      <c r="GOF102" s="162"/>
      <c r="GOG102" s="162"/>
      <c r="GOH102" s="162"/>
      <c r="GOI102" s="162"/>
      <c r="GOJ102" s="162"/>
      <c r="GOK102" s="162"/>
      <c r="GOL102" s="162"/>
      <c r="GOM102" s="162"/>
      <c r="GON102" s="162"/>
      <c r="GOO102" s="162"/>
      <c r="GOP102" s="162"/>
      <c r="GOQ102" s="162"/>
      <c r="GOR102" s="162"/>
      <c r="GOS102" s="162"/>
      <c r="GOT102" s="162"/>
      <c r="GOU102" s="162"/>
      <c r="GOV102" s="162"/>
      <c r="GOW102" s="162"/>
      <c r="GOX102" s="162"/>
      <c r="GOY102" s="162"/>
      <c r="GOZ102" s="162"/>
      <c r="GPA102" s="162"/>
      <c r="GPB102" s="162"/>
      <c r="GPC102" s="162"/>
      <c r="GPD102" s="162"/>
      <c r="GPE102" s="162"/>
      <c r="GPF102" s="162"/>
      <c r="GPG102" s="162"/>
      <c r="GPH102" s="162"/>
      <c r="GPI102" s="162"/>
      <c r="GPJ102" s="162"/>
      <c r="GPK102" s="162"/>
      <c r="GPL102" s="162"/>
      <c r="GPM102" s="162"/>
      <c r="GPN102" s="162"/>
      <c r="GPO102" s="162"/>
      <c r="GPP102" s="162"/>
      <c r="GPQ102" s="162"/>
      <c r="GPR102" s="162"/>
      <c r="GPS102" s="162"/>
      <c r="GPT102" s="162"/>
      <c r="GPU102" s="162"/>
      <c r="GPV102" s="162"/>
      <c r="GPW102" s="162"/>
      <c r="GPX102" s="162"/>
      <c r="GPY102" s="162"/>
      <c r="GPZ102" s="162"/>
      <c r="GQA102" s="162"/>
      <c r="GQB102" s="162"/>
      <c r="GQC102" s="162"/>
      <c r="GQD102" s="162"/>
      <c r="GQE102" s="162"/>
      <c r="GQF102" s="162"/>
      <c r="GQG102" s="162"/>
      <c r="GQH102" s="162"/>
      <c r="GQI102" s="162"/>
      <c r="GQJ102" s="162"/>
      <c r="GQK102" s="162"/>
      <c r="GQL102" s="162"/>
      <c r="GQM102" s="162"/>
      <c r="GQN102" s="162"/>
      <c r="GQO102" s="162"/>
      <c r="GQP102" s="162"/>
      <c r="GQQ102" s="162"/>
      <c r="GQR102" s="162"/>
      <c r="GQS102" s="162"/>
      <c r="GQT102" s="162"/>
      <c r="GQU102" s="162"/>
      <c r="GQV102" s="162"/>
      <c r="GQW102" s="162"/>
      <c r="GQX102" s="162"/>
      <c r="GQY102" s="162"/>
      <c r="GQZ102" s="162"/>
      <c r="GRA102" s="162"/>
      <c r="GRB102" s="162"/>
      <c r="GRC102" s="162"/>
      <c r="GRD102" s="162"/>
      <c r="GRE102" s="162"/>
      <c r="GRF102" s="162"/>
      <c r="GRG102" s="162"/>
      <c r="GRH102" s="162"/>
      <c r="GRI102" s="162"/>
      <c r="GRJ102" s="162"/>
      <c r="GRK102" s="162"/>
      <c r="GRL102" s="162"/>
      <c r="GRM102" s="162"/>
      <c r="GRN102" s="162"/>
      <c r="GRO102" s="162"/>
      <c r="GRP102" s="162"/>
      <c r="GRQ102" s="162"/>
      <c r="GRR102" s="162"/>
      <c r="GRS102" s="162"/>
      <c r="GRT102" s="162"/>
      <c r="GRU102" s="162"/>
      <c r="GRV102" s="162"/>
      <c r="GRW102" s="162"/>
      <c r="GRX102" s="162"/>
      <c r="GRY102" s="162"/>
      <c r="GRZ102" s="162"/>
      <c r="GSA102" s="162"/>
      <c r="GSB102" s="162"/>
      <c r="GSC102" s="162"/>
      <c r="GSD102" s="162"/>
      <c r="GSE102" s="162"/>
      <c r="GSF102" s="162"/>
      <c r="GSG102" s="162"/>
      <c r="GSH102" s="162"/>
      <c r="GSI102" s="162"/>
      <c r="GSJ102" s="162"/>
      <c r="GSK102" s="162"/>
      <c r="GSL102" s="162"/>
      <c r="GSM102" s="162"/>
      <c r="GSN102" s="162"/>
      <c r="GSO102" s="162"/>
      <c r="GSP102" s="162"/>
      <c r="GSQ102" s="162"/>
      <c r="GSR102" s="162"/>
      <c r="GSS102" s="162"/>
      <c r="GST102" s="162"/>
      <c r="GSU102" s="162"/>
      <c r="GSV102" s="162"/>
      <c r="GSW102" s="162"/>
      <c r="GSX102" s="162"/>
      <c r="GSY102" s="162"/>
      <c r="GSZ102" s="162"/>
      <c r="GTA102" s="162"/>
      <c r="GTB102" s="162"/>
      <c r="GTC102" s="162"/>
      <c r="GTD102" s="162"/>
      <c r="GTE102" s="162"/>
      <c r="GTF102" s="162"/>
      <c r="GTG102" s="162"/>
      <c r="GTH102" s="162"/>
      <c r="GTI102" s="162"/>
      <c r="GTJ102" s="162"/>
      <c r="GTK102" s="162"/>
      <c r="GTL102" s="162"/>
      <c r="GTM102" s="162"/>
      <c r="GTN102" s="162"/>
      <c r="GTO102" s="162"/>
      <c r="GTP102" s="162"/>
      <c r="GTQ102" s="162"/>
      <c r="GTR102" s="162"/>
      <c r="GTS102" s="162"/>
      <c r="GTT102" s="162"/>
      <c r="GTU102" s="162"/>
      <c r="GTV102" s="162"/>
      <c r="GTW102" s="162"/>
      <c r="GTX102" s="162"/>
      <c r="GTY102" s="162"/>
      <c r="GTZ102" s="162"/>
      <c r="GUA102" s="162"/>
      <c r="GUB102" s="162"/>
      <c r="GUC102" s="162"/>
      <c r="GUD102" s="162"/>
      <c r="GUE102" s="162"/>
      <c r="GUF102" s="162"/>
      <c r="GUG102" s="162"/>
      <c r="GUH102" s="162"/>
      <c r="GUI102" s="162"/>
      <c r="GUJ102" s="162"/>
      <c r="GUK102" s="162"/>
      <c r="GUL102" s="162"/>
      <c r="GUM102" s="162"/>
      <c r="GUN102" s="162"/>
      <c r="GUO102" s="162"/>
      <c r="GUP102" s="162"/>
      <c r="GUQ102" s="162"/>
      <c r="GUR102" s="162"/>
      <c r="GUS102" s="162"/>
      <c r="GUT102" s="162"/>
      <c r="GUU102" s="162"/>
      <c r="GUV102" s="162"/>
      <c r="GUW102" s="162"/>
      <c r="GUX102" s="162"/>
      <c r="GUY102" s="162"/>
      <c r="GUZ102" s="162"/>
      <c r="GVA102" s="162"/>
      <c r="GVB102" s="162"/>
      <c r="GVC102" s="162"/>
      <c r="GVD102" s="162"/>
      <c r="GVE102" s="162"/>
      <c r="GVF102" s="162"/>
      <c r="GVG102" s="162"/>
      <c r="GVH102" s="162"/>
      <c r="GVI102" s="162"/>
      <c r="GVJ102" s="162"/>
      <c r="GVK102" s="162"/>
      <c r="GVL102" s="162"/>
      <c r="GVM102" s="162"/>
      <c r="GVN102" s="162"/>
      <c r="GVO102" s="162"/>
      <c r="GVP102" s="162"/>
      <c r="GVQ102" s="162"/>
      <c r="GVR102" s="162"/>
      <c r="GVS102" s="162"/>
      <c r="GVT102" s="162"/>
      <c r="GVU102" s="162"/>
      <c r="GVV102" s="162"/>
      <c r="GVW102" s="162"/>
      <c r="GVX102" s="162"/>
      <c r="GVY102" s="162"/>
      <c r="GVZ102" s="162"/>
      <c r="GWA102" s="162"/>
      <c r="GWB102" s="162"/>
      <c r="GWC102" s="162"/>
      <c r="GWD102" s="162"/>
      <c r="GWE102" s="162"/>
      <c r="GWF102" s="162"/>
      <c r="GWG102" s="162"/>
      <c r="GWH102" s="162"/>
      <c r="GWI102" s="162"/>
      <c r="GWJ102" s="162"/>
      <c r="GWK102" s="162"/>
      <c r="GWL102" s="162"/>
      <c r="GWM102" s="162"/>
      <c r="GWN102" s="162"/>
      <c r="GWO102" s="162"/>
      <c r="GWP102" s="162"/>
      <c r="GWQ102" s="162"/>
      <c r="GWR102" s="162"/>
      <c r="GWS102" s="162"/>
      <c r="GWT102" s="162"/>
      <c r="GWU102" s="162"/>
      <c r="GWV102" s="162"/>
      <c r="GWW102" s="162"/>
      <c r="GWX102" s="162"/>
      <c r="GWY102" s="162"/>
      <c r="GWZ102" s="162"/>
      <c r="GXA102" s="162"/>
      <c r="GXB102" s="162"/>
      <c r="GXC102" s="162"/>
      <c r="GXD102" s="162"/>
      <c r="GXE102" s="162"/>
      <c r="GXF102" s="162"/>
      <c r="GXG102" s="162"/>
      <c r="GXH102" s="162"/>
      <c r="GXI102" s="162"/>
      <c r="GXJ102" s="162"/>
      <c r="GXK102" s="162"/>
      <c r="GXL102" s="162"/>
      <c r="GXM102" s="162"/>
      <c r="GXN102" s="162"/>
      <c r="GXO102" s="162"/>
      <c r="GXP102" s="162"/>
      <c r="GXQ102" s="162"/>
      <c r="GXR102" s="162"/>
      <c r="GXS102" s="162"/>
      <c r="GXT102" s="162"/>
      <c r="GXU102" s="162"/>
      <c r="GXV102" s="162"/>
      <c r="GXW102" s="162"/>
      <c r="GXX102" s="162"/>
      <c r="GXY102" s="162"/>
      <c r="GXZ102" s="162"/>
      <c r="GYA102" s="162"/>
      <c r="GYB102" s="162"/>
      <c r="GYC102" s="162"/>
      <c r="GYD102" s="162"/>
      <c r="GYE102" s="162"/>
      <c r="GYF102" s="162"/>
      <c r="GYG102" s="162"/>
      <c r="GYH102" s="162"/>
      <c r="GYI102" s="162"/>
      <c r="GYJ102" s="162"/>
      <c r="GYK102" s="162"/>
      <c r="GYL102" s="162"/>
      <c r="GYM102" s="162"/>
      <c r="GYN102" s="162"/>
      <c r="GYO102" s="162"/>
      <c r="GYP102" s="162"/>
      <c r="GYQ102" s="162"/>
      <c r="GYR102" s="162"/>
      <c r="GYS102" s="162"/>
      <c r="GYT102" s="162"/>
      <c r="GYU102" s="162"/>
      <c r="GYV102" s="162"/>
      <c r="GYW102" s="162"/>
      <c r="GYX102" s="162"/>
      <c r="GYY102" s="162"/>
      <c r="GYZ102" s="162"/>
      <c r="GZA102" s="162"/>
      <c r="GZB102" s="162"/>
      <c r="GZC102" s="162"/>
      <c r="GZD102" s="162"/>
      <c r="GZE102" s="162"/>
      <c r="GZF102" s="162"/>
      <c r="GZG102" s="162"/>
      <c r="GZH102" s="162"/>
      <c r="GZI102" s="162"/>
      <c r="GZJ102" s="162"/>
      <c r="GZK102" s="162"/>
      <c r="GZL102" s="162"/>
      <c r="GZM102" s="162"/>
      <c r="GZN102" s="162"/>
      <c r="GZO102" s="162"/>
      <c r="GZP102" s="162"/>
      <c r="GZQ102" s="162"/>
      <c r="GZR102" s="162"/>
      <c r="GZS102" s="162"/>
      <c r="GZT102" s="162"/>
      <c r="GZU102" s="162"/>
      <c r="GZV102" s="162"/>
      <c r="GZW102" s="162"/>
      <c r="GZX102" s="162"/>
      <c r="GZY102" s="162"/>
      <c r="GZZ102" s="162"/>
      <c r="HAA102" s="162"/>
      <c r="HAB102" s="162"/>
      <c r="HAC102" s="162"/>
      <c r="HAD102" s="162"/>
      <c r="HAE102" s="162"/>
      <c r="HAF102" s="162"/>
      <c r="HAG102" s="162"/>
      <c r="HAH102" s="162"/>
      <c r="HAI102" s="162"/>
      <c r="HAJ102" s="162"/>
      <c r="HAK102" s="162"/>
      <c r="HAL102" s="162"/>
      <c r="HAM102" s="162"/>
      <c r="HAN102" s="162"/>
      <c r="HAO102" s="162"/>
      <c r="HAP102" s="162"/>
      <c r="HAQ102" s="162"/>
      <c r="HAR102" s="162"/>
      <c r="HAS102" s="162"/>
      <c r="HAT102" s="162"/>
      <c r="HAU102" s="162"/>
      <c r="HAV102" s="162"/>
      <c r="HAW102" s="162"/>
      <c r="HAX102" s="162"/>
      <c r="HAY102" s="162"/>
      <c r="HAZ102" s="162"/>
      <c r="HBA102" s="162"/>
      <c r="HBB102" s="162"/>
      <c r="HBC102" s="162"/>
      <c r="HBD102" s="162"/>
      <c r="HBE102" s="162"/>
      <c r="HBF102" s="162"/>
      <c r="HBG102" s="162"/>
      <c r="HBH102" s="162"/>
      <c r="HBI102" s="162"/>
      <c r="HBJ102" s="162"/>
      <c r="HBK102" s="162"/>
      <c r="HBL102" s="162"/>
      <c r="HBM102" s="162"/>
      <c r="HBN102" s="162"/>
      <c r="HBO102" s="162"/>
      <c r="HBP102" s="162"/>
      <c r="HBQ102" s="162"/>
      <c r="HBR102" s="162"/>
      <c r="HBS102" s="162"/>
      <c r="HBT102" s="162"/>
      <c r="HBU102" s="162"/>
      <c r="HBV102" s="162"/>
      <c r="HBW102" s="162"/>
      <c r="HBX102" s="162"/>
      <c r="HBY102" s="162"/>
      <c r="HBZ102" s="162"/>
      <c r="HCA102" s="162"/>
      <c r="HCB102" s="162"/>
      <c r="HCC102" s="162"/>
      <c r="HCD102" s="162"/>
      <c r="HCE102" s="162"/>
      <c r="HCF102" s="162"/>
      <c r="HCG102" s="162"/>
      <c r="HCH102" s="162"/>
      <c r="HCI102" s="162"/>
      <c r="HCJ102" s="162"/>
      <c r="HCK102" s="162"/>
      <c r="HCL102" s="162"/>
      <c r="HCM102" s="162"/>
      <c r="HCN102" s="162"/>
      <c r="HCO102" s="162"/>
      <c r="HCP102" s="162"/>
      <c r="HCQ102" s="162"/>
      <c r="HCR102" s="162"/>
      <c r="HCS102" s="162"/>
      <c r="HCT102" s="162"/>
      <c r="HCU102" s="162"/>
      <c r="HCV102" s="162"/>
      <c r="HCW102" s="162"/>
      <c r="HCX102" s="162"/>
      <c r="HCY102" s="162"/>
      <c r="HCZ102" s="162"/>
      <c r="HDA102" s="162"/>
      <c r="HDB102" s="162"/>
      <c r="HDC102" s="162"/>
      <c r="HDD102" s="162"/>
      <c r="HDE102" s="162"/>
      <c r="HDF102" s="162"/>
      <c r="HDG102" s="162"/>
      <c r="HDH102" s="162"/>
      <c r="HDI102" s="162"/>
      <c r="HDJ102" s="162"/>
      <c r="HDK102" s="162"/>
      <c r="HDL102" s="162"/>
      <c r="HDM102" s="162"/>
      <c r="HDN102" s="162"/>
      <c r="HDO102" s="162"/>
      <c r="HDP102" s="162"/>
      <c r="HDQ102" s="162"/>
      <c r="HDR102" s="162"/>
      <c r="HDS102" s="162"/>
      <c r="HDT102" s="162"/>
      <c r="HDU102" s="162"/>
      <c r="HDV102" s="162"/>
      <c r="HDW102" s="162"/>
      <c r="HDX102" s="162"/>
      <c r="HDY102" s="162"/>
      <c r="HDZ102" s="162"/>
      <c r="HEA102" s="162"/>
      <c r="HEB102" s="162"/>
      <c r="HEC102" s="162"/>
      <c r="HED102" s="162"/>
      <c r="HEE102" s="162"/>
      <c r="HEF102" s="162"/>
      <c r="HEG102" s="162"/>
      <c r="HEH102" s="162"/>
      <c r="HEI102" s="162"/>
      <c r="HEJ102" s="162"/>
      <c r="HEK102" s="162"/>
      <c r="HEL102" s="162"/>
      <c r="HEM102" s="162"/>
      <c r="HEN102" s="162"/>
      <c r="HEO102" s="162"/>
      <c r="HEP102" s="162"/>
      <c r="HEQ102" s="162"/>
      <c r="HER102" s="162"/>
      <c r="HES102" s="162"/>
      <c r="HET102" s="162"/>
      <c r="HEU102" s="162"/>
      <c r="HEV102" s="162"/>
      <c r="HEW102" s="162"/>
      <c r="HEX102" s="162"/>
      <c r="HEY102" s="162"/>
      <c r="HEZ102" s="162"/>
      <c r="HFA102" s="162"/>
      <c r="HFB102" s="162"/>
      <c r="HFC102" s="162"/>
      <c r="HFD102" s="162"/>
      <c r="HFE102" s="162"/>
      <c r="HFF102" s="162"/>
      <c r="HFG102" s="162"/>
      <c r="HFH102" s="162"/>
      <c r="HFI102" s="162"/>
      <c r="HFJ102" s="162"/>
      <c r="HFK102" s="162"/>
      <c r="HFL102" s="162"/>
      <c r="HFM102" s="162"/>
      <c r="HFN102" s="162"/>
      <c r="HFO102" s="162"/>
      <c r="HFP102" s="162"/>
      <c r="HFQ102" s="162"/>
      <c r="HFR102" s="162"/>
      <c r="HFS102" s="162"/>
      <c r="HFT102" s="162"/>
      <c r="HFU102" s="162"/>
      <c r="HFV102" s="162"/>
      <c r="HFW102" s="162"/>
      <c r="HFX102" s="162"/>
      <c r="HFY102" s="162"/>
      <c r="HFZ102" s="162"/>
      <c r="HGA102" s="162"/>
      <c r="HGB102" s="162"/>
      <c r="HGC102" s="162"/>
      <c r="HGD102" s="162"/>
      <c r="HGE102" s="162"/>
      <c r="HGF102" s="162"/>
      <c r="HGG102" s="162"/>
      <c r="HGH102" s="162"/>
      <c r="HGI102" s="162"/>
      <c r="HGJ102" s="162"/>
      <c r="HGK102" s="162"/>
      <c r="HGL102" s="162"/>
      <c r="HGM102" s="162"/>
      <c r="HGN102" s="162"/>
      <c r="HGO102" s="162"/>
      <c r="HGP102" s="162"/>
      <c r="HGQ102" s="162"/>
      <c r="HGR102" s="162"/>
      <c r="HGS102" s="162"/>
      <c r="HGT102" s="162"/>
      <c r="HGU102" s="162"/>
      <c r="HGV102" s="162"/>
      <c r="HGW102" s="162"/>
      <c r="HGX102" s="162"/>
      <c r="HGY102" s="162"/>
      <c r="HGZ102" s="162"/>
      <c r="HHA102" s="162"/>
      <c r="HHB102" s="162"/>
      <c r="HHC102" s="162"/>
      <c r="HHD102" s="162"/>
      <c r="HHE102" s="162"/>
      <c r="HHF102" s="162"/>
      <c r="HHG102" s="162"/>
      <c r="HHH102" s="162"/>
      <c r="HHI102" s="162"/>
      <c r="HHJ102" s="162"/>
      <c r="HHK102" s="162"/>
      <c r="HHL102" s="162"/>
      <c r="HHM102" s="162"/>
      <c r="HHN102" s="162"/>
      <c r="HHO102" s="162"/>
      <c r="HHP102" s="162"/>
      <c r="HHQ102" s="162"/>
      <c r="HHR102" s="162"/>
      <c r="HHS102" s="162"/>
      <c r="HHT102" s="162"/>
      <c r="HHU102" s="162"/>
      <c r="HHV102" s="162"/>
      <c r="HHW102" s="162"/>
      <c r="HHX102" s="162"/>
      <c r="HHY102" s="162"/>
      <c r="HHZ102" s="162"/>
      <c r="HIA102" s="162"/>
      <c r="HIB102" s="162"/>
      <c r="HIC102" s="162"/>
      <c r="HID102" s="162"/>
      <c r="HIE102" s="162"/>
      <c r="HIF102" s="162"/>
      <c r="HIG102" s="162"/>
      <c r="HIH102" s="162"/>
      <c r="HII102" s="162"/>
      <c r="HIJ102" s="162"/>
      <c r="HIK102" s="162"/>
      <c r="HIL102" s="162"/>
      <c r="HIM102" s="162"/>
      <c r="HIN102" s="162"/>
      <c r="HIO102" s="162"/>
      <c r="HIP102" s="162"/>
      <c r="HIQ102" s="162"/>
      <c r="HIR102" s="162"/>
      <c r="HIS102" s="162"/>
      <c r="HIT102" s="162"/>
      <c r="HIU102" s="162"/>
      <c r="HIV102" s="162"/>
      <c r="HIW102" s="162"/>
      <c r="HIX102" s="162"/>
      <c r="HIY102" s="162"/>
      <c r="HIZ102" s="162"/>
      <c r="HJA102" s="162"/>
      <c r="HJB102" s="162"/>
      <c r="HJC102" s="162"/>
      <c r="HJD102" s="162"/>
      <c r="HJE102" s="162"/>
      <c r="HJF102" s="162"/>
      <c r="HJG102" s="162"/>
      <c r="HJH102" s="162"/>
      <c r="HJI102" s="162"/>
      <c r="HJJ102" s="162"/>
      <c r="HJK102" s="162"/>
      <c r="HJL102" s="162"/>
      <c r="HJM102" s="162"/>
      <c r="HJN102" s="162"/>
      <c r="HJO102" s="162"/>
      <c r="HJP102" s="162"/>
      <c r="HJQ102" s="162"/>
      <c r="HJR102" s="162"/>
      <c r="HJS102" s="162"/>
      <c r="HJT102" s="162"/>
      <c r="HJU102" s="162"/>
      <c r="HJV102" s="162"/>
      <c r="HJW102" s="162"/>
      <c r="HJX102" s="162"/>
      <c r="HJY102" s="162"/>
      <c r="HJZ102" s="162"/>
      <c r="HKA102" s="162"/>
      <c r="HKB102" s="162"/>
      <c r="HKC102" s="162"/>
      <c r="HKD102" s="162"/>
      <c r="HKE102" s="162"/>
      <c r="HKF102" s="162"/>
      <c r="HKG102" s="162"/>
      <c r="HKH102" s="162"/>
      <c r="HKI102" s="162"/>
      <c r="HKJ102" s="162"/>
      <c r="HKK102" s="162"/>
      <c r="HKL102" s="162"/>
      <c r="HKM102" s="162"/>
      <c r="HKN102" s="162"/>
      <c r="HKO102" s="162"/>
      <c r="HKP102" s="162"/>
      <c r="HKQ102" s="162"/>
      <c r="HKR102" s="162"/>
      <c r="HKS102" s="162"/>
      <c r="HKT102" s="162"/>
      <c r="HKU102" s="162"/>
      <c r="HKV102" s="162"/>
      <c r="HKW102" s="162"/>
      <c r="HKX102" s="162"/>
      <c r="HKY102" s="162"/>
      <c r="HKZ102" s="162"/>
      <c r="HLA102" s="162"/>
      <c r="HLB102" s="162"/>
      <c r="HLC102" s="162"/>
      <c r="HLD102" s="162"/>
      <c r="HLE102" s="162"/>
      <c r="HLF102" s="162"/>
      <c r="HLG102" s="162"/>
      <c r="HLH102" s="162"/>
      <c r="HLI102" s="162"/>
      <c r="HLJ102" s="162"/>
      <c r="HLK102" s="162"/>
      <c r="HLL102" s="162"/>
      <c r="HLM102" s="162"/>
      <c r="HLN102" s="162"/>
      <c r="HLO102" s="162"/>
      <c r="HLP102" s="162"/>
      <c r="HLQ102" s="162"/>
      <c r="HLR102" s="162"/>
      <c r="HLS102" s="162"/>
      <c r="HLT102" s="162"/>
      <c r="HLU102" s="162"/>
      <c r="HLV102" s="162"/>
      <c r="HLW102" s="162"/>
      <c r="HLX102" s="162"/>
      <c r="HLY102" s="162"/>
      <c r="HLZ102" s="162"/>
      <c r="HMA102" s="162"/>
      <c r="HMB102" s="162"/>
      <c r="HMC102" s="162"/>
      <c r="HMD102" s="162"/>
      <c r="HME102" s="162"/>
      <c r="HMF102" s="162"/>
      <c r="HMG102" s="162"/>
      <c r="HMH102" s="162"/>
      <c r="HMI102" s="162"/>
      <c r="HMJ102" s="162"/>
      <c r="HMK102" s="162"/>
      <c r="HML102" s="162"/>
      <c r="HMM102" s="162"/>
      <c r="HMN102" s="162"/>
      <c r="HMO102" s="162"/>
      <c r="HMP102" s="162"/>
      <c r="HMQ102" s="162"/>
      <c r="HMR102" s="162"/>
      <c r="HMS102" s="162"/>
      <c r="HMT102" s="162"/>
      <c r="HMU102" s="162"/>
      <c r="HMV102" s="162"/>
      <c r="HMW102" s="162"/>
      <c r="HMX102" s="162"/>
      <c r="HMY102" s="162"/>
      <c r="HMZ102" s="162"/>
      <c r="HNA102" s="162"/>
      <c r="HNB102" s="162"/>
      <c r="HNC102" s="162"/>
      <c r="HND102" s="162"/>
      <c r="HNE102" s="162"/>
      <c r="HNF102" s="162"/>
      <c r="HNG102" s="162"/>
      <c r="HNH102" s="162"/>
      <c r="HNI102" s="162"/>
      <c r="HNJ102" s="162"/>
      <c r="HNK102" s="162"/>
      <c r="HNL102" s="162"/>
      <c r="HNM102" s="162"/>
      <c r="HNN102" s="162"/>
      <c r="HNO102" s="162"/>
      <c r="HNP102" s="162"/>
      <c r="HNQ102" s="162"/>
      <c r="HNR102" s="162"/>
      <c r="HNS102" s="162"/>
      <c r="HNT102" s="162"/>
      <c r="HNU102" s="162"/>
      <c r="HNV102" s="162"/>
      <c r="HNW102" s="162"/>
      <c r="HNX102" s="162"/>
      <c r="HNY102" s="162"/>
      <c r="HNZ102" s="162"/>
      <c r="HOA102" s="162"/>
      <c r="HOB102" s="162"/>
      <c r="HOC102" s="162"/>
      <c r="HOD102" s="162"/>
      <c r="HOE102" s="162"/>
      <c r="HOF102" s="162"/>
      <c r="HOG102" s="162"/>
      <c r="HOH102" s="162"/>
      <c r="HOI102" s="162"/>
      <c r="HOJ102" s="162"/>
      <c r="HOK102" s="162"/>
      <c r="HOL102" s="162"/>
      <c r="HOM102" s="162"/>
      <c r="HON102" s="162"/>
      <c r="HOO102" s="162"/>
      <c r="HOP102" s="162"/>
      <c r="HOQ102" s="162"/>
      <c r="HOR102" s="162"/>
      <c r="HOS102" s="162"/>
      <c r="HOT102" s="162"/>
      <c r="HOU102" s="162"/>
      <c r="HOV102" s="162"/>
      <c r="HOW102" s="162"/>
      <c r="HOX102" s="162"/>
      <c r="HOY102" s="162"/>
      <c r="HOZ102" s="162"/>
      <c r="HPA102" s="162"/>
      <c r="HPB102" s="162"/>
      <c r="HPC102" s="162"/>
      <c r="HPD102" s="162"/>
      <c r="HPE102" s="162"/>
      <c r="HPF102" s="162"/>
      <c r="HPG102" s="162"/>
      <c r="HPH102" s="162"/>
      <c r="HPI102" s="162"/>
      <c r="HPJ102" s="162"/>
      <c r="HPK102" s="162"/>
      <c r="HPL102" s="162"/>
      <c r="HPM102" s="162"/>
      <c r="HPN102" s="162"/>
      <c r="HPO102" s="162"/>
      <c r="HPP102" s="162"/>
      <c r="HPQ102" s="162"/>
      <c r="HPR102" s="162"/>
      <c r="HPS102" s="162"/>
      <c r="HPT102" s="162"/>
      <c r="HPU102" s="162"/>
      <c r="HPV102" s="162"/>
      <c r="HPW102" s="162"/>
      <c r="HPX102" s="162"/>
      <c r="HPY102" s="162"/>
      <c r="HPZ102" s="162"/>
      <c r="HQA102" s="162"/>
      <c r="HQB102" s="162"/>
      <c r="HQC102" s="162"/>
      <c r="HQD102" s="162"/>
      <c r="HQE102" s="162"/>
      <c r="HQF102" s="162"/>
      <c r="HQG102" s="162"/>
      <c r="HQH102" s="162"/>
      <c r="HQI102" s="162"/>
      <c r="HQJ102" s="162"/>
      <c r="HQK102" s="162"/>
      <c r="HQL102" s="162"/>
      <c r="HQM102" s="162"/>
      <c r="HQN102" s="162"/>
      <c r="HQO102" s="162"/>
      <c r="HQP102" s="162"/>
      <c r="HQQ102" s="162"/>
      <c r="HQR102" s="162"/>
      <c r="HQS102" s="162"/>
      <c r="HQT102" s="162"/>
      <c r="HQU102" s="162"/>
      <c r="HQV102" s="162"/>
      <c r="HQW102" s="162"/>
      <c r="HQX102" s="162"/>
      <c r="HQY102" s="162"/>
      <c r="HQZ102" s="162"/>
      <c r="HRA102" s="162"/>
      <c r="HRB102" s="162"/>
      <c r="HRC102" s="162"/>
      <c r="HRD102" s="162"/>
      <c r="HRE102" s="162"/>
      <c r="HRF102" s="162"/>
      <c r="HRG102" s="162"/>
      <c r="HRH102" s="162"/>
      <c r="HRI102" s="162"/>
      <c r="HRJ102" s="162"/>
      <c r="HRK102" s="162"/>
      <c r="HRL102" s="162"/>
      <c r="HRM102" s="162"/>
      <c r="HRN102" s="162"/>
      <c r="HRO102" s="162"/>
      <c r="HRP102" s="162"/>
      <c r="HRQ102" s="162"/>
      <c r="HRR102" s="162"/>
      <c r="HRS102" s="162"/>
      <c r="HRT102" s="162"/>
      <c r="HRU102" s="162"/>
      <c r="HRV102" s="162"/>
      <c r="HRW102" s="162"/>
      <c r="HRX102" s="162"/>
      <c r="HRY102" s="162"/>
      <c r="HRZ102" s="162"/>
      <c r="HSA102" s="162"/>
      <c r="HSB102" s="162"/>
      <c r="HSC102" s="162"/>
      <c r="HSD102" s="162"/>
      <c r="HSE102" s="162"/>
      <c r="HSF102" s="162"/>
      <c r="HSG102" s="162"/>
      <c r="HSH102" s="162"/>
      <c r="HSI102" s="162"/>
      <c r="HSJ102" s="162"/>
      <c r="HSK102" s="162"/>
      <c r="HSL102" s="162"/>
      <c r="HSM102" s="162"/>
      <c r="HSN102" s="162"/>
      <c r="HSO102" s="162"/>
      <c r="HSP102" s="162"/>
      <c r="HSQ102" s="162"/>
      <c r="HSR102" s="162"/>
      <c r="HSS102" s="162"/>
      <c r="HST102" s="162"/>
      <c r="HSU102" s="162"/>
      <c r="HSV102" s="162"/>
      <c r="HSW102" s="162"/>
      <c r="HSX102" s="162"/>
      <c r="HSY102" s="162"/>
      <c r="HSZ102" s="162"/>
      <c r="HTA102" s="162"/>
      <c r="HTB102" s="162"/>
      <c r="HTC102" s="162"/>
      <c r="HTD102" s="162"/>
      <c r="HTE102" s="162"/>
      <c r="HTF102" s="162"/>
      <c r="HTG102" s="162"/>
      <c r="HTH102" s="162"/>
      <c r="HTI102" s="162"/>
      <c r="HTJ102" s="162"/>
      <c r="HTK102" s="162"/>
      <c r="HTL102" s="162"/>
      <c r="HTM102" s="162"/>
      <c r="HTN102" s="162"/>
      <c r="HTO102" s="162"/>
      <c r="HTP102" s="162"/>
      <c r="HTQ102" s="162"/>
      <c r="HTR102" s="162"/>
      <c r="HTS102" s="162"/>
      <c r="HTT102" s="162"/>
      <c r="HTU102" s="162"/>
      <c r="HTV102" s="162"/>
      <c r="HTW102" s="162"/>
      <c r="HTX102" s="162"/>
      <c r="HTY102" s="162"/>
      <c r="HTZ102" s="162"/>
      <c r="HUA102" s="162"/>
      <c r="HUB102" s="162"/>
      <c r="HUC102" s="162"/>
      <c r="HUD102" s="162"/>
      <c r="HUE102" s="162"/>
      <c r="HUF102" s="162"/>
      <c r="HUG102" s="162"/>
      <c r="HUH102" s="162"/>
      <c r="HUI102" s="162"/>
      <c r="HUJ102" s="162"/>
      <c r="HUK102" s="162"/>
      <c r="HUL102" s="162"/>
      <c r="HUM102" s="162"/>
      <c r="HUN102" s="162"/>
      <c r="HUO102" s="162"/>
      <c r="HUP102" s="162"/>
      <c r="HUQ102" s="162"/>
      <c r="HUR102" s="162"/>
      <c r="HUS102" s="162"/>
      <c r="HUT102" s="162"/>
      <c r="HUU102" s="162"/>
      <c r="HUV102" s="162"/>
      <c r="HUW102" s="162"/>
      <c r="HUX102" s="162"/>
      <c r="HUY102" s="162"/>
      <c r="HUZ102" s="162"/>
      <c r="HVA102" s="162"/>
      <c r="HVB102" s="162"/>
      <c r="HVC102" s="162"/>
      <c r="HVD102" s="162"/>
      <c r="HVE102" s="162"/>
      <c r="HVF102" s="162"/>
      <c r="HVG102" s="162"/>
      <c r="HVH102" s="162"/>
      <c r="HVI102" s="162"/>
      <c r="HVJ102" s="162"/>
      <c r="HVK102" s="162"/>
      <c r="HVL102" s="162"/>
      <c r="HVM102" s="162"/>
      <c r="HVN102" s="162"/>
      <c r="HVO102" s="162"/>
      <c r="HVP102" s="162"/>
      <c r="HVQ102" s="162"/>
      <c r="HVR102" s="162"/>
      <c r="HVS102" s="162"/>
      <c r="HVT102" s="162"/>
      <c r="HVU102" s="162"/>
      <c r="HVV102" s="162"/>
      <c r="HVW102" s="162"/>
      <c r="HVX102" s="162"/>
      <c r="HVY102" s="162"/>
      <c r="HVZ102" s="162"/>
      <c r="HWA102" s="162"/>
      <c r="HWB102" s="162"/>
      <c r="HWC102" s="162"/>
      <c r="HWD102" s="162"/>
      <c r="HWE102" s="162"/>
      <c r="HWF102" s="162"/>
      <c r="HWG102" s="162"/>
      <c r="HWH102" s="162"/>
      <c r="HWI102" s="162"/>
      <c r="HWJ102" s="162"/>
      <c r="HWK102" s="162"/>
      <c r="HWL102" s="162"/>
      <c r="HWM102" s="162"/>
      <c r="HWN102" s="162"/>
      <c r="HWO102" s="162"/>
      <c r="HWP102" s="162"/>
      <c r="HWQ102" s="162"/>
      <c r="HWR102" s="162"/>
      <c r="HWS102" s="162"/>
      <c r="HWT102" s="162"/>
      <c r="HWU102" s="162"/>
      <c r="HWV102" s="162"/>
      <c r="HWW102" s="162"/>
      <c r="HWX102" s="162"/>
      <c r="HWY102" s="162"/>
      <c r="HWZ102" s="162"/>
      <c r="HXA102" s="162"/>
      <c r="HXB102" s="162"/>
      <c r="HXC102" s="162"/>
      <c r="HXD102" s="162"/>
      <c r="HXE102" s="162"/>
      <c r="HXF102" s="162"/>
      <c r="HXG102" s="162"/>
      <c r="HXH102" s="162"/>
      <c r="HXI102" s="162"/>
      <c r="HXJ102" s="162"/>
      <c r="HXK102" s="162"/>
      <c r="HXL102" s="162"/>
      <c r="HXM102" s="162"/>
      <c r="HXN102" s="162"/>
      <c r="HXO102" s="162"/>
      <c r="HXP102" s="162"/>
      <c r="HXQ102" s="162"/>
      <c r="HXR102" s="162"/>
      <c r="HXS102" s="162"/>
      <c r="HXT102" s="162"/>
      <c r="HXU102" s="162"/>
      <c r="HXV102" s="162"/>
      <c r="HXW102" s="162"/>
      <c r="HXX102" s="162"/>
      <c r="HXY102" s="162"/>
      <c r="HXZ102" s="162"/>
      <c r="HYA102" s="162"/>
      <c r="HYB102" s="162"/>
      <c r="HYC102" s="162"/>
      <c r="HYD102" s="162"/>
      <c r="HYE102" s="162"/>
      <c r="HYF102" s="162"/>
      <c r="HYG102" s="162"/>
      <c r="HYH102" s="162"/>
      <c r="HYI102" s="162"/>
      <c r="HYJ102" s="162"/>
      <c r="HYK102" s="162"/>
      <c r="HYL102" s="162"/>
      <c r="HYM102" s="162"/>
      <c r="HYN102" s="162"/>
      <c r="HYO102" s="162"/>
      <c r="HYP102" s="162"/>
      <c r="HYQ102" s="162"/>
      <c r="HYR102" s="162"/>
      <c r="HYS102" s="162"/>
      <c r="HYT102" s="162"/>
      <c r="HYU102" s="162"/>
      <c r="HYV102" s="162"/>
      <c r="HYW102" s="162"/>
      <c r="HYX102" s="162"/>
      <c r="HYY102" s="162"/>
      <c r="HYZ102" s="162"/>
      <c r="HZA102" s="162"/>
      <c r="HZB102" s="162"/>
      <c r="HZC102" s="162"/>
      <c r="HZD102" s="162"/>
      <c r="HZE102" s="162"/>
      <c r="HZF102" s="162"/>
      <c r="HZG102" s="162"/>
      <c r="HZH102" s="162"/>
      <c r="HZI102" s="162"/>
      <c r="HZJ102" s="162"/>
      <c r="HZK102" s="162"/>
      <c r="HZL102" s="162"/>
      <c r="HZM102" s="162"/>
      <c r="HZN102" s="162"/>
      <c r="HZO102" s="162"/>
      <c r="HZP102" s="162"/>
      <c r="HZQ102" s="162"/>
      <c r="HZR102" s="162"/>
      <c r="HZS102" s="162"/>
      <c r="HZT102" s="162"/>
      <c r="HZU102" s="162"/>
      <c r="HZV102" s="162"/>
      <c r="HZW102" s="162"/>
      <c r="HZX102" s="162"/>
      <c r="HZY102" s="162"/>
      <c r="HZZ102" s="162"/>
      <c r="IAA102" s="162"/>
      <c r="IAB102" s="162"/>
      <c r="IAC102" s="162"/>
      <c r="IAD102" s="162"/>
      <c r="IAE102" s="162"/>
      <c r="IAF102" s="162"/>
      <c r="IAG102" s="162"/>
      <c r="IAH102" s="162"/>
      <c r="IAI102" s="162"/>
      <c r="IAJ102" s="162"/>
      <c r="IAK102" s="162"/>
      <c r="IAL102" s="162"/>
      <c r="IAM102" s="162"/>
      <c r="IAN102" s="162"/>
      <c r="IAO102" s="162"/>
      <c r="IAP102" s="162"/>
      <c r="IAQ102" s="162"/>
      <c r="IAR102" s="162"/>
      <c r="IAS102" s="162"/>
      <c r="IAT102" s="162"/>
      <c r="IAU102" s="162"/>
      <c r="IAV102" s="162"/>
      <c r="IAW102" s="162"/>
      <c r="IAX102" s="162"/>
      <c r="IAY102" s="162"/>
      <c r="IAZ102" s="162"/>
      <c r="IBA102" s="162"/>
      <c r="IBB102" s="162"/>
      <c r="IBC102" s="162"/>
      <c r="IBD102" s="162"/>
      <c r="IBE102" s="162"/>
      <c r="IBF102" s="162"/>
      <c r="IBG102" s="162"/>
      <c r="IBH102" s="162"/>
      <c r="IBI102" s="162"/>
      <c r="IBJ102" s="162"/>
      <c r="IBK102" s="162"/>
      <c r="IBL102" s="162"/>
      <c r="IBM102" s="162"/>
      <c r="IBN102" s="162"/>
      <c r="IBO102" s="162"/>
      <c r="IBP102" s="162"/>
      <c r="IBQ102" s="162"/>
      <c r="IBR102" s="162"/>
      <c r="IBS102" s="162"/>
      <c r="IBT102" s="162"/>
      <c r="IBU102" s="162"/>
      <c r="IBV102" s="162"/>
      <c r="IBW102" s="162"/>
      <c r="IBX102" s="162"/>
      <c r="IBY102" s="162"/>
      <c r="IBZ102" s="162"/>
      <c r="ICA102" s="162"/>
      <c r="ICB102" s="162"/>
      <c r="ICC102" s="162"/>
      <c r="ICD102" s="162"/>
      <c r="ICE102" s="162"/>
      <c r="ICF102" s="162"/>
      <c r="ICG102" s="162"/>
      <c r="ICH102" s="162"/>
      <c r="ICI102" s="162"/>
      <c r="ICJ102" s="162"/>
      <c r="ICK102" s="162"/>
      <c r="ICL102" s="162"/>
      <c r="ICM102" s="162"/>
      <c r="ICN102" s="162"/>
      <c r="ICO102" s="162"/>
      <c r="ICP102" s="162"/>
      <c r="ICQ102" s="162"/>
      <c r="ICR102" s="162"/>
      <c r="ICS102" s="162"/>
      <c r="ICT102" s="162"/>
      <c r="ICU102" s="162"/>
      <c r="ICV102" s="162"/>
      <c r="ICW102" s="162"/>
      <c r="ICX102" s="162"/>
      <c r="ICY102" s="162"/>
      <c r="ICZ102" s="162"/>
      <c r="IDA102" s="162"/>
      <c r="IDB102" s="162"/>
      <c r="IDC102" s="162"/>
      <c r="IDD102" s="162"/>
      <c r="IDE102" s="162"/>
      <c r="IDF102" s="162"/>
      <c r="IDG102" s="162"/>
      <c r="IDH102" s="162"/>
      <c r="IDI102" s="162"/>
      <c r="IDJ102" s="162"/>
      <c r="IDK102" s="162"/>
      <c r="IDL102" s="162"/>
      <c r="IDM102" s="162"/>
      <c r="IDN102" s="162"/>
      <c r="IDO102" s="162"/>
      <c r="IDP102" s="162"/>
      <c r="IDQ102" s="162"/>
      <c r="IDR102" s="162"/>
      <c r="IDS102" s="162"/>
      <c r="IDT102" s="162"/>
      <c r="IDU102" s="162"/>
      <c r="IDV102" s="162"/>
      <c r="IDW102" s="162"/>
      <c r="IDX102" s="162"/>
      <c r="IDY102" s="162"/>
      <c r="IDZ102" s="162"/>
      <c r="IEA102" s="162"/>
      <c r="IEB102" s="162"/>
      <c r="IEC102" s="162"/>
      <c r="IED102" s="162"/>
      <c r="IEE102" s="162"/>
      <c r="IEF102" s="162"/>
      <c r="IEG102" s="162"/>
      <c r="IEH102" s="162"/>
      <c r="IEI102" s="162"/>
      <c r="IEJ102" s="162"/>
      <c r="IEK102" s="162"/>
      <c r="IEL102" s="162"/>
      <c r="IEM102" s="162"/>
      <c r="IEN102" s="162"/>
      <c r="IEO102" s="162"/>
      <c r="IEP102" s="162"/>
      <c r="IEQ102" s="162"/>
      <c r="IER102" s="162"/>
      <c r="IES102" s="162"/>
      <c r="IET102" s="162"/>
      <c r="IEU102" s="162"/>
      <c r="IEV102" s="162"/>
      <c r="IEW102" s="162"/>
      <c r="IEX102" s="162"/>
      <c r="IEY102" s="162"/>
      <c r="IEZ102" s="162"/>
      <c r="IFA102" s="162"/>
      <c r="IFB102" s="162"/>
      <c r="IFC102" s="162"/>
      <c r="IFD102" s="162"/>
      <c r="IFE102" s="162"/>
      <c r="IFF102" s="162"/>
      <c r="IFG102" s="162"/>
      <c r="IFH102" s="162"/>
      <c r="IFI102" s="162"/>
      <c r="IFJ102" s="162"/>
      <c r="IFK102" s="162"/>
      <c r="IFL102" s="162"/>
      <c r="IFM102" s="162"/>
      <c r="IFN102" s="162"/>
      <c r="IFO102" s="162"/>
      <c r="IFP102" s="162"/>
      <c r="IFQ102" s="162"/>
      <c r="IFR102" s="162"/>
      <c r="IFS102" s="162"/>
      <c r="IFT102" s="162"/>
      <c r="IFU102" s="162"/>
      <c r="IFV102" s="162"/>
      <c r="IFW102" s="162"/>
      <c r="IFX102" s="162"/>
      <c r="IFY102" s="162"/>
      <c r="IFZ102" s="162"/>
      <c r="IGA102" s="162"/>
      <c r="IGB102" s="162"/>
      <c r="IGC102" s="162"/>
      <c r="IGD102" s="162"/>
      <c r="IGE102" s="162"/>
      <c r="IGF102" s="162"/>
      <c r="IGG102" s="162"/>
      <c r="IGH102" s="162"/>
      <c r="IGI102" s="162"/>
      <c r="IGJ102" s="162"/>
      <c r="IGK102" s="162"/>
      <c r="IGL102" s="162"/>
      <c r="IGM102" s="162"/>
      <c r="IGN102" s="162"/>
      <c r="IGO102" s="162"/>
      <c r="IGP102" s="162"/>
      <c r="IGQ102" s="162"/>
      <c r="IGR102" s="162"/>
      <c r="IGS102" s="162"/>
      <c r="IGT102" s="162"/>
      <c r="IGU102" s="162"/>
      <c r="IGV102" s="162"/>
      <c r="IGW102" s="162"/>
      <c r="IGX102" s="162"/>
      <c r="IGY102" s="162"/>
      <c r="IGZ102" s="162"/>
      <c r="IHA102" s="162"/>
      <c r="IHB102" s="162"/>
      <c r="IHC102" s="162"/>
      <c r="IHD102" s="162"/>
      <c r="IHE102" s="162"/>
      <c r="IHF102" s="162"/>
      <c r="IHG102" s="162"/>
      <c r="IHH102" s="162"/>
      <c r="IHI102" s="162"/>
      <c r="IHJ102" s="162"/>
      <c r="IHK102" s="162"/>
      <c r="IHL102" s="162"/>
      <c r="IHM102" s="162"/>
      <c r="IHN102" s="162"/>
      <c r="IHO102" s="162"/>
      <c r="IHP102" s="162"/>
      <c r="IHQ102" s="162"/>
      <c r="IHR102" s="162"/>
      <c r="IHS102" s="162"/>
      <c r="IHT102" s="162"/>
      <c r="IHU102" s="162"/>
      <c r="IHV102" s="162"/>
      <c r="IHW102" s="162"/>
      <c r="IHX102" s="162"/>
      <c r="IHY102" s="162"/>
      <c r="IHZ102" s="162"/>
      <c r="IIA102" s="162"/>
      <c r="IIB102" s="162"/>
      <c r="IIC102" s="162"/>
      <c r="IID102" s="162"/>
      <c r="IIE102" s="162"/>
      <c r="IIF102" s="162"/>
      <c r="IIG102" s="162"/>
      <c r="IIH102" s="162"/>
      <c r="III102" s="162"/>
      <c r="IIJ102" s="162"/>
      <c r="IIK102" s="162"/>
      <c r="IIL102" s="162"/>
      <c r="IIM102" s="162"/>
      <c r="IIN102" s="162"/>
      <c r="IIO102" s="162"/>
      <c r="IIP102" s="162"/>
      <c r="IIQ102" s="162"/>
      <c r="IIR102" s="162"/>
      <c r="IIS102" s="162"/>
      <c r="IIT102" s="162"/>
      <c r="IIU102" s="162"/>
      <c r="IIV102" s="162"/>
      <c r="IIW102" s="162"/>
      <c r="IIX102" s="162"/>
      <c r="IIY102" s="162"/>
      <c r="IIZ102" s="162"/>
      <c r="IJA102" s="162"/>
      <c r="IJB102" s="162"/>
      <c r="IJC102" s="162"/>
      <c r="IJD102" s="162"/>
      <c r="IJE102" s="162"/>
      <c r="IJF102" s="162"/>
      <c r="IJG102" s="162"/>
      <c r="IJH102" s="162"/>
      <c r="IJI102" s="162"/>
      <c r="IJJ102" s="162"/>
      <c r="IJK102" s="162"/>
      <c r="IJL102" s="162"/>
      <c r="IJM102" s="162"/>
      <c r="IJN102" s="162"/>
      <c r="IJO102" s="162"/>
      <c r="IJP102" s="162"/>
      <c r="IJQ102" s="162"/>
      <c r="IJR102" s="162"/>
      <c r="IJS102" s="162"/>
      <c r="IJT102" s="162"/>
      <c r="IJU102" s="162"/>
      <c r="IJV102" s="162"/>
      <c r="IJW102" s="162"/>
      <c r="IJX102" s="162"/>
      <c r="IJY102" s="162"/>
      <c r="IJZ102" s="162"/>
      <c r="IKA102" s="162"/>
      <c r="IKB102" s="162"/>
      <c r="IKC102" s="162"/>
      <c r="IKD102" s="162"/>
      <c r="IKE102" s="162"/>
      <c r="IKF102" s="162"/>
      <c r="IKG102" s="162"/>
      <c r="IKH102" s="162"/>
      <c r="IKI102" s="162"/>
      <c r="IKJ102" s="162"/>
      <c r="IKK102" s="162"/>
      <c r="IKL102" s="162"/>
      <c r="IKM102" s="162"/>
      <c r="IKN102" s="162"/>
      <c r="IKO102" s="162"/>
      <c r="IKP102" s="162"/>
      <c r="IKQ102" s="162"/>
      <c r="IKR102" s="162"/>
      <c r="IKS102" s="162"/>
      <c r="IKT102" s="162"/>
      <c r="IKU102" s="162"/>
      <c r="IKV102" s="162"/>
      <c r="IKW102" s="162"/>
      <c r="IKX102" s="162"/>
      <c r="IKY102" s="162"/>
      <c r="IKZ102" s="162"/>
      <c r="ILA102" s="162"/>
      <c r="ILB102" s="162"/>
      <c r="ILC102" s="162"/>
      <c r="ILD102" s="162"/>
      <c r="ILE102" s="162"/>
      <c r="ILF102" s="162"/>
      <c r="ILG102" s="162"/>
      <c r="ILH102" s="162"/>
      <c r="ILI102" s="162"/>
      <c r="ILJ102" s="162"/>
      <c r="ILK102" s="162"/>
      <c r="ILL102" s="162"/>
      <c r="ILM102" s="162"/>
      <c r="ILN102" s="162"/>
      <c r="ILO102" s="162"/>
      <c r="ILP102" s="162"/>
      <c r="ILQ102" s="162"/>
      <c r="ILR102" s="162"/>
      <c r="ILS102" s="162"/>
      <c r="ILT102" s="162"/>
      <c r="ILU102" s="162"/>
      <c r="ILV102" s="162"/>
      <c r="ILW102" s="162"/>
      <c r="ILX102" s="162"/>
      <c r="ILY102" s="162"/>
      <c r="ILZ102" s="162"/>
      <c r="IMA102" s="162"/>
      <c r="IMB102" s="162"/>
      <c r="IMC102" s="162"/>
      <c r="IMD102" s="162"/>
      <c r="IME102" s="162"/>
      <c r="IMF102" s="162"/>
      <c r="IMG102" s="162"/>
      <c r="IMH102" s="162"/>
      <c r="IMI102" s="162"/>
      <c r="IMJ102" s="162"/>
      <c r="IMK102" s="162"/>
      <c r="IML102" s="162"/>
      <c r="IMM102" s="162"/>
      <c r="IMN102" s="162"/>
      <c r="IMO102" s="162"/>
      <c r="IMP102" s="162"/>
      <c r="IMQ102" s="162"/>
      <c r="IMR102" s="162"/>
      <c r="IMS102" s="162"/>
      <c r="IMT102" s="162"/>
      <c r="IMU102" s="162"/>
      <c r="IMV102" s="162"/>
      <c r="IMW102" s="162"/>
      <c r="IMX102" s="162"/>
      <c r="IMY102" s="162"/>
      <c r="IMZ102" s="162"/>
      <c r="INA102" s="162"/>
      <c r="INB102" s="162"/>
      <c r="INC102" s="162"/>
      <c r="IND102" s="162"/>
      <c r="INE102" s="162"/>
      <c r="INF102" s="162"/>
      <c r="ING102" s="162"/>
      <c r="INH102" s="162"/>
      <c r="INI102" s="162"/>
      <c r="INJ102" s="162"/>
      <c r="INK102" s="162"/>
      <c r="INL102" s="162"/>
      <c r="INM102" s="162"/>
      <c r="INN102" s="162"/>
      <c r="INO102" s="162"/>
      <c r="INP102" s="162"/>
      <c r="INQ102" s="162"/>
      <c r="INR102" s="162"/>
      <c r="INS102" s="162"/>
      <c r="INT102" s="162"/>
      <c r="INU102" s="162"/>
      <c r="INV102" s="162"/>
      <c r="INW102" s="162"/>
      <c r="INX102" s="162"/>
      <c r="INY102" s="162"/>
      <c r="INZ102" s="162"/>
      <c r="IOA102" s="162"/>
      <c r="IOB102" s="162"/>
      <c r="IOC102" s="162"/>
      <c r="IOD102" s="162"/>
      <c r="IOE102" s="162"/>
      <c r="IOF102" s="162"/>
      <c r="IOG102" s="162"/>
      <c r="IOH102" s="162"/>
      <c r="IOI102" s="162"/>
      <c r="IOJ102" s="162"/>
      <c r="IOK102" s="162"/>
      <c r="IOL102" s="162"/>
      <c r="IOM102" s="162"/>
      <c r="ION102" s="162"/>
      <c r="IOO102" s="162"/>
      <c r="IOP102" s="162"/>
      <c r="IOQ102" s="162"/>
      <c r="IOR102" s="162"/>
      <c r="IOS102" s="162"/>
      <c r="IOT102" s="162"/>
      <c r="IOU102" s="162"/>
      <c r="IOV102" s="162"/>
      <c r="IOW102" s="162"/>
      <c r="IOX102" s="162"/>
      <c r="IOY102" s="162"/>
      <c r="IOZ102" s="162"/>
      <c r="IPA102" s="162"/>
      <c r="IPB102" s="162"/>
      <c r="IPC102" s="162"/>
      <c r="IPD102" s="162"/>
      <c r="IPE102" s="162"/>
      <c r="IPF102" s="162"/>
      <c r="IPG102" s="162"/>
      <c r="IPH102" s="162"/>
      <c r="IPI102" s="162"/>
      <c r="IPJ102" s="162"/>
      <c r="IPK102" s="162"/>
      <c r="IPL102" s="162"/>
      <c r="IPM102" s="162"/>
      <c r="IPN102" s="162"/>
      <c r="IPO102" s="162"/>
      <c r="IPP102" s="162"/>
      <c r="IPQ102" s="162"/>
      <c r="IPR102" s="162"/>
      <c r="IPS102" s="162"/>
      <c r="IPT102" s="162"/>
      <c r="IPU102" s="162"/>
      <c r="IPV102" s="162"/>
      <c r="IPW102" s="162"/>
      <c r="IPX102" s="162"/>
      <c r="IPY102" s="162"/>
      <c r="IPZ102" s="162"/>
      <c r="IQA102" s="162"/>
      <c r="IQB102" s="162"/>
      <c r="IQC102" s="162"/>
      <c r="IQD102" s="162"/>
      <c r="IQE102" s="162"/>
      <c r="IQF102" s="162"/>
      <c r="IQG102" s="162"/>
      <c r="IQH102" s="162"/>
      <c r="IQI102" s="162"/>
      <c r="IQJ102" s="162"/>
      <c r="IQK102" s="162"/>
      <c r="IQL102" s="162"/>
      <c r="IQM102" s="162"/>
      <c r="IQN102" s="162"/>
      <c r="IQO102" s="162"/>
      <c r="IQP102" s="162"/>
      <c r="IQQ102" s="162"/>
      <c r="IQR102" s="162"/>
      <c r="IQS102" s="162"/>
      <c r="IQT102" s="162"/>
      <c r="IQU102" s="162"/>
      <c r="IQV102" s="162"/>
      <c r="IQW102" s="162"/>
      <c r="IQX102" s="162"/>
      <c r="IQY102" s="162"/>
      <c r="IQZ102" s="162"/>
      <c r="IRA102" s="162"/>
      <c r="IRB102" s="162"/>
      <c r="IRC102" s="162"/>
      <c r="IRD102" s="162"/>
      <c r="IRE102" s="162"/>
      <c r="IRF102" s="162"/>
      <c r="IRG102" s="162"/>
      <c r="IRH102" s="162"/>
      <c r="IRI102" s="162"/>
      <c r="IRJ102" s="162"/>
      <c r="IRK102" s="162"/>
      <c r="IRL102" s="162"/>
      <c r="IRM102" s="162"/>
      <c r="IRN102" s="162"/>
      <c r="IRO102" s="162"/>
      <c r="IRP102" s="162"/>
      <c r="IRQ102" s="162"/>
      <c r="IRR102" s="162"/>
      <c r="IRS102" s="162"/>
      <c r="IRT102" s="162"/>
      <c r="IRU102" s="162"/>
      <c r="IRV102" s="162"/>
      <c r="IRW102" s="162"/>
      <c r="IRX102" s="162"/>
      <c r="IRY102" s="162"/>
      <c r="IRZ102" s="162"/>
      <c r="ISA102" s="162"/>
      <c r="ISB102" s="162"/>
      <c r="ISC102" s="162"/>
      <c r="ISD102" s="162"/>
      <c r="ISE102" s="162"/>
      <c r="ISF102" s="162"/>
      <c r="ISG102" s="162"/>
      <c r="ISH102" s="162"/>
      <c r="ISI102" s="162"/>
      <c r="ISJ102" s="162"/>
      <c r="ISK102" s="162"/>
      <c r="ISL102" s="162"/>
      <c r="ISM102" s="162"/>
      <c r="ISN102" s="162"/>
      <c r="ISO102" s="162"/>
      <c r="ISP102" s="162"/>
      <c r="ISQ102" s="162"/>
      <c r="ISR102" s="162"/>
      <c r="ISS102" s="162"/>
      <c r="IST102" s="162"/>
      <c r="ISU102" s="162"/>
      <c r="ISV102" s="162"/>
      <c r="ISW102" s="162"/>
      <c r="ISX102" s="162"/>
      <c r="ISY102" s="162"/>
      <c r="ISZ102" s="162"/>
      <c r="ITA102" s="162"/>
      <c r="ITB102" s="162"/>
      <c r="ITC102" s="162"/>
      <c r="ITD102" s="162"/>
      <c r="ITE102" s="162"/>
      <c r="ITF102" s="162"/>
      <c r="ITG102" s="162"/>
      <c r="ITH102" s="162"/>
      <c r="ITI102" s="162"/>
      <c r="ITJ102" s="162"/>
      <c r="ITK102" s="162"/>
      <c r="ITL102" s="162"/>
      <c r="ITM102" s="162"/>
      <c r="ITN102" s="162"/>
      <c r="ITO102" s="162"/>
      <c r="ITP102" s="162"/>
      <c r="ITQ102" s="162"/>
      <c r="ITR102" s="162"/>
      <c r="ITS102" s="162"/>
      <c r="ITT102" s="162"/>
      <c r="ITU102" s="162"/>
      <c r="ITV102" s="162"/>
      <c r="ITW102" s="162"/>
      <c r="ITX102" s="162"/>
      <c r="ITY102" s="162"/>
      <c r="ITZ102" s="162"/>
      <c r="IUA102" s="162"/>
      <c r="IUB102" s="162"/>
      <c r="IUC102" s="162"/>
      <c r="IUD102" s="162"/>
      <c r="IUE102" s="162"/>
      <c r="IUF102" s="162"/>
      <c r="IUG102" s="162"/>
      <c r="IUH102" s="162"/>
      <c r="IUI102" s="162"/>
      <c r="IUJ102" s="162"/>
      <c r="IUK102" s="162"/>
      <c r="IUL102" s="162"/>
      <c r="IUM102" s="162"/>
      <c r="IUN102" s="162"/>
      <c r="IUO102" s="162"/>
      <c r="IUP102" s="162"/>
      <c r="IUQ102" s="162"/>
      <c r="IUR102" s="162"/>
      <c r="IUS102" s="162"/>
      <c r="IUT102" s="162"/>
      <c r="IUU102" s="162"/>
      <c r="IUV102" s="162"/>
      <c r="IUW102" s="162"/>
      <c r="IUX102" s="162"/>
      <c r="IUY102" s="162"/>
      <c r="IUZ102" s="162"/>
      <c r="IVA102" s="162"/>
      <c r="IVB102" s="162"/>
      <c r="IVC102" s="162"/>
      <c r="IVD102" s="162"/>
      <c r="IVE102" s="162"/>
      <c r="IVF102" s="162"/>
      <c r="IVG102" s="162"/>
      <c r="IVH102" s="162"/>
      <c r="IVI102" s="162"/>
      <c r="IVJ102" s="162"/>
      <c r="IVK102" s="162"/>
      <c r="IVL102" s="162"/>
      <c r="IVM102" s="162"/>
      <c r="IVN102" s="162"/>
      <c r="IVO102" s="162"/>
      <c r="IVP102" s="162"/>
      <c r="IVQ102" s="162"/>
      <c r="IVR102" s="162"/>
      <c r="IVS102" s="162"/>
      <c r="IVT102" s="162"/>
      <c r="IVU102" s="162"/>
      <c r="IVV102" s="162"/>
      <c r="IVW102" s="162"/>
      <c r="IVX102" s="162"/>
      <c r="IVY102" s="162"/>
      <c r="IVZ102" s="162"/>
      <c r="IWA102" s="162"/>
      <c r="IWB102" s="162"/>
      <c r="IWC102" s="162"/>
      <c r="IWD102" s="162"/>
      <c r="IWE102" s="162"/>
      <c r="IWF102" s="162"/>
      <c r="IWG102" s="162"/>
      <c r="IWH102" s="162"/>
      <c r="IWI102" s="162"/>
      <c r="IWJ102" s="162"/>
      <c r="IWK102" s="162"/>
      <c r="IWL102" s="162"/>
      <c r="IWM102" s="162"/>
      <c r="IWN102" s="162"/>
      <c r="IWO102" s="162"/>
      <c r="IWP102" s="162"/>
      <c r="IWQ102" s="162"/>
      <c r="IWR102" s="162"/>
      <c r="IWS102" s="162"/>
      <c r="IWT102" s="162"/>
      <c r="IWU102" s="162"/>
      <c r="IWV102" s="162"/>
      <c r="IWW102" s="162"/>
      <c r="IWX102" s="162"/>
      <c r="IWY102" s="162"/>
      <c r="IWZ102" s="162"/>
      <c r="IXA102" s="162"/>
      <c r="IXB102" s="162"/>
      <c r="IXC102" s="162"/>
      <c r="IXD102" s="162"/>
      <c r="IXE102" s="162"/>
      <c r="IXF102" s="162"/>
      <c r="IXG102" s="162"/>
      <c r="IXH102" s="162"/>
      <c r="IXI102" s="162"/>
      <c r="IXJ102" s="162"/>
      <c r="IXK102" s="162"/>
      <c r="IXL102" s="162"/>
      <c r="IXM102" s="162"/>
      <c r="IXN102" s="162"/>
      <c r="IXO102" s="162"/>
      <c r="IXP102" s="162"/>
      <c r="IXQ102" s="162"/>
      <c r="IXR102" s="162"/>
      <c r="IXS102" s="162"/>
      <c r="IXT102" s="162"/>
      <c r="IXU102" s="162"/>
      <c r="IXV102" s="162"/>
      <c r="IXW102" s="162"/>
      <c r="IXX102" s="162"/>
      <c r="IXY102" s="162"/>
      <c r="IXZ102" s="162"/>
      <c r="IYA102" s="162"/>
      <c r="IYB102" s="162"/>
      <c r="IYC102" s="162"/>
      <c r="IYD102" s="162"/>
      <c r="IYE102" s="162"/>
      <c r="IYF102" s="162"/>
      <c r="IYG102" s="162"/>
      <c r="IYH102" s="162"/>
      <c r="IYI102" s="162"/>
      <c r="IYJ102" s="162"/>
      <c r="IYK102" s="162"/>
      <c r="IYL102" s="162"/>
      <c r="IYM102" s="162"/>
      <c r="IYN102" s="162"/>
      <c r="IYO102" s="162"/>
      <c r="IYP102" s="162"/>
      <c r="IYQ102" s="162"/>
      <c r="IYR102" s="162"/>
      <c r="IYS102" s="162"/>
      <c r="IYT102" s="162"/>
      <c r="IYU102" s="162"/>
      <c r="IYV102" s="162"/>
      <c r="IYW102" s="162"/>
      <c r="IYX102" s="162"/>
      <c r="IYY102" s="162"/>
      <c r="IYZ102" s="162"/>
      <c r="IZA102" s="162"/>
      <c r="IZB102" s="162"/>
      <c r="IZC102" s="162"/>
      <c r="IZD102" s="162"/>
      <c r="IZE102" s="162"/>
      <c r="IZF102" s="162"/>
      <c r="IZG102" s="162"/>
      <c r="IZH102" s="162"/>
      <c r="IZI102" s="162"/>
      <c r="IZJ102" s="162"/>
      <c r="IZK102" s="162"/>
      <c r="IZL102" s="162"/>
      <c r="IZM102" s="162"/>
      <c r="IZN102" s="162"/>
      <c r="IZO102" s="162"/>
      <c r="IZP102" s="162"/>
      <c r="IZQ102" s="162"/>
      <c r="IZR102" s="162"/>
      <c r="IZS102" s="162"/>
      <c r="IZT102" s="162"/>
      <c r="IZU102" s="162"/>
      <c r="IZV102" s="162"/>
      <c r="IZW102" s="162"/>
      <c r="IZX102" s="162"/>
      <c r="IZY102" s="162"/>
      <c r="IZZ102" s="162"/>
      <c r="JAA102" s="162"/>
      <c r="JAB102" s="162"/>
      <c r="JAC102" s="162"/>
      <c r="JAD102" s="162"/>
      <c r="JAE102" s="162"/>
      <c r="JAF102" s="162"/>
      <c r="JAG102" s="162"/>
      <c r="JAH102" s="162"/>
      <c r="JAI102" s="162"/>
      <c r="JAJ102" s="162"/>
      <c r="JAK102" s="162"/>
      <c r="JAL102" s="162"/>
      <c r="JAM102" s="162"/>
      <c r="JAN102" s="162"/>
      <c r="JAO102" s="162"/>
      <c r="JAP102" s="162"/>
      <c r="JAQ102" s="162"/>
      <c r="JAR102" s="162"/>
      <c r="JAS102" s="162"/>
      <c r="JAT102" s="162"/>
      <c r="JAU102" s="162"/>
      <c r="JAV102" s="162"/>
      <c r="JAW102" s="162"/>
      <c r="JAX102" s="162"/>
      <c r="JAY102" s="162"/>
      <c r="JAZ102" s="162"/>
      <c r="JBA102" s="162"/>
      <c r="JBB102" s="162"/>
      <c r="JBC102" s="162"/>
      <c r="JBD102" s="162"/>
      <c r="JBE102" s="162"/>
      <c r="JBF102" s="162"/>
      <c r="JBG102" s="162"/>
      <c r="JBH102" s="162"/>
      <c r="JBI102" s="162"/>
      <c r="JBJ102" s="162"/>
      <c r="JBK102" s="162"/>
      <c r="JBL102" s="162"/>
      <c r="JBM102" s="162"/>
      <c r="JBN102" s="162"/>
      <c r="JBO102" s="162"/>
      <c r="JBP102" s="162"/>
      <c r="JBQ102" s="162"/>
      <c r="JBR102" s="162"/>
      <c r="JBS102" s="162"/>
      <c r="JBT102" s="162"/>
      <c r="JBU102" s="162"/>
      <c r="JBV102" s="162"/>
      <c r="JBW102" s="162"/>
      <c r="JBX102" s="162"/>
      <c r="JBY102" s="162"/>
      <c r="JBZ102" s="162"/>
      <c r="JCA102" s="162"/>
      <c r="JCB102" s="162"/>
      <c r="JCC102" s="162"/>
      <c r="JCD102" s="162"/>
      <c r="JCE102" s="162"/>
      <c r="JCF102" s="162"/>
      <c r="JCG102" s="162"/>
      <c r="JCH102" s="162"/>
      <c r="JCI102" s="162"/>
      <c r="JCJ102" s="162"/>
      <c r="JCK102" s="162"/>
      <c r="JCL102" s="162"/>
      <c r="JCM102" s="162"/>
      <c r="JCN102" s="162"/>
      <c r="JCO102" s="162"/>
      <c r="JCP102" s="162"/>
      <c r="JCQ102" s="162"/>
      <c r="JCR102" s="162"/>
      <c r="JCS102" s="162"/>
      <c r="JCT102" s="162"/>
      <c r="JCU102" s="162"/>
      <c r="JCV102" s="162"/>
      <c r="JCW102" s="162"/>
      <c r="JCX102" s="162"/>
      <c r="JCY102" s="162"/>
      <c r="JCZ102" s="162"/>
      <c r="JDA102" s="162"/>
      <c r="JDB102" s="162"/>
      <c r="JDC102" s="162"/>
      <c r="JDD102" s="162"/>
      <c r="JDE102" s="162"/>
      <c r="JDF102" s="162"/>
      <c r="JDG102" s="162"/>
      <c r="JDH102" s="162"/>
      <c r="JDI102" s="162"/>
      <c r="JDJ102" s="162"/>
      <c r="JDK102" s="162"/>
      <c r="JDL102" s="162"/>
      <c r="JDM102" s="162"/>
      <c r="JDN102" s="162"/>
      <c r="JDO102" s="162"/>
      <c r="JDP102" s="162"/>
      <c r="JDQ102" s="162"/>
      <c r="JDR102" s="162"/>
      <c r="JDS102" s="162"/>
      <c r="JDT102" s="162"/>
      <c r="JDU102" s="162"/>
      <c r="JDV102" s="162"/>
      <c r="JDW102" s="162"/>
      <c r="JDX102" s="162"/>
      <c r="JDY102" s="162"/>
      <c r="JDZ102" s="162"/>
      <c r="JEA102" s="162"/>
      <c r="JEB102" s="162"/>
      <c r="JEC102" s="162"/>
      <c r="JED102" s="162"/>
      <c r="JEE102" s="162"/>
      <c r="JEF102" s="162"/>
      <c r="JEG102" s="162"/>
      <c r="JEH102" s="162"/>
      <c r="JEI102" s="162"/>
      <c r="JEJ102" s="162"/>
      <c r="JEK102" s="162"/>
      <c r="JEL102" s="162"/>
      <c r="JEM102" s="162"/>
      <c r="JEN102" s="162"/>
      <c r="JEO102" s="162"/>
      <c r="JEP102" s="162"/>
      <c r="JEQ102" s="162"/>
      <c r="JER102" s="162"/>
      <c r="JES102" s="162"/>
      <c r="JET102" s="162"/>
      <c r="JEU102" s="162"/>
      <c r="JEV102" s="162"/>
      <c r="JEW102" s="162"/>
      <c r="JEX102" s="162"/>
      <c r="JEY102" s="162"/>
      <c r="JEZ102" s="162"/>
      <c r="JFA102" s="162"/>
      <c r="JFB102" s="162"/>
      <c r="JFC102" s="162"/>
      <c r="JFD102" s="162"/>
      <c r="JFE102" s="162"/>
      <c r="JFF102" s="162"/>
      <c r="JFG102" s="162"/>
      <c r="JFH102" s="162"/>
      <c r="JFI102" s="162"/>
      <c r="JFJ102" s="162"/>
      <c r="JFK102" s="162"/>
      <c r="JFL102" s="162"/>
      <c r="JFM102" s="162"/>
      <c r="JFN102" s="162"/>
      <c r="JFO102" s="162"/>
      <c r="JFP102" s="162"/>
      <c r="JFQ102" s="162"/>
      <c r="JFR102" s="162"/>
      <c r="JFS102" s="162"/>
      <c r="JFT102" s="162"/>
      <c r="JFU102" s="162"/>
      <c r="JFV102" s="162"/>
      <c r="JFW102" s="162"/>
      <c r="JFX102" s="162"/>
      <c r="JFY102" s="162"/>
      <c r="JFZ102" s="162"/>
      <c r="JGA102" s="162"/>
      <c r="JGB102" s="162"/>
      <c r="JGC102" s="162"/>
      <c r="JGD102" s="162"/>
      <c r="JGE102" s="162"/>
      <c r="JGF102" s="162"/>
      <c r="JGG102" s="162"/>
      <c r="JGH102" s="162"/>
      <c r="JGI102" s="162"/>
      <c r="JGJ102" s="162"/>
      <c r="JGK102" s="162"/>
      <c r="JGL102" s="162"/>
      <c r="JGM102" s="162"/>
      <c r="JGN102" s="162"/>
      <c r="JGO102" s="162"/>
      <c r="JGP102" s="162"/>
      <c r="JGQ102" s="162"/>
      <c r="JGR102" s="162"/>
      <c r="JGS102" s="162"/>
      <c r="JGT102" s="162"/>
      <c r="JGU102" s="162"/>
      <c r="JGV102" s="162"/>
      <c r="JGW102" s="162"/>
      <c r="JGX102" s="162"/>
      <c r="JGY102" s="162"/>
      <c r="JGZ102" s="162"/>
      <c r="JHA102" s="162"/>
      <c r="JHB102" s="162"/>
      <c r="JHC102" s="162"/>
      <c r="JHD102" s="162"/>
      <c r="JHE102" s="162"/>
      <c r="JHF102" s="162"/>
      <c r="JHG102" s="162"/>
      <c r="JHH102" s="162"/>
      <c r="JHI102" s="162"/>
      <c r="JHJ102" s="162"/>
      <c r="JHK102" s="162"/>
      <c r="JHL102" s="162"/>
      <c r="JHM102" s="162"/>
      <c r="JHN102" s="162"/>
      <c r="JHO102" s="162"/>
      <c r="JHP102" s="162"/>
      <c r="JHQ102" s="162"/>
      <c r="JHR102" s="162"/>
      <c r="JHS102" s="162"/>
      <c r="JHT102" s="162"/>
      <c r="JHU102" s="162"/>
      <c r="JHV102" s="162"/>
      <c r="JHW102" s="162"/>
      <c r="JHX102" s="162"/>
      <c r="JHY102" s="162"/>
      <c r="JHZ102" s="162"/>
      <c r="JIA102" s="162"/>
      <c r="JIB102" s="162"/>
      <c r="JIC102" s="162"/>
      <c r="JID102" s="162"/>
      <c r="JIE102" s="162"/>
      <c r="JIF102" s="162"/>
      <c r="JIG102" s="162"/>
      <c r="JIH102" s="162"/>
      <c r="JII102" s="162"/>
      <c r="JIJ102" s="162"/>
      <c r="JIK102" s="162"/>
      <c r="JIL102" s="162"/>
      <c r="JIM102" s="162"/>
      <c r="JIN102" s="162"/>
      <c r="JIO102" s="162"/>
      <c r="JIP102" s="162"/>
      <c r="JIQ102" s="162"/>
      <c r="JIR102" s="162"/>
      <c r="JIS102" s="162"/>
      <c r="JIT102" s="162"/>
      <c r="JIU102" s="162"/>
      <c r="JIV102" s="162"/>
      <c r="JIW102" s="162"/>
      <c r="JIX102" s="162"/>
      <c r="JIY102" s="162"/>
      <c r="JIZ102" s="162"/>
      <c r="JJA102" s="162"/>
      <c r="JJB102" s="162"/>
      <c r="JJC102" s="162"/>
      <c r="JJD102" s="162"/>
      <c r="JJE102" s="162"/>
      <c r="JJF102" s="162"/>
      <c r="JJG102" s="162"/>
      <c r="JJH102" s="162"/>
      <c r="JJI102" s="162"/>
      <c r="JJJ102" s="162"/>
      <c r="JJK102" s="162"/>
      <c r="JJL102" s="162"/>
      <c r="JJM102" s="162"/>
      <c r="JJN102" s="162"/>
      <c r="JJO102" s="162"/>
      <c r="JJP102" s="162"/>
      <c r="JJQ102" s="162"/>
      <c r="JJR102" s="162"/>
      <c r="JJS102" s="162"/>
      <c r="JJT102" s="162"/>
      <c r="JJU102" s="162"/>
      <c r="JJV102" s="162"/>
      <c r="JJW102" s="162"/>
      <c r="JJX102" s="162"/>
      <c r="JJY102" s="162"/>
      <c r="JJZ102" s="162"/>
      <c r="JKA102" s="162"/>
      <c r="JKB102" s="162"/>
      <c r="JKC102" s="162"/>
      <c r="JKD102" s="162"/>
      <c r="JKE102" s="162"/>
      <c r="JKF102" s="162"/>
      <c r="JKG102" s="162"/>
      <c r="JKH102" s="162"/>
      <c r="JKI102" s="162"/>
      <c r="JKJ102" s="162"/>
      <c r="JKK102" s="162"/>
      <c r="JKL102" s="162"/>
      <c r="JKM102" s="162"/>
      <c r="JKN102" s="162"/>
      <c r="JKO102" s="162"/>
      <c r="JKP102" s="162"/>
      <c r="JKQ102" s="162"/>
      <c r="JKR102" s="162"/>
      <c r="JKS102" s="162"/>
      <c r="JKT102" s="162"/>
      <c r="JKU102" s="162"/>
      <c r="JKV102" s="162"/>
      <c r="JKW102" s="162"/>
      <c r="JKX102" s="162"/>
      <c r="JKY102" s="162"/>
      <c r="JKZ102" s="162"/>
      <c r="JLA102" s="162"/>
      <c r="JLB102" s="162"/>
      <c r="JLC102" s="162"/>
      <c r="JLD102" s="162"/>
      <c r="JLE102" s="162"/>
      <c r="JLF102" s="162"/>
      <c r="JLG102" s="162"/>
      <c r="JLH102" s="162"/>
      <c r="JLI102" s="162"/>
      <c r="JLJ102" s="162"/>
      <c r="JLK102" s="162"/>
      <c r="JLL102" s="162"/>
      <c r="JLM102" s="162"/>
      <c r="JLN102" s="162"/>
      <c r="JLO102" s="162"/>
      <c r="JLP102" s="162"/>
      <c r="JLQ102" s="162"/>
      <c r="JLR102" s="162"/>
      <c r="JLS102" s="162"/>
      <c r="JLT102" s="162"/>
      <c r="JLU102" s="162"/>
      <c r="JLV102" s="162"/>
      <c r="JLW102" s="162"/>
      <c r="JLX102" s="162"/>
      <c r="JLY102" s="162"/>
      <c r="JLZ102" s="162"/>
      <c r="JMA102" s="162"/>
      <c r="JMB102" s="162"/>
      <c r="JMC102" s="162"/>
      <c r="JMD102" s="162"/>
      <c r="JME102" s="162"/>
      <c r="JMF102" s="162"/>
      <c r="JMG102" s="162"/>
      <c r="JMH102" s="162"/>
      <c r="JMI102" s="162"/>
      <c r="JMJ102" s="162"/>
      <c r="JMK102" s="162"/>
      <c r="JML102" s="162"/>
      <c r="JMM102" s="162"/>
      <c r="JMN102" s="162"/>
      <c r="JMO102" s="162"/>
      <c r="JMP102" s="162"/>
      <c r="JMQ102" s="162"/>
      <c r="JMR102" s="162"/>
      <c r="JMS102" s="162"/>
      <c r="JMT102" s="162"/>
      <c r="JMU102" s="162"/>
      <c r="JMV102" s="162"/>
      <c r="JMW102" s="162"/>
      <c r="JMX102" s="162"/>
      <c r="JMY102" s="162"/>
      <c r="JMZ102" s="162"/>
      <c r="JNA102" s="162"/>
      <c r="JNB102" s="162"/>
      <c r="JNC102" s="162"/>
      <c r="JND102" s="162"/>
      <c r="JNE102" s="162"/>
      <c r="JNF102" s="162"/>
      <c r="JNG102" s="162"/>
      <c r="JNH102" s="162"/>
      <c r="JNI102" s="162"/>
      <c r="JNJ102" s="162"/>
      <c r="JNK102" s="162"/>
      <c r="JNL102" s="162"/>
      <c r="JNM102" s="162"/>
      <c r="JNN102" s="162"/>
      <c r="JNO102" s="162"/>
      <c r="JNP102" s="162"/>
      <c r="JNQ102" s="162"/>
      <c r="JNR102" s="162"/>
      <c r="JNS102" s="162"/>
      <c r="JNT102" s="162"/>
      <c r="JNU102" s="162"/>
      <c r="JNV102" s="162"/>
      <c r="JNW102" s="162"/>
      <c r="JNX102" s="162"/>
      <c r="JNY102" s="162"/>
      <c r="JNZ102" s="162"/>
      <c r="JOA102" s="162"/>
      <c r="JOB102" s="162"/>
      <c r="JOC102" s="162"/>
      <c r="JOD102" s="162"/>
      <c r="JOE102" s="162"/>
      <c r="JOF102" s="162"/>
      <c r="JOG102" s="162"/>
      <c r="JOH102" s="162"/>
      <c r="JOI102" s="162"/>
      <c r="JOJ102" s="162"/>
      <c r="JOK102" s="162"/>
      <c r="JOL102" s="162"/>
      <c r="JOM102" s="162"/>
      <c r="JON102" s="162"/>
      <c r="JOO102" s="162"/>
      <c r="JOP102" s="162"/>
      <c r="JOQ102" s="162"/>
      <c r="JOR102" s="162"/>
      <c r="JOS102" s="162"/>
      <c r="JOT102" s="162"/>
      <c r="JOU102" s="162"/>
      <c r="JOV102" s="162"/>
      <c r="JOW102" s="162"/>
      <c r="JOX102" s="162"/>
      <c r="JOY102" s="162"/>
      <c r="JOZ102" s="162"/>
      <c r="JPA102" s="162"/>
      <c r="JPB102" s="162"/>
      <c r="JPC102" s="162"/>
      <c r="JPD102" s="162"/>
      <c r="JPE102" s="162"/>
      <c r="JPF102" s="162"/>
      <c r="JPG102" s="162"/>
      <c r="JPH102" s="162"/>
      <c r="JPI102" s="162"/>
      <c r="JPJ102" s="162"/>
      <c r="JPK102" s="162"/>
      <c r="JPL102" s="162"/>
      <c r="JPM102" s="162"/>
      <c r="JPN102" s="162"/>
      <c r="JPO102" s="162"/>
      <c r="JPP102" s="162"/>
      <c r="JPQ102" s="162"/>
      <c r="JPR102" s="162"/>
      <c r="JPS102" s="162"/>
      <c r="JPT102" s="162"/>
      <c r="JPU102" s="162"/>
      <c r="JPV102" s="162"/>
      <c r="JPW102" s="162"/>
      <c r="JPX102" s="162"/>
      <c r="JPY102" s="162"/>
      <c r="JPZ102" s="162"/>
      <c r="JQA102" s="162"/>
      <c r="JQB102" s="162"/>
      <c r="JQC102" s="162"/>
      <c r="JQD102" s="162"/>
      <c r="JQE102" s="162"/>
      <c r="JQF102" s="162"/>
      <c r="JQG102" s="162"/>
      <c r="JQH102" s="162"/>
      <c r="JQI102" s="162"/>
      <c r="JQJ102" s="162"/>
      <c r="JQK102" s="162"/>
      <c r="JQL102" s="162"/>
      <c r="JQM102" s="162"/>
      <c r="JQN102" s="162"/>
      <c r="JQO102" s="162"/>
      <c r="JQP102" s="162"/>
      <c r="JQQ102" s="162"/>
      <c r="JQR102" s="162"/>
      <c r="JQS102" s="162"/>
      <c r="JQT102" s="162"/>
      <c r="JQU102" s="162"/>
      <c r="JQV102" s="162"/>
      <c r="JQW102" s="162"/>
      <c r="JQX102" s="162"/>
      <c r="JQY102" s="162"/>
      <c r="JQZ102" s="162"/>
      <c r="JRA102" s="162"/>
      <c r="JRB102" s="162"/>
      <c r="JRC102" s="162"/>
      <c r="JRD102" s="162"/>
      <c r="JRE102" s="162"/>
      <c r="JRF102" s="162"/>
      <c r="JRG102" s="162"/>
      <c r="JRH102" s="162"/>
      <c r="JRI102" s="162"/>
      <c r="JRJ102" s="162"/>
      <c r="JRK102" s="162"/>
      <c r="JRL102" s="162"/>
      <c r="JRM102" s="162"/>
      <c r="JRN102" s="162"/>
      <c r="JRO102" s="162"/>
      <c r="JRP102" s="162"/>
      <c r="JRQ102" s="162"/>
      <c r="JRR102" s="162"/>
      <c r="JRS102" s="162"/>
      <c r="JRT102" s="162"/>
      <c r="JRU102" s="162"/>
      <c r="JRV102" s="162"/>
      <c r="JRW102" s="162"/>
      <c r="JRX102" s="162"/>
      <c r="JRY102" s="162"/>
      <c r="JRZ102" s="162"/>
      <c r="JSA102" s="162"/>
      <c r="JSB102" s="162"/>
      <c r="JSC102" s="162"/>
      <c r="JSD102" s="162"/>
      <c r="JSE102" s="162"/>
      <c r="JSF102" s="162"/>
      <c r="JSG102" s="162"/>
      <c r="JSH102" s="162"/>
      <c r="JSI102" s="162"/>
      <c r="JSJ102" s="162"/>
      <c r="JSK102" s="162"/>
      <c r="JSL102" s="162"/>
      <c r="JSM102" s="162"/>
      <c r="JSN102" s="162"/>
      <c r="JSO102" s="162"/>
      <c r="JSP102" s="162"/>
      <c r="JSQ102" s="162"/>
      <c r="JSR102" s="162"/>
      <c r="JSS102" s="162"/>
      <c r="JST102" s="162"/>
      <c r="JSU102" s="162"/>
      <c r="JSV102" s="162"/>
      <c r="JSW102" s="162"/>
      <c r="JSX102" s="162"/>
      <c r="JSY102" s="162"/>
      <c r="JSZ102" s="162"/>
      <c r="JTA102" s="162"/>
      <c r="JTB102" s="162"/>
      <c r="JTC102" s="162"/>
      <c r="JTD102" s="162"/>
      <c r="JTE102" s="162"/>
      <c r="JTF102" s="162"/>
      <c r="JTG102" s="162"/>
      <c r="JTH102" s="162"/>
      <c r="JTI102" s="162"/>
      <c r="JTJ102" s="162"/>
      <c r="JTK102" s="162"/>
      <c r="JTL102" s="162"/>
      <c r="JTM102" s="162"/>
      <c r="JTN102" s="162"/>
      <c r="JTO102" s="162"/>
      <c r="JTP102" s="162"/>
      <c r="JTQ102" s="162"/>
      <c r="JTR102" s="162"/>
      <c r="JTS102" s="162"/>
      <c r="JTT102" s="162"/>
      <c r="JTU102" s="162"/>
      <c r="JTV102" s="162"/>
      <c r="JTW102" s="162"/>
      <c r="JTX102" s="162"/>
      <c r="JTY102" s="162"/>
      <c r="JTZ102" s="162"/>
      <c r="JUA102" s="162"/>
      <c r="JUB102" s="162"/>
      <c r="JUC102" s="162"/>
      <c r="JUD102" s="162"/>
      <c r="JUE102" s="162"/>
      <c r="JUF102" s="162"/>
      <c r="JUG102" s="162"/>
      <c r="JUH102" s="162"/>
      <c r="JUI102" s="162"/>
      <c r="JUJ102" s="162"/>
      <c r="JUK102" s="162"/>
      <c r="JUL102" s="162"/>
      <c r="JUM102" s="162"/>
      <c r="JUN102" s="162"/>
      <c r="JUO102" s="162"/>
      <c r="JUP102" s="162"/>
      <c r="JUQ102" s="162"/>
      <c r="JUR102" s="162"/>
      <c r="JUS102" s="162"/>
      <c r="JUT102" s="162"/>
      <c r="JUU102" s="162"/>
      <c r="JUV102" s="162"/>
      <c r="JUW102" s="162"/>
      <c r="JUX102" s="162"/>
      <c r="JUY102" s="162"/>
      <c r="JUZ102" s="162"/>
      <c r="JVA102" s="162"/>
      <c r="JVB102" s="162"/>
      <c r="JVC102" s="162"/>
      <c r="JVD102" s="162"/>
      <c r="JVE102" s="162"/>
      <c r="JVF102" s="162"/>
      <c r="JVG102" s="162"/>
      <c r="JVH102" s="162"/>
      <c r="JVI102" s="162"/>
      <c r="JVJ102" s="162"/>
      <c r="JVK102" s="162"/>
      <c r="JVL102" s="162"/>
      <c r="JVM102" s="162"/>
      <c r="JVN102" s="162"/>
      <c r="JVO102" s="162"/>
      <c r="JVP102" s="162"/>
      <c r="JVQ102" s="162"/>
      <c r="JVR102" s="162"/>
      <c r="JVS102" s="162"/>
      <c r="JVT102" s="162"/>
      <c r="JVU102" s="162"/>
      <c r="JVV102" s="162"/>
      <c r="JVW102" s="162"/>
      <c r="JVX102" s="162"/>
      <c r="JVY102" s="162"/>
      <c r="JVZ102" s="162"/>
      <c r="JWA102" s="162"/>
      <c r="JWB102" s="162"/>
      <c r="JWC102" s="162"/>
      <c r="JWD102" s="162"/>
      <c r="JWE102" s="162"/>
      <c r="JWF102" s="162"/>
      <c r="JWG102" s="162"/>
      <c r="JWH102" s="162"/>
      <c r="JWI102" s="162"/>
      <c r="JWJ102" s="162"/>
      <c r="JWK102" s="162"/>
      <c r="JWL102" s="162"/>
      <c r="JWM102" s="162"/>
      <c r="JWN102" s="162"/>
      <c r="JWO102" s="162"/>
      <c r="JWP102" s="162"/>
      <c r="JWQ102" s="162"/>
      <c r="JWR102" s="162"/>
      <c r="JWS102" s="162"/>
      <c r="JWT102" s="162"/>
      <c r="JWU102" s="162"/>
      <c r="JWV102" s="162"/>
      <c r="JWW102" s="162"/>
      <c r="JWX102" s="162"/>
      <c r="JWY102" s="162"/>
      <c r="JWZ102" s="162"/>
      <c r="JXA102" s="162"/>
      <c r="JXB102" s="162"/>
      <c r="JXC102" s="162"/>
      <c r="JXD102" s="162"/>
      <c r="JXE102" s="162"/>
      <c r="JXF102" s="162"/>
      <c r="JXG102" s="162"/>
      <c r="JXH102" s="162"/>
      <c r="JXI102" s="162"/>
      <c r="JXJ102" s="162"/>
      <c r="JXK102" s="162"/>
      <c r="JXL102" s="162"/>
      <c r="JXM102" s="162"/>
      <c r="JXN102" s="162"/>
      <c r="JXO102" s="162"/>
      <c r="JXP102" s="162"/>
      <c r="JXQ102" s="162"/>
      <c r="JXR102" s="162"/>
      <c r="JXS102" s="162"/>
      <c r="JXT102" s="162"/>
      <c r="JXU102" s="162"/>
      <c r="JXV102" s="162"/>
      <c r="JXW102" s="162"/>
      <c r="JXX102" s="162"/>
      <c r="JXY102" s="162"/>
      <c r="JXZ102" s="162"/>
      <c r="JYA102" s="162"/>
      <c r="JYB102" s="162"/>
      <c r="JYC102" s="162"/>
      <c r="JYD102" s="162"/>
      <c r="JYE102" s="162"/>
      <c r="JYF102" s="162"/>
      <c r="JYG102" s="162"/>
      <c r="JYH102" s="162"/>
      <c r="JYI102" s="162"/>
      <c r="JYJ102" s="162"/>
      <c r="JYK102" s="162"/>
      <c r="JYL102" s="162"/>
      <c r="JYM102" s="162"/>
      <c r="JYN102" s="162"/>
      <c r="JYO102" s="162"/>
      <c r="JYP102" s="162"/>
      <c r="JYQ102" s="162"/>
      <c r="JYR102" s="162"/>
      <c r="JYS102" s="162"/>
      <c r="JYT102" s="162"/>
      <c r="JYU102" s="162"/>
      <c r="JYV102" s="162"/>
      <c r="JYW102" s="162"/>
      <c r="JYX102" s="162"/>
      <c r="JYY102" s="162"/>
      <c r="JYZ102" s="162"/>
      <c r="JZA102" s="162"/>
      <c r="JZB102" s="162"/>
      <c r="JZC102" s="162"/>
      <c r="JZD102" s="162"/>
      <c r="JZE102" s="162"/>
      <c r="JZF102" s="162"/>
      <c r="JZG102" s="162"/>
      <c r="JZH102" s="162"/>
      <c r="JZI102" s="162"/>
      <c r="JZJ102" s="162"/>
      <c r="JZK102" s="162"/>
      <c r="JZL102" s="162"/>
      <c r="JZM102" s="162"/>
      <c r="JZN102" s="162"/>
      <c r="JZO102" s="162"/>
      <c r="JZP102" s="162"/>
      <c r="JZQ102" s="162"/>
      <c r="JZR102" s="162"/>
      <c r="JZS102" s="162"/>
      <c r="JZT102" s="162"/>
      <c r="JZU102" s="162"/>
      <c r="JZV102" s="162"/>
      <c r="JZW102" s="162"/>
      <c r="JZX102" s="162"/>
      <c r="JZY102" s="162"/>
      <c r="JZZ102" s="162"/>
      <c r="KAA102" s="162"/>
      <c r="KAB102" s="162"/>
      <c r="KAC102" s="162"/>
      <c r="KAD102" s="162"/>
      <c r="KAE102" s="162"/>
      <c r="KAF102" s="162"/>
      <c r="KAG102" s="162"/>
      <c r="KAH102" s="162"/>
      <c r="KAI102" s="162"/>
      <c r="KAJ102" s="162"/>
      <c r="KAK102" s="162"/>
      <c r="KAL102" s="162"/>
      <c r="KAM102" s="162"/>
      <c r="KAN102" s="162"/>
      <c r="KAO102" s="162"/>
      <c r="KAP102" s="162"/>
      <c r="KAQ102" s="162"/>
      <c r="KAR102" s="162"/>
      <c r="KAS102" s="162"/>
      <c r="KAT102" s="162"/>
      <c r="KAU102" s="162"/>
      <c r="KAV102" s="162"/>
      <c r="KAW102" s="162"/>
      <c r="KAX102" s="162"/>
      <c r="KAY102" s="162"/>
      <c r="KAZ102" s="162"/>
      <c r="KBA102" s="162"/>
      <c r="KBB102" s="162"/>
      <c r="KBC102" s="162"/>
      <c r="KBD102" s="162"/>
      <c r="KBE102" s="162"/>
      <c r="KBF102" s="162"/>
      <c r="KBG102" s="162"/>
      <c r="KBH102" s="162"/>
      <c r="KBI102" s="162"/>
      <c r="KBJ102" s="162"/>
      <c r="KBK102" s="162"/>
      <c r="KBL102" s="162"/>
      <c r="KBM102" s="162"/>
      <c r="KBN102" s="162"/>
      <c r="KBO102" s="162"/>
      <c r="KBP102" s="162"/>
      <c r="KBQ102" s="162"/>
      <c r="KBR102" s="162"/>
      <c r="KBS102" s="162"/>
      <c r="KBT102" s="162"/>
      <c r="KBU102" s="162"/>
      <c r="KBV102" s="162"/>
      <c r="KBW102" s="162"/>
      <c r="KBX102" s="162"/>
      <c r="KBY102" s="162"/>
      <c r="KBZ102" s="162"/>
      <c r="KCA102" s="162"/>
      <c r="KCB102" s="162"/>
      <c r="KCC102" s="162"/>
      <c r="KCD102" s="162"/>
      <c r="KCE102" s="162"/>
      <c r="KCF102" s="162"/>
      <c r="KCG102" s="162"/>
      <c r="KCH102" s="162"/>
      <c r="KCI102" s="162"/>
      <c r="KCJ102" s="162"/>
      <c r="KCK102" s="162"/>
      <c r="KCL102" s="162"/>
      <c r="KCM102" s="162"/>
      <c r="KCN102" s="162"/>
      <c r="KCO102" s="162"/>
      <c r="KCP102" s="162"/>
      <c r="KCQ102" s="162"/>
      <c r="KCR102" s="162"/>
      <c r="KCS102" s="162"/>
      <c r="KCT102" s="162"/>
      <c r="KCU102" s="162"/>
      <c r="KCV102" s="162"/>
      <c r="KCW102" s="162"/>
      <c r="KCX102" s="162"/>
      <c r="KCY102" s="162"/>
      <c r="KCZ102" s="162"/>
      <c r="KDA102" s="162"/>
      <c r="KDB102" s="162"/>
      <c r="KDC102" s="162"/>
      <c r="KDD102" s="162"/>
      <c r="KDE102" s="162"/>
      <c r="KDF102" s="162"/>
      <c r="KDG102" s="162"/>
      <c r="KDH102" s="162"/>
      <c r="KDI102" s="162"/>
      <c r="KDJ102" s="162"/>
      <c r="KDK102" s="162"/>
      <c r="KDL102" s="162"/>
      <c r="KDM102" s="162"/>
      <c r="KDN102" s="162"/>
      <c r="KDO102" s="162"/>
      <c r="KDP102" s="162"/>
      <c r="KDQ102" s="162"/>
      <c r="KDR102" s="162"/>
      <c r="KDS102" s="162"/>
      <c r="KDT102" s="162"/>
      <c r="KDU102" s="162"/>
      <c r="KDV102" s="162"/>
      <c r="KDW102" s="162"/>
      <c r="KDX102" s="162"/>
      <c r="KDY102" s="162"/>
      <c r="KDZ102" s="162"/>
      <c r="KEA102" s="162"/>
      <c r="KEB102" s="162"/>
      <c r="KEC102" s="162"/>
      <c r="KED102" s="162"/>
      <c r="KEE102" s="162"/>
      <c r="KEF102" s="162"/>
      <c r="KEG102" s="162"/>
      <c r="KEH102" s="162"/>
      <c r="KEI102" s="162"/>
      <c r="KEJ102" s="162"/>
      <c r="KEK102" s="162"/>
      <c r="KEL102" s="162"/>
      <c r="KEM102" s="162"/>
      <c r="KEN102" s="162"/>
      <c r="KEO102" s="162"/>
      <c r="KEP102" s="162"/>
      <c r="KEQ102" s="162"/>
      <c r="KER102" s="162"/>
      <c r="KES102" s="162"/>
      <c r="KET102" s="162"/>
      <c r="KEU102" s="162"/>
      <c r="KEV102" s="162"/>
      <c r="KEW102" s="162"/>
      <c r="KEX102" s="162"/>
      <c r="KEY102" s="162"/>
      <c r="KEZ102" s="162"/>
      <c r="KFA102" s="162"/>
      <c r="KFB102" s="162"/>
      <c r="KFC102" s="162"/>
      <c r="KFD102" s="162"/>
      <c r="KFE102" s="162"/>
      <c r="KFF102" s="162"/>
      <c r="KFG102" s="162"/>
      <c r="KFH102" s="162"/>
      <c r="KFI102" s="162"/>
      <c r="KFJ102" s="162"/>
      <c r="KFK102" s="162"/>
      <c r="KFL102" s="162"/>
      <c r="KFM102" s="162"/>
      <c r="KFN102" s="162"/>
      <c r="KFO102" s="162"/>
      <c r="KFP102" s="162"/>
      <c r="KFQ102" s="162"/>
      <c r="KFR102" s="162"/>
      <c r="KFS102" s="162"/>
      <c r="KFT102" s="162"/>
      <c r="KFU102" s="162"/>
      <c r="KFV102" s="162"/>
      <c r="KFW102" s="162"/>
      <c r="KFX102" s="162"/>
      <c r="KFY102" s="162"/>
      <c r="KFZ102" s="162"/>
      <c r="KGA102" s="162"/>
      <c r="KGB102" s="162"/>
      <c r="KGC102" s="162"/>
      <c r="KGD102" s="162"/>
      <c r="KGE102" s="162"/>
      <c r="KGF102" s="162"/>
      <c r="KGG102" s="162"/>
      <c r="KGH102" s="162"/>
      <c r="KGI102" s="162"/>
      <c r="KGJ102" s="162"/>
      <c r="KGK102" s="162"/>
      <c r="KGL102" s="162"/>
      <c r="KGM102" s="162"/>
      <c r="KGN102" s="162"/>
      <c r="KGO102" s="162"/>
      <c r="KGP102" s="162"/>
      <c r="KGQ102" s="162"/>
      <c r="KGR102" s="162"/>
      <c r="KGS102" s="162"/>
      <c r="KGT102" s="162"/>
      <c r="KGU102" s="162"/>
      <c r="KGV102" s="162"/>
      <c r="KGW102" s="162"/>
      <c r="KGX102" s="162"/>
      <c r="KGY102" s="162"/>
      <c r="KGZ102" s="162"/>
      <c r="KHA102" s="162"/>
      <c r="KHB102" s="162"/>
      <c r="KHC102" s="162"/>
      <c r="KHD102" s="162"/>
      <c r="KHE102" s="162"/>
      <c r="KHF102" s="162"/>
      <c r="KHG102" s="162"/>
      <c r="KHH102" s="162"/>
      <c r="KHI102" s="162"/>
      <c r="KHJ102" s="162"/>
      <c r="KHK102" s="162"/>
      <c r="KHL102" s="162"/>
      <c r="KHM102" s="162"/>
      <c r="KHN102" s="162"/>
      <c r="KHO102" s="162"/>
      <c r="KHP102" s="162"/>
      <c r="KHQ102" s="162"/>
      <c r="KHR102" s="162"/>
      <c r="KHS102" s="162"/>
      <c r="KHT102" s="162"/>
      <c r="KHU102" s="162"/>
      <c r="KHV102" s="162"/>
      <c r="KHW102" s="162"/>
      <c r="KHX102" s="162"/>
      <c r="KHY102" s="162"/>
      <c r="KHZ102" s="162"/>
      <c r="KIA102" s="162"/>
      <c r="KIB102" s="162"/>
      <c r="KIC102" s="162"/>
      <c r="KID102" s="162"/>
      <c r="KIE102" s="162"/>
      <c r="KIF102" s="162"/>
      <c r="KIG102" s="162"/>
      <c r="KIH102" s="162"/>
      <c r="KII102" s="162"/>
      <c r="KIJ102" s="162"/>
      <c r="KIK102" s="162"/>
      <c r="KIL102" s="162"/>
      <c r="KIM102" s="162"/>
      <c r="KIN102" s="162"/>
      <c r="KIO102" s="162"/>
      <c r="KIP102" s="162"/>
      <c r="KIQ102" s="162"/>
      <c r="KIR102" s="162"/>
      <c r="KIS102" s="162"/>
      <c r="KIT102" s="162"/>
      <c r="KIU102" s="162"/>
      <c r="KIV102" s="162"/>
      <c r="KIW102" s="162"/>
      <c r="KIX102" s="162"/>
      <c r="KIY102" s="162"/>
      <c r="KIZ102" s="162"/>
      <c r="KJA102" s="162"/>
      <c r="KJB102" s="162"/>
      <c r="KJC102" s="162"/>
      <c r="KJD102" s="162"/>
      <c r="KJE102" s="162"/>
      <c r="KJF102" s="162"/>
      <c r="KJG102" s="162"/>
      <c r="KJH102" s="162"/>
      <c r="KJI102" s="162"/>
      <c r="KJJ102" s="162"/>
      <c r="KJK102" s="162"/>
      <c r="KJL102" s="162"/>
      <c r="KJM102" s="162"/>
      <c r="KJN102" s="162"/>
      <c r="KJO102" s="162"/>
      <c r="KJP102" s="162"/>
      <c r="KJQ102" s="162"/>
      <c r="KJR102" s="162"/>
      <c r="KJS102" s="162"/>
      <c r="KJT102" s="162"/>
      <c r="KJU102" s="162"/>
      <c r="KJV102" s="162"/>
      <c r="KJW102" s="162"/>
      <c r="KJX102" s="162"/>
      <c r="KJY102" s="162"/>
      <c r="KJZ102" s="162"/>
      <c r="KKA102" s="162"/>
      <c r="KKB102" s="162"/>
      <c r="KKC102" s="162"/>
      <c r="KKD102" s="162"/>
      <c r="KKE102" s="162"/>
      <c r="KKF102" s="162"/>
      <c r="KKG102" s="162"/>
      <c r="KKH102" s="162"/>
      <c r="KKI102" s="162"/>
      <c r="KKJ102" s="162"/>
      <c r="KKK102" s="162"/>
      <c r="KKL102" s="162"/>
      <c r="KKM102" s="162"/>
      <c r="KKN102" s="162"/>
      <c r="KKO102" s="162"/>
      <c r="KKP102" s="162"/>
      <c r="KKQ102" s="162"/>
      <c r="KKR102" s="162"/>
      <c r="KKS102" s="162"/>
      <c r="KKT102" s="162"/>
      <c r="KKU102" s="162"/>
      <c r="KKV102" s="162"/>
      <c r="KKW102" s="162"/>
      <c r="KKX102" s="162"/>
      <c r="KKY102" s="162"/>
      <c r="KKZ102" s="162"/>
      <c r="KLA102" s="162"/>
      <c r="KLB102" s="162"/>
      <c r="KLC102" s="162"/>
      <c r="KLD102" s="162"/>
      <c r="KLE102" s="162"/>
      <c r="KLF102" s="162"/>
      <c r="KLG102" s="162"/>
      <c r="KLH102" s="162"/>
      <c r="KLI102" s="162"/>
      <c r="KLJ102" s="162"/>
      <c r="KLK102" s="162"/>
      <c r="KLL102" s="162"/>
      <c r="KLM102" s="162"/>
      <c r="KLN102" s="162"/>
      <c r="KLO102" s="162"/>
      <c r="KLP102" s="162"/>
      <c r="KLQ102" s="162"/>
      <c r="KLR102" s="162"/>
      <c r="KLS102" s="162"/>
      <c r="KLT102" s="162"/>
      <c r="KLU102" s="162"/>
      <c r="KLV102" s="162"/>
      <c r="KLW102" s="162"/>
      <c r="KLX102" s="162"/>
      <c r="KLY102" s="162"/>
      <c r="KLZ102" s="162"/>
      <c r="KMA102" s="162"/>
      <c r="KMB102" s="162"/>
      <c r="KMC102" s="162"/>
      <c r="KMD102" s="162"/>
      <c r="KME102" s="162"/>
      <c r="KMF102" s="162"/>
      <c r="KMG102" s="162"/>
      <c r="KMH102" s="162"/>
      <c r="KMI102" s="162"/>
      <c r="KMJ102" s="162"/>
      <c r="KMK102" s="162"/>
      <c r="KML102" s="162"/>
      <c r="KMM102" s="162"/>
      <c r="KMN102" s="162"/>
      <c r="KMO102" s="162"/>
      <c r="KMP102" s="162"/>
      <c r="KMQ102" s="162"/>
      <c r="KMR102" s="162"/>
      <c r="KMS102" s="162"/>
      <c r="KMT102" s="162"/>
      <c r="KMU102" s="162"/>
      <c r="KMV102" s="162"/>
      <c r="KMW102" s="162"/>
      <c r="KMX102" s="162"/>
      <c r="KMY102" s="162"/>
      <c r="KMZ102" s="162"/>
      <c r="KNA102" s="162"/>
      <c r="KNB102" s="162"/>
      <c r="KNC102" s="162"/>
      <c r="KND102" s="162"/>
      <c r="KNE102" s="162"/>
      <c r="KNF102" s="162"/>
      <c r="KNG102" s="162"/>
      <c r="KNH102" s="162"/>
      <c r="KNI102" s="162"/>
      <c r="KNJ102" s="162"/>
      <c r="KNK102" s="162"/>
      <c r="KNL102" s="162"/>
      <c r="KNM102" s="162"/>
      <c r="KNN102" s="162"/>
      <c r="KNO102" s="162"/>
      <c r="KNP102" s="162"/>
      <c r="KNQ102" s="162"/>
      <c r="KNR102" s="162"/>
      <c r="KNS102" s="162"/>
      <c r="KNT102" s="162"/>
      <c r="KNU102" s="162"/>
      <c r="KNV102" s="162"/>
      <c r="KNW102" s="162"/>
      <c r="KNX102" s="162"/>
      <c r="KNY102" s="162"/>
      <c r="KNZ102" s="162"/>
      <c r="KOA102" s="162"/>
      <c r="KOB102" s="162"/>
      <c r="KOC102" s="162"/>
      <c r="KOD102" s="162"/>
      <c r="KOE102" s="162"/>
      <c r="KOF102" s="162"/>
      <c r="KOG102" s="162"/>
      <c r="KOH102" s="162"/>
      <c r="KOI102" s="162"/>
      <c r="KOJ102" s="162"/>
      <c r="KOK102" s="162"/>
      <c r="KOL102" s="162"/>
      <c r="KOM102" s="162"/>
      <c r="KON102" s="162"/>
      <c r="KOO102" s="162"/>
      <c r="KOP102" s="162"/>
      <c r="KOQ102" s="162"/>
      <c r="KOR102" s="162"/>
      <c r="KOS102" s="162"/>
      <c r="KOT102" s="162"/>
      <c r="KOU102" s="162"/>
      <c r="KOV102" s="162"/>
      <c r="KOW102" s="162"/>
      <c r="KOX102" s="162"/>
      <c r="KOY102" s="162"/>
      <c r="KOZ102" s="162"/>
      <c r="KPA102" s="162"/>
      <c r="KPB102" s="162"/>
      <c r="KPC102" s="162"/>
      <c r="KPD102" s="162"/>
      <c r="KPE102" s="162"/>
      <c r="KPF102" s="162"/>
      <c r="KPG102" s="162"/>
      <c r="KPH102" s="162"/>
      <c r="KPI102" s="162"/>
      <c r="KPJ102" s="162"/>
      <c r="KPK102" s="162"/>
      <c r="KPL102" s="162"/>
      <c r="KPM102" s="162"/>
      <c r="KPN102" s="162"/>
      <c r="KPO102" s="162"/>
      <c r="KPP102" s="162"/>
      <c r="KPQ102" s="162"/>
      <c r="KPR102" s="162"/>
      <c r="KPS102" s="162"/>
      <c r="KPT102" s="162"/>
      <c r="KPU102" s="162"/>
      <c r="KPV102" s="162"/>
      <c r="KPW102" s="162"/>
      <c r="KPX102" s="162"/>
      <c r="KPY102" s="162"/>
      <c r="KPZ102" s="162"/>
      <c r="KQA102" s="162"/>
      <c r="KQB102" s="162"/>
      <c r="KQC102" s="162"/>
      <c r="KQD102" s="162"/>
      <c r="KQE102" s="162"/>
      <c r="KQF102" s="162"/>
      <c r="KQG102" s="162"/>
      <c r="KQH102" s="162"/>
      <c r="KQI102" s="162"/>
      <c r="KQJ102" s="162"/>
      <c r="KQK102" s="162"/>
      <c r="KQL102" s="162"/>
      <c r="KQM102" s="162"/>
      <c r="KQN102" s="162"/>
      <c r="KQO102" s="162"/>
      <c r="KQP102" s="162"/>
      <c r="KQQ102" s="162"/>
      <c r="KQR102" s="162"/>
      <c r="KQS102" s="162"/>
      <c r="KQT102" s="162"/>
      <c r="KQU102" s="162"/>
      <c r="KQV102" s="162"/>
      <c r="KQW102" s="162"/>
      <c r="KQX102" s="162"/>
      <c r="KQY102" s="162"/>
      <c r="KQZ102" s="162"/>
      <c r="KRA102" s="162"/>
      <c r="KRB102" s="162"/>
      <c r="KRC102" s="162"/>
      <c r="KRD102" s="162"/>
      <c r="KRE102" s="162"/>
      <c r="KRF102" s="162"/>
      <c r="KRG102" s="162"/>
      <c r="KRH102" s="162"/>
      <c r="KRI102" s="162"/>
      <c r="KRJ102" s="162"/>
      <c r="KRK102" s="162"/>
      <c r="KRL102" s="162"/>
      <c r="KRM102" s="162"/>
      <c r="KRN102" s="162"/>
      <c r="KRO102" s="162"/>
      <c r="KRP102" s="162"/>
      <c r="KRQ102" s="162"/>
      <c r="KRR102" s="162"/>
      <c r="KRS102" s="162"/>
      <c r="KRT102" s="162"/>
      <c r="KRU102" s="162"/>
      <c r="KRV102" s="162"/>
      <c r="KRW102" s="162"/>
      <c r="KRX102" s="162"/>
      <c r="KRY102" s="162"/>
      <c r="KRZ102" s="162"/>
      <c r="KSA102" s="162"/>
      <c r="KSB102" s="162"/>
      <c r="KSC102" s="162"/>
      <c r="KSD102" s="162"/>
      <c r="KSE102" s="162"/>
      <c r="KSF102" s="162"/>
      <c r="KSG102" s="162"/>
      <c r="KSH102" s="162"/>
      <c r="KSI102" s="162"/>
      <c r="KSJ102" s="162"/>
      <c r="KSK102" s="162"/>
      <c r="KSL102" s="162"/>
      <c r="KSM102" s="162"/>
      <c r="KSN102" s="162"/>
      <c r="KSO102" s="162"/>
      <c r="KSP102" s="162"/>
      <c r="KSQ102" s="162"/>
      <c r="KSR102" s="162"/>
      <c r="KSS102" s="162"/>
      <c r="KST102" s="162"/>
      <c r="KSU102" s="162"/>
      <c r="KSV102" s="162"/>
      <c r="KSW102" s="162"/>
      <c r="KSX102" s="162"/>
      <c r="KSY102" s="162"/>
      <c r="KSZ102" s="162"/>
      <c r="KTA102" s="162"/>
      <c r="KTB102" s="162"/>
      <c r="KTC102" s="162"/>
      <c r="KTD102" s="162"/>
      <c r="KTE102" s="162"/>
      <c r="KTF102" s="162"/>
      <c r="KTG102" s="162"/>
      <c r="KTH102" s="162"/>
      <c r="KTI102" s="162"/>
      <c r="KTJ102" s="162"/>
      <c r="KTK102" s="162"/>
      <c r="KTL102" s="162"/>
      <c r="KTM102" s="162"/>
      <c r="KTN102" s="162"/>
      <c r="KTO102" s="162"/>
      <c r="KTP102" s="162"/>
      <c r="KTQ102" s="162"/>
      <c r="KTR102" s="162"/>
      <c r="KTS102" s="162"/>
      <c r="KTT102" s="162"/>
      <c r="KTU102" s="162"/>
      <c r="KTV102" s="162"/>
      <c r="KTW102" s="162"/>
      <c r="KTX102" s="162"/>
      <c r="KTY102" s="162"/>
      <c r="KTZ102" s="162"/>
      <c r="KUA102" s="162"/>
      <c r="KUB102" s="162"/>
      <c r="KUC102" s="162"/>
      <c r="KUD102" s="162"/>
      <c r="KUE102" s="162"/>
      <c r="KUF102" s="162"/>
      <c r="KUG102" s="162"/>
      <c r="KUH102" s="162"/>
      <c r="KUI102" s="162"/>
      <c r="KUJ102" s="162"/>
      <c r="KUK102" s="162"/>
      <c r="KUL102" s="162"/>
      <c r="KUM102" s="162"/>
      <c r="KUN102" s="162"/>
      <c r="KUO102" s="162"/>
      <c r="KUP102" s="162"/>
      <c r="KUQ102" s="162"/>
      <c r="KUR102" s="162"/>
      <c r="KUS102" s="162"/>
      <c r="KUT102" s="162"/>
      <c r="KUU102" s="162"/>
      <c r="KUV102" s="162"/>
      <c r="KUW102" s="162"/>
      <c r="KUX102" s="162"/>
      <c r="KUY102" s="162"/>
      <c r="KUZ102" s="162"/>
      <c r="KVA102" s="162"/>
      <c r="KVB102" s="162"/>
      <c r="KVC102" s="162"/>
      <c r="KVD102" s="162"/>
      <c r="KVE102" s="162"/>
      <c r="KVF102" s="162"/>
      <c r="KVG102" s="162"/>
      <c r="KVH102" s="162"/>
      <c r="KVI102" s="162"/>
      <c r="KVJ102" s="162"/>
      <c r="KVK102" s="162"/>
      <c r="KVL102" s="162"/>
      <c r="KVM102" s="162"/>
      <c r="KVN102" s="162"/>
      <c r="KVO102" s="162"/>
      <c r="KVP102" s="162"/>
      <c r="KVQ102" s="162"/>
      <c r="KVR102" s="162"/>
      <c r="KVS102" s="162"/>
      <c r="KVT102" s="162"/>
      <c r="KVU102" s="162"/>
      <c r="KVV102" s="162"/>
      <c r="KVW102" s="162"/>
      <c r="KVX102" s="162"/>
      <c r="KVY102" s="162"/>
      <c r="KVZ102" s="162"/>
      <c r="KWA102" s="162"/>
      <c r="KWB102" s="162"/>
      <c r="KWC102" s="162"/>
      <c r="KWD102" s="162"/>
      <c r="KWE102" s="162"/>
      <c r="KWF102" s="162"/>
      <c r="KWG102" s="162"/>
      <c r="KWH102" s="162"/>
      <c r="KWI102" s="162"/>
      <c r="KWJ102" s="162"/>
      <c r="KWK102" s="162"/>
      <c r="KWL102" s="162"/>
      <c r="KWM102" s="162"/>
      <c r="KWN102" s="162"/>
      <c r="KWO102" s="162"/>
      <c r="KWP102" s="162"/>
      <c r="KWQ102" s="162"/>
      <c r="KWR102" s="162"/>
      <c r="KWS102" s="162"/>
      <c r="KWT102" s="162"/>
      <c r="KWU102" s="162"/>
      <c r="KWV102" s="162"/>
      <c r="KWW102" s="162"/>
      <c r="KWX102" s="162"/>
      <c r="KWY102" s="162"/>
      <c r="KWZ102" s="162"/>
      <c r="KXA102" s="162"/>
      <c r="KXB102" s="162"/>
      <c r="KXC102" s="162"/>
      <c r="KXD102" s="162"/>
      <c r="KXE102" s="162"/>
      <c r="KXF102" s="162"/>
      <c r="KXG102" s="162"/>
      <c r="KXH102" s="162"/>
      <c r="KXI102" s="162"/>
      <c r="KXJ102" s="162"/>
      <c r="KXK102" s="162"/>
      <c r="KXL102" s="162"/>
      <c r="KXM102" s="162"/>
      <c r="KXN102" s="162"/>
      <c r="KXO102" s="162"/>
      <c r="KXP102" s="162"/>
      <c r="KXQ102" s="162"/>
      <c r="KXR102" s="162"/>
      <c r="KXS102" s="162"/>
      <c r="KXT102" s="162"/>
      <c r="KXU102" s="162"/>
      <c r="KXV102" s="162"/>
      <c r="KXW102" s="162"/>
      <c r="KXX102" s="162"/>
      <c r="KXY102" s="162"/>
      <c r="KXZ102" s="162"/>
      <c r="KYA102" s="162"/>
      <c r="KYB102" s="162"/>
      <c r="KYC102" s="162"/>
      <c r="KYD102" s="162"/>
      <c r="KYE102" s="162"/>
      <c r="KYF102" s="162"/>
      <c r="KYG102" s="162"/>
      <c r="KYH102" s="162"/>
      <c r="KYI102" s="162"/>
      <c r="KYJ102" s="162"/>
      <c r="KYK102" s="162"/>
      <c r="KYL102" s="162"/>
      <c r="KYM102" s="162"/>
      <c r="KYN102" s="162"/>
      <c r="KYO102" s="162"/>
      <c r="KYP102" s="162"/>
      <c r="KYQ102" s="162"/>
      <c r="KYR102" s="162"/>
      <c r="KYS102" s="162"/>
      <c r="KYT102" s="162"/>
      <c r="KYU102" s="162"/>
      <c r="KYV102" s="162"/>
      <c r="KYW102" s="162"/>
      <c r="KYX102" s="162"/>
      <c r="KYY102" s="162"/>
      <c r="KYZ102" s="162"/>
      <c r="KZA102" s="162"/>
      <c r="KZB102" s="162"/>
      <c r="KZC102" s="162"/>
      <c r="KZD102" s="162"/>
      <c r="KZE102" s="162"/>
      <c r="KZF102" s="162"/>
      <c r="KZG102" s="162"/>
      <c r="KZH102" s="162"/>
      <c r="KZI102" s="162"/>
      <c r="KZJ102" s="162"/>
      <c r="KZK102" s="162"/>
      <c r="KZL102" s="162"/>
      <c r="KZM102" s="162"/>
      <c r="KZN102" s="162"/>
      <c r="KZO102" s="162"/>
      <c r="KZP102" s="162"/>
      <c r="KZQ102" s="162"/>
      <c r="KZR102" s="162"/>
      <c r="KZS102" s="162"/>
      <c r="KZT102" s="162"/>
      <c r="KZU102" s="162"/>
      <c r="KZV102" s="162"/>
      <c r="KZW102" s="162"/>
      <c r="KZX102" s="162"/>
      <c r="KZY102" s="162"/>
      <c r="KZZ102" s="162"/>
      <c r="LAA102" s="162"/>
      <c r="LAB102" s="162"/>
      <c r="LAC102" s="162"/>
      <c r="LAD102" s="162"/>
      <c r="LAE102" s="162"/>
      <c r="LAF102" s="162"/>
      <c r="LAG102" s="162"/>
      <c r="LAH102" s="162"/>
      <c r="LAI102" s="162"/>
      <c r="LAJ102" s="162"/>
      <c r="LAK102" s="162"/>
      <c r="LAL102" s="162"/>
      <c r="LAM102" s="162"/>
      <c r="LAN102" s="162"/>
      <c r="LAO102" s="162"/>
      <c r="LAP102" s="162"/>
      <c r="LAQ102" s="162"/>
      <c r="LAR102" s="162"/>
      <c r="LAS102" s="162"/>
      <c r="LAT102" s="162"/>
      <c r="LAU102" s="162"/>
      <c r="LAV102" s="162"/>
      <c r="LAW102" s="162"/>
      <c r="LAX102" s="162"/>
      <c r="LAY102" s="162"/>
      <c r="LAZ102" s="162"/>
      <c r="LBA102" s="162"/>
      <c r="LBB102" s="162"/>
      <c r="LBC102" s="162"/>
      <c r="LBD102" s="162"/>
      <c r="LBE102" s="162"/>
      <c r="LBF102" s="162"/>
      <c r="LBG102" s="162"/>
      <c r="LBH102" s="162"/>
      <c r="LBI102" s="162"/>
      <c r="LBJ102" s="162"/>
      <c r="LBK102" s="162"/>
      <c r="LBL102" s="162"/>
      <c r="LBM102" s="162"/>
      <c r="LBN102" s="162"/>
      <c r="LBO102" s="162"/>
      <c r="LBP102" s="162"/>
      <c r="LBQ102" s="162"/>
      <c r="LBR102" s="162"/>
      <c r="LBS102" s="162"/>
      <c r="LBT102" s="162"/>
      <c r="LBU102" s="162"/>
      <c r="LBV102" s="162"/>
      <c r="LBW102" s="162"/>
      <c r="LBX102" s="162"/>
      <c r="LBY102" s="162"/>
      <c r="LBZ102" s="162"/>
      <c r="LCA102" s="162"/>
      <c r="LCB102" s="162"/>
      <c r="LCC102" s="162"/>
      <c r="LCD102" s="162"/>
      <c r="LCE102" s="162"/>
      <c r="LCF102" s="162"/>
      <c r="LCG102" s="162"/>
      <c r="LCH102" s="162"/>
      <c r="LCI102" s="162"/>
      <c r="LCJ102" s="162"/>
      <c r="LCK102" s="162"/>
      <c r="LCL102" s="162"/>
      <c r="LCM102" s="162"/>
      <c r="LCN102" s="162"/>
      <c r="LCO102" s="162"/>
      <c r="LCP102" s="162"/>
      <c r="LCQ102" s="162"/>
      <c r="LCR102" s="162"/>
      <c r="LCS102" s="162"/>
      <c r="LCT102" s="162"/>
      <c r="LCU102" s="162"/>
      <c r="LCV102" s="162"/>
      <c r="LCW102" s="162"/>
      <c r="LCX102" s="162"/>
      <c r="LCY102" s="162"/>
      <c r="LCZ102" s="162"/>
      <c r="LDA102" s="162"/>
      <c r="LDB102" s="162"/>
      <c r="LDC102" s="162"/>
      <c r="LDD102" s="162"/>
      <c r="LDE102" s="162"/>
      <c r="LDF102" s="162"/>
      <c r="LDG102" s="162"/>
      <c r="LDH102" s="162"/>
      <c r="LDI102" s="162"/>
      <c r="LDJ102" s="162"/>
      <c r="LDK102" s="162"/>
      <c r="LDL102" s="162"/>
      <c r="LDM102" s="162"/>
      <c r="LDN102" s="162"/>
      <c r="LDO102" s="162"/>
      <c r="LDP102" s="162"/>
      <c r="LDQ102" s="162"/>
      <c r="LDR102" s="162"/>
      <c r="LDS102" s="162"/>
      <c r="LDT102" s="162"/>
      <c r="LDU102" s="162"/>
      <c r="LDV102" s="162"/>
      <c r="LDW102" s="162"/>
      <c r="LDX102" s="162"/>
      <c r="LDY102" s="162"/>
      <c r="LDZ102" s="162"/>
      <c r="LEA102" s="162"/>
      <c r="LEB102" s="162"/>
      <c r="LEC102" s="162"/>
      <c r="LED102" s="162"/>
      <c r="LEE102" s="162"/>
      <c r="LEF102" s="162"/>
      <c r="LEG102" s="162"/>
      <c r="LEH102" s="162"/>
      <c r="LEI102" s="162"/>
      <c r="LEJ102" s="162"/>
      <c r="LEK102" s="162"/>
      <c r="LEL102" s="162"/>
      <c r="LEM102" s="162"/>
      <c r="LEN102" s="162"/>
      <c r="LEO102" s="162"/>
      <c r="LEP102" s="162"/>
      <c r="LEQ102" s="162"/>
      <c r="LER102" s="162"/>
      <c r="LES102" s="162"/>
      <c r="LET102" s="162"/>
      <c r="LEU102" s="162"/>
      <c r="LEV102" s="162"/>
      <c r="LEW102" s="162"/>
      <c r="LEX102" s="162"/>
      <c r="LEY102" s="162"/>
      <c r="LEZ102" s="162"/>
      <c r="LFA102" s="162"/>
      <c r="LFB102" s="162"/>
      <c r="LFC102" s="162"/>
      <c r="LFD102" s="162"/>
      <c r="LFE102" s="162"/>
      <c r="LFF102" s="162"/>
      <c r="LFG102" s="162"/>
      <c r="LFH102" s="162"/>
      <c r="LFI102" s="162"/>
      <c r="LFJ102" s="162"/>
      <c r="LFK102" s="162"/>
      <c r="LFL102" s="162"/>
      <c r="LFM102" s="162"/>
      <c r="LFN102" s="162"/>
      <c r="LFO102" s="162"/>
      <c r="LFP102" s="162"/>
      <c r="LFQ102" s="162"/>
      <c r="LFR102" s="162"/>
      <c r="LFS102" s="162"/>
      <c r="LFT102" s="162"/>
      <c r="LFU102" s="162"/>
      <c r="LFV102" s="162"/>
      <c r="LFW102" s="162"/>
      <c r="LFX102" s="162"/>
      <c r="LFY102" s="162"/>
      <c r="LFZ102" s="162"/>
      <c r="LGA102" s="162"/>
      <c r="LGB102" s="162"/>
      <c r="LGC102" s="162"/>
      <c r="LGD102" s="162"/>
      <c r="LGE102" s="162"/>
      <c r="LGF102" s="162"/>
      <c r="LGG102" s="162"/>
      <c r="LGH102" s="162"/>
      <c r="LGI102" s="162"/>
      <c r="LGJ102" s="162"/>
      <c r="LGK102" s="162"/>
      <c r="LGL102" s="162"/>
      <c r="LGM102" s="162"/>
      <c r="LGN102" s="162"/>
      <c r="LGO102" s="162"/>
      <c r="LGP102" s="162"/>
      <c r="LGQ102" s="162"/>
      <c r="LGR102" s="162"/>
      <c r="LGS102" s="162"/>
      <c r="LGT102" s="162"/>
      <c r="LGU102" s="162"/>
      <c r="LGV102" s="162"/>
      <c r="LGW102" s="162"/>
      <c r="LGX102" s="162"/>
      <c r="LGY102" s="162"/>
      <c r="LGZ102" s="162"/>
      <c r="LHA102" s="162"/>
      <c r="LHB102" s="162"/>
      <c r="LHC102" s="162"/>
      <c r="LHD102" s="162"/>
      <c r="LHE102" s="162"/>
      <c r="LHF102" s="162"/>
      <c r="LHG102" s="162"/>
      <c r="LHH102" s="162"/>
      <c r="LHI102" s="162"/>
      <c r="LHJ102" s="162"/>
      <c r="LHK102" s="162"/>
      <c r="LHL102" s="162"/>
      <c r="LHM102" s="162"/>
      <c r="LHN102" s="162"/>
      <c r="LHO102" s="162"/>
      <c r="LHP102" s="162"/>
      <c r="LHQ102" s="162"/>
      <c r="LHR102" s="162"/>
      <c r="LHS102" s="162"/>
      <c r="LHT102" s="162"/>
      <c r="LHU102" s="162"/>
      <c r="LHV102" s="162"/>
      <c r="LHW102" s="162"/>
      <c r="LHX102" s="162"/>
      <c r="LHY102" s="162"/>
      <c r="LHZ102" s="162"/>
      <c r="LIA102" s="162"/>
      <c r="LIB102" s="162"/>
      <c r="LIC102" s="162"/>
      <c r="LID102" s="162"/>
      <c r="LIE102" s="162"/>
      <c r="LIF102" s="162"/>
      <c r="LIG102" s="162"/>
      <c r="LIH102" s="162"/>
      <c r="LII102" s="162"/>
      <c r="LIJ102" s="162"/>
      <c r="LIK102" s="162"/>
      <c r="LIL102" s="162"/>
      <c r="LIM102" s="162"/>
      <c r="LIN102" s="162"/>
      <c r="LIO102" s="162"/>
      <c r="LIP102" s="162"/>
      <c r="LIQ102" s="162"/>
      <c r="LIR102" s="162"/>
      <c r="LIS102" s="162"/>
      <c r="LIT102" s="162"/>
      <c r="LIU102" s="162"/>
      <c r="LIV102" s="162"/>
      <c r="LIW102" s="162"/>
      <c r="LIX102" s="162"/>
      <c r="LIY102" s="162"/>
      <c r="LIZ102" s="162"/>
      <c r="LJA102" s="162"/>
      <c r="LJB102" s="162"/>
      <c r="LJC102" s="162"/>
      <c r="LJD102" s="162"/>
      <c r="LJE102" s="162"/>
      <c r="LJF102" s="162"/>
      <c r="LJG102" s="162"/>
      <c r="LJH102" s="162"/>
      <c r="LJI102" s="162"/>
      <c r="LJJ102" s="162"/>
      <c r="LJK102" s="162"/>
      <c r="LJL102" s="162"/>
      <c r="LJM102" s="162"/>
      <c r="LJN102" s="162"/>
      <c r="LJO102" s="162"/>
      <c r="LJP102" s="162"/>
      <c r="LJQ102" s="162"/>
      <c r="LJR102" s="162"/>
      <c r="LJS102" s="162"/>
      <c r="LJT102" s="162"/>
      <c r="LJU102" s="162"/>
      <c r="LJV102" s="162"/>
      <c r="LJW102" s="162"/>
      <c r="LJX102" s="162"/>
      <c r="LJY102" s="162"/>
      <c r="LJZ102" s="162"/>
      <c r="LKA102" s="162"/>
      <c r="LKB102" s="162"/>
      <c r="LKC102" s="162"/>
      <c r="LKD102" s="162"/>
      <c r="LKE102" s="162"/>
      <c r="LKF102" s="162"/>
      <c r="LKG102" s="162"/>
      <c r="LKH102" s="162"/>
      <c r="LKI102" s="162"/>
      <c r="LKJ102" s="162"/>
      <c r="LKK102" s="162"/>
      <c r="LKL102" s="162"/>
      <c r="LKM102" s="162"/>
      <c r="LKN102" s="162"/>
      <c r="LKO102" s="162"/>
      <c r="LKP102" s="162"/>
      <c r="LKQ102" s="162"/>
      <c r="LKR102" s="162"/>
      <c r="LKS102" s="162"/>
      <c r="LKT102" s="162"/>
      <c r="LKU102" s="162"/>
      <c r="LKV102" s="162"/>
      <c r="LKW102" s="162"/>
      <c r="LKX102" s="162"/>
      <c r="LKY102" s="162"/>
      <c r="LKZ102" s="162"/>
      <c r="LLA102" s="162"/>
      <c r="LLB102" s="162"/>
      <c r="LLC102" s="162"/>
      <c r="LLD102" s="162"/>
      <c r="LLE102" s="162"/>
      <c r="LLF102" s="162"/>
      <c r="LLG102" s="162"/>
      <c r="LLH102" s="162"/>
      <c r="LLI102" s="162"/>
      <c r="LLJ102" s="162"/>
      <c r="LLK102" s="162"/>
      <c r="LLL102" s="162"/>
      <c r="LLM102" s="162"/>
      <c r="LLN102" s="162"/>
      <c r="LLO102" s="162"/>
      <c r="LLP102" s="162"/>
      <c r="LLQ102" s="162"/>
      <c r="LLR102" s="162"/>
      <c r="LLS102" s="162"/>
      <c r="LLT102" s="162"/>
      <c r="LLU102" s="162"/>
      <c r="LLV102" s="162"/>
      <c r="LLW102" s="162"/>
      <c r="LLX102" s="162"/>
      <c r="LLY102" s="162"/>
      <c r="LLZ102" s="162"/>
      <c r="LMA102" s="162"/>
      <c r="LMB102" s="162"/>
      <c r="LMC102" s="162"/>
      <c r="LMD102" s="162"/>
      <c r="LME102" s="162"/>
      <c r="LMF102" s="162"/>
      <c r="LMG102" s="162"/>
      <c r="LMH102" s="162"/>
      <c r="LMI102" s="162"/>
      <c r="LMJ102" s="162"/>
      <c r="LMK102" s="162"/>
      <c r="LML102" s="162"/>
      <c r="LMM102" s="162"/>
      <c r="LMN102" s="162"/>
      <c r="LMO102" s="162"/>
      <c r="LMP102" s="162"/>
      <c r="LMQ102" s="162"/>
      <c r="LMR102" s="162"/>
      <c r="LMS102" s="162"/>
      <c r="LMT102" s="162"/>
      <c r="LMU102" s="162"/>
      <c r="LMV102" s="162"/>
      <c r="LMW102" s="162"/>
      <c r="LMX102" s="162"/>
      <c r="LMY102" s="162"/>
      <c r="LMZ102" s="162"/>
      <c r="LNA102" s="162"/>
      <c r="LNB102" s="162"/>
      <c r="LNC102" s="162"/>
      <c r="LND102" s="162"/>
      <c r="LNE102" s="162"/>
      <c r="LNF102" s="162"/>
      <c r="LNG102" s="162"/>
      <c r="LNH102" s="162"/>
      <c r="LNI102" s="162"/>
      <c r="LNJ102" s="162"/>
      <c r="LNK102" s="162"/>
      <c r="LNL102" s="162"/>
      <c r="LNM102" s="162"/>
      <c r="LNN102" s="162"/>
      <c r="LNO102" s="162"/>
      <c r="LNP102" s="162"/>
      <c r="LNQ102" s="162"/>
      <c r="LNR102" s="162"/>
      <c r="LNS102" s="162"/>
      <c r="LNT102" s="162"/>
      <c r="LNU102" s="162"/>
      <c r="LNV102" s="162"/>
      <c r="LNW102" s="162"/>
      <c r="LNX102" s="162"/>
      <c r="LNY102" s="162"/>
      <c r="LNZ102" s="162"/>
      <c r="LOA102" s="162"/>
      <c r="LOB102" s="162"/>
      <c r="LOC102" s="162"/>
      <c r="LOD102" s="162"/>
      <c r="LOE102" s="162"/>
      <c r="LOF102" s="162"/>
      <c r="LOG102" s="162"/>
      <c r="LOH102" s="162"/>
      <c r="LOI102" s="162"/>
      <c r="LOJ102" s="162"/>
      <c r="LOK102" s="162"/>
      <c r="LOL102" s="162"/>
      <c r="LOM102" s="162"/>
      <c r="LON102" s="162"/>
      <c r="LOO102" s="162"/>
      <c r="LOP102" s="162"/>
      <c r="LOQ102" s="162"/>
      <c r="LOR102" s="162"/>
      <c r="LOS102" s="162"/>
      <c r="LOT102" s="162"/>
      <c r="LOU102" s="162"/>
      <c r="LOV102" s="162"/>
      <c r="LOW102" s="162"/>
      <c r="LOX102" s="162"/>
      <c r="LOY102" s="162"/>
      <c r="LOZ102" s="162"/>
      <c r="LPA102" s="162"/>
      <c r="LPB102" s="162"/>
      <c r="LPC102" s="162"/>
      <c r="LPD102" s="162"/>
      <c r="LPE102" s="162"/>
      <c r="LPF102" s="162"/>
      <c r="LPG102" s="162"/>
      <c r="LPH102" s="162"/>
      <c r="LPI102" s="162"/>
      <c r="LPJ102" s="162"/>
      <c r="LPK102" s="162"/>
      <c r="LPL102" s="162"/>
      <c r="LPM102" s="162"/>
      <c r="LPN102" s="162"/>
      <c r="LPO102" s="162"/>
      <c r="LPP102" s="162"/>
      <c r="LPQ102" s="162"/>
      <c r="LPR102" s="162"/>
      <c r="LPS102" s="162"/>
      <c r="LPT102" s="162"/>
      <c r="LPU102" s="162"/>
      <c r="LPV102" s="162"/>
      <c r="LPW102" s="162"/>
      <c r="LPX102" s="162"/>
      <c r="LPY102" s="162"/>
      <c r="LPZ102" s="162"/>
      <c r="LQA102" s="162"/>
      <c r="LQB102" s="162"/>
      <c r="LQC102" s="162"/>
      <c r="LQD102" s="162"/>
      <c r="LQE102" s="162"/>
      <c r="LQF102" s="162"/>
      <c r="LQG102" s="162"/>
      <c r="LQH102" s="162"/>
      <c r="LQI102" s="162"/>
      <c r="LQJ102" s="162"/>
      <c r="LQK102" s="162"/>
      <c r="LQL102" s="162"/>
      <c r="LQM102" s="162"/>
      <c r="LQN102" s="162"/>
      <c r="LQO102" s="162"/>
      <c r="LQP102" s="162"/>
      <c r="LQQ102" s="162"/>
      <c r="LQR102" s="162"/>
      <c r="LQS102" s="162"/>
      <c r="LQT102" s="162"/>
      <c r="LQU102" s="162"/>
      <c r="LQV102" s="162"/>
      <c r="LQW102" s="162"/>
      <c r="LQX102" s="162"/>
      <c r="LQY102" s="162"/>
      <c r="LQZ102" s="162"/>
      <c r="LRA102" s="162"/>
      <c r="LRB102" s="162"/>
      <c r="LRC102" s="162"/>
      <c r="LRD102" s="162"/>
      <c r="LRE102" s="162"/>
      <c r="LRF102" s="162"/>
      <c r="LRG102" s="162"/>
      <c r="LRH102" s="162"/>
      <c r="LRI102" s="162"/>
      <c r="LRJ102" s="162"/>
      <c r="LRK102" s="162"/>
      <c r="LRL102" s="162"/>
      <c r="LRM102" s="162"/>
      <c r="LRN102" s="162"/>
      <c r="LRO102" s="162"/>
      <c r="LRP102" s="162"/>
      <c r="LRQ102" s="162"/>
      <c r="LRR102" s="162"/>
      <c r="LRS102" s="162"/>
      <c r="LRT102" s="162"/>
      <c r="LRU102" s="162"/>
      <c r="LRV102" s="162"/>
      <c r="LRW102" s="162"/>
      <c r="LRX102" s="162"/>
      <c r="LRY102" s="162"/>
      <c r="LRZ102" s="162"/>
      <c r="LSA102" s="162"/>
      <c r="LSB102" s="162"/>
      <c r="LSC102" s="162"/>
      <c r="LSD102" s="162"/>
      <c r="LSE102" s="162"/>
      <c r="LSF102" s="162"/>
      <c r="LSG102" s="162"/>
      <c r="LSH102" s="162"/>
      <c r="LSI102" s="162"/>
      <c r="LSJ102" s="162"/>
      <c r="LSK102" s="162"/>
      <c r="LSL102" s="162"/>
      <c r="LSM102" s="162"/>
      <c r="LSN102" s="162"/>
      <c r="LSO102" s="162"/>
      <c r="LSP102" s="162"/>
      <c r="LSQ102" s="162"/>
      <c r="LSR102" s="162"/>
      <c r="LSS102" s="162"/>
      <c r="LST102" s="162"/>
      <c r="LSU102" s="162"/>
      <c r="LSV102" s="162"/>
      <c r="LSW102" s="162"/>
      <c r="LSX102" s="162"/>
      <c r="LSY102" s="162"/>
      <c r="LSZ102" s="162"/>
      <c r="LTA102" s="162"/>
      <c r="LTB102" s="162"/>
      <c r="LTC102" s="162"/>
      <c r="LTD102" s="162"/>
      <c r="LTE102" s="162"/>
      <c r="LTF102" s="162"/>
      <c r="LTG102" s="162"/>
      <c r="LTH102" s="162"/>
      <c r="LTI102" s="162"/>
      <c r="LTJ102" s="162"/>
      <c r="LTK102" s="162"/>
      <c r="LTL102" s="162"/>
      <c r="LTM102" s="162"/>
      <c r="LTN102" s="162"/>
      <c r="LTO102" s="162"/>
      <c r="LTP102" s="162"/>
      <c r="LTQ102" s="162"/>
      <c r="LTR102" s="162"/>
      <c r="LTS102" s="162"/>
      <c r="LTT102" s="162"/>
      <c r="LTU102" s="162"/>
      <c r="LTV102" s="162"/>
      <c r="LTW102" s="162"/>
      <c r="LTX102" s="162"/>
      <c r="LTY102" s="162"/>
      <c r="LTZ102" s="162"/>
      <c r="LUA102" s="162"/>
      <c r="LUB102" s="162"/>
      <c r="LUC102" s="162"/>
      <c r="LUD102" s="162"/>
      <c r="LUE102" s="162"/>
      <c r="LUF102" s="162"/>
      <c r="LUG102" s="162"/>
      <c r="LUH102" s="162"/>
      <c r="LUI102" s="162"/>
      <c r="LUJ102" s="162"/>
      <c r="LUK102" s="162"/>
      <c r="LUL102" s="162"/>
      <c r="LUM102" s="162"/>
      <c r="LUN102" s="162"/>
      <c r="LUO102" s="162"/>
      <c r="LUP102" s="162"/>
      <c r="LUQ102" s="162"/>
      <c r="LUR102" s="162"/>
      <c r="LUS102" s="162"/>
      <c r="LUT102" s="162"/>
      <c r="LUU102" s="162"/>
      <c r="LUV102" s="162"/>
      <c r="LUW102" s="162"/>
      <c r="LUX102" s="162"/>
      <c r="LUY102" s="162"/>
      <c r="LUZ102" s="162"/>
      <c r="LVA102" s="162"/>
      <c r="LVB102" s="162"/>
      <c r="LVC102" s="162"/>
      <c r="LVD102" s="162"/>
      <c r="LVE102" s="162"/>
      <c r="LVF102" s="162"/>
      <c r="LVG102" s="162"/>
      <c r="LVH102" s="162"/>
      <c r="LVI102" s="162"/>
      <c r="LVJ102" s="162"/>
      <c r="LVK102" s="162"/>
      <c r="LVL102" s="162"/>
      <c r="LVM102" s="162"/>
      <c r="LVN102" s="162"/>
      <c r="LVO102" s="162"/>
      <c r="LVP102" s="162"/>
      <c r="LVQ102" s="162"/>
      <c r="LVR102" s="162"/>
      <c r="LVS102" s="162"/>
      <c r="LVT102" s="162"/>
      <c r="LVU102" s="162"/>
      <c r="LVV102" s="162"/>
      <c r="LVW102" s="162"/>
      <c r="LVX102" s="162"/>
      <c r="LVY102" s="162"/>
      <c r="LVZ102" s="162"/>
      <c r="LWA102" s="162"/>
      <c r="LWB102" s="162"/>
      <c r="LWC102" s="162"/>
      <c r="LWD102" s="162"/>
      <c r="LWE102" s="162"/>
      <c r="LWF102" s="162"/>
      <c r="LWG102" s="162"/>
      <c r="LWH102" s="162"/>
      <c r="LWI102" s="162"/>
      <c r="LWJ102" s="162"/>
      <c r="LWK102" s="162"/>
      <c r="LWL102" s="162"/>
      <c r="LWM102" s="162"/>
      <c r="LWN102" s="162"/>
      <c r="LWO102" s="162"/>
      <c r="LWP102" s="162"/>
      <c r="LWQ102" s="162"/>
      <c r="LWR102" s="162"/>
      <c r="LWS102" s="162"/>
      <c r="LWT102" s="162"/>
      <c r="LWU102" s="162"/>
      <c r="LWV102" s="162"/>
      <c r="LWW102" s="162"/>
      <c r="LWX102" s="162"/>
      <c r="LWY102" s="162"/>
      <c r="LWZ102" s="162"/>
      <c r="LXA102" s="162"/>
      <c r="LXB102" s="162"/>
      <c r="LXC102" s="162"/>
      <c r="LXD102" s="162"/>
      <c r="LXE102" s="162"/>
      <c r="LXF102" s="162"/>
      <c r="LXG102" s="162"/>
      <c r="LXH102" s="162"/>
      <c r="LXI102" s="162"/>
      <c r="LXJ102" s="162"/>
      <c r="LXK102" s="162"/>
      <c r="LXL102" s="162"/>
      <c r="LXM102" s="162"/>
      <c r="LXN102" s="162"/>
      <c r="LXO102" s="162"/>
      <c r="LXP102" s="162"/>
      <c r="LXQ102" s="162"/>
      <c r="LXR102" s="162"/>
      <c r="LXS102" s="162"/>
      <c r="LXT102" s="162"/>
      <c r="LXU102" s="162"/>
      <c r="LXV102" s="162"/>
      <c r="LXW102" s="162"/>
      <c r="LXX102" s="162"/>
      <c r="LXY102" s="162"/>
      <c r="LXZ102" s="162"/>
      <c r="LYA102" s="162"/>
      <c r="LYB102" s="162"/>
      <c r="LYC102" s="162"/>
      <c r="LYD102" s="162"/>
      <c r="LYE102" s="162"/>
      <c r="LYF102" s="162"/>
      <c r="LYG102" s="162"/>
      <c r="LYH102" s="162"/>
      <c r="LYI102" s="162"/>
      <c r="LYJ102" s="162"/>
      <c r="LYK102" s="162"/>
      <c r="LYL102" s="162"/>
      <c r="LYM102" s="162"/>
      <c r="LYN102" s="162"/>
      <c r="LYO102" s="162"/>
      <c r="LYP102" s="162"/>
      <c r="LYQ102" s="162"/>
      <c r="LYR102" s="162"/>
      <c r="LYS102" s="162"/>
      <c r="LYT102" s="162"/>
      <c r="LYU102" s="162"/>
      <c r="LYV102" s="162"/>
      <c r="LYW102" s="162"/>
      <c r="LYX102" s="162"/>
      <c r="LYY102" s="162"/>
      <c r="LYZ102" s="162"/>
      <c r="LZA102" s="162"/>
      <c r="LZB102" s="162"/>
      <c r="LZC102" s="162"/>
      <c r="LZD102" s="162"/>
      <c r="LZE102" s="162"/>
      <c r="LZF102" s="162"/>
      <c r="LZG102" s="162"/>
      <c r="LZH102" s="162"/>
      <c r="LZI102" s="162"/>
      <c r="LZJ102" s="162"/>
      <c r="LZK102" s="162"/>
      <c r="LZL102" s="162"/>
      <c r="LZM102" s="162"/>
      <c r="LZN102" s="162"/>
      <c r="LZO102" s="162"/>
      <c r="LZP102" s="162"/>
      <c r="LZQ102" s="162"/>
      <c r="LZR102" s="162"/>
      <c r="LZS102" s="162"/>
      <c r="LZT102" s="162"/>
      <c r="LZU102" s="162"/>
      <c r="LZV102" s="162"/>
      <c r="LZW102" s="162"/>
      <c r="LZX102" s="162"/>
      <c r="LZY102" s="162"/>
      <c r="LZZ102" s="162"/>
      <c r="MAA102" s="162"/>
      <c r="MAB102" s="162"/>
      <c r="MAC102" s="162"/>
      <c r="MAD102" s="162"/>
      <c r="MAE102" s="162"/>
      <c r="MAF102" s="162"/>
      <c r="MAG102" s="162"/>
      <c r="MAH102" s="162"/>
      <c r="MAI102" s="162"/>
      <c r="MAJ102" s="162"/>
      <c r="MAK102" s="162"/>
      <c r="MAL102" s="162"/>
      <c r="MAM102" s="162"/>
      <c r="MAN102" s="162"/>
      <c r="MAO102" s="162"/>
      <c r="MAP102" s="162"/>
      <c r="MAQ102" s="162"/>
      <c r="MAR102" s="162"/>
      <c r="MAS102" s="162"/>
      <c r="MAT102" s="162"/>
      <c r="MAU102" s="162"/>
      <c r="MAV102" s="162"/>
      <c r="MAW102" s="162"/>
      <c r="MAX102" s="162"/>
      <c r="MAY102" s="162"/>
      <c r="MAZ102" s="162"/>
      <c r="MBA102" s="162"/>
      <c r="MBB102" s="162"/>
      <c r="MBC102" s="162"/>
      <c r="MBD102" s="162"/>
      <c r="MBE102" s="162"/>
      <c r="MBF102" s="162"/>
      <c r="MBG102" s="162"/>
      <c r="MBH102" s="162"/>
      <c r="MBI102" s="162"/>
      <c r="MBJ102" s="162"/>
      <c r="MBK102" s="162"/>
      <c r="MBL102" s="162"/>
      <c r="MBM102" s="162"/>
      <c r="MBN102" s="162"/>
      <c r="MBO102" s="162"/>
      <c r="MBP102" s="162"/>
      <c r="MBQ102" s="162"/>
      <c r="MBR102" s="162"/>
      <c r="MBS102" s="162"/>
      <c r="MBT102" s="162"/>
      <c r="MBU102" s="162"/>
      <c r="MBV102" s="162"/>
      <c r="MBW102" s="162"/>
      <c r="MBX102" s="162"/>
      <c r="MBY102" s="162"/>
      <c r="MBZ102" s="162"/>
      <c r="MCA102" s="162"/>
      <c r="MCB102" s="162"/>
      <c r="MCC102" s="162"/>
      <c r="MCD102" s="162"/>
      <c r="MCE102" s="162"/>
      <c r="MCF102" s="162"/>
      <c r="MCG102" s="162"/>
      <c r="MCH102" s="162"/>
      <c r="MCI102" s="162"/>
      <c r="MCJ102" s="162"/>
      <c r="MCK102" s="162"/>
      <c r="MCL102" s="162"/>
      <c r="MCM102" s="162"/>
      <c r="MCN102" s="162"/>
      <c r="MCO102" s="162"/>
      <c r="MCP102" s="162"/>
      <c r="MCQ102" s="162"/>
      <c r="MCR102" s="162"/>
      <c r="MCS102" s="162"/>
      <c r="MCT102" s="162"/>
      <c r="MCU102" s="162"/>
      <c r="MCV102" s="162"/>
      <c r="MCW102" s="162"/>
      <c r="MCX102" s="162"/>
      <c r="MCY102" s="162"/>
      <c r="MCZ102" s="162"/>
      <c r="MDA102" s="162"/>
      <c r="MDB102" s="162"/>
      <c r="MDC102" s="162"/>
      <c r="MDD102" s="162"/>
      <c r="MDE102" s="162"/>
      <c r="MDF102" s="162"/>
      <c r="MDG102" s="162"/>
      <c r="MDH102" s="162"/>
      <c r="MDI102" s="162"/>
      <c r="MDJ102" s="162"/>
      <c r="MDK102" s="162"/>
      <c r="MDL102" s="162"/>
      <c r="MDM102" s="162"/>
      <c r="MDN102" s="162"/>
      <c r="MDO102" s="162"/>
      <c r="MDP102" s="162"/>
      <c r="MDQ102" s="162"/>
      <c r="MDR102" s="162"/>
      <c r="MDS102" s="162"/>
      <c r="MDT102" s="162"/>
      <c r="MDU102" s="162"/>
      <c r="MDV102" s="162"/>
      <c r="MDW102" s="162"/>
      <c r="MDX102" s="162"/>
      <c r="MDY102" s="162"/>
      <c r="MDZ102" s="162"/>
      <c r="MEA102" s="162"/>
      <c r="MEB102" s="162"/>
      <c r="MEC102" s="162"/>
      <c r="MED102" s="162"/>
      <c r="MEE102" s="162"/>
      <c r="MEF102" s="162"/>
      <c r="MEG102" s="162"/>
      <c r="MEH102" s="162"/>
      <c r="MEI102" s="162"/>
      <c r="MEJ102" s="162"/>
      <c r="MEK102" s="162"/>
      <c r="MEL102" s="162"/>
      <c r="MEM102" s="162"/>
      <c r="MEN102" s="162"/>
      <c r="MEO102" s="162"/>
      <c r="MEP102" s="162"/>
      <c r="MEQ102" s="162"/>
      <c r="MER102" s="162"/>
      <c r="MES102" s="162"/>
      <c r="MET102" s="162"/>
      <c r="MEU102" s="162"/>
      <c r="MEV102" s="162"/>
      <c r="MEW102" s="162"/>
      <c r="MEX102" s="162"/>
      <c r="MEY102" s="162"/>
      <c r="MEZ102" s="162"/>
      <c r="MFA102" s="162"/>
      <c r="MFB102" s="162"/>
      <c r="MFC102" s="162"/>
      <c r="MFD102" s="162"/>
      <c r="MFE102" s="162"/>
      <c r="MFF102" s="162"/>
      <c r="MFG102" s="162"/>
      <c r="MFH102" s="162"/>
      <c r="MFI102" s="162"/>
      <c r="MFJ102" s="162"/>
      <c r="MFK102" s="162"/>
      <c r="MFL102" s="162"/>
      <c r="MFM102" s="162"/>
      <c r="MFN102" s="162"/>
      <c r="MFO102" s="162"/>
      <c r="MFP102" s="162"/>
      <c r="MFQ102" s="162"/>
      <c r="MFR102" s="162"/>
      <c r="MFS102" s="162"/>
      <c r="MFT102" s="162"/>
      <c r="MFU102" s="162"/>
      <c r="MFV102" s="162"/>
      <c r="MFW102" s="162"/>
      <c r="MFX102" s="162"/>
      <c r="MFY102" s="162"/>
      <c r="MFZ102" s="162"/>
      <c r="MGA102" s="162"/>
      <c r="MGB102" s="162"/>
      <c r="MGC102" s="162"/>
      <c r="MGD102" s="162"/>
      <c r="MGE102" s="162"/>
      <c r="MGF102" s="162"/>
      <c r="MGG102" s="162"/>
      <c r="MGH102" s="162"/>
      <c r="MGI102" s="162"/>
      <c r="MGJ102" s="162"/>
      <c r="MGK102" s="162"/>
      <c r="MGL102" s="162"/>
      <c r="MGM102" s="162"/>
      <c r="MGN102" s="162"/>
      <c r="MGO102" s="162"/>
      <c r="MGP102" s="162"/>
      <c r="MGQ102" s="162"/>
      <c r="MGR102" s="162"/>
      <c r="MGS102" s="162"/>
      <c r="MGT102" s="162"/>
      <c r="MGU102" s="162"/>
      <c r="MGV102" s="162"/>
      <c r="MGW102" s="162"/>
      <c r="MGX102" s="162"/>
      <c r="MGY102" s="162"/>
      <c r="MGZ102" s="162"/>
      <c r="MHA102" s="162"/>
      <c r="MHB102" s="162"/>
      <c r="MHC102" s="162"/>
      <c r="MHD102" s="162"/>
      <c r="MHE102" s="162"/>
      <c r="MHF102" s="162"/>
      <c r="MHG102" s="162"/>
      <c r="MHH102" s="162"/>
      <c r="MHI102" s="162"/>
      <c r="MHJ102" s="162"/>
      <c r="MHK102" s="162"/>
      <c r="MHL102" s="162"/>
      <c r="MHM102" s="162"/>
      <c r="MHN102" s="162"/>
      <c r="MHO102" s="162"/>
      <c r="MHP102" s="162"/>
      <c r="MHQ102" s="162"/>
      <c r="MHR102" s="162"/>
      <c r="MHS102" s="162"/>
      <c r="MHT102" s="162"/>
      <c r="MHU102" s="162"/>
      <c r="MHV102" s="162"/>
      <c r="MHW102" s="162"/>
      <c r="MHX102" s="162"/>
      <c r="MHY102" s="162"/>
      <c r="MHZ102" s="162"/>
      <c r="MIA102" s="162"/>
      <c r="MIB102" s="162"/>
      <c r="MIC102" s="162"/>
      <c r="MID102" s="162"/>
      <c r="MIE102" s="162"/>
      <c r="MIF102" s="162"/>
      <c r="MIG102" s="162"/>
      <c r="MIH102" s="162"/>
      <c r="MII102" s="162"/>
      <c r="MIJ102" s="162"/>
      <c r="MIK102" s="162"/>
      <c r="MIL102" s="162"/>
      <c r="MIM102" s="162"/>
      <c r="MIN102" s="162"/>
      <c r="MIO102" s="162"/>
      <c r="MIP102" s="162"/>
      <c r="MIQ102" s="162"/>
      <c r="MIR102" s="162"/>
      <c r="MIS102" s="162"/>
      <c r="MIT102" s="162"/>
      <c r="MIU102" s="162"/>
      <c r="MIV102" s="162"/>
      <c r="MIW102" s="162"/>
      <c r="MIX102" s="162"/>
      <c r="MIY102" s="162"/>
      <c r="MIZ102" s="162"/>
      <c r="MJA102" s="162"/>
      <c r="MJB102" s="162"/>
      <c r="MJC102" s="162"/>
      <c r="MJD102" s="162"/>
      <c r="MJE102" s="162"/>
      <c r="MJF102" s="162"/>
      <c r="MJG102" s="162"/>
      <c r="MJH102" s="162"/>
      <c r="MJI102" s="162"/>
      <c r="MJJ102" s="162"/>
      <c r="MJK102" s="162"/>
      <c r="MJL102" s="162"/>
      <c r="MJM102" s="162"/>
      <c r="MJN102" s="162"/>
      <c r="MJO102" s="162"/>
      <c r="MJP102" s="162"/>
      <c r="MJQ102" s="162"/>
      <c r="MJR102" s="162"/>
      <c r="MJS102" s="162"/>
      <c r="MJT102" s="162"/>
      <c r="MJU102" s="162"/>
      <c r="MJV102" s="162"/>
      <c r="MJW102" s="162"/>
      <c r="MJX102" s="162"/>
      <c r="MJY102" s="162"/>
      <c r="MJZ102" s="162"/>
      <c r="MKA102" s="162"/>
      <c r="MKB102" s="162"/>
      <c r="MKC102" s="162"/>
      <c r="MKD102" s="162"/>
      <c r="MKE102" s="162"/>
      <c r="MKF102" s="162"/>
      <c r="MKG102" s="162"/>
      <c r="MKH102" s="162"/>
      <c r="MKI102" s="162"/>
      <c r="MKJ102" s="162"/>
      <c r="MKK102" s="162"/>
      <c r="MKL102" s="162"/>
      <c r="MKM102" s="162"/>
      <c r="MKN102" s="162"/>
      <c r="MKO102" s="162"/>
      <c r="MKP102" s="162"/>
      <c r="MKQ102" s="162"/>
      <c r="MKR102" s="162"/>
      <c r="MKS102" s="162"/>
      <c r="MKT102" s="162"/>
      <c r="MKU102" s="162"/>
      <c r="MKV102" s="162"/>
      <c r="MKW102" s="162"/>
      <c r="MKX102" s="162"/>
      <c r="MKY102" s="162"/>
      <c r="MKZ102" s="162"/>
      <c r="MLA102" s="162"/>
      <c r="MLB102" s="162"/>
      <c r="MLC102" s="162"/>
      <c r="MLD102" s="162"/>
      <c r="MLE102" s="162"/>
      <c r="MLF102" s="162"/>
      <c r="MLG102" s="162"/>
      <c r="MLH102" s="162"/>
      <c r="MLI102" s="162"/>
      <c r="MLJ102" s="162"/>
      <c r="MLK102" s="162"/>
      <c r="MLL102" s="162"/>
      <c r="MLM102" s="162"/>
      <c r="MLN102" s="162"/>
      <c r="MLO102" s="162"/>
      <c r="MLP102" s="162"/>
      <c r="MLQ102" s="162"/>
      <c r="MLR102" s="162"/>
      <c r="MLS102" s="162"/>
      <c r="MLT102" s="162"/>
      <c r="MLU102" s="162"/>
      <c r="MLV102" s="162"/>
      <c r="MLW102" s="162"/>
      <c r="MLX102" s="162"/>
      <c r="MLY102" s="162"/>
      <c r="MLZ102" s="162"/>
      <c r="MMA102" s="162"/>
      <c r="MMB102" s="162"/>
      <c r="MMC102" s="162"/>
      <c r="MMD102" s="162"/>
      <c r="MME102" s="162"/>
      <c r="MMF102" s="162"/>
      <c r="MMG102" s="162"/>
      <c r="MMH102" s="162"/>
      <c r="MMI102" s="162"/>
      <c r="MMJ102" s="162"/>
      <c r="MMK102" s="162"/>
      <c r="MML102" s="162"/>
      <c r="MMM102" s="162"/>
      <c r="MMN102" s="162"/>
      <c r="MMO102" s="162"/>
      <c r="MMP102" s="162"/>
      <c r="MMQ102" s="162"/>
      <c r="MMR102" s="162"/>
      <c r="MMS102" s="162"/>
      <c r="MMT102" s="162"/>
      <c r="MMU102" s="162"/>
      <c r="MMV102" s="162"/>
      <c r="MMW102" s="162"/>
      <c r="MMX102" s="162"/>
      <c r="MMY102" s="162"/>
      <c r="MMZ102" s="162"/>
      <c r="MNA102" s="162"/>
      <c r="MNB102" s="162"/>
      <c r="MNC102" s="162"/>
      <c r="MND102" s="162"/>
      <c r="MNE102" s="162"/>
      <c r="MNF102" s="162"/>
      <c r="MNG102" s="162"/>
      <c r="MNH102" s="162"/>
      <c r="MNI102" s="162"/>
      <c r="MNJ102" s="162"/>
      <c r="MNK102" s="162"/>
      <c r="MNL102" s="162"/>
      <c r="MNM102" s="162"/>
      <c r="MNN102" s="162"/>
      <c r="MNO102" s="162"/>
      <c r="MNP102" s="162"/>
      <c r="MNQ102" s="162"/>
      <c r="MNR102" s="162"/>
      <c r="MNS102" s="162"/>
      <c r="MNT102" s="162"/>
      <c r="MNU102" s="162"/>
      <c r="MNV102" s="162"/>
      <c r="MNW102" s="162"/>
      <c r="MNX102" s="162"/>
      <c r="MNY102" s="162"/>
      <c r="MNZ102" s="162"/>
      <c r="MOA102" s="162"/>
      <c r="MOB102" s="162"/>
      <c r="MOC102" s="162"/>
      <c r="MOD102" s="162"/>
      <c r="MOE102" s="162"/>
      <c r="MOF102" s="162"/>
      <c r="MOG102" s="162"/>
      <c r="MOH102" s="162"/>
      <c r="MOI102" s="162"/>
      <c r="MOJ102" s="162"/>
      <c r="MOK102" s="162"/>
      <c r="MOL102" s="162"/>
      <c r="MOM102" s="162"/>
      <c r="MON102" s="162"/>
      <c r="MOO102" s="162"/>
      <c r="MOP102" s="162"/>
      <c r="MOQ102" s="162"/>
      <c r="MOR102" s="162"/>
      <c r="MOS102" s="162"/>
      <c r="MOT102" s="162"/>
      <c r="MOU102" s="162"/>
      <c r="MOV102" s="162"/>
      <c r="MOW102" s="162"/>
      <c r="MOX102" s="162"/>
      <c r="MOY102" s="162"/>
      <c r="MOZ102" s="162"/>
      <c r="MPA102" s="162"/>
      <c r="MPB102" s="162"/>
      <c r="MPC102" s="162"/>
      <c r="MPD102" s="162"/>
      <c r="MPE102" s="162"/>
      <c r="MPF102" s="162"/>
      <c r="MPG102" s="162"/>
      <c r="MPH102" s="162"/>
      <c r="MPI102" s="162"/>
      <c r="MPJ102" s="162"/>
      <c r="MPK102" s="162"/>
      <c r="MPL102" s="162"/>
      <c r="MPM102" s="162"/>
      <c r="MPN102" s="162"/>
      <c r="MPO102" s="162"/>
      <c r="MPP102" s="162"/>
      <c r="MPQ102" s="162"/>
      <c r="MPR102" s="162"/>
      <c r="MPS102" s="162"/>
      <c r="MPT102" s="162"/>
      <c r="MPU102" s="162"/>
      <c r="MPV102" s="162"/>
      <c r="MPW102" s="162"/>
      <c r="MPX102" s="162"/>
      <c r="MPY102" s="162"/>
      <c r="MPZ102" s="162"/>
      <c r="MQA102" s="162"/>
      <c r="MQB102" s="162"/>
      <c r="MQC102" s="162"/>
      <c r="MQD102" s="162"/>
      <c r="MQE102" s="162"/>
      <c r="MQF102" s="162"/>
      <c r="MQG102" s="162"/>
      <c r="MQH102" s="162"/>
      <c r="MQI102" s="162"/>
      <c r="MQJ102" s="162"/>
      <c r="MQK102" s="162"/>
      <c r="MQL102" s="162"/>
      <c r="MQM102" s="162"/>
      <c r="MQN102" s="162"/>
      <c r="MQO102" s="162"/>
      <c r="MQP102" s="162"/>
      <c r="MQQ102" s="162"/>
      <c r="MQR102" s="162"/>
      <c r="MQS102" s="162"/>
      <c r="MQT102" s="162"/>
      <c r="MQU102" s="162"/>
      <c r="MQV102" s="162"/>
      <c r="MQW102" s="162"/>
      <c r="MQX102" s="162"/>
      <c r="MQY102" s="162"/>
      <c r="MQZ102" s="162"/>
      <c r="MRA102" s="162"/>
      <c r="MRB102" s="162"/>
      <c r="MRC102" s="162"/>
      <c r="MRD102" s="162"/>
      <c r="MRE102" s="162"/>
      <c r="MRF102" s="162"/>
      <c r="MRG102" s="162"/>
      <c r="MRH102" s="162"/>
      <c r="MRI102" s="162"/>
      <c r="MRJ102" s="162"/>
      <c r="MRK102" s="162"/>
      <c r="MRL102" s="162"/>
      <c r="MRM102" s="162"/>
      <c r="MRN102" s="162"/>
      <c r="MRO102" s="162"/>
      <c r="MRP102" s="162"/>
      <c r="MRQ102" s="162"/>
      <c r="MRR102" s="162"/>
      <c r="MRS102" s="162"/>
      <c r="MRT102" s="162"/>
      <c r="MRU102" s="162"/>
      <c r="MRV102" s="162"/>
      <c r="MRW102" s="162"/>
      <c r="MRX102" s="162"/>
      <c r="MRY102" s="162"/>
      <c r="MRZ102" s="162"/>
      <c r="MSA102" s="162"/>
      <c r="MSB102" s="162"/>
      <c r="MSC102" s="162"/>
      <c r="MSD102" s="162"/>
      <c r="MSE102" s="162"/>
      <c r="MSF102" s="162"/>
      <c r="MSG102" s="162"/>
      <c r="MSH102" s="162"/>
      <c r="MSI102" s="162"/>
      <c r="MSJ102" s="162"/>
      <c r="MSK102" s="162"/>
      <c r="MSL102" s="162"/>
      <c r="MSM102" s="162"/>
      <c r="MSN102" s="162"/>
      <c r="MSO102" s="162"/>
      <c r="MSP102" s="162"/>
      <c r="MSQ102" s="162"/>
      <c r="MSR102" s="162"/>
      <c r="MSS102" s="162"/>
      <c r="MST102" s="162"/>
      <c r="MSU102" s="162"/>
      <c r="MSV102" s="162"/>
      <c r="MSW102" s="162"/>
      <c r="MSX102" s="162"/>
      <c r="MSY102" s="162"/>
      <c r="MSZ102" s="162"/>
      <c r="MTA102" s="162"/>
      <c r="MTB102" s="162"/>
      <c r="MTC102" s="162"/>
      <c r="MTD102" s="162"/>
      <c r="MTE102" s="162"/>
      <c r="MTF102" s="162"/>
      <c r="MTG102" s="162"/>
      <c r="MTH102" s="162"/>
      <c r="MTI102" s="162"/>
      <c r="MTJ102" s="162"/>
      <c r="MTK102" s="162"/>
      <c r="MTL102" s="162"/>
      <c r="MTM102" s="162"/>
      <c r="MTN102" s="162"/>
      <c r="MTO102" s="162"/>
      <c r="MTP102" s="162"/>
      <c r="MTQ102" s="162"/>
      <c r="MTR102" s="162"/>
      <c r="MTS102" s="162"/>
      <c r="MTT102" s="162"/>
      <c r="MTU102" s="162"/>
      <c r="MTV102" s="162"/>
      <c r="MTW102" s="162"/>
      <c r="MTX102" s="162"/>
      <c r="MTY102" s="162"/>
      <c r="MTZ102" s="162"/>
      <c r="MUA102" s="162"/>
      <c r="MUB102" s="162"/>
      <c r="MUC102" s="162"/>
      <c r="MUD102" s="162"/>
      <c r="MUE102" s="162"/>
      <c r="MUF102" s="162"/>
      <c r="MUG102" s="162"/>
      <c r="MUH102" s="162"/>
      <c r="MUI102" s="162"/>
      <c r="MUJ102" s="162"/>
      <c r="MUK102" s="162"/>
      <c r="MUL102" s="162"/>
      <c r="MUM102" s="162"/>
      <c r="MUN102" s="162"/>
      <c r="MUO102" s="162"/>
      <c r="MUP102" s="162"/>
      <c r="MUQ102" s="162"/>
      <c r="MUR102" s="162"/>
      <c r="MUS102" s="162"/>
      <c r="MUT102" s="162"/>
      <c r="MUU102" s="162"/>
      <c r="MUV102" s="162"/>
      <c r="MUW102" s="162"/>
      <c r="MUX102" s="162"/>
      <c r="MUY102" s="162"/>
      <c r="MUZ102" s="162"/>
      <c r="MVA102" s="162"/>
      <c r="MVB102" s="162"/>
      <c r="MVC102" s="162"/>
      <c r="MVD102" s="162"/>
      <c r="MVE102" s="162"/>
      <c r="MVF102" s="162"/>
      <c r="MVG102" s="162"/>
      <c r="MVH102" s="162"/>
      <c r="MVI102" s="162"/>
      <c r="MVJ102" s="162"/>
      <c r="MVK102" s="162"/>
      <c r="MVL102" s="162"/>
      <c r="MVM102" s="162"/>
      <c r="MVN102" s="162"/>
      <c r="MVO102" s="162"/>
      <c r="MVP102" s="162"/>
      <c r="MVQ102" s="162"/>
      <c r="MVR102" s="162"/>
      <c r="MVS102" s="162"/>
      <c r="MVT102" s="162"/>
      <c r="MVU102" s="162"/>
      <c r="MVV102" s="162"/>
      <c r="MVW102" s="162"/>
      <c r="MVX102" s="162"/>
      <c r="MVY102" s="162"/>
      <c r="MVZ102" s="162"/>
      <c r="MWA102" s="162"/>
      <c r="MWB102" s="162"/>
      <c r="MWC102" s="162"/>
      <c r="MWD102" s="162"/>
      <c r="MWE102" s="162"/>
      <c r="MWF102" s="162"/>
      <c r="MWG102" s="162"/>
      <c r="MWH102" s="162"/>
      <c r="MWI102" s="162"/>
      <c r="MWJ102" s="162"/>
      <c r="MWK102" s="162"/>
      <c r="MWL102" s="162"/>
      <c r="MWM102" s="162"/>
      <c r="MWN102" s="162"/>
      <c r="MWO102" s="162"/>
      <c r="MWP102" s="162"/>
      <c r="MWQ102" s="162"/>
      <c r="MWR102" s="162"/>
      <c r="MWS102" s="162"/>
      <c r="MWT102" s="162"/>
      <c r="MWU102" s="162"/>
      <c r="MWV102" s="162"/>
      <c r="MWW102" s="162"/>
      <c r="MWX102" s="162"/>
      <c r="MWY102" s="162"/>
      <c r="MWZ102" s="162"/>
      <c r="MXA102" s="162"/>
      <c r="MXB102" s="162"/>
      <c r="MXC102" s="162"/>
      <c r="MXD102" s="162"/>
      <c r="MXE102" s="162"/>
      <c r="MXF102" s="162"/>
      <c r="MXG102" s="162"/>
      <c r="MXH102" s="162"/>
      <c r="MXI102" s="162"/>
      <c r="MXJ102" s="162"/>
      <c r="MXK102" s="162"/>
      <c r="MXL102" s="162"/>
      <c r="MXM102" s="162"/>
      <c r="MXN102" s="162"/>
      <c r="MXO102" s="162"/>
      <c r="MXP102" s="162"/>
      <c r="MXQ102" s="162"/>
      <c r="MXR102" s="162"/>
      <c r="MXS102" s="162"/>
      <c r="MXT102" s="162"/>
      <c r="MXU102" s="162"/>
      <c r="MXV102" s="162"/>
      <c r="MXW102" s="162"/>
      <c r="MXX102" s="162"/>
      <c r="MXY102" s="162"/>
      <c r="MXZ102" s="162"/>
      <c r="MYA102" s="162"/>
      <c r="MYB102" s="162"/>
      <c r="MYC102" s="162"/>
      <c r="MYD102" s="162"/>
      <c r="MYE102" s="162"/>
      <c r="MYF102" s="162"/>
      <c r="MYG102" s="162"/>
      <c r="MYH102" s="162"/>
      <c r="MYI102" s="162"/>
      <c r="MYJ102" s="162"/>
      <c r="MYK102" s="162"/>
      <c r="MYL102" s="162"/>
      <c r="MYM102" s="162"/>
      <c r="MYN102" s="162"/>
      <c r="MYO102" s="162"/>
      <c r="MYP102" s="162"/>
      <c r="MYQ102" s="162"/>
      <c r="MYR102" s="162"/>
      <c r="MYS102" s="162"/>
      <c r="MYT102" s="162"/>
      <c r="MYU102" s="162"/>
      <c r="MYV102" s="162"/>
      <c r="MYW102" s="162"/>
      <c r="MYX102" s="162"/>
      <c r="MYY102" s="162"/>
      <c r="MYZ102" s="162"/>
      <c r="MZA102" s="162"/>
      <c r="MZB102" s="162"/>
      <c r="MZC102" s="162"/>
      <c r="MZD102" s="162"/>
      <c r="MZE102" s="162"/>
      <c r="MZF102" s="162"/>
      <c r="MZG102" s="162"/>
      <c r="MZH102" s="162"/>
      <c r="MZI102" s="162"/>
      <c r="MZJ102" s="162"/>
      <c r="MZK102" s="162"/>
      <c r="MZL102" s="162"/>
      <c r="MZM102" s="162"/>
      <c r="MZN102" s="162"/>
      <c r="MZO102" s="162"/>
      <c r="MZP102" s="162"/>
      <c r="MZQ102" s="162"/>
      <c r="MZR102" s="162"/>
      <c r="MZS102" s="162"/>
      <c r="MZT102" s="162"/>
      <c r="MZU102" s="162"/>
      <c r="MZV102" s="162"/>
      <c r="MZW102" s="162"/>
      <c r="MZX102" s="162"/>
      <c r="MZY102" s="162"/>
      <c r="MZZ102" s="162"/>
      <c r="NAA102" s="162"/>
      <c r="NAB102" s="162"/>
      <c r="NAC102" s="162"/>
      <c r="NAD102" s="162"/>
      <c r="NAE102" s="162"/>
      <c r="NAF102" s="162"/>
      <c r="NAG102" s="162"/>
      <c r="NAH102" s="162"/>
      <c r="NAI102" s="162"/>
      <c r="NAJ102" s="162"/>
      <c r="NAK102" s="162"/>
      <c r="NAL102" s="162"/>
      <c r="NAM102" s="162"/>
      <c r="NAN102" s="162"/>
      <c r="NAO102" s="162"/>
      <c r="NAP102" s="162"/>
      <c r="NAQ102" s="162"/>
      <c r="NAR102" s="162"/>
      <c r="NAS102" s="162"/>
      <c r="NAT102" s="162"/>
      <c r="NAU102" s="162"/>
      <c r="NAV102" s="162"/>
      <c r="NAW102" s="162"/>
      <c r="NAX102" s="162"/>
      <c r="NAY102" s="162"/>
      <c r="NAZ102" s="162"/>
      <c r="NBA102" s="162"/>
      <c r="NBB102" s="162"/>
      <c r="NBC102" s="162"/>
      <c r="NBD102" s="162"/>
      <c r="NBE102" s="162"/>
      <c r="NBF102" s="162"/>
      <c r="NBG102" s="162"/>
      <c r="NBH102" s="162"/>
      <c r="NBI102" s="162"/>
      <c r="NBJ102" s="162"/>
      <c r="NBK102" s="162"/>
      <c r="NBL102" s="162"/>
      <c r="NBM102" s="162"/>
      <c r="NBN102" s="162"/>
      <c r="NBO102" s="162"/>
      <c r="NBP102" s="162"/>
      <c r="NBQ102" s="162"/>
      <c r="NBR102" s="162"/>
      <c r="NBS102" s="162"/>
      <c r="NBT102" s="162"/>
      <c r="NBU102" s="162"/>
      <c r="NBV102" s="162"/>
      <c r="NBW102" s="162"/>
      <c r="NBX102" s="162"/>
      <c r="NBY102" s="162"/>
      <c r="NBZ102" s="162"/>
      <c r="NCA102" s="162"/>
      <c r="NCB102" s="162"/>
      <c r="NCC102" s="162"/>
      <c r="NCD102" s="162"/>
      <c r="NCE102" s="162"/>
      <c r="NCF102" s="162"/>
      <c r="NCG102" s="162"/>
      <c r="NCH102" s="162"/>
      <c r="NCI102" s="162"/>
      <c r="NCJ102" s="162"/>
      <c r="NCK102" s="162"/>
      <c r="NCL102" s="162"/>
      <c r="NCM102" s="162"/>
      <c r="NCN102" s="162"/>
      <c r="NCO102" s="162"/>
      <c r="NCP102" s="162"/>
      <c r="NCQ102" s="162"/>
      <c r="NCR102" s="162"/>
      <c r="NCS102" s="162"/>
      <c r="NCT102" s="162"/>
      <c r="NCU102" s="162"/>
      <c r="NCV102" s="162"/>
      <c r="NCW102" s="162"/>
      <c r="NCX102" s="162"/>
      <c r="NCY102" s="162"/>
      <c r="NCZ102" s="162"/>
      <c r="NDA102" s="162"/>
      <c r="NDB102" s="162"/>
      <c r="NDC102" s="162"/>
      <c r="NDD102" s="162"/>
      <c r="NDE102" s="162"/>
      <c r="NDF102" s="162"/>
      <c r="NDG102" s="162"/>
      <c r="NDH102" s="162"/>
      <c r="NDI102" s="162"/>
      <c r="NDJ102" s="162"/>
      <c r="NDK102" s="162"/>
      <c r="NDL102" s="162"/>
      <c r="NDM102" s="162"/>
      <c r="NDN102" s="162"/>
      <c r="NDO102" s="162"/>
      <c r="NDP102" s="162"/>
      <c r="NDQ102" s="162"/>
      <c r="NDR102" s="162"/>
      <c r="NDS102" s="162"/>
      <c r="NDT102" s="162"/>
      <c r="NDU102" s="162"/>
      <c r="NDV102" s="162"/>
      <c r="NDW102" s="162"/>
      <c r="NDX102" s="162"/>
      <c r="NDY102" s="162"/>
      <c r="NDZ102" s="162"/>
      <c r="NEA102" s="162"/>
      <c r="NEB102" s="162"/>
      <c r="NEC102" s="162"/>
      <c r="NED102" s="162"/>
      <c r="NEE102" s="162"/>
      <c r="NEF102" s="162"/>
      <c r="NEG102" s="162"/>
      <c r="NEH102" s="162"/>
      <c r="NEI102" s="162"/>
      <c r="NEJ102" s="162"/>
      <c r="NEK102" s="162"/>
      <c r="NEL102" s="162"/>
      <c r="NEM102" s="162"/>
      <c r="NEN102" s="162"/>
      <c r="NEO102" s="162"/>
      <c r="NEP102" s="162"/>
      <c r="NEQ102" s="162"/>
      <c r="NER102" s="162"/>
      <c r="NES102" s="162"/>
      <c r="NET102" s="162"/>
      <c r="NEU102" s="162"/>
      <c r="NEV102" s="162"/>
      <c r="NEW102" s="162"/>
      <c r="NEX102" s="162"/>
      <c r="NEY102" s="162"/>
      <c r="NEZ102" s="162"/>
      <c r="NFA102" s="162"/>
      <c r="NFB102" s="162"/>
      <c r="NFC102" s="162"/>
      <c r="NFD102" s="162"/>
      <c r="NFE102" s="162"/>
      <c r="NFF102" s="162"/>
      <c r="NFG102" s="162"/>
      <c r="NFH102" s="162"/>
      <c r="NFI102" s="162"/>
      <c r="NFJ102" s="162"/>
      <c r="NFK102" s="162"/>
      <c r="NFL102" s="162"/>
      <c r="NFM102" s="162"/>
      <c r="NFN102" s="162"/>
      <c r="NFO102" s="162"/>
      <c r="NFP102" s="162"/>
      <c r="NFQ102" s="162"/>
      <c r="NFR102" s="162"/>
      <c r="NFS102" s="162"/>
      <c r="NFT102" s="162"/>
      <c r="NFU102" s="162"/>
      <c r="NFV102" s="162"/>
      <c r="NFW102" s="162"/>
      <c r="NFX102" s="162"/>
      <c r="NFY102" s="162"/>
      <c r="NFZ102" s="162"/>
      <c r="NGA102" s="162"/>
      <c r="NGB102" s="162"/>
      <c r="NGC102" s="162"/>
      <c r="NGD102" s="162"/>
      <c r="NGE102" s="162"/>
      <c r="NGF102" s="162"/>
      <c r="NGG102" s="162"/>
      <c r="NGH102" s="162"/>
      <c r="NGI102" s="162"/>
      <c r="NGJ102" s="162"/>
      <c r="NGK102" s="162"/>
      <c r="NGL102" s="162"/>
      <c r="NGM102" s="162"/>
      <c r="NGN102" s="162"/>
      <c r="NGO102" s="162"/>
      <c r="NGP102" s="162"/>
      <c r="NGQ102" s="162"/>
      <c r="NGR102" s="162"/>
      <c r="NGS102" s="162"/>
      <c r="NGT102" s="162"/>
      <c r="NGU102" s="162"/>
      <c r="NGV102" s="162"/>
      <c r="NGW102" s="162"/>
      <c r="NGX102" s="162"/>
      <c r="NGY102" s="162"/>
      <c r="NGZ102" s="162"/>
      <c r="NHA102" s="162"/>
      <c r="NHB102" s="162"/>
      <c r="NHC102" s="162"/>
      <c r="NHD102" s="162"/>
      <c r="NHE102" s="162"/>
      <c r="NHF102" s="162"/>
      <c r="NHG102" s="162"/>
      <c r="NHH102" s="162"/>
      <c r="NHI102" s="162"/>
      <c r="NHJ102" s="162"/>
      <c r="NHK102" s="162"/>
      <c r="NHL102" s="162"/>
      <c r="NHM102" s="162"/>
      <c r="NHN102" s="162"/>
      <c r="NHO102" s="162"/>
      <c r="NHP102" s="162"/>
      <c r="NHQ102" s="162"/>
      <c r="NHR102" s="162"/>
      <c r="NHS102" s="162"/>
      <c r="NHT102" s="162"/>
      <c r="NHU102" s="162"/>
      <c r="NHV102" s="162"/>
      <c r="NHW102" s="162"/>
      <c r="NHX102" s="162"/>
      <c r="NHY102" s="162"/>
      <c r="NHZ102" s="162"/>
      <c r="NIA102" s="162"/>
      <c r="NIB102" s="162"/>
      <c r="NIC102" s="162"/>
      <c r="NID102" s="162"/>
      <c r="NIE102" s="162"/>
      <c r="NIF102" s="162"/>
      <c r="NIG102" s="162"/>
      <c r="NIH102" s="162"/>
      <c r="NII102" s="162"/>
      <c r="NIJ102" s="162"/>
      <c r="NIK102" s="162"/>
      <c r="NIL102" s="162"/>
      <c r="NIM102" s="162"/>
      <c r="NIN102" s="162"/>
      <c r="NIO102" s="162"/>
      <c r="NIP102" s="162"/>
      <c r="NIQ102" s="162"/>
      <c r="NIR102" s="162"/>
      <c r="NIS102" s="162"/>
      <c r="NIT102" s="162"/>
      <c r="NIU102" s="162"/>
      <c r="NIV102" s="162"/>
      <c r="NIW102" s="162"/>
      <c r="NIX102" s="162"/>
      <c r="NIY102" s="162"/>
      <c r="NIZ102" s="162"/>
      <c r="NJA102" s="162"/>
      <c r="NJB102" s="162"/>
      <c r="NJC102" s="162"/>
      <c r="NJD102" s="162"/>
      <c r="NJE102" s="162"/>
      <c r="NJF102" s="162"/>
      <c r="NJG102" s="162"/>
      <c r="NJH102" s="162"/>
      <c r="NJI102" s="162"/>
      <c r="NJJ102" s="162"/>
      <c r="NJK102" s="162"/>
      <c r="NJL102" s="162"/>
      <c r="NJM102" s="162"/>
      <c r="NJN102" s="162"/>
      <c r="NJO102" s="162"/>
      <c r="NJP102" s="162"/>
      <c r="NJQ102" s="162"/>
      <c r="NJR102" s="162"/>
      <c r="NJS102" s="162"/>
      <c r="NJT102" s="162"/>
      <c r="NJU102" s="162"/>
      <c r="NJV102" s="162"/>
      <c r="NJW102" s="162"/>
      <c r="NJX102" s="162"/>
      <c r="NJY102" s="162"/>
      <c r="NJZ102" s="162"/>
      <c r="NKA102" s="162"/>
      <c r="NKB102" s="162"/>
      <c r="NKC102" s="162"/>
      <c r="NKD102" s="162"/>
      <c r="NKE102" s="162"/>
      <c r="NKF102" s="162"/>
      <c r="NKG102" s="162"/>
      <c r="NKH102" s="162"/>
      <c r="NKI102" s="162"/>
      <c r="NKJ102" s="162"/>
      <c r="NKK102" s="162"/>
      <c r="NKL102" s="162"/>
      <c r="NKM102" s="162"/>
      <c r="NKN102" s="162"/>
      <c r="NKO102" s="162"/>
      <c r="NKP102" s="162"/>
      <c r="NKQ102" s="162"/>
      <c r="NKR102" s="162"/>
      <c r="NKS102" s="162"/>
      <c r="NKT102" s="162"/>
      <c r="NKU102" s="162"/>
      <c r="NKV102" s="162"/>
      <c r="NKW102" s="162"/>
      <c r="NKX102" s="162"/>
      <c r="NKY102" s="162"/>
      <c r="NKZ102" s="162"/>
      <c r="NLA102" s="162"/>
      <c r="NLB102" s="162"/>
      <c r="NLC102" s="162"/>
      <c r="NLD102" s="162"/>
      <c r="NLE102" s="162"/>
      <c r="NLF102" s="162"/>
      <c r="NLG102" s="162"/>
      <c r="NLH102" s="162"/>
      <c r="NLI102" s="162"/>
      <c r="NLJ102" s="162"/>
      <c r="NLK102" s="162"/>
      <c r="NLL102" s="162"/>
      <c r="NLM102" s="162"/>
      <c r="NLN102" s="162"/>
      <c r="NLO102" s="162"/>
      <c r="NLP102" s="162"/>
      <c r="NLQ102" s="162"/>
      <c r="NLR102" s="162"/>
      <c r="NLS102" s="162"/>
      <c r="NLT102" s="162"/>
      <c r="NLU102" s="162"/>
      <c r="NLV102" s="162"/>
      <c r="NLW102" s="162"/>
      <c r="NLX102" s="162"/>
      <c r="NLY102" s="162"/>
      <c r="NLZ102" s="162"/>
      <c r="NMA102" s="162"/>
      <c r="NMB102" s="162"/>
      <c r="NMC102" s="162"/>
      <c r="NMD102" s="162"/>
      <c r="NME102" s="162"/>
      <c r="NMF102" s="162"/>
      <c r="NMG102" s="162"/>
      <c r="NMH102" s="162"/>
      <c r="NMI102" s="162"/>
      <c r="NMJ102" s="162"/>
      <c r="NMK102" s="162"/>
      <c r="NML102" s="162"/>
      <c r="NMM102" s="162"/>
      <c r="NMN102" s="162"/>
      <c r="NMO102" s="162"/>
      <c r="NMP102" s="162"/>
      <c r="NMQ102" s="162"/>
      <c r="NMR102" s="162"/>
      <c r="NMS102" s="162"/>
      <c r="NMT102" s="162"/>
      <c r="NMU102" s="162"/>
      <c r="NMV102" s="162"/>
      <c r="NMW102" s="162"/>
      <c r="NMX102" s="162"/>
      <c r="NMY102" s="162"/>
      <c r="NMZ102" s="162"/>
      <c r="NNA102" s="162"/>
      <c r="NNB102" s="162"/>
      <c r="NNC102" s="162"/>
      <c r="NND102" s="162"/>
      <c r="NNE102" s="162"/>
      <c r="NNF102" s="162"/>
      <c r="NNG102" s="162"/>
      <c r="NNH102" s="162"/>
      <c r="NNI102" s="162"/>
      <c r="NNJ102" s="162"/>
      <c r="NNK102" s="162"/>
      <c r="NNL102" s="162"/>
      <c r="NNM102" s="162"/>
      <c r="NNN102" s="162"/>
      <c r="NNO102" s="162"/>
      <c r="NNP102" s="162"/>
      <c r="NNQ102" s="162"/>
      <c r="NNR102" s="162"/>
      <c r="NNS102" s="162"/>
      <c r="NNT102" s="162"/>
      <c r="NNU102" s="162"/>
      <c r="NNV102" s="162"/>
      <c r="NNW102" s="162"/>
      <c r="NNX102" s="162"/>
      <c r="NNY102" s="162"/>
      <c r="NNZ102" s="162"/>
      <c r="NOA102" s="162"/>
      <c r="NOB102" s="162"/>
      <c r="NOC102" s="162"/>
      <c r="NOD102" s="162"/>
      <c r="NOE102" s="162"/>
      <c r="NOF102" s="162"/>
      <c r="NOG102" s="162"/>
      <c r="NOH102" s="162"/>
      <c r="NOI102" s="162"/>
      <c r="NOJ102" s="162"/>
      <c r="NOK102" s="162"/>
      <c r="NOL102" s="162"/>
      <c r="NOM102" s="162"/>
      <c r="NON102" s="162"/>
      <c r="NOO102" s="162"/>
      <c r="NOP102" s="162"/>
      <c r="NOQ102" s="162"/>
      <c r="NOR102" s="162"/>
      <c r="NOS102" s="162"/>
      <c r="NOT102" s="162"/>
      <c r="NOU102" s="162"/>
      <c r="NOV102" s="162"/>
      <c r="NOW102" s="162"/>
      <c r="NOX102" s="162"/>
      <c r="NOY102" s="162"/>
      <c r="NOZ102" s="162"/>
      <c r="NPA102" s="162"/>
      <c r="NPB102" s="162"/>
      <c r="NPC102" s="162"/>
      <c r="NPD102" s="162"/>
      <c r="NPE102" s="162"/>
      <c r="NPF102" s="162"/>
      <c r="NPG102" s="162"/>
      <c r="NPH102" s="162"/>
      <c r="NPI102" s="162"/>
      <c r="NPJ102" s="162"/>
      <c r="NPK102" s="162"/>
      <c r="NPL102" s="162"/>
      <c r="NPM102" s="162"/>
      <c r="NPN102" s="162"/>
      <c r="NPO102" s="162"/>
      <c r="NPP102" s="162"/>
      <c r="NPQ102" s="162"/>
      <c r="NPR102" s="162"/>
      <c r="NPS102" s="162"/>
      <c r="NPT102" s="162"/>
      <c r="NPU102" s="162"/>
      <c r="NPV102" s="162"/>
      <c r="NPW102" s="162"/>
      <c r="NPX102" s="162"/>
      <c r="NPY102" s="162"/>
      <c r="NPZ102" s="162"/>
      <c r="NQA102" s="162"/>
      <c r="NQB102" s="162"/>
      <c r="NQC102" s="162"/>
      <c r="NQD102" s="162"/>
      <c r="NQE102" s="162"/>
      <c r="NQF102" s="162"/>
      <c r="NQG102" s="162"/>
      <c r="NQH102" s="162"/>
      <c r="NQI102" s="162"/>
      <c r="NQJ102" s="162"/>
      <c r="NQK102" s="162"/>
      <c r="NQL102" s="162"/>
      <c r="NQM102" s="162"/>
      <c r="NQN102" s="162"/>
      <c r="NQO102" s="162"/>
      <c r="NQP102" s="162"/>
      <c r="NQQ102" s="162"/>
      <c r="NQR102" s="162"/>
      <c r="NQS102" s="162"/>
      <c r="NQT102" s="162"/>
      <c r="NQU102" s="162"/>
      <c r="NQV102" s="162"/>
      <c r="NQW102" s="162"/>
      <c r="NQX102" s="162"/>
      <c r="NQY102" s="162"/>
      <c r="NQZ102" s="162"/>
      <c r="NRA102" s="162"/>
      <c r="NRB102" s="162"/>
      <c r="NRC102" s="162"/>
      <c r="NRD102" s="162"/>
      <c r="NRE102" s="162"/>
      <c r="NRF102" s="162"/>
      <c r="NRG102" s="162"/>
      <c r="NRH102" s="162"/>
      <c r="NRI102" s="162"/>
      <c r="NRJ102" s="162"/>
      <c r="NRK102" s="162"/>
      <c r="NRL102" s="162"/>
      <c r="NRM102" s="162"/>
      <c r="NRN102" s="162"/>
      <c r="NRO102" s="162"/>
      <c r="NRP102" s="162"/>
      <c r="NRQ102" s="162"/>
      <c r="NRR102" s="162"/>
      <c r="NRS102" s="162"/>
      <c r="NRT102" s="162"/>
      <c r="NRU102" s="162"/>
      <c r="NRV102" s="162"/>
      <c r="NRW102" s="162"/>
      <c r="NRX102" s="162"/>
      <c r="NRY102" s="162"/>
      <c r="NRZ102" s="162"/>
      <c r="NSA102" s="162"/>
      <c r="NSB102" s="162"/>
      <c r="NSC102" s="162"/>
      <c r="NSD102" s="162"/>
      <c r="NSE102" s="162"/>
      <c r="NSF102" s="162"/>
      <c r="NSG102" s="162"/>
      <c r="NSH102" s="162"/>
      <c r="NSI102" s="162"/>
      <c r="NSJ102" s="162"/>
      <c r="NSK102" s="162"/>
      <c r="NSL102" s="162"/>
      <c r="NSM102" s="162"/>
      <c r="NSN102" s="162"/>
      <c r="NSO102" s="162"/>
      <c r="NSP102" s="162"/>
      <c r="NSQ102" s="162"/>
      <c r="NSR102" s="162"/>
      <c r="NSS102" s="162"/>
      <c r="NST102" s="162"/>
      <c r="NSU102" s="162"/>
      <c r="NSV102" s="162"/>
      <c r="NSW102" s="162"/>
      <c r="NSX102" s="162"/>
      <c r="NSY102" s="162"/>
      <c r="NSZ102" s="162"/>
      <c r="NTA102" s="162"/>
      <c r="NTB102" s="162"/>
      <c r="NTC102" s="162"/>
      <c r="NTD102" s="162"/>
      <c r="NTE102" s="162"/>
      <c r="NTF102" s="162"/>
      <c r="NTG102" s="162"/>
      <c r="NTH102" s="162"/>
      <c r="NTI102" s="162"/>
      <c r="NTJ102" s="162"/>
      <c r="NTK102" s="162"/>
      <c r="NTL102" s="162"/>
      <c r="NTM102" s="162"/>
      <c r="NTN102" s="162"/>
      <c r="NTO102" s="162"/>
      <c r="NTP102" s="162"/>
      <c r="NTQ102" s="162"/>
      <c r="NTR102" s="162"/>
      <c r="NTS102" s="162"/>
      <c r="NTT102" s="162"/>
      <c r="NTU102" s="162"/>
      <c r="NTV102" s="162"/>
      <c r="NTW102" s="162"/>
      <c r="NTX102" s="162"/>
      <c r="NTY102" s="162"/>
      <c r="NTZ102" s="162"/>
      <c r="NUA102" s="162"/>
      <c r="NUB102" s="162"/>
      <c r="NUC102" s="162"/>
      <c r="NUD102" s="162"/>
      <c r="NUE102" s="162"/>
      <c r="NUF102" s="162"/>
      <c r="NUG102" s="162"/>
      <c r="NUH102" s="162"/>
      <c r="NUI102" s="162"/>
      <c r="NUJ102" s="162"/>
      <c r="NUK102" s="162"/>
      <c r="NUL102" s="162"/>
      <c r="NUM102" s="162"/>
      <c r="NUN102" s="162"/>
      <c r="NUO102" s="162"/>
      <c r="NUP102" s="162"/>
      <c r="NUQ102" s="162"/>
      <c r="NUR102" s="162"/>
      <c r="NUS102" s="162"/>
      <c r="NUT102" s="162"/>
      <c r="NUU102" s="162"/>
      <c r="NUV102" s="162"/>
      <c r="NUW102" s="162"/>
      <c r="NUX102" s="162"/>
      <c r="NUY102" s="162"/>
      <c r="NUZ102" s="162"/>
      <c r="NVA102" s="162"/>
      <c r="NVB102" s="162"/>
      <c r="NVC102" s="162"/>
      <c r="NVD102" s="162"/>
      <c r="NVE102" s="162"/>
      <c r="NVF102" s="162"/>
      <c r="NVG102" s="162"/>
      <c r="NVH102" s="162"/>
      <c r="NVI102" s="162"/>
      <c r="NVJ102" s="162"/>
      <c r="NVK102" s="162"/>
      <c r="NVL102" s="162"/>
      <c r="NVM102" s="162"/>
      <c r="NVN102" s="162"/>
      <c r="NVO102" s="162"/>
      <c r="NVP102" s="162"/>
      <c r="NVQ102" s="162"/>
      <c r="NVR102" s="162"/>
      <c r="NVS102" s="162"/>
      <c r="NVT102" s="162"/>
      <c r="NVU102" s="162"/>
      <c r="NVV102" s="162"/>
      <c r="NVW102" s="162"/>
      <c r="NVX102" s="162"/>
      <c r="NVY102" s="162"/>
      <c r="NVZ102" s="162"/>
      <c r="NWA102" s="162"/>
      <c r="NWB102" s="162"/>
      <c r="NWC102" s="162"/>
      <c r="NWD102" s="162"/>
      <c r="NWE102" s="162"/>
      <c r="NWF102" s="162"/>
      <c r="NWG102" s="162"/>
      <c r="NWH102" s="162"/>
      <c r="NWI102" s="162"/>
      <c r="NWJ102" s="162"/>
      <c r="NWK102" s="162"/>
      <c r="NWL102" s="162"/>
      <c r="NWM102" s="162"/>
      <c r="NWN102" s="162"/>
      <c r="NWO102" s="162"/>
      <c r="NWP102" s="162"/>
      <c r="NWQ102" s="162"/>
      <c r="NWR102" s="162"/>
      <c r="NWS102" s="162"/>
      <c r="NWT102" s="162"/>
      <c r="NWU102" s="162"/>
      <c r="NWV102" s="162"/>
      <c r="NWW102" s="162"/>
      <c r="NWX102" s="162"/>
      <c r="NWY102" s="162"/>
      <c r="NWZ102" s="162"/>
      <c r="NXA102" s="162"/>
      <c r="NXB102" s="162"/>
      <c r="NXC102" s="162"/>
      <c r="NXD102" s="162"/>
      <c r="NXE102" s="162"/>
      <c r="NXF102" s="162"/>
      <c r="NXG102" s="162"/>
      <c r="NXH102" s="162"/>
      <c r="NXI102" s="162"/>
      <c r="NXJ102" s="162"/>
      <c r="NXK102" s="162"/>
      <c r="NXL102" s="162"/>
      <c r="NXM102" s="162"/>
      <c r="NXN102" s="162"/>
      <c r="NXO102" s="162"/>
      <c r="NXP102" s="162"/>
      <c r="NXQ102" s="162"/>
      <c r="NXR102" s="162"/>
      <c r="NXS102" s="162"/>
      <c r="NXT102" s="162"/>
      <c r="NXU102" s="162"/>
      <c r="NXV102" s="162"/>
      <c r="NXW102" s="162"/>
      <c r="NXX102" s="162"/>
      <c r="NXY102" s="162"/>
      <c r="NXZ102" s="162"/>
      <c r="NYA102" s="162"/>
      <c r="NYB102" s="162"/>
      <c r="NYC102" s="162"/>
      <c r="NYD102" s="162"/>
      <c r="NYE102" s="162"/>
      <c r="NYF102" s="162"/>
      <c r="NYG102" s="162"/>
      <c r="NYH102" s="162"/>
      <c r="NYI102" s="162"/>
      <c r="NYJ102" s="162"/>
      <c r="NYK102" s="162"/>
      <c r="NYL102" s="162"/>
      <c r="NYM102" s="162"/>
      <c r="NYN102" s="162"/>
      <c r="NYO102" s="162"/>
      <c r="NYP102" s="162"/>
      <c r="NYQ102" s="162"/>
      <c r="NYR102" s="162"/>
      <c r="NYS102" s="162"/>
      <c r="NYT102" s="162"/>
      <c r="NYU102" s="162"/>
      <c r="NYV102" s="162"/>
      <c r="NYW102" s="162"/>
      <c r="NYX102" s="162"/>
      <c r="NYY102" s="162"/>
      <c r="NYZ102" s="162"/>
      <c r="NZA102" s="162"/>
      <c r="NZB102" s="162"/>
      <c r="NZC102" s="162"/>
      <c r="NZD102" s="162"/>
      <c r="NZE102" s="162"/>
      <c r="NZF102" s="162"/>
      <c r="NZG102" s="162"/>
      <c r="NZH102" s="162"/>
      <c r="NZI102" s="162"/>
      <c r="NZJ102" s="162"/>
      <c r="NZK102" s="162"/>
      <c r="NZL102" s="162"/>
      <c r="NZM102" s="162"/>
      <c r="NZN102" s="162"/>
      <c r="NZO102" s="162"/>
      <c r="NZP102" s="162"/>
      <c r="NZQ102" s="162"/>
      <c r="NZR102" s="162"/>
      <c r="NZS102" s="162"/>
      <c r="NZT102" s="162"/>
      <c r="NZU102" s="162"/>
      <c r="NZV102" s="162"/>
      <c r="NZW102" s="162"/>
      <c r="NZX102" s="162"/>
      <c r="NZY102" s="162"/>
      <c r="NZZ102" s="162"/>
      <c r="OAA102" s="162"/>
      <c r="OAB102" s="162"/>
      <c r="OAC102" s="162"/>
      <c r="OAD102" s="162"/>
      <c r="OAE102" s="162"/>
      <c r="OAF102" s="162"/>
      <c r="OAG102" s="162"/>
      <c r="OAH102" s="162"/>
      <c r="OAI102" s="162"/>
      <c r="OAJ102" s="162"/>
      <c r="OAK102" s="162"/>
      <c r="OAL102" s="162"/>
      <c r="OAM102" s="162"/>
      <c r="OAN102" s="162"/>
      <c r="OAO102" s="162"/>
      <c r="OAP102" s="162"/>
      <c r="OAQ102" s="162"/>
      <c r="OAR102" s="162"/>
      <c r="OAS102" s="162"/>
      <c r="OAT102" s="162"/>
      <c r="OAU102" s="162"/>
      <c r="OAV102" s="162"/>
      <c r="OAW102" s="162"/>
      <c r="OAX102" s="162"/>
      <c r="OAY102" s="162"/>
      <c r="OAZ102" s="162"/>
      <c r="OBA102" s="162"/>
      <c r="OBB102" s="162"/>
      <c r="OBC102" s="162"/>
      <c r="OBD102" s="162"/>
      <c r="OBE102" s="162"/>
      <c r="OBF102" s="162"/>
      <c r="OBG102" s="162"/>
      <c r="OBH102" s="162"/>
      <c r="OBI102" s="162"/>
      <c r="OBJ102" s="162"/>
      <c r="OBK102" s="162"/>
      <c r="OBL102" s="162"/>
      <c r="OBM102" s="162"/>
      <c r="OBN102" s="162"/>
      <c r="OBO102" s="162"/>
      <c r="OBP102" s="162"/>
      <c r="OBQ102" s="162"/>
      <c r="OBR102" s="162"/>
      <c r="OBS102" s="162"/>
      <c r="OBT102" s="162"/>
      <c r="OBU102" s="162"/>
      <c r="OBV102" s="162"/>
      <c r="OBW102" s="162"/>
      <c r="OBX102" s="162"/>
      <c r="OBY102" s="162"/>
      <c r="OBZ102" s="162"/>
      <c r="OCA102" s="162"/>
      <c r="OCB102" s="162"/>
      <c r="OCC102" s="162"/>
      <c r="OCD102" s="162"/>
      <c r="OCE102" s="162"/>
      <c r="OCF102" s="162"/>
      <c r="OCG102" s="162"/>
      <c r="OCH102" s="162"/>
      <c r="OCI102" s="162"/>
      <c r="OCJ102" s="162"/>
      <c r="OCK102" s="162"/>
      <c r="OCL102" s="162"/>
      <c r="OCM102" s="162"/>
      <c r="OCN102" s="162"/>
      <c r="OCO102" s="162"/>
      <c r="OCP102" s="162"/>
      <c r="OCQ102" s="162"/>
      <c r="OCR102" s="162"/>
      <c r="OCS102" s="162"/>
      <c r="OCT102" s="162"/>
      <c r="OCU102" s="162"/>
      <c r="OCV102" s="162"/>
      <c r="OCW102" s="162"/>
      <c r="OCX102" s="162"/>
      <c r="OCY102" s="162"/>
      <c r="OCZ102" s="162"/>
      <c r="ODA102" s="162"/>
      <c r="ODB102" s="162"/>
      <c r="ODC102" s="162"/>
      <c r="ODD102" s="162"/>
      <c r="ODE102" s="162"/>
      <c r="ODF102" s="162"/>
      <c r="ODG102" s="162"/>
      <c r="ODH102" s="162"/>
      <c r="ODI102" s="162"/>
      <c r="ODJ102" s="162"/>
      <c r="ODK102" s="162"/>
      <c r="ODL102" s="162"/>
      <c r="ODM102" s="162"/>
      <c r="ODN102" s="162"/>
      <c r="ODO102" s="162"/>
      <c r="ODP102" s="162"/>
      <c r="ODQ102" s="162"/>
      <c r="ODR102" s="162"/>
      <c r="ODS102" s="162"/>
      <c r="ODT102" s="162"/>
      <c r="ODU102" s="162"/>
      <c r="ODV102" s="162"/>
      <c r="ODW102" s="162"/>
      <c r="ODX102" s="162"/>
      <c r="ODY102" s="162"/>
      <c r="ODZ102" s="162"/>
      <c r="OEA102" s="162"/>
      <c r="OEB102" s="162"/>
      <c r="OEC102" s="162"/>
      <c r="OED102" s="162"/>
      <c r="OEE102" s="162"/>
      <c r="OEF102" s="162"/>
      <c r="OEG102" s="162"/>
      <c r="OEH102" s="162"/>
      <c r="OEI102" s="162"/>
      <c r="OEJ102" s="162"/>
      <c r="OEK102" s="162"/>
      <c r="OEL102" s="162"/>
      <c r="OEM102" s="162"/>
      <c r="OEN102" s="162"/>
      <c r="OEO102" s="162"/>
      <c r="OEP102" s="162"/>
      <c r="OEQ102" s="162"/>
      <c r="OER102" s="162"/>
      <c r="OES102" s="162"/>
      <c r="OET102" s="162"/>
      <c r="OEU102" s="162"/>
      <c r="OEV102" s="162"/>
      <c r="OEW102" s="162"/>
      <c r="OEX102" s="162"/>
      <c r="OEY102" s="162"/>
      <c r="OEZ102" s="162"/>
      <c r="OFA102" s="162"/>
      <c r="OFB102" s="162"/>
      <c r="OFC102" s="162"/>
      <c r="OFD102" s="162"/>
      <c r="OFE102" s="162"/>
      <c r="OFF102" s="162"/>
      <c r="OFG102" s="162"/>
      <c r="OFH102" s="162"/>
      <c r="OFI102" s="162"/>
      <c r="OFJ102" s="162"/>
      <c r="OFK102" s="162"/>
      <c r="OFL102" s="162"/>
      <c r="OFM102" s="162"/>
      <c r="OFN102" s="162"/>
      <c r="OFO102" s="162"/>
      <c r="OFP102" s="162"/>
      <c r="OFQ102" s="162"/>
      <c r="OFR102" s="162"/>
      <c r="OFS102" s="162"/>
      <c r="OFT102" s="162"/>
      <c r="OFU102" s="162"/>
      <c r="OFV102" s="162"/>
      <c r="OFW102" s="162"/>
      <c r="OFX102" s="162"/>
      <c r="OFY102" s="162"/>
      <c r="OFZ102" s="162"/>
      <c r="OGA102" s="162"/>
      <c r="OGB102" s="162"/>
      <c r="OGC102" s="162"/>
      <c r="OGD102" s="162"/>
      <c r="OGE102" s="162"/>
      <c r="OGF102" s="162"/>
      <c r="OGG102" s="162"/>
      <c r="OGH102" s="162"/>
      <c r="OGI102" s="162"/>
      <c r="OGJ102" s="162"/>
      <c r="OGK102" s="162"/>
      <c r="OGL102" s="162"/>
      <c r="OGM102" s="162"/>
      <c r="OGN102" s="162"/>
      <c r="OGO102" s="162"/>
      <c r="OGP102" s="162"/>
      <c r="OGQ102" s="162"/>
      <c r="OGR102" s="162"/>
      <c r="OGS102" s="162"/>
      <c r="OGT102" s="162"/>
      <c r="OGU102" s="162"/>
      <c r="OGV102" s="162"/>
      <c r="OGW102" s="162"/>
      <c r="OGX102" s="162"/>
      <c r="OGY102" s="162"/>
      <c r="OGZ102" s="162"/>
      <c r="OHA102" s="162"/>
      <c r="OHB102" s="162"/>
      <c r="OHC102" s="162"/>
      <c r="OHD102" s="162"/>
      <c r="OHE102" s="162"/>
      <c r="OHF102" s="162"/>
      <c r="OHG102" s="162"/>
      <c r="OHH102" s="162"/>
      <c r="OHI102" s="162"/>
      <c r="OHJ102" s="162"/>
      <c r="OHK102" s="162"/>
      <c r="OHL102" s="162"/>
      <c r="OHM102" s="162"/>
      <c r="OHN102" s="162"/>
      <c r="OHO102" s="162"/>
      <c r="OHP102" s="162"/>
      <c r="OHQ102" s="162"/>
      <c r="OHR102" s="162"/>
      <c r="OHS102" s="162"/>
      <c r="OHT102" s="162"/>
      <c r="OHU102" s="162"/>
      <c r="OHV102" s="162"/>
      <c r="OHW102" s="162"/>
      <c r="OHX102" s="162"/>
      <c r="OHY102" s="162"/>
      <c r="OHZ102" s="162"/>
      <c r="OIA102" s="162"/>
      <c r="OIB102" s="162"/>
      <c r="OIC102" s="162"/>
      <c r="OID102" s="162"/>
      <c r="OIE102" s="162"/>
      <c r="OIF102" s="162"/>
      <c r="OIG102" s="162"/>
      <c r="OIH102" s="162"/>
      <c r="OII102" s="162"/>
      <c r="OIJ102" s="162"/>
      <c r="OIK102" s="162"/>
      <c r="OIL102" s="162"/>
      <c r="OIM102" s="162"/>
      <c r="OIN102" s="162"/>
      <c r="OIO102" s="162"/>
      <c r="OIP102" s="162"/>
      <c r="OIQ102" s="162"/>
      <c r="OIR102" s="162"/>
      <c r="OIS102" s="162"/>
      <c r="OIT102" s="162"/>
      <c r="OIU102" s="162"/>
      <c r="OIV102" s="162"/>
      <c r="OIW102" s="162"/>
      <c r="OIX102" s="162"/>
      <c r="OIY102" s="162"/>
      <c r="OIZ102" s="162"/>
      <c r="OJA102" s="162"/>
      <c r="OJB102" s="162"/>
      <c r="OJC102" s="162"/>
      <c r="OJD102" s="162"/>
      <c r="OJE102" s="162"/>
      <c r="OJF102" s="162"/>
      <c r="OJG102" s="162"/>
      <c r="OJH102" s="162"/>
      <c r="OJI102" s="162"/>
      <c r="OJJ102" s="162"/>
      <c r="OJK102" s="162"/>
      <c r="OJL102" s="162"/>
      <c r="OJM102" s="162"/>
      <c r="OJN102" s="162"/>
      <c r="OJO102" s="162"/>
      <c r="OJP102" s="162"/>
      <c r="OJQ102" s="162"/>
      <c r="OJR102" s="162"/>
      <c r="OJS102" s="162"/>
      <c r="OJT102" s="162"/>
      <c r="OJU102" s="162"/>
      <c r="OJV102" s="162"/>
      <c r="OJW102" s="162"/>
      <c r="OJX102" s="162"/>
      <c r="OJY102" s="162"/>
      <c r="OJZ102" s="162"/>
      <c r="OKA102" s="162"/>
      <c r="OKB102" s="162"/>
      <c r="OKC102" s="162"/>
      <c r="OKD102" s="162"/>
      <c r="OKE102" s="162"/>
      <c r="OKF102" s="162"/>
      <c r="OKG102" s="162"/>
      <c r="OKH102" s="162"/>
      <c r="OKI102" s="162"/>
      <c r="OKJ102" s="162"/>
      <c r="OKK102" s="162"/>
      <c r="OKL102" s="162"/>
      <c r="OKM102" s="162"/>
      <c r="OKN102" s="162"/>
      <c r="OKO102" s="162"/>
      <c r="OKP102" s="162"/>
      <c r="OKQ102" s="162"/>
      <c r="OKR102" s="162"/>
      <c r="OKS102" s="162"/>
      <c r="OKT102" s="162"/>
      <c r="OKU102" s="162"/>
      <c r="OKV102" s="162"/>
      <c r="OKW102" s="162"/>
      <c r="OKX102" s="162"/>
      <c r="OKY102" s="162"/>
      <c r="OKZ102" s="162"/>
      <c r="OLA102" s="162"/>
      <c r="OLB102" s="162"/>
      <c r="OLC102" s="162"/>
      <c r="OLD102" s="162"/>
      <c r="OLE102" s="162"/>
      <c r="OLF102" s="162"/>
      <c r="OLG102" s="162"/>
      <c r="OLH102" s="162"/>
      <c r="OLI102" s="162"/>
      <c r="OLJ102" s="162"/>
      <c r="OLK102" s="162"/>
      <c r="OLL102" s="162"/>
      <c r="OLM102" s="162"/>
      <c r="OLN102" s="162"/>
      <c r="OLO102" s="162"/>
      <c r="OLP102" s="162"/>
      <c r="OLQ102" s="162"/>
      <c r="OLR102" s="162"/>
      <c r="OLS102" s="162"/>
      <c r="OLT102" s="162"/>
      <c r="OLU102" s="162"/>
      <c r="OLV102" s="162"/>
      <c r="OLW102" s="162"/>
      <c r="OLX102" s="162"/>
      <c r="OLY102" s="162"/>
      <c r="OLZ102" s="162"/>
      <c r="OMA102" s="162"/>
      <c r="OMB102" s="162"/>
      <c r="OMC102" s="162"/>
      <c r="OMD102" s="162"/>
      <c r="OME102" s="162"/>
      <c r="OMF102" s="162"/>
      <c r="OMG102" s="162"/>
      <c r="OMH102" s="162"/>
      <c r="OMI102" s="162"/>
      <c r="OMJ102" s="162"/>
      <c r="OMK102" s="162"/>
      <c r="OML102" s="162"/>
      <c r="OMM102" s="162"/>
      <c r="OMN102" s="162"/>
      <c r="OMO102" s="162"/>
      <c r="OMP102" s="162"/>
      <c r="OMQ102" s="162"/>
      <c r="OMR102" s="162"/>
      <c r="OMS102" s="162"/>
      <c r="OMT102" s="162"/>
      <c r="OMU102" s="162"/>
      <c r="OMV102" s="162"/>
      <c r="OMW102" s="162"/>
      <c r="OMX102" s="162"/>
      <c r="OMY102" s="162"/>
      <c r="OMZ102" s="162"/>
      <c r="ONA102" s="162"/>
      <c r="ONB102" s="162"/>
      <c r="ONC102" s="162"/>
      <c r="OND102" s="162"/>
      <c r="ONE102" s="162"/>
      <c r="ONF102" s="162"/>
      <c r="ONG102" s="162"/>
      <c r="ONH102" s="162"/>
      <c r="ONI102" s="162"/>
      <c r="ONJ102" s="162"/>
      <c r="ONK102" s="162"/>
      <c r="ONL102" s="162"/>
      <c r="ONM102" s="162"/>
      <c r="ONN102" s="162"/>
      <c r="ONO102" s="162"/>
      <c r="ONP102" s="162"/>
      <c r="ONQ102" s="162"/>
      <c r="ONR102" s="162"/>
      <c r="ONS102" s="162"/>
      <c r="ONT102" s="162"/>
      <c r="ONU102" s="162"/>
      <c r="ONV102" s="162"/>
      <c r="ONW102" s="162"/>
      <c r="ONX102" s="162"/>
      <c r="ONY102" s="162"/>
      <c r="ONZ102" s="162"/>
      <c r="OOA102" s="162"/>
      <c r="OOB102" s="162"/>
      <c r="OOC102" s="162"/>
      <c r="OOD102" s="162"/>
      <c r="OOE102" s="162"/>
      <c r="OOF102" s="162"/>
      <c r="OOG102" s="162"/>
      <c r="OOH102" s="162"/>
      <c r="OOI102" s="162"/>
      <c r="OOJ102" s="162"/>
      <c r="OOK102" s="162"/>
      <c r="OOL102" s="162"/>
      <c r="OOM102" s="162"/>
      <c r="OON102" s="162"/>
      <c r="OOO102" s="162"/>
      <c r="OOP102" s="162"/>
      <c r="OOQ102" s="162"/>
      <c r="OOR102" s="162"/>
      <c r="OOS102" s="162"/>
      <c r="OOT102" s="162"/>
      <c r="OOU102" s="162"/>
      <c r="OOV102" s="162"/>
      <c r="OOW102" s="162"/>
      <c r="OOX102" s="162"/>
      <c r="OOY102" s="162"/>
      <c r="OOZ102" s="162"/>
      <c r="OPA102" s="162"/>
      <c r="OPB102" s="162"/>
      <c r="OPC102" s="162"/>
      <c r="OPD102" s="162"/>
      <c r="OPE102" s="162"/>
      <c r="OPF102" s="162"/>
      <c r="OPG102" s="162"/>
      <c r="OPH102" s="162"/>
      <c r="OPI102" s="162"/>
      <c r="OPJ102" s="162"/>
      <c r="OPK102" s="162"/>
      <c r="OPL102" s="162"/>
      <c r="OPM102" s="162"/>
      <c r="OPN102" s="162"/>
      <c r="OPO102" s="162"/>
      <c r="OPP102" s="162"/>
      <c r="OPQ102" s="162"/>
      <c r="OPR102" s="162"/>
      <c r="OPS102" s="162"/>
      <c r="OPT102" s="162"/>
      <c r="OPU102" s="162"/>
      <c r="OPV102" s="162"/>
      <c r="OPW102" s="162"/>
      <c r="OPX102" s="162"/>
      <c r="OPY102" s="162"/>
      <c r="OPZ102" s="162"/>
      <c r="OQA102" s="162"/>
      <c r="OQB102" s="162"/>
      <c r="OQC102" s="162"/>
      <c r="OQD102" s="162"/>
      <c r="OQE102" s="162"/>
      <c r="OQF102" s="162"/>
      <c r="OQG102" s="162"/>
      <c r="OQH102" s="162"/>
      <c r="OQI102" s="162"/>
      <c r="OQJ102" s="162"/>
      <c r="OQK102" s="162"/>
      <c r="OQL102" s="162"/>
      <c r="OQM102" s="162"/>
      <c r="OQN102" s="162"/>
      <c r="OQO102" s="162"/>
      <c r="OQP102" s="162"/>
      <c r="OQQ102" s="162"/>
      <c r="OQR102" s="162"/>
      <c r="OQS102" s="162"/>
      <c r="OQT102" s="162"/>
      <c r="OQU102" s="162"/>
      <c r="OQV102" s="162"/>
      <c r="OQW102" s="162"/>
      <c r="OQX102" s="162"/>
      <c r="OQY102" s="162"/>
      <c r="OQZ102" s="162"/>
      <c r="ORA102" s="162"/>
      <c r="ORB102" s="162"/>
      <c r="ORC102" s="162"/>
      <c r="ORD102" s="162"/>
      <c r="ORE102" s="162"/>
      <c r="ORF102" s="162"/>
      <c r="ORG102" s="162"/>
      <c r="ORH102" s="162"/>
      <c r="ORI102" s="162"/>
      <c r="ORJ102" s="162"/>
      <c r="ORK102" s="162"/>
      <c r="ORL102" s="162"/>
      <c r="ORM102" s="162"/>
      <c r="ORN102" s="162"/>
      <c r="ORO102" s="162"/>
      <c r="ORP102" s="162"/>
      <c r="ORQ102" s="162"/>
      <c r="ORR102" s="162"/>
      <c r="ORS102" s="162"/>
      <c r="ORT102" s="162"/>
      <c r="ORU102" s="162"/>
      <c r="ORV102" s="162"/>
      <c r="ORW102" s="162"/>
      <c r="ORX102" s="162"/>
      <c r="ORY102" s="162"/>
      <c r="ORZ102" s="162"/>
      <c r="OSA102" s="162"/>
      <c r="OSB102" s="162"/>
      <c r="OSC102" s="162"/>
      <c r="OSD102" s="162"/>
      <c r="OSE102" s="162"/>
      <c r="OSF102" s="162"/>
      <c r="OSG102" s="162"/>
      <c r="OSH102" s="162"/>
      <c r="OSI102" s="162"/>
      <c r="OSJ102" s="162"/>
      <c r="OSK102" s="162"/>
      <c r="OSL102" s="162"/>
      <c r="OSM102" s="162"/>
      <c r="OSN102" s="162"/>
      <c r="OSO102" s="162"/>
      <c r="OSP102" s="162"/>
      <c r="OSQ102" s="162"/>
      <c r="OSR102" s="162"/>
      <c r="OSS102" s="162"/>
      <c r="OST102" s="162"/>
      <c r="OSU102" s="162"/>
      <c r="OSV102" s="162"/>
      <c r="OSW102" s="162"/>
      <c r="OSX102" s="162"/>
      <c r="OSY102" s="162"/>
      <c r="OSZ102" s="162"/>
      <c r="OTA102" s="162"/>
      <c r="OTB102" s="162"/>
      <c r="OTC102" s="162"/>
      <c r="OTD102" s="162"/>
      <c r="OTE102" s="162"/>
      <c r="OTF102" s="162"/>
      <c r="OTG102" s="162"/>
      <c r="OTH102" s="162"/>
      <c r="OTI102" s="162"/>
      <c r="OTJ102" s="162"/>
      <c r="OTK102" s="162"/>
      <c r="OTL102" s="162"/>
      <c r="OTM102" s="162"/>
      <c r="OTN102" s="162"/>
      <c r="OTO102" s="162"/>
      <c r="OTP102" s="162"/>
      <c r="OTQ102" s="162"/>
      <c r="OTR102" s="162"/>
      <c r="OTS102" s="162"/>
      <c r="OTT102" s="162"/>
      <c r="OTU102" s="162"/>
      <c r="OTV102" s="162"/>
      <c r="OTW102" s="162"/>
      <c r="OTX102" s="162"/>
      <c r="OTY102" s="162"/>
      <c r="OTZ102" s="162"/>
      <c r="OUA102" s="162"/>
      <c r="OUB102" s="162"/>
      <c r="OUC102" s="162"/>
      <c r="OUD102" s="162"/>
      <c r="OUE102" s="162"/>
      <c r="OUF102" s="162"/>
      <c r="OUG102" s="162"/>
      <c r="OUH102" s="162"/>
      <c r="OUI102" s="162"/>
      <c r="OUJ102" s="162"/>
      <c r="OUK102" s="162"/>
      <c r="OUL102" s="162"/>
      <c r="OUM102" s="162"/>
      <c r="OUN102" s="162"/>
      <c r="OUO102" s="162"/>
      <c r="OUP102" s="162"/>
      <c r="OUQ102" s="162"/>
      <c r="OUR102" s="162"/>
      <c r="OUS102" s="162"/>
      <c r="OUT102" s="162"/>
      <c r="OUU102" s="162"/>
      <c r="OUV102" s="162"/>
      <c r="OUW102" s="162"/>
      <c r="OUX102" s="162"/>
      <c r="OUY102" s="162"/>
      <c r="OUZ102" s="162"/>
      <c r="OVA102" s="162"/>
      <c r="OVB102" s="162"/>
      <c r="OVC102" s="162"/>
      <c r="OVD102" s="162"/>
      <c r="OVE102" s="162"/>
      <c r="OVF102" s="162"/>
      <c r="OVG102" s="162"/>
      <c r="OVH102" s="162"/>
      <c r="OVI102" s="162"/>
      <c r="OVJ102" s="162"/>
      <c r="OVK102" s="162"/>
      <c r="OVL102" s="162"/>
      <c r="OVM102" s="162"/>
      <c r="OVN102" s="162"/>
      <c r="OVO102" s="162"/>
      <c r="OVP102" s="162"/>
      <c r="OVQ102" s="162"/>
      <c r="OVR102" s="162"/>
      <c r="OVS102" s="162"/>
      <c r="OVT102" s="162"/>
      <c r="OVU102" s="162"/>
      <c r="OVV102" s="162"/>
      <c r="OVW102" s="162"/>
      <c r="OVX102" s="162"/>
      <c r="OVY102" s="162"/>
      <c r="OVZ102" s="162"/>
      <c r="OWA102" s="162"/>
      <c r="OWB102" s="162"/>
      <c r="OWC102" s="162"/>
      <c r="OWD102" s="162"/>
      <c r="OWE102" s="162"/>
      <c r="OWF102" s="162"/>
      <c r="OWG102" s="162"/>
      <c r="OWH102" s="162"/>
      <c r="OWI102" s="162"/>
      <c r="OWJ102" s="162"/>
      <c r="OWK102" s="162"/>
      <c r="OWL102" s="162"/>
      <c r="OWM102" s="162"/>
      <c r="OWN102" s="162"/>
      <c r="OWO102" s="162"/>
      <c r="OWP102" s="162"/>
      <c r="OWQ102" s="162"/>
      <c r="OWR102" s="162"/>
      <c r="OWS102" s="162"/>
      <c r="OWT102" s="162"/>
      <c r="OWU102" s="162"/>
      <c r="OWV102" s="162"/>
      <c r="OWW102" s="162"/>
      <c r="OWX102" s="162"/>
      <c r="OWY102" s="162"/>
      <c r="OWZ102" s="162"/>
      <c r="OXA102" s="162"/>
      <c r="OXB102" s="162"/>
      <c r="OXC102" s="162"/>
      <c r="OXD102" s="162"/>
      <c r="OXE102" s="162"/>
      <c r="OXF102" s="162"/>
      <c r="OXG102" s="162"/>
      <c r="OXH102" s="162"/>
      <c r="OXI102" s="162"/>
      <c r="OXJ102" s="162"/>
      <c r="OXK102" s="162"/>
      <c r="OXL102" s="162"/>
      <c r="OXM102" s="162"/>
      <c r="OXN102" s="162"/>
      <c r="OXO102" s="162"/>
      <c r="OXP102" s="162"/>
      <c r="OXQ102" s="162"/>
      <c r="OXR102" s="162"/>
      <c r="OXS102" s="162"/>
      <c r="OXT102" s="162"/>
      <c r="OXU102" s="162"/>
      <c r="OXV102" s="162"/>
      <c r="OXW102" s="162"/>
      <c r="OXX102" s="162"/>
      <c r="OXY102" s="162"/>
      <c r="OXZ102" s="162"/>
      <c r="OYA102" s="162"/>
      <c r="OYB102" s="162"/>
      <c r="OYC102" s="162"/>
      <c r="OYD102" s="162"/>
      <c r="OYE102" s="162"/>
      <c r="OYF102" s="162"/>
      <c r="OYG102" s="162"/>
      <c r="OYH102" s="162"/>
      <c r="OYI102" s="162"/>
      <c r="OYJ102" s="162"/>
      <c r="OYK102" s="162"/>
      <c r="OYL102" s="162"/>
      <c r="OYM102" s="162"/>
      <c r="OYN102" s="162"/>
      <c r="OYO102" s="162"/>
      <c r="OYP102" s="162"/>
      <c r="OYQ102" s="162"/>
      <c r="OYR102" s="162"/>
      <c r="OYS102" s="162"/>
      <c r="OYT102" s="162"/>
      <c r="OYU102" s="162"/>
      <c r="OYV102" s="162"/>
      <c r="OYW102" s="162"/>
      <c r="OYX102" s="162"/>
      <c r="OYY102" s="162"/>
      <c r="OYZ102" s="162"/>
      <c r="OZA102" s="162"/>
      <c r="OZB102" s="162"/>
      <c r="OZC102" s="162"/>
      <c r="OZD102" s="162"/>
      <c r="OZE102" s="162"/>
      <c r="OZF102" s="162"/>
      <c r="OZG102" s="162"/>
      <c r="OZH102" s="162"/>
      <c r="OZI102" s="162"/>
      <c r="OZJ102" s="162"/>
      <c r="OZK102" s="162"/>
      <c r="OZL102" s="162"/>
      <c r="OZM102" s="162"/>
      <c r="OZN102" s="162"/>
      <c r="OZO102" s="162"/>
      <c r="OZP102" s="162"/>
      <c r="OZQ102" s="162"/>
      <c r="OZR102" s="162"/>
      <c r="OZS102" s="162"/>
      <c r="OZT102" s="162"/>
      <c r="OZU102" s="162"/>
      <c r="OZV102" s="162"/>
      <c r="OZW102" s="162"/>
      <c r="OZX102" s="162"/>
      <c r="OZY102" s="162"/>
      <c r="OZZ102" s="162"/>
      <c r="PAA102" s="162"/>
      <c r="PAB102" s="162"/>
      <c r="PAC102" s="162"/>
      <c r="PAD102" s="162"/>
      <c r="PAE102" s="162"/>
      <c r="PAF102" s="162"/>
      <c r="PAG102" s="162"/>
      <c r="PAH102" s="162"/>
      <c r="PAI102" s="162"/>
      <c r="PAJ102" s="162"/>
      <c r="PAK102" s="162"/>
      <c r="PAL102" s="162"/>
      <c r="PAM102" s="162"/>
      <c r="PAN102" s="162"/>
      <c r="PAO102" s="162"/>
      <c r="PAP102" s="162"/>
      <c r="PAQ102" s="162"/>
      <c r="PAR102" s="162"/>
      <c r="PAS102" s="162"/>
      <c r="PAT102" s="162"/>
      <c r="PAU102" s="162"/>
      <c r="PAV102" s="162"/>
      <c r="PAW102" s="162"/>
      <c r="PAX102" s="162"/>
      <c r="PAY102" s="162"/>
      <c r="PAZ102" s="162"/>
      <c r="PBA102" s="162"/>
      <c r="PBB102" s="162"/>
      <c r="PBC102" s="162"/>
      <c r="PBD102" s="162"/>
      <c r="PBE102" s="162"/>
      <c r="PBF102" s="162"/>
      <c r="PBG102" s="162"/>
      <c r="PBH102" s="162"/>
      <c r="PBI102" s="162"/>
      <c r="PBJ102" s="162"/>
      <c r="PBK102" s="162"/>
      <c r="PBL102" s="162"/>
      <c r="PBM102" s="162"/>
      <c r="PBN102" s="162"/>
      <c r="PBO102" s="162"/>
      <c r="PBP102" s="162"/>
      <c r="PBQ102" s="162"/>
      <c r="PBR102" s="162"/>
      <c r="PBS102" s="162"/>
      <c r="PBT102" s="162"/>
      <c r="PBU102" s="162"/>
      <c r="PBV102" s="162"/>
      <c r="PBW102" s="162"/>
      <c r="PBX102" s="162"/>
      <c r="PBY102" s="162"/>
      <c r="PBZ102" s="162"/>
      <c r="PCA102" s="162"/>
      <c r="PCB102" s="162"/>
      <c r="PCC102" s="162"/>
      <c r="PCD102" s="162"/>
      <c r="PCE102" s="162"/>
      <c r="PCF102" s="162"/>
      <c r="PCG102" s="162"/>
      <c r="PCH102" s="162"/>
      <c r="PCI102" s="162"/>
      <c r="PCJ102" s="162"/>
      <c r="PCK102" s="162"/>
      <c r="PCL102" s="162"/>
      <c r="PCM102" s="162"/>
      <c r="PCN102" s="162"/>
      <c r="PCO102" s="162"/>
      <c r="PCP102" s="162"/>
      <c r="PCQ102" s="162"/>
      <c r="PCR102" s="162"/>
      <c r="PCS102" s="162"/>
      <c r="PCT102" s="162"/>
      <c r="PCU102" s="162"/>
      <c r="PCV102" s="162"/>
      <c r="PCW102" s="162"/>
      <c r="PCX102" s="162"/>
      <c r="PCY102" s="162"/>
      <c r="PCZ102" s="162"/>
      <c r="PDA102" s="162"/>
      <c r="PDB102" s="162"/>
      <c r="PDC102" s="162"/>
      <c r="PDD102" s="162"/>
      <c r="PDE102" s="162"/>
      <c r="PDF102" s="162"/>
      <c r="PDG102" s="162"/>
      <c r="PDH102" s="162"/>
      <c r="PDI102" s="162"/>
      <c r="PDJ102" s="162"/>
      <c r="PDK102" s="162"/>
      <c r="PDL102" s="162"/>
      <c r="PDM102" s="162"/>
      <c r="PDN102" s="162"/>
      <c r="PDO102" s="162"/>
      <c r="PDP102" s="162"/>
      <c r="PDQ102" s="162"/>
      <c r="PDR102" s="162"/>
      <c r="PDS102" s="162"/>
      <c r="PDT102" s="162"/>
      <c r="PDU102" s="162"/>
      <c r="PDV102" s="162"/>
      <c r="PDW102" s="162"/>
      <c r="PDX102" s="162"/>
      <c r="PDY102" s="162"/>
      <c r="PDZ102" s="162"/>
      <c r="PEA102" s="162"/>
      <c r="PEB102" s="162"/>
      <c r="PEC102" s="162"/>
      <c r="PED102" s="162"/>
      <c r="PEE102" s="162"/>
      <c r="PEF102" s="162"/>
      <c r="PEG102" s="162"/>
      <c r="PEH102" s="162"/>
      <c r="PEI102" s="162"/>
      <c r="PEJ102" s="162"/>
      <c r="PEK102" s="162"/>
      <c r="PEL102" s="162"/>
      <c r="PEM102" s="162"/>
      <c r="PEN102" s="162"/>
      <c r="PEO102" s="162"/>
      <c r="PEP102" s="162"/>
      <c r="PEQ102" s="162"/>
      <c r="PER102" s="162"/>
      <c r="PES102" s="162"/>
      <c r="PET102" s="162"/>
      <c r="PEU102" s="162"/>
      <c r="PEV102" s="162"/>
      <c r="PEW102" s="162"/>
      <c r="PEX102" s="162"/>
      <c r="PEY102" s="162"/>
      <c r="PEZ102" s="162"/>
      <c r="PFA102" s="162"/>
      <c r="PFB102" s="162"/>
      <c r="PFC102" s="162"/>
      <c r="PFD102" s="162"/>
      <c r="PFE102" s="162"/>
      <c r="PFF102" s="162"/>
      <c r="PFG102" s="162"/>
      <c r="PFH102" s="162"/>
      <c r="PFI102" s="162"/>
      <c r="PFJ102" s="162"/>
      <c r="PFK102" s="162"/>
      <c r="PFL102" s="162"/>
      <c r="PFM102" s="162"/>
      <c r="PFN102" s="162"/>
      <c r="PFO102" s="162"/>
      <c r="PFP102" s="162"/>
      <c r="PFQ102" s="162"/>
      <c r="PFR102" s="162"/>
      <c r="PFS102" s="162"/>
      <c r="PFT102" s="162"/>
      <c r="PFU102" s="162"/>
      <c r="PFV102" s="162"/>
      <c r="PFW102" s="162"/>
      <c r="PFX102" s="162"/>
      <c r="PFY102" s="162"/>
      <c r="PFZ102" s="162"/>
      <c r="PGA102" s="162"/>
      <c r="PGB102" s="162"/>
      <c r="PGC102" s="162"/>
      <c r="PGD102" s="162"/>
      <c r="PGE102" s="162"/>
      <c r="PGF102" s="162"/>
      <c r="PGG102" s="162"/>
      <c r="PGH102" s="162"/>
      <c r="PGI102" s="162"/>
      <c r="PGJ102" s="162"/>
      <c r="PGK102" s="162"/>
      <c r="PGL102" s="162"/>
      <c r="PGM102" s="162"/>
      <c r="PGN102" s="162"/>
      <c r="PGO102" s="162"/>
      <c r="PGP102" s="162"/>
      <c r="PGQ102" s="162"/>
      <c r="PGR102" s="162"/>
      <c r="PGS102" s="162"/>
      <c r="PGT102" s="162"/>
      <c r="PGU102" s="162"/>
      <c r="PGV102" s="162"/>
      <c r="PGW102" s="162"/>
      <c r="PGX102" s="162"/>
      <c r="PGY102" s="162"/>
      <c r="PGZ102" s="162"/>
      <c r="PHA102" s="162"/>
      <c r="PHB102" s="162"/>
      <c r="PHC102" s="162"/>
      <c r="PHD102" s="162"/>
      <c r="PHE102" s="162"/>
      <c r="PHF102" s="162"/>
      <c r="PHG102" s="162"/>
      <c r="PHH102" s="162"/>
      <c r="PHI102" s="162"/>
      <c r="PHJ102" s="162"/>
      <c r="PHK102" s="162"/>
      <c r="PHL102" s="162"/>
      <c r="PHM102" s="162"/>
      <c r="PHN102" s="162"/>
      <c r="PHO102" s="162"/>
      <c r="PHP102" s="162"/>
      <c r="PHQ102" s="162"/>
      <c r="PHR102" s="162"/>
      <c r="PHS102" s="162"/>
      <c r="PHT102" s="162"/>
      <c r="PHU102" s="162"/>
      <c r="PHV102" s="162"/>
      <c r="PHW102" s="162"/>
      <c r="PHX102" s="162"/>
      <c r="PHY102" s="162"/>
      <c r="PHZ102" s="162"/>
      <c r="PIA102" s="162"/>
      <c r="PIB102" s="162"/>
      <c r="PIC102" s="162"/>
      <c r="PID102" s="162"/>
      <c r="PIE102" s="162"/>
      <c r="PIF102" s="162"/>
      <c r="PIG102" s="162"/>
      <c r="PIH102" s="162"/>
      <c r="PII102" s="162"/>
      <c r="PIJ102" s="162"/>
      <c r="PIK102" s="162"/>
      <c r="PIL102" s="162"/>
      <c r="PIM102" s="162"/>
      <c r="PIN102" s="162"/>
      <c r="PIO102" s="162"/>
      <c r="PIP102" s="162"/>
      <c r="PIQ102" s="162"/>
      <c r="PIR102" s="162"/>
      <c r="PIS102" s="162"/>
      <c r="PIT102" s="162"/>
      <c r="PIU102" s="162"/>
      <c r="PIV102" s="162"/>
      <c r="PIW102" s="162"/>
      <c r="PIX102" s="162"/>
      <c r="PIY102" s="162"/>
      <c r="PIZ102" s="162"/>
      <c r="PJA102" s="162"/>
      <c r="PJB102" s="162"/>
      <c r="PJC102" s="162"/>
      <c r="PJD102" s="162"/>
      <c r="PJE102" s="162"/>
      <c r="PJF102" s="162"/>
      <c r="PJG102" s="162"/>
      <c r="PJH102" s="162"/>
      <c r="PJI102" s="162"/>
      <c r="PJJ102" s="162"/>
      <c r="PJK102" s="162"/>
      <c r="PJL102" s="162"/>
      <c r="PJM102" s="162"/>
      <c r="PJN102" s="162"/>
      <c r="PJO102" s="162"/>
      <c r="PJP102" s="162"/>
      <c r="PJQ102" s="162"/>
      <c r="PJR102" s="162"/>
      <c r="PJS102" s="162"/>
      <c r="PJT102" s="162"/>
      <c r="PJU102" s="162"/>
      <c r="PJV102" s="162"/>
      <c r="PJW102" s="162"/>
      <c r="PJX102" s="162"/>
      <c r="PJY102" s="162"/>
      <c r="PJZ102" s="162"/>
      <c r="PKA102" s="162"/>
      <c r="PKB102" s="162"/>
      <c r="PKC102" s="162"/>
      <c r="PKD102" s="162"/>
      <c r="PKE102" s="162"/>
      <c r="PKF102" s="162"/>
      <c r="PKG102" s="162"/>
      <c r="PKH102" s="162"/>
      <c r="PKI102" s="162"/>
      <c r="PKJ102" s="162"/>
      <c r="PKK102" s="162"/>
      <c r="PKL102" s="162"/>
      <c r="PKM102" s="162"/>
      <c r="PKN102" s="162"/>
      <c r="PKO102" s="162"/>
      <c r="PKP102" s="162"/>
      <c r="PKQ102" s="162"/>
      <c r="PKR102" s="162"/>
      <c r="PKS102" s="162"/>
      <c r="PKT102" s="162"/>
      <c r="PKU102" s="162"/>
      <c r="PKV102" s="162"/>
      <c r="PKW102" s="162"/>
      <c r="PKX102" s="162"/>
      <c r="PKY102" s="162"/>
      <c r="PKZ102" s="162"/>
      <c r="PLA102" s="162"/>
      <c r="PLB102" s="162"/>
      <c r="PLC102" s="162"/>
      <c r="PLD102" s="162"/>
      <c r="PLE102" s="162"/>
      <c r="PLF102" s="162"/>
      <c r="PLG102" s="162"/>
      <c r="PLH102" s="162"/>
      <c r="PLI102" s="162"/>
      <c r="PLJ102" s="162"/>
      <c r="PLK102" s="162"/>
      <c r="PLL102" s="162"/>
      <c r="PLM102" s="162"/>
      <c r="PLN102" s="162"/>
      <c r="PLO102" s="162"/>
      <c r="PLP102" s="162"/>
      <c r="PLQ102" s="162"/>
      <c r="PLR102" s="162"/>
      <c r="PLS102" s="162"/>
      <c r="PLT102" s="162"/>
      <c r="PLU102" s="162"/>
      <c r="PLV102" s="162"/>
      <c r="PLW102" s="162"/>
      <c r="PLX102" s="162"/>
      <c r="PLY102" s="162"/>
      <c r="PLZ102" s="162"/>
      <c r="PMA102" s="162"/>
      <c r="PMB102" s="162"/>
      <c r="PMC102" s="162"/>
      <c r="PMD102" s="162"/>
      <c r="PME102" s="162"/>
      <c r="PMF102" s="162"/>
      <c r="PMG102" s="162"/>
      <c r="PMH102" s="162"/>
      <c r="PMI102" s="162"/>
      <c r="PMJ102" s="162"/>
      <c r="PMK102" s="162"/>
      <c r="PML102" s="162"/>
      <c r="PMM102" s="162"/>
      <c r="PMN102" s="162"/>
      <c r="PMO102" s="162"/>
      <c r="PMP102" s="162"/>
      <c r="PMQ102" s="162"/>
      <c r="PMR102" s="162"/>
      <c r="PMS102" s="162"/>
      <c r="PMT102" s="162"/>
      <c r="PMU102" s="162"/>
      <c r="PMV102" s="162"/>
      <c r="PMW102" s="162"/>
      <c r="PMX102" s="162"/>
      <c r="PMY102" s="162"/>
      <c r="PMZ102" s="162"/>
      <c r="PNA102" s="162"/>
      <c r="PNB102" s="162"/>
      <c r="PNC102" s="162"/>
      <c r="PND102" s="162"/>
      <c r="PNE102" s="162"/>
      <c r="PNF102" s="162"/>
      <c r="PNG102" s="162"/>
      <c r="PNH102" s="162"/>
      <c r="PNI102" s="162"/>
      <c r="PNJ102" s="162"/>
      <c r="PNK102" s="162"/>
      <c r="PNL102" s="162"/>
      <c r="PNM102" s="162"/>
      <c r="PNN102" s="162"/>
      <c r="PNO102" s="162"/>
      <c r="PNP102" s="162"/>
      <c r="PNQ102" s="162"/>
      <c r="PNR102" s="162"/>
      <c r="PNS102" s="162"/>
      <c r="PNT102" s="162"/>
      <c r="PNU102" s="162"/>
      <c r="PNV102" s="162"/>
      <c r="PNW102" s="162"/>
      <c r="PNX102" s="162"/>
      <c r="PNY102" s="162"/>
      <c r="PNZ102" s="162"/>
      <c r="POA102" s="162"/>
      <c r="POB102" s="162"/>
      <c r="POC102" s="162"/>
      <c r="POD102" s="162"/>
      <c r="POE102" s="162"/>
      <c r="POF102" s="162"/>
      <c r="POG102" s="162"/>
      <c r="POH102" s="162"/>
      <c r="POI102" s="162"/>
      <c r="POJ102" s="162"/>
      <c r="POK102" s="162"/>
      <c r="POL102" s="162"/>
      <c r="POM102" s="162"/>
      <c r="PON102" s="162"/>
      <c r="POO102" s="162"/>
      <c r="POP102" s="162"/>
      <c r="POQ102" s="162"/>
      <c r="POR102" s="162"/>
      <c r="POS102" s="162"/>
      <c r="POT102" s="162"/>
      <c r="POU102" s="162"/>
      <c r="POV102" s="162"/>
      <c r="POW102" s="162"/>
      <c r="POX102" s="162"/>
      <c r="POY102" s="162"/>
      <c r="POZ102" s="162"/>
      <c r="PPA102" s="162"/>
      <c r="PPB102" s="162"/>
      <c r="PPC102" s="162"/>
      <c r="PPD102" s="162"/>
      <c r="PPE102" s="162"/>
      <c r="PPF102" s="162"/>
      <c r="PPG102" s="162"/>
      <c r="PPH102" s="162"/>
      <c r="PPI102" s="162"/>
      <c r="PPJ102" s="162"/>
      <c r="PPK102" s="162"/>
      <c r="PPL102" s="162"/>
      <c r="PPM102" s="162"/>
      <c r="PPN102" s="162"/>
      <c r="PPO102" s="162"/>
      <c r="PPP102" s="162"/>
      <c r="PPQ102" s="162"/>
      <c r="PPR102" s="162"/>
      <c r="PPS102" s="162"/>
      <c r="PPT102" s="162"/>
      <c r="PPU102" s="162"/>
      <c r="PPV102" s="162"/>
      <c r="PPW102" s="162"/>
      <c r="PPX102" s="162"/>
      <c r="PPY102" s="162"/>
      <c r="PPZ102" s="162"/>
      <c r="PQA102" s="162"/>
      <c r="PQB102" s="162"/>
      <c r="PQC102" s="162"/>
      <c r="PQD102" s="162"/>
      <c r="PQE102" s="162"/>
      <c r="PQF102" s="162"/>
      <c r="PQG102" s="162"/>
      <c r="PQH102" s="162"/>
      <c r="PQI102" s="162"/>
      <c r="PQJ102" s="162"/>
      <c r="PQK102" s="162"/>
      <c r="PQL102" s="162"/>
      <c r="PQM102" s="162"/>
      <c r="PQN102" s="162"/>
      <c r="PQO102" s="162"/>
      <c r="PQP102" s="162"/>
      <c r="PQQ102" s="162"/>
      <c r="PQR102" s="162"/>
      <c r="PQS102" s="162"/>
      <c r="PQT102" s="162"/>
      <c r="PQU102" s="162"/>
      <c r="PQV102" s="162"/>
      <c r="PQW102" s="162"/>
      <c r="PQX102" s="162"/>
      <c r="PQY102" s="162"/>
      <c r="PQZ102" s="162"/>
      <c r="PRA102" s="162"/>
      <c r="PRB102" s="162"/>
      <c r="PRC102" s="162"/>
      <c r="PRD102" s="162"/>
      <c r="PRE102" s="162"/>
      <c r="PRF102" s="162"/>
      <c r="PRG102" s="162"/>
      <c r="PRH102" s="162"/>
      <c r="PRI102" s="162"/>
      <c r="PRJ102" s="162"/>
      <c r="PRK102" s="162"/>
      <c r="PRL102" s="162"/>
      <c r="PRM102" s="162"/>
      <c r="PRN102" s="162"/>
      <c r="PRO102" s="162"/>
      <c r="PRP102" s="162"/>
      <c r="PRQ102" s="162"/>
      <c r="PRR102" s="162"/>
      <c r="PRS102" s="162"/>
      <c r="PRT102" s="162"/>
      <c r="PRU102" s="162"/>
      <c r="PRV102" s="162"/>
      <c r="PRW102" s="162"/>
      <c r="PRX102" s="162"/>
      <c r="PRY102" s="162"/>
      <c r="PRZ102" s="162"/>
      <c r="PSA102" s="162"/>
      <c r="PSB102" s="162"/>
      <c r="PSC102" s="162"/>
      <c r="PSD102" s="162"/>
      <c r="PSE102" s="162"/>
      <c r="PSF102" s="162"/>
      <c r="PSG102" s="162"/>
      <c r="PSH102" s="162"/>
      <c r="PSI102" s="162"/>
      <c r="PSJ102" s="162"/>
      <c r="PSK102" s="162"/>
      <c r="PSL102" s="162"/>
      <c r="PSM102" s="162"/>
      <c r="PSN102" s="162"/>
      <c r="PSO102" s="162"/>
      <c r="PSP102" s="162"/>
      <c r="PSQ102" s="162"/>
      <c r="PSR102" s="162"/>
      <c r="PSS102" s="162"/>
      <c r="PST102" s="162"/>
      <c r="PSU102" s="162"/>
      <c r="PSV102" s="162"/>
      <c r="PSW102" s="162"/>
      <c r="PSX102" s="162"/>
      <c r="PSY102" s="162"/>
      <c r="PSZ102" s="162"/>
      <c r="PTA102" s="162"/>
      <c r="PTB102" s="162"/>
      <c r="PTC102" s="162"/>
      <c r="PTD102" s="162"/>
      <c r="PTE102" s="162"/>
      <c r="PTF102" s="162"/>
      <c r="PTG102" s="162"/>
      <c r="PTH102" s="162"/>
      <c r="PTI102" s="162"/>
      <c r="PTJ102" s="162"/>
      <c r="PTK102" s="162"/>
      <c r="PTL102" s="162"/>
      <c r="PTM102" s="162"/>
      <c r="PTN102" s="162"/>
      <c r="PTO102" s="162"/>
      <c r="PTP102" s="162"/>
      <c r="PTQ102" s="162"/>
      <c r="PTR102" s="162"/>
      <c r="PTS102" s="162"/>
      <c r="PTT102" s="162"/>
      <c r="PTU102" s="162"/>
      <c r="PTV102" s="162"/>
      <c r="PTW102" s="162"/>
      <c r="PTX102" s="162"/>
      <c r="PTY102" s="162"/>
      <c r="PTZ102" s="162"/>
      <c r="PUA102" s="162"/>
      <c r="PUB102" s="162"/>
      <c r="PUC102" s="162"/>
      <c r="PUD102" s="162"/>
      <c r="PUE102" s="162"/>
      <c r="PUF102" s="162"/>
      <c r="PUG102" s="162"/>
      <c r="PUH102" s="162"/>
      <c r="PUI102" s="162"/>
      <c r="PUJ102" s="162"/>
      <c r="PUK102" s="162"/>
      <c r="PUL102" s="162"/>
      <c r="PUM102" s="162"/>
      <c r="PUN102" s="162"/>
      <c r="PUO102" s="162"/>
      <c r="PUP102" s="162"/>
      <c r="PUQ102" s="162"/>
      <c r="PUR102" s="162"/>
      <c r="PUS102" s="162"/>
      <c r="PUT102" s="162"/>
      <c r="PUU102" s="162"/>
      <c r="PUV102" s="162"/>
      <c r="PUW102" s="162"/>
      <c r="PUX102" s="162"/>
      <c r="PUY102" s="162"/>
      <c r="PUZ102" s="162"/>
      <c r="PVA102" s="162"/>
      <c r="PVB102" s="162"/>
      <c r="PVC102" s="162"/>
      <c r="PVD102" s="162"/>
      <c r="PVE102" s="162"/>
      <c r="PVF102" s="162"/>
      <c r="PVG102" s="162"/>
      <c r="PVH102" s="162"/>
      <c r="PVI102" s="162"/>
      <c r="PVJ102" s="162"/>
      <c r="PVK102" s="162"/>
      <c r="PVL102" s="162"/>
      <c r="PVM102" s="162"/>
      <c r="PVN102" s="162"/>
      <c r="PVO102" s="162"/>
      <c r="PVP102" s="162"/>
      <c r="PVQ102" s="162"/>
      <c r="PVR102" s="162"/>
      <c r="PVS102" s="162"/>
      <c r="PVT102" s="162"/>
      <c r="PVU102" s="162"/>
      <c r="PVV102" s="162"/>
      <c r="PVW102" s="162"/>
      <c r="PVX102" s="162"/>
      <c r="PVY102" s="162"/>
      <c r="PVZ102" s="162"/>
      <c r="PWA102" s="162"/>
      <c r="PWB102" s="162"/>
      <c r="PWC102" s="162"/>
      <c r="PWD102" s="162"/>
      <c r="PWE102" s="162"/>
      <c r="PWF102" s="162"/>
      <c r="PWG102" s="162"/>
      <c r="PWH102" s="162"/>
      <c r="PWI102" s="162"/>
      <c r="PWJ102" s="162"/>
      <c r="PWK102" s="162"/>
      <c r="PWL102" s="162"/>
      <c r="PWM102" s="162"/>
      <c r="PWN102" s="162"/>
      <c r="PWO102" s="162"/>
      <c r="PWP102" s="162"/>
      <c r="PWQ102" s="162"/>
      <c r="PWR102" s="162"/>
      <c r="PWS102" s="162"/>
      <c r="PWT102" s="162"/>
      <c r="PWU102" s="162"/>
      <c r="PWV102" s="162"/>
      <c r="PWW102" s="162"/>
      <c r="PWX102" s="162"/>
      <c r="PWY102" s="162"/>
      <c r="PWZ102" s="162"/>
      <c r="PXA102" s="162"/>
      <c r="PXB102" s="162"/>
      <c r="PXC102" s="162"/>
      <c r="PXD102" s="162"/>
      <c r="PXE102" s="162"/>
      <c r="PXF102" s="162"/>
      <c r="PXG102" s="162"/>
      <c r="PXH102" s="162"/>
      <c r="PXI102" s="162"/>
      <c r="PXJ102" s="162"/>
      <c r="PXK102" s="162"/>
      <c r="PXL102" s="162"/>
      <c r="PXM102" s="162"/>
      <c r="PXN102" s="162"/>
      <c r="PXO102" s="162"/>
      <c r="PXP102" s="162"/>
      <c r="PXQ102" s="162"/>
      <c r="PXR102" s="162"/>
      <c r="PXS102" s="162"/>
      <c r="PXT102" s="162"/>
      <c r="PXU102" s="162"/>
      <c r="PXV102" s="162"/>
      <c r="PXW102" s="162"/>
      <c r="PXX102" s="162"/>
      <c r="PXY102" s="162"/>
      <c r="PXZ102" s="162"/>
      <c r="PYA102" s="162"/>
      <c r="PYB102" s="162"/>
      <c r="PYC102" s="162"/>
      <c r="PYD102" s="162"/>
      <c r="PYE102" s="162"/>
      <c r="PYF102" s="162"/>
      <c r="PYG102" s="162"/>
      <c r="PYH102" s="162"/>
      <c r="PYI102" s="162"/>
      <c r="PYJ102" s="162"/>
      <c r="PYK102" s="162"/>
      <c r="PYL102" s="162"/>
      <c r="PYM102" s="162"/>
      <c r="PYN102" s="162"/>
      <c r="PYO102" s="162"/>
      <c r="PYP102" s="162"/>
      <c r="PYQ102" s="162"/>
      <c r="PYR102" s="162"/>
      <c r="PYS102" s="162"/>
      <c r="PYT102" s="162"/>
      <c r="PYU102" s="162"/>
      <c r="PYV102" s="162"/>
      <c r="PYW102" s="162"/>
      <c r="PYX102" s="162"/>
      <c r="PYY102" s="162"/>
      <c r="PYZ102" s="162"/>
      <c r="PZA102" s="162"/>
      <c r="PZB102" s="162"/>
      <c r="PZC102" s="162"/>
      <c r="PZD102" s="162"/>
      <c r="PZE102" s="162"/>
      <c r="PZF102" s="162"/>
      <c r="PZG102" s="162"/>
      <c r="PZH102" s="162"/>
      <c r="PZI102" s="162"/>
      <c r="PZJ102" s="162"/>
      <c r="PZK102" s="162"/>
      <c r="PZL102" s="162"/>
      <c r="PZM102" s="162"/>
      <c r="PZN102" s="162"/>
      <c r="PZO102" s="162"/>
      <c r="PZP102" s="162"/>
      <c r="PZQ102" s="162"/>
      <c r="PZR102" s="162"/>
      <c r="PZS102" s="162"/>
      <c r="PZT102" s="162"/>
      <c r="PZU102" s="162"/>
      <c r="PZV102" s="162"/>
      <c r="PZW102" s="162"/>
      <c r="PZX102" s="162"/>
      <c r="PZY102" s="162"/>
      <c r="PZZ102" s="162"/>
      <c r="QAA102" s="162"/>
      <c r="QAB102" s="162"/>
      <c r="QAC102" s="162"/>
      <c r="QAD102" s="162"/>
      <c r="QAE102" s="162"/>
      <c r="QAF102" s="162"/>
      <c r="QAG102" s="162"/>
      <c r="QAH102" s="162"/>
      <c r="QAI102" s="162"/>
      <c r="QAJ102" s="162"/>
      <c r="QAK102" s="162"/>
      <c r="QAL102" s="162"/>
      <c r="QAM102" s="162"/>
      <c r="QAN102" s="162"/>
      <c r="QAO102" s="162"/>
      <c r="QAP102" s="162"/>
      <c r="QAQ102" s="162"/>
      <c r="QAR102" s="162"/>
      <c r="QAS102" s="162"/>
      <c r="QAT102" s="162"/>
      <c r="QAU102" s="162"/>
      <c r="QAV102" s="162"/>
      <c r="QAW102" s="162"/>
      <c r="QAX102" s="162"/>
      <c r="QAY102" s="162"/>
      <c r="QAZ102" s="162"/>
      <c r="QBA102" s="162"/>
      <c r="QBB102" s="162"/>
      <c r="QBC102" s="162"/>
      <c r="QBD102" s="162"/>
      <c r="QBE102" s="162"/>
      <c r="QBF102" s="162"/>
      <c r="QBG102" s="162"/>
      <c r="QBH102" s="162"/>
      <c r="QBI102" s="162"/>
      <c r="QBJ102" s="162"/>
      <c r="QBK102" s="162"/>
      <c r="QBL102" s="162"/>
      <c r="QBM102" s="162"/>
      <c r="QBN102" s="162"/>
      <c r="QBO102" s="162"/>
      <c r="QBP102" s="162"/>
      <c r="QBQ102" s="162"/>
      <c r="QBR102" s="162"/>
      <c r="QBS102" s="162"/>
      <c r="QBT102" s="162"/>
      <c r="QBU102" s="162"/>
      <c r="QBV102" s="162"/>
      <c r="QBW102" s="162"/>
      <c r="QBX102" s="162"/>
      <c r="QBY102" s="162"/>
      <c r="QBZ102" s="162"/>
      <c r="QCA102" s="162"/>
      <c r="QCB102" s="162"/>
      <c r="QCC102" s="162"/>
      <c r="QCD102" s="162"/>
      <c r="QCE102" s="162"/>
      <c r="QCF102" s="162"/>
      <c r="QCG102" s="162"/>
      <c r="QCH102" s="162"/>
      <c r="QCI102" s="162"/>
      <c r="QCJ102" s="162"/>
      <c r="QCK102" s="162"/>
      <c r="QCL102" s="162"/>
      <c r="QCM102" s="162"/>
      <c r="QCN102" s="162"/>
      <c r="QCO102" s="162"/>
      <c r="QCP102" s="162"/>
      <c r="QCQ102" s="162"/>
      <c r="QCR102" s="162"/>
      <c r="QCS102" s="162"/>
      <c r="QCT102" s="162"/>
      <c r="QCU102" s="162"/>
      <c r="QCV102" s="162"/>
      <c r="QCW102" s="162"/>
      <c r="QCX102" s="162"/>
      <c r="QCY102" s="162"/>
      <c r="QCZ102" s="162"/>
      <c r="QDA102" s="162"/>
      <c r="QDB102" s="162"/>
      <c r="QDC102" s="162"/>
      <c r="QDD102" s="162"/>
      <c r="QDE102" s="162"/>
      <c r="QDF102" s="162"/>
      <c r="QDG102" s="162"/>
      <c r="QDH102" s="162"/>
      <c r="QDI102" s="162"/>
      <c r="QDJ102" s="162"/>
      <c r="QDK102" s="162"/>
      <c r="QDL102" s="162"/>
      <c r="QDM102" s="162"/>
      <c r="QDN102" s="162"/>
      <c r="QDO102" s="162"/>
      <c r="QDP102" s="162"/>
      <c r="QDQ102" s="162"/>
      <c r="QDR102" s="162"/>
      <c r="QDS102" s="162"/>
      <c r="QDT102" s="162"/>
      <c r="QDU102" s="162"/>
      <c r="QDV102" s="162"/>
      <c r="QDW102" s="162"/>
      <c r="QDX102" s="162"/>
      <c r="QDY102" s="162"/>
      <c r="QDZ102" s="162"/>
      <c r="QEA102" s="162"/>
      <c r="QEB102" s="162"/>
      <c r="QEC102" s="162"/>
      <c r="QED102" s="162"/>
      <c r="QEE102" s="162"/>
      <c r="QEF102" s="162"/>
      <c r="QEG102" s="162"/>
      <c r="QEH102" s="162"/>
      <c r="QEI102" s="162"/>
      <c r="QEJ102" s="162"/>
      <c r="QEK102" s="162"/>
      <c r="QEL102" s="162"/>
      <c r="QEM102" s="162"/>
      <c r="QEN102" s="162"/>
      <c r="QEO102" s="162"/>
      <c r="QEP102" s="162"/>
      <c r="QEQ102" s="162"/>
      <c r="QER102" s="162"/>
      <c r="QES102" s="162"/>
      <c r="QET102" s="162"/>
      <c r="QEU102" s="162"/>
      <c r="QEV102" s="162"/>
      <c r="QEW102" s="162"/>
      <c r="QEX102" s="162"/>
      <c r="QEY102" s="162"/>
      <c r="QEZ102" s="162"/>
      <c r="QFA102" s="162"/>
      <c r="QFB102" s="162"/>
      <c r="QFC102" s="162"/>
      <c r="QFD102" s="162"/>
      <c r="QFE102" s="162"/>
      <c r="QFF102" s="162"/>
      <c r="QFG102" s="162"/>
      <c r="QFH102" s="162"/>
      <c r="QFI102" s="162"/>
      <c r="QFJ102" s="162"/>
      <c r="QFK102" s="162"/>
      <c r="QFL102" s="162"/>
      <c r="QFM102" s="162"/>
      <c r="QFN102" s="162"/>
      <c r="QFO102" s="162"/>
      <c r="QFP102" s="162"/>
      <c r="QFQ102" s="162"/>
      <c r="QFR102" s="162"/>
      <c r="QFS102" s="162"/>
      <c r="QFT102" s="162"/>
      <c r="QFU102" s="162"/>
      <c r="QFV102" s="162"/>
      <c r="QFW102" s="162"/>
      <c r="QFX102" s="162"/>
      <c r="QFY102" s="162"/>
      <c r="QFZ102" s="162"/>
      <c r="QGA102" s="162"/>
      <c r="QGB102" s="162"/>
      <c r="QGC102" s="162"/>
      <c r="QGD102" s="162"/>
      <c r="QGE102" s="162"/>
      <c r="QGF102" s="162"/>
      <c r="QGG102" s="162"/>
      <c r="QGH102" s="162"/>
      <c r="QGI102" s="162"/>
      <c r="QGJ102" s="162"/>
      <c r="QGK102" s="162"/>
      <c r="QGL102" s="162"/>
      <c r="QGM102" s="162"/>
      <c r="QGN102" s="162"/>
      <c r="QGO102" s="162"/>
      <c r="QGP102" s="162"/>
      <c r="QGQ102" s="162"/>
      <c r="QGR102" s="162"/>
      <c r="QGS102" s="162"/>
      <c r="QGT102" s="162"/>
      <c r="QGU102" s="162"/>
      <c r="QGV102" s="162"/>
      <c r="QGW102" s="162"/>
      <c r="QGX102" s="162"/>
      <c r="QGY102" s="162"/>
      <c r="QGZ102" s="162"/>
      <c r="QHA102" s="162"/>
      <c r="QHB102" s="162"/>
      <c r="QHC102" s="162"/>
      <c r="QHD102" s="162"/>
      <c r="QHE102" s="162"/>
      <c r="QHF102" s="162"/>
      <c r="QHG102" s="162"/>
      <c r="QHH102" s="162"/>
      <c r="QHI102" s="162"/>
      <c r="QHJ102" s="162"/>
      <c r="QHK102" s="162"/>
      <c r="QHL102" s="162"/>
      <c r="QHM102" s="162"/>
      <c r="QHN102" s="162"/>
      <c r="QHO102" s="162"/>
      <c r="QHP102" s="162"/>
      <c r="QHQ102" s="162"/>
      <c r="QHR102" s="162"/>
      <c r="QHS102" s="162"/>
      <c r="QHT102" s="162"/>
      <c r="QHU102" s="162"/>
      <c r="QHV102" s="162"/>
      <c r="QHW102" s="162"/>
      <c r="QHX102" s="162"/>
      <c r="QHY102" s="162"/>
      <c r="QHZ102" s="162"/>
      <c r="QIA102" s="162"/>
      <c r="QIB102" s="162"/>
      <c r="QIC102" s="162"/>
      <c r="QID102" s="162"/>
      <c r="QIE102" s="162"/>
      <c r="QIF102" s="162"/>
      <c r="QIG102" s="162"/>
      <c r="QIH102" s="162"/>
      <c r="QII102" s="162"/>
      <c r="QIJ102" s="162"/>
      <c r="QIK102" s="162"/>
      <c r="QIL102" s="162"/>
      <c r="QIM102" s="162"/>
      <c r="QIN102" s="162"/>
      <c r="QIO102" s="162"/>
      <c r="QIP102" s="162"/>
      <c r="QIQ102" s="162"/>
      <c r="QIR102" s="162"/>
      <c r="QIS102" s="162"/>
      <c r="QIT102" s="162"/>
      <c r="QIU102" s="162"/>
      <c r="QIV102" s="162"/>
      <c r="QIW102" s="162"/>
      <c r="QIX102" s="162"/>
      <c r="QIY102" s="162"/>
      <c r="QIZ102" s="162"/>
      <c r="QJA102" s="162"/>
      <c r="QJB102" s="162"/>
      <c r="QJC102" s="162"/>
      <c r="QJD102" s="162"/>
      <c r="QJE102" s="162"/>
      <c r="QJF102" s="162"/>
      <c r="QJG102" s="162"/>
      <c r="QJH102" s="162"/>
      <c r="QJI102" s="162"/>
      <c r="QJJ102" s="162"/>
      <c r="QJK102" s="162"/>
      <c r="QJL102" s="162"/>
      <c r="QJM102" s="162"/>
      <c r="QJN102" s="162"/>
      <c r="QJO102" s="162"/>
      <c r="QJP102" s="162"/>
      <c r="QJQ102" s="162"/>
      <c r="QJR102" s="162"/>
      <c r="QJS102" s="162"/>
      <c r="QJT102" s="162"/>
      <c r="QJU102" s="162"/>
      <c r="QJV102" s="162"/>
      <c r="QJW102" s="162"/>
      <c r="QJX102" s="162"/>
      <c r="QJY102" s="162"/>
      <c r="QJZ102" s="162"/>
      <c r="QKA102" s="162"/>
      <c r="QKB102" s="162"/>
      <c r="QKC102" s="162"/>
      <c r="QKD102" s="162"/>
      <c r="QKE102" s="162"/>
      <c r="QKF102" s="162"/>
      <c r="QKG102" s="162"/>
      <c r="QKH102" s="162"/>
      <c r="QKI102" s="162"/>
      <c r="QKJ102" s="162"/>
      <c r="QKK102" s="162"/>
      <c r="QKL102" s="162"/>
      <c r="QKM102" s="162"/>
      <c r="QKN102" s="162"/>
      <c r="QKO102" s="162"/>
      <c r="QKP102" s="162"/>
      <c r="QKQ102" s="162"/>
      <c r="QKR102" s="162"/>
      <c r="QKS102" s="162"/>
      <c r="QKT102" s="162"/>
      <c r="QKU102" s="162"/>
      <c r="QKV102" s="162"/>
      <c r="QKW102" s="162"/>
      <c r="QKX102" s="162"/>
      <c r="QKY102" s="162"/>
      <c r="QKZ102" s="162"/>
      <c r="QLA102" s="162"/>
      <c r="QLB102" s="162"/>
      <c r="QLC102" s="162"/>
      <c r="QLD102" s="162"/>
      <c r="QLE102" s="162"/>
      <c r="QLF102" s="162"/>
      <c r="QLG102" s="162"/>
      <c r="QLH102" s="162"/>
      <c r="QLI102" s="162"/>
      <c r="QLJ102" s="162"/>
      <c r="QLK102" s="162"/>
      <c r="QLL102" s="162"/>
      <c r="QLM102" s="162"/>
      <c r="QLN102" s="162"/>
      <c r="QLO102" s="162"/>
      <c r="QLP102" s="162"/>
      <c r="QLQ102" s="162"/>
      <c r="QLR102" s="162"/>
      <c r="QLS102" s="162"/>
      <c r="QLT102" s="162"/>
      <c r="QLU102" s="162"/>
      <c r="QLV102" s="162"/>
      <c r="QLW102" s="162"/>
      <c r="QLX102" s="162"/>
      <c r="QLY102" s="162"/>
      <c r="QLZ102" s="162"/>
      <c r="QMA102" s="162"/>
      <c r="QMB102" s="162"/>
      <c r="QMC102" s="162"/>
      <c r="QMD102" s="162"/>
      <c r="QME102" s="162"/>
      <c r="QMF102" s="162"/>
      <c r="QMG102" s="162"/>
      <c r="QMH102" s="162"/>
      <c r="QMI102" s="162"/>
      <c r="QMJ102" s="162"/>
      <c r="QMK102" s="162"/>
      <c r="QML102" s="162"/>
      <c r="QMM102" s="162"/>
      <c r="QMN102" s="162"/>
      <c r="QMO102" s="162"/>
      <c r="QMP102" s="162"/>
      <c r="QMQ102" s="162"/>
      <c r="QMR102" s="162"/>
      <c r="QMS102" s="162"/>
      <c r="QMT102" s="162"/>
      <c r="QMU102" s="162"/>
      <c r="QMV102" s="162"/>
      <c r="QMW102" s="162"/>
      <c r="QMX102" s="162"/>
      <c r="QMY102" s="162"/>
      <c r="QMZ102" s="162"/>
      <c r="QNA102" s="162"/>
      <c r="QNB102" s="162"/>
      <c r="QNC102" s="162"/>
      <c r="QND102" s="162"/>
      <c r="QNE102" s="162"/>
      <c r="QNF102" s="162"/>
      <c r="QNG102" s="162"/>
      <c r="QNH102" s="162"/>
      <c r="QNI102" s="162"/>
      <c r="QNJ102" s="162"/>
      <c r="QNK102" s="162"/>
      <c r="QNL102" s="162"/>
      <c r="QNM102" s="162"/>
      <c r="QNN102" s="162"/>
      <c r="QNO102" s="162"/>
      <c r="QNP102" s="162"/>
      <c r="QNQ102" s="162"/>
      <c r="QNR102" s="162"/>
      <c r="QNS102" s="162"/>
      <c r="QNT102" s="162"/>
      <c r="QNU102" s="162"/>
      <c r="QNV102" s="162"/>
      <c r="QNW102" s="162"/>
      <c r="QNX102" s="162"/>
      <c r="QNY102" s="162"/>
      <c r="QNZ102" s="162"/>
      <c r="QOA102" s="162"/>
      <c r="QOB102" s="162"/>
      <c r="QOC102" s="162"/>
      <c r="QOD102" s="162"/>
      <c r="QOE102" s="162"/>
      <c r="QOF102" s="162"/>
      <c r="QOG102" s="162"/>
      <c r="QOH102" s="162"/>
      <c r="QOI102" s="162"/>
      <c r="QOJ102" s="162"/>
      <c r="QOK102" s="162"/>
      <c r="QOL102" s="162"/>
      <c r="QOM102" s="162"/>
      <c r="QON102" s="162"/>
      <c r="QOO102" s="162"/>
      <c r="QOP102" s="162"/>
      <c r="QOQ102" s="162"/>
      <c r="QOR102" s="162"/>
      <c r="QOS102" s="162"/>
      <c r="QOT102" s="162"/>
      <c r="QOU102" s="162"/>
      <c r="QOV102" s="162"/>
      <c r="QOW102" s="162"/>
      <c r="QOX102" s="162"/>
      <c r="QOY102" s="162"/>
      <c r="QOZ102" s="162"/>
      <c r="QPA102" s="162"/>
      <c r="QPB102" s="162"/>
      <c r="QPC102" s="162"/>
      <c r="QPD102" s="162"/>
      <c r="QPE102" s="162"/>
      <c r="QPF102" s="162"/>
      <c r="QPG102" s="162"/>
      <c r="QPH102" s="162"/>
      <c r="QPI102" s="162"/>
      <c r="QPJ102" s="162"/>
      <c r="QPK102" s="162"/>
      <c r="QPL102" s="162"/>
      <c r="QPM102" s="162"/>
      <c r="QPN102" s="162"/>
      <c r="QPO102" s="162"/>
      <c r="QPP102" s="162"/>
      <c r="QPQ102" s="162"/>
      <c r="QPR102" s="162"/>
      <c r="QPS102" s="162"/>
      <c r="QPT102" s="162"/>
      <c r="QPU102" s="162"/>
      <c r="QPV102" s="162"/>
      <c r="QPW102" s="162"/>
      <c r="QPX102" s="162"/>
      <c r="QPY102" s="162"/>
      <c r="QPZ102" s="162"/>
      <c r="QQA102" s="162"/>
      <c r="QQB102" s="162"/>
      <c r="QQC102" s="162"/>
      <c r="QQD102" s="162"/>
      <c r="QQE102" s="162"/>
      <c r="QQF102" s="162"/>
      <c r="QQG102" s="162"/>
      <c r="QQH102" s="162"/>
      <c r="QQI102" s="162"/>
      <c r="QQJ102" s="162"/>
      <c r="QQK102" s="162"/>
      <c r="QQL102" s="162"/>
      <c r="QQM102" s="162"/>
      <c r="QQN102" s="162"/>
      <c r="QQO102" s="162"/>
      <c r="QQP102" s="162"/>
      <c r="QQQ102" s="162"/>
      <c r="QQR102" s="162"/>
      <c r="QQS102" s="162"/>
      <c r="QQT102" s="162"/>
      <c r="QQU102" s="162"/>
      <c r="QQV102" s="162"/>
      <c r="QQW102" s="162"/>
      <c r="QQX102" s="162"/>
      <c r="QQY102" s="162"/>
      <c r="QQZ102" s="162"/>
      <c r="QRA102" s="162"/>
      <c r="QRB102" s="162"/>
      <c r="QRC102" s="162"/>
      <c r="QRD102" s="162"/>
      <c r="QRE102" s="162"/>
      <c r="QRF102" s="162"/>
      <c r="QRG102" s="162"/>
      <c r="QRH102" s="162"/>
      <c r="QRI102" s="162"/>
      <c r="QRJ102" s="162"/>
      <c r="QRK102" s="162"/>
      <c r="QRL102" s="162"/>
      <c r="QRM102" s="162"/>
      <c r="QRN102" s="162"/>
      <c r="QRO102" s="162"/>
      <c r="QRP102" s="162"/>
      <c r="QRQ102" s="162"/>
      <c r="QRR102" s="162"/>
      <c r="QRS102" s="162"/>
      <c r="QRT102" s="162"/>
      <c r="QRU102" s="162"/>
      <c r="QRV102" s="162"/>
      <c r="QRW102" s="162"/>
      <c r="QRX102" s="162"/>
      <c r="QRY102" s="162"/>
      <c r="QRZ102" s="162"/>
      <c r="QSA102" s="162"/>
      <c r="QSB102" s="162"/>
      <c r="QSC102" s="162"/>
      <c r="QSD102" s="162"/>
      <c r="QSE102" s="162"/>
      <c r="QSF102" s="162"/>
      <c r="QSG102" s="162"/>
      <c r="QSH102" s="162"/>
      <c r="QSI102" s="162"/>
      <c r="QSJ102" s="162"/>
      <c r="QSK102" s="162"/>
      <c r="QSL102" s="162"/>
      <c r="QSM102" s="162"/>
      <c r="QSN102" s="162"/>
      <c r="QSO102" s="162"/>
      <c r="QSP102" s="162"/>
      <c r="QSQ102" s="162"/>
      <c r="QSR102" s="162"/>
      <c r="QSS102" s="162"/>
      <c r="QST102" s="162"/>
      <c r="QSU102" s="162"/>
      <c r="QSV102" s="162"/>
      <c r="QSW102" s="162"/>
      <c r="QSX102" s="162"/>
      <c r="QSY102" s="162"/>
      <c r="QSZ102" s="162"/>
      <c r="QTA102" s="162"/>
      <c r="QTB102" s="162"/>
      <c r="QTC102" s="162"/>
      <c r="QTD102" s="162"/>
      <c r="QTE102" s="162"/>
      <c r="QTF102" s="162"/>
      <c r="QTG102" s="162"/>
      <c r="QTH102" s="162"/>
      <c r="QTI102" s="162"/>
      <c r="QTJ102" s="162"/>
      <c r="QTK102" s="162"/>
      <c r="QTL102" s="162"/>
      <c r="QTM102" s="162"/>
      <c r="QTN102" s="162"/>
      <c r="QTO102" s="162"/>
      <c r="QTP102" s="162"/>
      <c r="QTQ102" s="162"/>
      <c r="QTR102" s="162"/>
      <c r="QTS102" s="162"/>
      <c r="QTT102" s="162"/>
      <c r="QTU102" s="162"/>
      <c r="QTV102" s="162"/>
      <c r="QTW102" s="162"/>
      <c r="QTX102" s="162"/>
      <c r="QTY102" s="162"/>
      <c r="QTZ102" s="162"/>
      <c r="QUA102" s="162"/>
      <c r="QUB102" s="162"/>
      <c r="QUC102" s="162"/>
      <c r="QUD102" s="162"/>
      <c r="QUE102" s="162"/>
      <c r="QUF102" s="162"/>
      <c r="QUG102" s="162"/>
      <c r="QUH102" s="162"/>
      <c r="QUI102" s="162"/>
      <c r="QUJ102" s="162"/>
      <c r="QUK102" s="162"/>
      <c r="QUL102" s="162"/>
      <c r="QUM102" s="162"/>
      <c r="QUN102" s="162"/>
      <c r="QUO102" s="162"/>
      <c r="QUP102" s="162"/>
      <c r="QUQ102" s="162"/>
      <c r="QUR102" s="162"/>
      <c r="QUS102" s="162"/>
      <c r="QUT102" s="162"/>
      <c r="QUU102" s="162"/>
      <c r="QUV102" s="162"/>
      <c r="QUW102" s="162"/>
      <c r="QUX102" s="162"/>
      <c r="QUY102" s="162"/>
      <c r="QUZ102" s="162"/>
      <c r="QVA102" s="162"/>
      <c r="QVB102" s="162"/>
      <c r="QVC102" s="162"/>
      <c r="QVD102" s="162"/>
      <c r="QVE102" s="162"/>
      <c r="QVF102" s="162"/>
      <c r="QVG102" s="162"/>
      <c r="QVH102" s="162"/>
      <c r="QVI102" s="162"/>
      <c r="QVJ102" s="162"/>
      <c r="QVK102" s="162"/>
      <c r="QVL102" s="162"/>
      <c r="QVM102" s="162"/>
      <c r="QVN102" s="162"/>
      <c r="QVO102" s="162"/>
      <c r="QVP102" s="162"/>
      <c r="QVQ102" s="162"/>
      <c r="QVR102" s="162"/>
      <c r="QVS102" s="162"/>
      <c r="QVT102" s="162"/>
      <c r="QVU102" s="162"/>
      <c r="QVV102" s="162"/>
      <c r="QVW102" s="162"/>
      <c r="QVX102" s="162"/>
      <c r="QVY102" s="162"/>
      <c r="QVZ102" s="162"/>
      <c r="QWA102" s="162"/>
      <c r="QWB102" s="162"/>
      <c r="QWC102" s="162"/>
      <c r="QWD102" s="162"/>
      <c r="QWE102" s="162"/>
      <c r="QWF102" s="162"/>
      <c r="QWG102" s="162"/>
      <c r="QWH102" s="162"/>
      <c r="QWI102" s="162"/>
      <c r="QWJ102" s="162"/>
      <c r="QWK102" s="162"/>
      <c r="QWL102" s="162"/>
      <c r="QWM102" s="162"/>
      <c r="QWN102" s="162"/>
      <c r="QWO102" s="162"/>
      <c r="QWP102" s="162"/>
      <c r="QWQ102" s="162"/>
      <c r="QWR102" s="162"/>
      <c r="QWS102" s="162"/>
      <c r="QWT102" s="162"/>
      <c r="QWU102" s="162"/>
      <c r="QWV102" s="162"/>
      <c r="QWW102" s="162"/>
      <c r="QWX102" s="162"/>
      <c r="QWY102" s="162"/>
      <c r="QWZ102" s="162"/>
      <c r="QXA102" s="162"/>
      <c r="QXB102" s="162"/>
      <c r="QXC102" s="162"/>
      <c r="QXD102" s="162"/>
      <c r="QXE102" s="162"/>
      <c r="QXF102" s="162"/>
      <c r="QXG102" s="162"/>
      <c r="QXH102" s="162"/>
      <c r="QXI102" s="162"/>
      <c r="QXJ102" s="162"/>
      <c r="QXK102" s="162"/>
      <c r="QXL102" s="162"/>
      <c r="QXM102" s="162"/>
      <c r="QXN102" s="162"/>
      <c r="QXO102" s="162"/>
      <c r="QXP102" s="162"/>
      <c r="QXQ102" s="162"/>
      <c r="QXR102" s="162"/>
      <c r="QXS102" s="162"/>
      <c r="QXT102" s="162"/>
      <c r="QXU102" s="162"/>
      <c r="QXV102" s="162"/>
      <c r="QXW102" s="162"/>
      <c r="QXX102" s="162"/>
      <c r="QXY102" s="162"/>
      <c r="QXZ102" s="162"/>
      <c r="QYA102" s="162"/>
      <c r="QYB102" s="162"/>
      <c r="QYC102" s="162"/>
      <c r="QYD102" s="162"/>
      <c r="QYE102" s="162"/>
      <c r="QYF102" s="162"/>
      <c r="QYG102" s="162"/>
      <c r="QYH102" s="162"/>
      <c r="QYI102" s="162"/>
      <c r="QYJ102" s="162"/>
      <c r="QYK102" s="162"/>
      <c r="QYL102" s="162"/>
      <c r="QYM102" s="162"/>
      <c r="QYN102" s="162"/>
      <c r="QYO102" s="162"/>
      <c r="QYP102" s="162"/>
      <c r="QYQ102" s="162"/>
      <c r="QYR102" s="162"/>
      <c r="QYS102" s="162"/>
      <c r="QYT102" s="162"/>
      <c r="QYU102" s="162"/>
      <c r="QYV102" s="162"/>
      <c r="QYW102" s="162"/>
      <c r="QYX102" s="162"/>
      <c r="QYY102" s="162"/>
      <c r="QYZ102" s="162"/>
      <c r="QZA102" s="162"/>
      <c r="QZB102" s="162"/>
      <c r="QZC102" s="162"/>
      <c r="QZD102" s="162"/>
      <c r="QZE102" s="162"/>
      <c r="QZF102" s="162"/>
      <c r="QZG102" s="162"/>
      <c r="QZH102" s="162"/>
      <c r="QZI102" s="162"/>
      <c r="QZJ102" s="162"/>
      <c r="QZK102" s="162"/>
      <c r="QZL102" s="162"/>
      <c r="QZM102" s="162"/>
      <c r="QZN102" s="162"/>
      <c r="QZO102" s="162"/>
      <c r="QZP102" s="162"/>
      <c r="QZQ102" s="162"/>
      <c r="QZR102" s="162"/>
      <c r="QZS102" s="162"/>
      <c r="QZT102" s="162"/>
      <c r="QZU102" s="162"/>
      <c r="QZV102" s="162"/>
      <c r="QZW102" s="162"/>
      <c r="QZX102" s="162"/>
      <c r="QZY102" s="162"/>
      <c r="QZZ102" s="162"/>
      <c r="RAA102" s="162"/>
      <c r="RAB102" s="162"/>
      <c r="RAC102" s="162"/>
      <c r="RAD102" s="162"/>
      <c r="RAE102" s="162"/>
      <c r="RAF102" s="162"/>
      <c r="RAG102" s="162"/>
      <c r="RAH102" s="162"/>
      <c r="RAI102" s="162"/>
      <c r="RAJ102" s="162"/>
      <c r="RAK102" s="162"/>
      <c r="RAL102" s="162"/>
      <c r="RAM102" s="162"/>
      <c r="RAN102" s="162"/>
      <c r="RAO102" s="162"/>
      <c r="RAP102" s="162"/>
      <c r="RAQ102" s="162"/>
      <c r="RAR102" s="162"/>
      <c r="RAS102" s="162"/>
      <c r="RAT102" s="162"/>
      <c r="RAU102" s="162"/>
      <c r="RAV102" s="162"/>
      <c r="RAW102" s="162"/>
      <c r="RAX102" s="162"/>
      <c r="RAY102" s="162"/>
      <c r="RAZ102" s="162"/>
      <c r="RBA102" s="162"/>
      <c r="RBB102" s="162"/>
      <c r="RBC102" s="162"/>
      <c r="RBD102" s="162"/>
      <c r="RBE102" s="162"/>
      <c r="RBF102" s="162"/>
      <c r="RBG102" s="162"/>
      <c r="RBH102" s="162"/>
      <c r="RBI102" s="162"/>
      <c r="RBJ102" s="162"/>
      <c r="RBK102" s="162"/>
      <c r="RBL102" s="162"/>
      <c r="RBM102" s="162"/>
      <c r="RBN102" s="162"/>
      <c r="RBO102" s="162"/>
      <c r="RBP102" s="162"/>
      <c r="RBQ102" s="162"/>
      <c r="RBR102" s="162"/>
      <c r="RBS102" s="162"/>
      <c r="RBT102" s="162"/>
      <c r="RBU102" s="162"/>
      <c r="RBV102" s="162"/>
      <c r="RBW102" s="162"/>
      <c r="RBX102" s="162"/>
      <c r="RBY102" s="162"/>
      <c r="RBZ102" s="162"/>
      <c r="RCA102" s="162"/>
      <c r="RCB102" s="162"/>
      <c r="RCC102" s="162"/>
      <c r="RCD102" s="162"/>
      <c r="RCE102" s="162"/>
      <c r="RCF102" s="162"/>
      <c r="RCG102" s="162"/>
      <c r="RCH102" s="162"/>
      <c r="RCI102" s="162"/>
      <c r="RCJ102" s="162"/>
      <c r="RCK102" s="162"/>
      <c r="RCL102" s="162"/>
      <c r="RCM102" s="162"/>
      <c r="RCN102" s="162"/>
      <c r="RCO102" s="162"/>
      <c r="RCP102" s="162"/>
      <c r="RCQ102" s="162"/>
      <c r="RCR102" s="162"/>
      <c r="RCS102" s="162"/>
      <c r="RCT102" s="162"/>
      <c r="RCU102" s="162"/>
      <c r="RCV102" s="162"/>
      <c r="RCW102" s="162"/>
      <c r="RCX102" s="162"/>
      <c r="RCY102" s="162"/>
      <c r="RCZ102" s="162"/>
      <c r="RDA102" s="162"/>
      <c r="RDB102" s="162"/>
      <c r="RDC102" s="162"/>
      <c r="RDD102" s="162"/>
      <c r="RDE102" s="162"/>
      <c r="RDF102" s="162"/>
      <c r="RDG102" s="162"/>
      <c r="RDH102" s="162"/>
      <c r="RDI102" s="162"/>
      <c r="RDJ102" s="162"/>
      <c r="RDK102" s="162"/>
      <c r="RDL102" s="162"/>
      <c r="RDM102" s="162"/>
      <c r="RDN102" s="162"/>
      <c r="RDO102" s="162"/>
      <c r="RDP102" s="162"/>
      <c r="RDQ102" s="162"/>
      <c r="RDR102" s="162"/>
      <c r="RDS102" s="162"/>
      <c r="RDT102" s="162"/>
      <c r="RDU102" s="162"/>
      <c r="RDV102" s="162"/>
      <c r="RDW102" s="162"/>
      <c r="RDX102" s="162"/>
      <c r="RDY102" s="162"/>
      <c r="RDZ102" s="162"/>
      <c r="REA102" s="162"/>
      <c r="REB102" s="162"/>
      <c r="REC102" s="162"/>
      <c r="RED102" s="162"/>
      <c r="REE102" s="162"/>
      <c r="REF102" s="162"/>
      <c r="REG102" s="162"/>
      <c r="REH102" s="162"/>
      <c r="REI102" s="162"/>
      <c r="REJ102" s="162"/>
      <c r="REK102" s="162"/>
      <c r="REL102" s="162"/>
      <c r="REM102" s="162"/>
      <c r="REN102" s="162"/>
      <c r="REO102" s="162"/>
      <c r="REP102" s="162"/>
      <c r="REQ102" s="162"/>
      <c r="RER102" s="162"/>
      <c r="RES102" s="162"/>
      <c r="RET102" s="162"/>
      <c r="REU102" s="162"/>
      <c r="REV102" s="162"/>
      <c r="REW102" s="162"/>
      <c r="REX102" s="162"/>
      <c r="REY102" s="162"/>
      <c r="REZ102" s="162"/>
      <c r="RFA102" s="162"/>
      <c r="RFB102" s="162"/>
      <c r="RFC102" s="162"/>
      <c r="RFD102" s="162"/>
      <c r="RFE102" s="162"/>
      <c r="RFF102" s="162"/>
      <c r="RFG102" s="162"/>
      <c r="RFH102" s="162"/>
      <c r="RFI102" s="162"/>
      <c r="RFJ102" s="162"/>
      <c r="RFK102" s="162"/>
      <c r="RFL102" s="162"/>
      <c r="RFM102" s="162"/>
      <c r="RFN102" s="162"/>
      <c r="RFO102" s="162"/>
      <c r="RFP102" s="162"/>
      <c r="RFQ102" s="162"/>
      <c r="RFR102" s="162"/>
      <c r="RFS102" s="162"/>
      <c r="RFT102" s="162"/>
      <c r="RFU102" s="162"/>
      <c r="RFV102" s="162"/>
      <c r="RFW102" s="162"/>
      <c r="RFX102" s="162"/>
      <c r="RFY102" s="162"/>
      <c r="RFZ102" s="162"/>
      <c r="RGA102" s="162"/>
      <c r="RGB102" s="162"/>
      <c r="RGC102" s="162"/>
      <c r="RGD102" s="162"/>
      <c r="RGE102" s="162"/>
      <c r="RGF102" s="162"/>
      <c r="RGG102" s="162"/>
      <c r="RGH102" s="162"/>
      <c r="RGI102" s="162"/>
      <c r="RGJ102" s="162"/>
      <c r="RGK102" s="162"/>
      <c r="RGL102" s="162"/>
      <c r="RGM102" s="162"/>
      <c r="RGN102" s="162"/>
      <c r="RGO102" s="162"/>
      <c r="RGP102" s="162"/>
      <c r="RGQ102" s="162"/>
      <c r="RGR102" s="162"/>
      <c r="RGS102" s="162"/>
      <c r="RGT102" s="162"/>
      <c r="RGU102" s="162"/>
      <c r="RGV102" s="162"/>
      <c r="RGW102" s="162"/>
      <c r="RGX102" s="162"/>
      <c r="RGY102" s="162"/>
      <c r="RGZ102" s="162"/>
      <c r="RHA102" s="162"/>
      <c r="RHB102" s="162"/>
      <c r="RHC102" s="162"/>
      <c r="RHD102" s="162"/>
      <c r="RHE102" s="162"/>
      <c r="RHF102" s="162"/>
      <c r="RHG102" s="162"/>
      <c r="RHH102" s="162"/>
      <c r="RHI102" s="162"/>
      <c r="RHJ102" s="162"/>
      <c r="RHK102" s="162"/>
      <c r="RHL102" s="162"/>
      <c r="RHM102" s="162"/>
      <c r="RHN102" s="162"/>
      <c r="RHO102" s="162"/>
      <c r="RHP102" s="162"/>
      <c r="RHQ102" s="162"/>
      <c r="RHR102" s="162"/>
      <c r="RHS102" s="162"/>
      <c r="RHT102" s="162"/>
      <c r="RHU102" s="162"/>
      <c r="RHV102" s="162"/>
      <c r="RHW102" s="162"/>
      <c r="RHX102" s="162"/>
      <c r="RHY102" s="162"/>
      <c r="RHZ102" s="162"/>
      <c r="RIA102" s="162"/>
      <c r="RIB102" s="162"/>
      <c r="RIC102" s="162"/>
      <c r="RID102" s="162"/>
      <c r="RIE102" s="162"/>
      <c r="RIF102" s="162"/>
      <c r="RIG102" s="162"/>
      <c r="RIH102" s="162"/>
      <c r="RII102" s="162"/>
      <c r="RIJ102" s="162"/>
      <c r="RIK102" s="162"/>
      <c r="RIL102" s="162"/>
      <c r="RIM102" s="162"/>
      <c r="RIN102" s="162"/>
      <c r="RIO102" s="162"/>
      <c r="RIP102" s="162"/>
      <c r="RIQ102" s="162"/>
      <c r="RIR102" s="162"/>
      <c r="RIS102" s="162"/>
      <c r="RIT102" s="162"/>
      <c r="RIU102" s="162"/>
      <c r="RIV102" s="162"/>
      <c r="RIW102" s="162"/>
      <c r="RIX102" s="162"/>
      <c r="RIY102" s="162"/>
      <c r="RIZ102" s="162"/>
      <c r="RJA102" s="162"/>
      <c r="RJB102" s="162"/>
      <c r="RJC102" s="162"/>
      <c r="RJD102" s="162"/>
      <c r="RJE102" s="162"/>
      <c r="RJF102" s="162"/>
      <c r="RJG102" s="162"/>
      <c r="RJH102" s="162"/>
      <c r="RJI102" s="162"/>
      <c r="RJJ102" s="162"/>
      <c r="RJK102" s="162"/>
      <c r="RJL102" s="162"/>
      <c r="RJM102" s="162"/>
      <c r="RJN102" s="162"/>
      <c r="RJO102" s="162"/>
      <c r="RJP102" s="162"/>
      <c r="RJQ102" s="162"/>
      <c r="RJR102" s="162"/>
      <c r="RJS102" s="162"/>
      <c r="RJT102" s="162"/>
      <c r="RJU102" s="162"/>
      <c r="RJV102" s="162"/>
      <c r="RJW102" s="162"/>
      <c r="RJX102" s="162"/>
      <c r="RJY102" s="162"/>
      <c r="RJZ102" s="162"/>
      <c r="RKA102" s="162"/>
      <c r="RKB102" s="162"/>
      <c r="RKC102" s="162"/>
      <c r="RKD102" s="162"/>
      <c r="RKE102" s="162"/>
      <c r="RKF102" s="162"/>
      <c r="RKG102" s="162"/>
      <c r="RKH102" s="162"/>
      <c r="RKI102" s="162"/>
      <c r="RKJ102" s="162"/>
      <c r="RKK102" s="162"/>
      <c r="RKL102" s="162"/>
      <c r="RKM102" s="162"/>
      <c r="RKN102" s="162"/>
      <c r="RKO102" s="162"/>
      <c r="RKP102" s="162"/>
      <c r="RKQ102" s="162"/>
      <c r="RKR102" s="162"/>
      <c r="RKS102" s="162"/>
      <c r="RKT102" s="162"/>
      <c r="RKU102" s="162"/>
      <c r="RKV102" s="162"/>
      <c r="RKW102" s="162"/>
      <c r="RKX102" s="162"/>
      <c r="RKY102" s="162"/>
      <c r="RKZ102" s="162"/>
      <c r="RLA102" s="162"/>
      <c r="RLB102" s="162"/>
      <c r="RLC102" s="162"/>
      <c r="RLD102" s="162"/>
      <c r="RLE102" s="162"/>
      <c r="RLF102" s="162"/>
      <c r="RLG102" s="162"/>
      <c r="RLH102" s="162"/>
      <c r="RLI102" s="162"/>
      <c r="RLJ102" s="162"/>
      <c r="RLK102" s="162"/>
      <c r="RLL102" s="162"/>
      <c r="RLM102" s="162"/>
      <c r="RLN102" s="162"/>
      <c r="RLO102" s="162"/>
      <c r="RLP102" s="162"/>
      <c r="RLQ102" s="162"/>
      <c r="RLR102" s="162"/>
      <c r="RLS102" s="162"/>
      <c r="RLT102" s="162"/>
      <c r="RLU102" s="162"/>
      <c r="RLV102" s="162"/>
      <c r="RLW102" s="162"/>
      <c r="RLX102" s="162"/>
      <c r="RLY102" s="162"/>
      <c r="RLZ102" s="162"/>
      <c r="RMA102" s="162"/>
      <c r="RMB102" s="162"/>
      <c r="RMC102" s="162"/>
      <c r="RMD102" s="162"/>
      <c r="RME102" s="162"/>
      <c r="RMF102" s="162"/>
      <c r="RMG102" s="162"/>
      <c r="RMH102" s="162"/>
      <c r="RMI102" s="162"/>
      <c r="RMJ102" s="162"/>
      <c r="RMK102" s="162"/>
      <c r="RML102" s="162"/>
      <c r="RMM102" s="162"/>
      <c r="RMN102" s="162"/>
      <c r="RMO102" s="162"/>
      <c r="RMP102" s="162"/>
      <c r="RMQ102" s="162"/>
      <c r="RMR102" s="162"/>
      <c r="RMS102" s="162"/>
      <c r="RMT102" s="162"/>
      <c r="RMU102" s="162"/>
      <c r="RMV102" s="162"/>
      <c r="RMW102" s="162"/>
      <c r="RMX102" s="162"/>
      <c r="RMY102" s="162"/>
      <c r="RMZ102" s="162"/>
      <c r="RNA102" s="162"/>
      <c r="RNB102" s="162"/>
      <c r="RNC102" s="162"/>
      <c r="RND102" s="162"/>
      <c r="RNE102" s="162"/>
      <c r="RNF102" s="162"/>
      <c r="RNG102" s="162"/>
      <c r="RNH102" s="162"/>
      <c r="RNI102" s="162"/>
      <c r="RNJ102" s="162"/>
      <c r="RNK102" s="162"/>
      <c r="RNL102" s="162"/>
      <c r="RNM102" s="162"/>
      <c r="RNN102" s="162"/>
      <c r="RNO102" s="162"/>
      <c r="RNP102" s="162"/>
      <c r="RNQ102" s="162"/>
      <c r="RNR102" s="162"/>
      <c r="RNS102" s="162"/>
      <c r="RNT102" s="162"/>
      <c r="RNU102" s="162"/>
      <c r="RNV102" s="162"/>
      <c r="RNW102" s="162"/>
      <c r="RNX102" s="162"/>
      <c r="RNY102" s="162"/>
      <c r="RNZ102" s="162"/>
      <c r="ROA102" s="162"/>
      <c r="ROB102" s="162"/>
      <c r="ROC102" s="162"/>
      <c r="ROD102" s="162"/>
      <c r="ROE102" s="162"/>
      <c r="ROF102" s="162"/>
      <c r="ROG102" s="162"/>
      <c r="ROH102" s="162"/>
      <c r="ROI102" s="162"/>
      <c r="ROJ102" s="162"/>
      <c r="ROK102" s="162"/>
      <c r="ROL102" s="162"/>
      <c r="ROM102" s="162"/>
      <c r="RON102" s="162"/>
      <c r="ROO102" s="162"/>
      <c r="ROP102" s="162"/>
      <c r="ROQ102" s="162"/>
      <c r="ROR102" s="162"/>
      <c r="ROS102" s="162"/>
      <c r="ROT102" s="162"/>
      <c r="ROU102" s="162"/>
      <c r="ROV102" s="162"/>
      <c r="ROW102" s="162"/>
      <c r="ROX102" s="162"/>
      <c r="ROY102" s="162"/>
      <c r="ROZ102" s="162"/>
      <c r="RPA102" s="162"/>
      <c r="RPB102" s="162"/>
      <c r="RPC102" s="162"/>
      <c r="RPD102" s="162"/>
      <c r="RPE102" s="162"/>
      <c r="RPF102" s="162"/>
      <c r="RPG102" s="162"/>
      <c r="RPH102" s="162"/>
      <c r="RPI102" s="162"/>
      <c r="RPJ102" s="162"/>
      <c r="RPK102" s="162"/>
      <c r="RPL102" s="162"/>
      <c r="RPM102" s="162"/>
      <c r="RPN102" s="162"/>
      <c r="RPO102" s="162"/>
      <c r="RPP102" s="162"/>
      <c r="RPQ102" s="162"/>
      <c r="RPR102" s="162"/>
      <c r="RPS102" s="162"/>
      <c r="RPT102" s="162"/>
      <c r="RPU102" s="162"/>
      <c r="RPV102" s="162"/>
      <c r="RPW102" s="162"/>
      <c r="RPX102" s="162"/>
      <c r="RPY102" s="162"/>
      <c r="RPZ102" s="162"/>
      <c r="RQA102" s="162"/>
      <c r="RQB102" s="162"/>
      <c r="RQC102" s="162"/>
      <c r="RQD102" s="162"/>
      <c r="RQE102" s="162"/>
      <c r="RQF102" s="162"/>
      <c r="RQG102" s="162"/>
      <c r="RQH102" s="162"/>
      <c r="RQI102" s="162"/>
      <c r="RQJ102" s="162"/>
      <c r="RQK102" s="162"/>
      <c r="RQL102" s="162"/>
      <c r="RQM102" s="162"/>
      <c r="RQN102" s="162"/>
      <c r="RQO102" s="162"/>
      <c r="RQP102" s="162"/>
      <c r="RQQ102" s="162"/>
      <c r="RQR102" s="162"/>
      <c r="RQS102" s="162"/>
      <c r="RQT102" s="162"/>
      <c r="RQU102" s="162"/>
      <c r="RQV102" s="162"/>
      <c r="RQW102" s="162"/>
      <c r="RQX102" s="162"/>
      <c r="RQY102" s="162"/>
      <c r="RQZ102" s="162"/>
      <c r="RRA102" s="162"/>
      <c r="RRB102" s="162"/>
      <c r="RRC102" s="162"/>
      <c r="RRD102" s="162"/>
      <c r="RRE102" s="162"/>
      <c r="RRF102" s="162"/>
      <c r="RRG102" s="162"/>
      <c r="RRH102" s="162"/>
      <c r="RRI102" s="162"/>
      <c r="RRJ102" s="162"/>
      <c r="RRK102" s="162"/>
      <c r="RRL102" s="162"/>
      <c r="RRM102" s="162"/>
      <c r="RRN102" s="162"/>
      <c r="RRO102" s="162"/>
      <c r="RRP102" s="162"/>
      <c r="RRQ102" s="162"/>
      <c r="RRR102" s="162"/>
      <c r="RRS102" s="162"/>
      <c r="RRT102" s="162"/>
      <c r="RRU102" s="162"/>
      <c r="RRV102" s="162"/>
      <c r="RRW102" s="162"/>
      <c r="RRX102" s="162"/>
      <c r="RRY102" s="162"/>
      <c r="RRZ102" s="162"/>
      <c r="RSA102" s="162"/>
      <c r="RSB102" s="162"/>
      <c r="RSC102" s="162"/>
      <c r="RSD102" s="162"/>
      <c r="RSE102" s="162"/>
      <c r="RSF102" s="162"/>
      <c r="RSG102" s="162"/>
      <c r="RSH102" s="162"/>
      <c r="RSI102" s="162"/>
      <c r="RSJ102" s="162"/>
      <c r="RSK102" s="162"/>
      <c r="RSL102" s="162"/>
      <c r="RSM102" s="162"/>
      <c r="RSN102" s="162"/>
      <c r="RSO102" s="162"/>
      <c r="RSP102" s="162"/>
      <c r="RSQ102" s="162"/>
      <c r="RSR102" s="162"/>
      <c r="RSS102" s="162"/>
      <c r="RST102" s="162"/>
      <c r="RSU102" s="162"/>
      <c r="RSV102" s="162"/>
      <c r="RSW102" s="162"/>
      <c r="RSX102" s="162"/>
      <c r="RSY102" s="162"/>
      <c r="RSZ102" s="162"/>
      <c r="RTA102" s="162"/>
      <c r="RTB102" s="162"/>
      <c r="RTC102" s="162"/>
      <c r="RTD102" s="162"/>
      <c r="RTE102" s="162"/>
      <c r="RTF102" s="162"/>
      <c r="RTG102" s="162"/>
      <c r="RTH102" s="162"/>
      <c r="RTI102" s="162"/>
      <c r="RTJ102" s="162"/>
      <c r="RTK102" s="162"/>
      <c r="RTL102" s="162"/>
      <c r="RTM102" s="162"/>
      <c r="RTN102" s="162"/>
      <c r="RTO102" s="162"/>
      <c r="RTP102" s="162"/>
      <c r="RTQ102" s="162"/>
      <c r="RTR102" s="162"/>
      <c r="RTS102" s="162"/>
      <c r="RTT102" s="162"/>
      <c r="RTU102" s="162"/>
      <c r="RTV102" s="162"/>
      <c r="RTW102" s="162"/>
      <c r="RTX102" s="162"/>
      <c r="RTY102" s="162"/>
      <c r="RTZ102" s="162"/>
      <c r="RUA102" s="162"/>
      <c r="RUB102" s="162"/>
      <c r="RUC102" s="162"/>
      <c r="RUD102" s="162"/>
      <c r="RUE102" s="162"/>
      <c r="RUF102" s="162"/>
      <c r="RUG102" s="162"/>
      <c r="RUH102" s="162"/>
      <c r="RUI102" s="162"/>
      <c r="RUJ102" s="162"/>
      <c r="RUK102" s="162"/>
      <c r="RUL102" s="162"/>
      <c r="RUM102" s="162"/>
      <c r="RUN102" s="162"/>
      <c r="RUO102" s="162"/>
      <c r="RUP102" s="162"/>
      <c r="RUQ102" s="162"/>
      <c r="RUR102" s="162"/>
      <c r="RUS102" s="162"/>
      <c r="RUT102" s="162"/>
      <c r="RUU102" s="162"/>
      <c r="RUV102" s="162"/>
      <c r="RUW102" s="162"/>
      <c r="RUX102" s="162"/>
      <c r="RUY102" s="162"/>
      <c r="RUZ102" s="162"/>
      <c r="RVA102" s="162"/>
      <c r="RVB102" s="162"/>
      <c r="RVC102" s="162"/>
      <c r="RVD102" s="162"/>
      <c r="RVE102" s="162"/>
      <c r="RVF102" s="162"/>
      <c r="RVG102" s="162"/>
      <c r="RVH102" s="162"/>
      <c r="RVI102" s="162"/>
      <c r="RVJ102" s="162"/>
      <c r="RVK102" s="162"/>
      <c r="RVL102" s="162"/>
      <c r="RVM102" s="162"/>
      <c r="RVN102" s="162"/>
      <c r="RVO102" s="162"/>
      <c r="RVP102" s="162"/>
      <c r="RVQ102" s="162"/>
      <c r="RVR102" s="162"/>
      <c r="RVS102" s="162"/>
      <c r="RVT102" s="162"/>
      <c r="RVU102" s="162"/>
      <c r="RVV102" s="162"/>
      <c r="RVW102" s="162"/>
      <c r="RVX102" s="162"/>
      <c r="RVY102" s="162"/>
      <c r="RVZ102" s="162"/>
      <c r="RWA102" s="162"/>
      <c r="RWB102" s="162"/>
      <c r="RWC102" s="162"/>
      <c r="RWD102" s="162"/>
      <c r="RWE102" s="162"/>
      <c r="RWF102" s="162"/>
      <c r="RWG102" s="162"/>
      <c r="RWH102" s="162"/>
      <c r="RWI102" s="162"/>
      <c r="RWJ102" s="162"/>
      <c r="RWK102" s="162"/>
      <c r="RWL102" s="162"/>
      <c r="RWM102" s="162"/>
      <c r="RWN102" s="162"/>
      <c r="RWO102" s="162"/>
      <c r="RWP102" s="162"/>
      <c r="RWQ102" s="162"/>
      <c r="RWR102" s="162"/>
      <c r="RWS102" s="162"/>
      <c r="RWT102" s="162"/>
      <c r="RWU102" s="162"/>
      <c r="RWV102" s="162"/>
      <c r="RWW102" s="162"/>
      <c r="RWX102" s="162"/>
      <c r="RWY102" s="162"/>
      <c r="RWZ102" s="162"/>
      <c r="RXA102" s="162"/>
      <c r="RXB102" s="162"/>
      <c r="RXC102" s="162"/>
      <c r="RXD102" s="162"/>
      <c r="RXE102" s="162"/>
      <c r="RXF102" s="162"/>
      <c r="RXG102" s="162"/>
      <c r="RXH102" s="162"/>
      <c r="RXI102" s="162"/>
      <c r="RXJ102" s="162"/>
      <c r="RXK102" s="162"/>
      <c r="RXL102" s="162"/>
      <c r="RXM102" s="162"/>
      <c r="RXN102" s="162"/>
      <c r="RXO102" s="162"/>
      <c r="RXP102" s="162"/>
      <c r="RXQ102" s="162"/>
      <c r="RXR102" s="162"/>
      <c r="RXS102" s="162"/>
      <c r="RXT102" s="162"/>
      <c r="RXU102" s="162"/>
      <c r="RXV102" s="162"/>
      <c r="RXW102" s="162"/>
      <c r="RXX102" s="162"/>
      <c r="RXY102" s="162"/>
      <c r="RXZ102" s="162"/>
      <c r="RYA102" s="162"/>
      <c r="RYB102" s="162"/>
      <c r="RYC102" s="162"/>
      <c r="RYD102" s="162"/>
      <c r="RYE102" s="162"/>
      <c r="RYF102" s="162"/>
      <c r="RYG102" s="162"/>
      <c r="RYH102" s="162"/>
      <c r="RYI102" s="162"/>
      <c r="RYJ102" s="162"/>
      <c r="RYK102" s="162"/>
      <c r="RYL102" s="162"/>
      <c r="RYM102" s="162"/>
      <c r="RYN102" s="162"/>
      <c r="RYO102" s="162"/>
      <c r="RYP102" s="162"/>
      <c r="RYQ102" s="162"/>
      <c r="RYR102" s="162"/>
      <c r="RYS102" s="162"/>
      <c r="RYT102" s="162"/>
      <c r="RYU102" s="162"/>
      <c r="RYV102" s="162"/>
      <c r="RYW102" s="162"/>
      <c r="RYX102" s="162"/>
      <c r="RYY102" s="162"/>
      <c r="RYZ102" s="162"/>
      <c r="RZA102" s="162"/>
      <c r="RZB102" s="162"/>
      <c r="RZC102" s="162"/>
      <c r="RZD102" s="162"/>
      <c r="RZE102" s="162"/>
      <c r="RZF102" s="162"/>
      <c r="RZG102" s="162"/>
      <c r="RZH102" s="162"/>
      <c r="RZI102" s="162"/>
      <c r="RZJ102" s="162"/>
      <c r="RZK102" s="162"/>
      <c r="RZL102" s="162"/>
      <c r="RZM102" s="162"/>
      <c r="RZN102" s="162"/>
      <c r="RZO102" s="162"/>
      <c r="RZP102" s="162"/>
      <c r="RZQ102" s="162"/>
      <c r="RZR102" s="162"/>
      <c r="RZS102" s="162"/>
      <c r="RZT102" s="162"/>
      <c r="RZU102" s="162"/>
      <c r="RZV102" s="162"/>
      <c r="RZW102" s="162"/>
      <c r="RZX102" s="162"/>
      <c r="RZY102" s="162"/>
      <c r="RZZ102" s="162"/>
      <c r="SAA102" s="162"/>
      <c r="SAB102" s="162"/>
      <c r="SAC102" s="162"/>
      <c r="SAD102" s="162"/>
      <c r="SAE102" s="162"/>
      <c r="SAF102" s="162"/>
      <c r="SAG102" s="162"/>
      <c r="SAH102" s="162"/>
      <c r="SAI102" s="162"/>
      <c r="SAJ102" s="162"/>
      <c r="SAK102" s="162"/>
      <c r="SAL102" s="162"/>
      <c r="SAM102" s="162"/>
      <c r="SAN102" s="162"/>
      <c r="SAO102" s="162"/>
      <c r="SAP102" s="162"/>
      <c r="SAQ102" s="162"/>
      <c r="SAR102" s="162"/>
      <c r="SAS102" s="162"/>
      <c r="SAT102" s="162"/>
      <c r="SAU102" s="162"/>
      <c r="SAV102" s="162"/>
      <c r="SAW102" s="162"/>
      <c r="SAX102" s="162"/>
      <c r="SAY102" s="162"/>
      <c r="SAZ102" s="162"/>
      <c r="SBA102" s="162"/>
      <c r="SBB102" s="162"/>
      <c r="SBC102" s="162"/>
      <c r="SBD102" s="162"/>
      <c r="SBE102" s="162"/>
      <c r="SBF102" s="162"/>
      <c r="SBG102" s="162"/>
      <c r="SBH102" s="162"/>
      <c r="SBI102" s="162"/>
      <c r="SBJ102" s="162"/>
      <c r="SBK102" s="162"/>
      <c r="SBL102" s="162"/>
      <c r="SBM102" s="162"/>
      <c r="SBN102" s="162"/>
      <c r="SBO102" s="162"/>
      <c r="SBP102" s="162"/>
      <c r="SBQ102" s="162"/>
      <c r="SBR102" s="162"/>
      <c r="SBS102" s="162"/>
      <c r="SBT102" s="162"/>
      <c r="SBU102" s="162"/>
      <c r="SBV102" s="162"/>
      <c r="SBW102" s="162"/>
      <c r="SBX102" s="162"/>
      <c r="SBY102" s="162"/>
      <c r="SBZ102" s="162"/>
      <c r="SCA102" s="162"/>
      <c r="SCB102" s="162"/>
      <c r="SCC102" s="162"/>
      <c r="SCD102" s="162"/>
      <c r="SCE102" s="162"/>
      <c r="SCF102" s="162"/>
      <c r="SCG102" s="162"/>
      <c r="SCH102" s="162"/>
      <c r="SCI102" s="162"/>
      <c r="SCJ102" s="162"/>
      <c r="SCK102" s="162"/>
      <c r="SCL102" s="162"/>
      <c r="SCM102" s="162"/>
      <c r="SCN102" s="162"/>
      <c r="SCO102" s="162"/>
      <c r="SCP102" s="162"/>
      <c r="SCQ102" s="162"/>
      <c r="SCR102" s="162"/>
      <c r="SCS102" s="162"/>
      <c r="SCT102" s="162"/>
      <c r="SCU102" s="162"/>
      <c r="SCV102" s="162"/>
      <c r="SCW102" s="162"/>
      <c r="SCX102" s="162"/>
      <c r="SCY102" s="162"/>
      <c r="SCZ102" s="162"/>
      <c r="SDA102" s="162"/>
      <c r="SDB102" s="162"/>
      <c r="SDC102" s="162"/>
      <c r="SDD102" s="162"/>
      <c r="SDE102" s="162"/>
      <c r="SDF102" s="162"/>
      <c r="SDG102" s="162"/>
      <c r="SDH102" s="162"/>
      <c r="SDI102" s="162"/>
      <c r="SDJ102" s="162"/>
      <c r="SDK102" s="162"/>
      <c r="SDL102" s="162"/>
      <c r="SDM102" s="162"/>
      <c r="SDN102" s="162"/>
      <c r="SDO102" s="162"/>
      <c r="SDP102" s="162"/>
      <c r="SDQ102" s="162"/>
      <c r="SDR102" s="162"/>
      <c r="SDS102" s="162"/>
      <c r="SDT102" s="162"/>
      <c r="SDU102" s="162"/>
      <c r="SDV102" s="162"/>
      <c r="SDW102" s="162"/>
      <c r="SDX102" s="162"/>
      <c r="SDY102" s="162"/>
      <c r="SDZ102" s="162"/>
      <c r="SEA102" s="162"/>
      <c r="SEB102" s="162"/>
      <c r="SEC102" s="162"/>
      <c r="SED102" s="162"/>
      <c r="SEE102" s="162"/>
      <c r="SEF102" s="162"/>
      <c r="SEG102" s="162"/>
      <c r="SEH102" s="162"/>
      <c r="SEI102" s="162"/>
      <c r="SEJ102" s="162"/>
      <c r="SEK102" s="162"/>
      <c r="SEL102" s="162"/>
      <c r="SEM102" s="162"/>
      <c r="SEN102" s="162"/>
      <c r="SEO102" s="162"/>
      <c r="SEP102" s="162"/>
      <c r="SEQ102" s="162"/>
      <c r="SER102" s="162"/>
      <c r="SES102" s="162"/>
      <c r="SET102" s="162"/>
      <c r="SEU102" s="162"/>
      <c r="SEV102" s="162"/>
      <c r="SEW102" s="162"/>
      <c r="SEX102" s="162"/>
      <c r="SEY102" s="162"/>
      <c r="SEZ102" s="162"/>
      <c r="SFA102" s="162"/>
      <c r="SFB102" s="162"/>
      <c r="SFC102" s="162"/>
      <c r="SFD102" s="162"/>
      <c r="SFE102" s="162"/>
      <c r="SFF102" s="162"/>
      <c r="SFG102" s="162"/>
      <c r="SFH102" s="162"/>
      <c r="SFI102" s="162"/>
      <c r="SFJ102" s="162"/>
      <c r="SFK102" s="162"/>
      <c r="SFL102" s="162"/>
      <c r="SFM102" s="162"/>
      <c r="SFN102" s="162"/>
      <c r="SFO102" s="162"/>
      <c r="SFP102" s="162"/>
      <c r="SFQ102" s="162"/>
      <c r="SFR102" s="162"/>
      <c r="SFS102" s="162"/>
      <c r="SFT102" s="162"/>
      <c r="SFU102" s="162"/>
      <c r="SFV102" s="162"/>
      <c r="SFW102" s="162"/>
      <c r="SFX102" s="162"/>
      <c r="SFY102" s="162"/>
      <c r="SFZ102" s="162"/>
      <c r="SGA102" s="162"/>
      <c r="SGB102" s="162"/>
      <c r="SGC102" s="162"/>
      <c r="SGD102" s="162"/>
      <c r="SGE102" s="162"/>
      <c r="SGF102" s="162"/>
      <c r="SGG102" s="162"/>
      <c r="SGH102" s="162"/>
      <c r="SGI102" s="162"/>
      <c r="SGJ102" s="162"/>
      <c r="SGK102" s="162"/>
      <c r="SGL102" s="162"/>
      <c r="SGM102" s="162"/>
      <c r="SGN102" s="162"/>
      <c r="SGO102" s="162"/>
      <c r="SGP102" s="162"/>
      <c r="SGQ102" s="162"/>
      <c r="SGR102" s="162"/>
      <c r="SGS102" s="162"/>
      <c r="SGT102" s="162"/>
      <c r="SGU102" s="162"/>
      <c r="SGV102" s="162"/>
      <c r="SGW102" s="162"/>
      <c r="SGX102" s="162"/>
      <c r="SGY102" s="162"/>
      <c r="SGZ102" s="162"/>
      <c r="SHA102" s="162"/>
      <c r="SHB102" s="162"/>
      <c r="SHC102" s="162"/>
      <c r="SHD102" s="162"/>
      <c r="SHE102" s="162"/>
      <c r="SHF102" s="162"/>
      <c r="SHG102" s="162"/>
      <c r="SHH102" s="162"/>
      <c r="SHI102" s="162"/>
      <c r="SHJ102" s="162"/>
      <c r="SHK102" s="162"/>
      <c r="SHL102" s="162"/>
      <c r="SHM102" s="162"/>
      <c r="SHN102" s="162"/>
      <c r="SHO102" s="162"/>
      <c r="SHP102" s="162"/>
      <c r="SHQ102" s="162"/>
      <c r="SHR102" s="162"/>
      <c r="SHS102" s="162"/>
      <c r="SHT102" s="162"/>
      <c r="SHU102" s="162"/>
      <c r="SHV102" s="162"/>
      <c r="SHW102" s="162"/>
      <c r="SHX102" s="162"/>
      <c r="SHY102" s="162"/>
      <c r="SHZ102" s="162"/>
      <c r="SIA102" s="162"/>
      <c r="SIB102" s="162"/>
      <c r="SIC102" s="162"/>
      <c r="SID102" s="162"/>
      <c r="SIE102" s="162"/>
      <c r="SIF102" s="162"/>
      <c r="SIG102" s="162"/>
      <c r="SIH102" s="162"/>
      <c r="SII102" s="162"/>
      <c r="SIJ102" s="162"/>
      <c r="SIK102" s="162"/>
      <c r="SIL102" s="162"/>
      <c r="SIM102" s="162"/>
      <c r="SIN102" s="162"/>
      <c r="SIO102" s="162"/>
      <c r="SIP102" s="162"/>
      <c r="SIQ102" s="162"/>
      <c r="SIR102" s="162"/>
      <c r="SIS102" s="162"/>
      <c r="SIT102" s="162"/>
      <c r="SIU102" s="162"/>
      <c r="SIV102" s="162"/>
      <c r="SIW102" s="162"/>
      <c r="SIX102" s="162"/>
      <c r="SIY102" s="162"/>
      <c r="SIZ102" s="162"/>
      <c r="SJA102" s="162"/>
      <c r="SJB102" s="162"/>
      <c r="SJC102" s="162"/>
      <c r="SJD102" s="162"/>
      <c r="SJE102" s="162"/>
      <c r="SJF102" s="162"/>
      <c r="SJG102" s="162"/>
      <c r="SJH102" s="162"/>
      <c r="SJI102" s="162"/>
      <c r="SJJ102" s="162"/>
      <c r="SJK102" s="162"/>
      <c r="SJL102" s="162"/>
      <c r="SJM102" s="162"/>
      <c r="SJN102" s="162"/>
      <c r="SJO102" s="162"/>
      <c r="SJP102" s="162"/>
      <c r="SJQ102" s="162"/>
      <c r="SJR102" s="162"/>
      <c r="SJS102" s="162"/>
      <c r="SJT102" s="162"/>
      <c r="SJU102" s="162"/>
      <c r="SJV102" s="162"/>
      <c r="SJW102" s="162"/>
      <c r="SJX102" s="162"/>
      <c r="SJY102" s="162"/>
      <c r="SJZ102" s="162"/>
      <c r="SKA102" s="162"/>
      <c r="SKB102" s="162"/>
      <c r="SKC102" s="162"/>
      <c r="SKD102" s="162"/>
      <c r="SKE102" s="162"/>
      <c r="SKF102" s="162"/>
      <c r="SKG102" s="162"/>
      <c r="SKH102" s="162"/>
      <c r="SKI102" s="162"/>
      <c r="SKJ102" s="162"/>
      <c r="SKK102" s="162"/>
      <c r="SKL102" s="162"/>
      <c r="SKM102" s="162"/>
      <c r="SKN102" s="162"/>
      <c r="SKO102" s="162"/>
      <c r="SKP102" s="162"/>
      <c r="SKQ102" s="162"/>
      <c r="SKR102" s="162"/>
      <c r="SKS102" s="162"/>
      <c r="SKT102" s="162"/>
      <c r="SKU102" s="162"/>
      <c r="SKV102" s="162"/>
      <c r="SKW102" s="162"/>
      <c r="SKX102" s="162"/>
      <c r="SKY102" s="162"/>
      <c r="SKZ102" s="162"/>
      <c r="SLA102" s="162"/>
      <c r="SLB102" s="162"/>
      <c r="SLC102" s="162"/>
      <c r="SLD102" s="162"/>
      <c r="SLE102" s="162"/>
      <c r="SLF102" s="162"/>
      <c r="SLG102" s="162"/>
      <c r="SLH102" s="162"/>
      <c r="SLI102" s="162"/>
      <c r="SLJ102" s="162"/>
      <c r="SLK102" s="162"/>
      <c r="SLL102" s="162"/>
      <c r="SLM102" s="162"/>
      <c r="SLN102" s="162"/>
      <c r="SLO102" s="162"/>
      <c r="SLP102" s="162"/>
      <c r="SLQ102" s="162"/>
      <c r="SLR102" s="162"/>
      <c r="SLS102" s="162"/>
      <c r="SLT102" s="162"/>
      <c r="SLU102" s="162"/>
      <c r="SLV102" s="162"/>
      <c r="SLW102" s="162"/>
      <c r="SLX102" s="162"/>
      <c r="SLY102" s="162"/>
      <c r="SLZ102" s="162"/>
      <c r="SMA102" s="162"/>
      <c r="SMB102" s="162"/>
      <c r="SMC102" s="162"/>
      <c r="SMD102" s="162"/>
      <c r="SME102" s="162"/>
      <c r="SMF102" s="162"/>
      <c r="SMG102" s="162"/>
      <c r="SMH102" s="162"/>
      <c r="SMI102" s="162"/>
      <c r="SMJ102" s="162"/>
      <c r="SMK102" s="162"/>
      <c r="SML102" s="162"/>
      <c r="SMM102" s="162"/>
      <c r="SMN102" s="162"/>
      <c r="SMO102" s="162"/>
      <c r="SMP102" s="162"/>
      <c r="SMQ102" s="162"/>
      <c r="SMR102" s="162"/>
      <c r="SMS102" s="162"/>
      <c r="SMT102" s="162"/>
      <c r="SMU102" s="162"/>
      <c r="SMV102" s="162"/>
      <c r="SMW102" s="162"/>
      <c r="SMX102" s="162"/>
      <c r="SMY102" s="162"/>
      <c r="SMZ102" s="162"/>
      <c r="SNA102" s="162"/>
      <c r="SNB102" s="162"/>
      <c r="SNC102" s="162"/>
      <c r="SND102" s="162"/>
      <c r="SNE102" s="162"/>
      <c r="SNF102" s="162"/>
      <c r="SNG102" s="162"/>
      <c r="SNH102" s="162"/>
      <c r="SNI102" s="162"/>
      <c r="SNJ102" s="162"/>
      <c r="SNK102" s="162"/>
      <c r="SNL102" s="162"/>
      <c r="SNM102" s="162"/>
      <c r="SNN102" s="162"/>
      <c r="SNO102" s="162"/>
      <c r="SNP102" s="162"/>
      <c r="SNQ102" s="162"/>
      <c r="SNR102" s="162"/>
      <c r="SNS102" s="162"/>
      <c r="SNT102" s="162"/>
      <c r="SNU102" s="162"/>
      <c r="SNV102" s="162"/>
      <c r="SNW102" s="162"/>
      <c r="SNX102" s="162"/>
      <c r="SNY102" s="162"/>
      <c r="SNZ102" s="162"/>
      <c r="SOA102" s="162"/>
      <c r="SOB102" s="162"/>
      <c r="SOC102" s="162"/>
      <c r="SOD102" s="162"/>
      <c r="SOE102" s="162"/>
      <c r="SOF102" s="162"/>
      <c r="SOG102" s="162"/>
      <c r="SOH102" s="162"/>
      <c r="SOI102" s="162"/>
      <c r="SOJ102" s="162"/>
      <c r="SOK102" s="162"/>
      <c r="SOL102" s="162"/>
      <c r="SOM102" s="162"/>
      <c r="SON102" s="162"/>
      <c r="SOO102" s="162"/>
      <c r="SOP102" s="162"/>
      <c r="SOQ102" s="162"/>
      <c r="SOR102" s="162"/>
      <c r="SOS102" s="162"/>
      <c r="SOT102" s="162"/>
      <c r="SOU102" s="162"/>
      <c r="SOV102" s="162"/>
      <c r="SOW102" s="162"/>
      <c r="SOX102" s="162"/>
      <c r="SOY102" s="162"/>
      <c r="SOZ102" s="162"/>
      <c r="SPA102" s="162"/>
      <c r="SPB102" s="162"/>
      <c r="SPC102" s="162"/>
      <c r="SPD102" s="162"/>
      <c r="SPE102" s="162"/>
      <c r="SPF102" s="162"/>
      <c r="SPG102" s="162"/>
      <c r="SPH102" s="162"/>
      <c r="SPI102" s="162"/>
      <c r="SPJ102" s="162"/>
      <c r="SPK102" s="162"/>
      <c r="SPL102" s="162"/>
      <c r="SPM102" s="162"/>
      <c r="SPN102" s="162"/>
      <c r="SPO102" s="162"/>
      <c r="SPP102" s="162"/>
      <c r="SPQ102" s="162"/>
      <c r="SPR102" s="162"/>
      <c r="SPS102" s="162"/>
      <c r="SPT102" s="162"/>
      <c r="SPU102" s="162"/>
      <c r="SPV102" s="162"/>
      <c r="SPW102" s="162"/>
      <c r="SPX102" s="162"/>
      <c r="SPY102" s="162"/>
      <c r="SPZ102" s="162"/>
      <c r="SQA102" s="162"/>
      <c r="SQB102" s="162"/>
      <c r="SQC102" s="162"/>
      <c r="SQD102" s="162"/>
      <c r="SQE102" s="162"/>
      <c r="SQF102" s="162"/>
      <c r="SQG102" s="162"/>
      <c r="SQH102" s="162"/>
      <c r="SQI102" s="162"/>
      <c r="SQJ102" s="162"/>
      <c r="SQK102" s="162"/>
      <c r="SQL102" s="162"/>
      <c r="SQM102" s="162"/>
      <c r="SQN102" s="162"/>
      <c r="SQO102" s="162"/>
      <c r="SQP102" s="162"/>
      <c r="SQQ102" s="162"/>
      <c r="SQR102" s="162"/>
      <c r="SQS102" s="162"/>
      <c r="SQT102" s="162"/>
      <c r="SQU102" s="162"/>
      <c r="SQV102" s="162"/>
      <c r="SQW102" s="162"/>
      <c r="SQX102" s="162"/>
      <c r="SQY102" s="162"/>
      <c r="SQZ102" s="162"/>
      <c r="SRA102" s="162"/>
      <c r="SRB102" s="162"/>
      <c r="SRC102" s="162"/>
      <c r="SRD102" s="162"/>
      <c r="SRE102" s="162"/>
      <c r="SRF102" s="162"/>
      <c r="SRG102" s="162"/>
      <c r="SRH102" s="162"/>
      <c r="SRI102" s="162"/>
      <c r="SRJ102" s="162"/>
      <c r="SRK102" s="162"/>
      <c r="SRL102" s="162"/>
      <c r="SRM102" s="162"/>
      <c r="SRN102" s="162"/>
      <c r="SRO102" s="162"/>
      <c r="SRP102" s="162"/>
      <c r="SRQ102" s="162"/>
      <c r="SRR102" s="162"/>
      <c r="SRS102" s="162"/>
      <c r="SRT102" s="162"/>
      <c r="SRU102" s="162"/>
      <c r="SRV102" s="162"/>
      <c r="SRW102" s="162"/>
      <c r="SRX102" s="162"/>
      <c r="SRY102" s="162"/>
      <c r="SRZ102" s="162"/>
      <c r="SSA102" s="162"/>
      <c r="SSB102" s="162"/>
      <c r="SSC102" s="162"/>
      <c r="SSD102" s="162"/>
      <c r="SSE102" s="162"/>
      <c r="SSF102" s="162"/>
      <c r="SSG102" s="162"/>
      <c r="SSH102" s="162"/>
      <c r="SSI102" s="162"/>
      <c r="SSJ102" s="162"/>
      <c r="SSK102" s="162"/>
      <c r="SSL102" s="162"/>
      <c r="SSM102" s="162"/>
      <c r="SSN102" s="162"/>
      <c r="SSO102" s="162"/>
      <c r="SSP102" s="162"/>
      <c r="SSQ102" s="162"/>
      <c r="SSR102" s="162"/>
      <c r="SSS102" s="162"/>
      <c r="SST102" s="162"/>
      <c r="SSU102" s="162"/>
      <c r="SSV102" s="162"/>
      <c r="SSW102" s="162"/>
      <c r="SSX102" s="162"/>
      <c r="SSY102" s="162"/>
      <c r="SSZ102" s="162"/>
      <c r="STA102" s="162"/>
      <c r="STB102" s="162"/>
      <c r="STC102" s="162"/>
      <c r="STD102" s="162"/>
      <c r="STE102" s="162"/>
      <c r="STF102" s="162"/>
      <c r="STG102" s="162"/>
      <c r="STH102" s="162"/>
      <c r="STI102" s="162"/>
      <c r="STJ102" s="162"/>
      <c r="STK102" s="162"/>
      <c r="STL102" s="162"/>
      <c r="STM102" s="162"/>
      <c r="STN102" s="162"/>
      <c r="STO102" s="162"/>
      <c r="STP102" s="162"/>
      <c r="STQ102" s="162"/>
      <c r="STR102" s="162"/>
      <c r="STS102" s="162"/>
      <c r="STT102" s="162"/>
      <c r="STU102" s="162"/>
      <c r="STV102" s="162"/>
      <c r="STW102" s="162"/>
      <c r="STX102" s="162"/>
      <c r="STY102" s="162"/>
      <c r="STZ102" s="162"/>
      <c r="SUA102" s="162"/>
      <c r="SUB102" s="162"/>
      <c r="SUC102" s="162"/>
      <c r="SUD102" s="162"/>
      <c r="SUE102" s="162"/>
      <c r="SUF102" s="162"/>
      <c r="SUG102" s="162"/>
      <c r="SUH102" s="162"/>
      <c r="SUI102" s="162"/>
      <c r="SUJ102" s="162"/>
      <c r="SUK102" s="162"/>
      <c r="SUL102" s="162"/>
      <c r="SUM102" s="162"/>
      <c r="SUN102" s="162"/>
      <c r="SUO102" s="162"/>
      <c r="SUP102" s="162"/>
      <c r="SUQ102" s="162"/>
      <c r="SUR102" s="162"/>
      <c r="SUS102" s="162"/>
      <c r="SUT102" s="162"/>
      <c r="SUU102" s="162"/>
      <c r="SUV102" s="162"/>
      <c r="SUW102" s="162"/>
      <c r="SUX102" s="162"/>
      <c r="SUY102" s="162"/>
      <c r="SUZ102" s="162"/>
      <c r="SVA102" s="162"/>
      <c r="SVB102" s="162"/>
      <c r="SVC102" s="162"/>
      <c r="SVD102" s="162"/>
      <c r="SVE102" s="162"/>
      <c r="SVF102" s="162"/>
      <c r="SVG102" s="162"/>
      <c r="SVH102" s="162"/>
      <c r="SVI102" s="162"/>
      <c r="SVJ102" s="162"/>
      <c r="SVK102" s="162"/>
      <c r="SVL102" s="162"/>
      <c r="SVM102" s="162"/>
      <c r="SVN102" s="162"/>
      <c r="SVO102" s="162"/>
      <c r="SVP102" s="162"/>
      <c r="SVQ102" s="162"/>
      <c r="SVR102" s="162"/>
      <c r="SVS102" s="162"/>
      <c r="SVT102" s="162"/>
      <c r="SVU102" s="162"/>
      <c r="SVV102" s="162"/>
      <c r="SVW102" s="162"/>
      <c r="SVX102" s="162"/>
      <c r="SVY102" s="162"/>
      <c r="SVZ102" s="162"/>
      <c r="SWA102" s="162"/>
      <c r="SWB102" s="162"/>
      <c r="SWC102" s="162"/>
      <c r="SWD102" s="162"/>
      <c r="SWE102" s="162"/>
      <c r="SWF102" s="162"/>
      <c r="SWG102" s="162"/>
      <c r="SWH102" s="162"/>
      <c r="SWI102" s="162"/>
      <c r="SWJ102" s="162"/>
      <c r="SWK102" s="162"/>
      <c r="SWL102" s="162"/>
      <c r="SWM102" s="162"/>
      <c r="SWN102" s="162"/>
      <c r="SWO102" s="162"/>
      <c r="SWP102" s="162"/>
      <c r="SWQ102" s="162"/>
      <c r="SWR102" s="162"/>
      <c r="SWS102" s="162"/>
      <c r="SWT102" s="162"/>
      <c r="SWU102" s="162"/>
      <c r="SWV102" s="162"/>
      <c r="SWW102" s="162"/>
      <c r="SWX102" s="162"/>
      <c r="SWY102" s="162"/>
      <c r="SWZ102" s="162"/>
      <c r="SXA102" s="162"/>
      <c r="SXB102" s="162"/>
      <c r="SXC102" s="162"/>
      <c r="SXD102" s="162"/>
      <c r="SXE102" s="162"/>
      <c r="SXF102" s="162"/>
      <c r="SXG102" s="162"/>
      <c r="SXH102" s="162"/>
      <c r="SXI102" s="162"/>
      <c r="SXJ102" s="162"/>
      <c r="SXK102" s="162"/>
      <c r="SXL102" s="162"/>
      <c r="SXM102" s="162"/>
      <c r="SXN102" s="162"/>
      <c r="SXO102" s="162"/>
      <c r="SXP102" s="162"/>
      <c r="SXQ102" s="162"/>
      <c r="SXR102" s="162"/>
      <c r="SXS102" s="162"/>
      <c r="SXT102" s="162"/>
      <c r="SXU102" s="162"/>
      <c r="SXV102" s="162"/>
      <c r="SXW102" s="162"/>
      <c r="SXX102" s="162"/>
      <c r="SXY102" s="162"/>
      <c r="SXZ102" s="162"/>
      <c r="SYA102" s="162"/>
      <c r="SYB102" s="162"/>
      <c r="SYC102" s="162"/>
      <c r="SYD102" s="162"/>
      <c r="SYE102" s="162"/>
      <c r="SYF102" s="162"/>
      <c r="SYG102" s="162"/>
      <c r="SYH102" s="162"/>
      <c r="SYI102" s="162"/>
      <c r="SYJ102" s="162"/>
      <c r="SYK102" s="162"/>
      <c r="SYL102" s="162"/>
      <c r="SYM102" s="162"/>
      <c r="SYN102" s="162"/>
      <c r="SYO102" s="162"/>
      <c r="SYP102" s="162"/>
      <c r="SYQ102" s="162"/>
      <c r="SYR102" s="162"/>
      <c r="SYS102" s="162"/>
      <c r="SYT102" s="162"/>
      <c r="SYU102" s="162"/>
      <c r="SYV102" s="162"/>
      <c r="SYW102" s="162"/>
      <c r="SYX102" s="162"/>
      <c r="SYY102" s="162"/>
      <c r="SYZ102" s="162"/>
      <c r="SZA102" s="162"/>
      <c r="SZB102" s="162"/>
      <c r="SZC102" s="162"/>
      <c r="SZD102" s="162"/>
      <c r="SZE102" s="162"/>
      <c r="SZF102" s="162"/>
      <c r="SZG102" s="162"/>
      <c r="SZH102" s="162"/>
      <c r="SZI102" s="162"/>
      <c r="SZJ102" s="162"/>
      <c r="SZK102" s="162"/>
      <c r="SZL102" s="162"/>
      <c r="SZM102" s="162"/>
      <c r="SZN102" s="162"/>
      <c r="SZO102" s="162"/>
      <c r="SZP102" s="162"/>
      <c r="SZQ102" s="162"/>
      <c r="SZR102" s="162"/>
      <c r="SZS102" s="162"/>
      <c r="SZT102" s="162"/>
      <c r="SZU102" s="162"/>
      <c r="SZV102" s="162"/>
      <c r="SZW102" s="162"/>
      <c r="SZX102" s="162"/>
      <c r="SZY102" s="162"/>
      <c r="SZZ102" s="162"/>
      <c r="TAA102" s="162"/>
      <c r="TAB102" s="162"/>
      <c r="TAC102" s="162"/>
      <c r="TAD102" s="162"/>
      <c r="TAE102" s="162"/>
      <c r="TAF102" s="162"/>
      <c r="TAG102" s="162"/>
      <c r="TAH102" s="162"/>
      <c r="TAI102" s="162"/>
      <c r="TAJ102" s="162"/>
      <c r="TAK102" s="162"/>
      <c r="TAL102" s="162"/>
      <c r="TAM102" s="162"/>
      <c r="TAN102" s="162"/>
      <c r="TAO102" s="162"/>
      <c r="TAP102" s="162"/>
      <c r="TAQ102" s="162"/>
      <c r="TAR102" s="162"/>
      <c r="TAS102" s="162"/>
      <c r="TAT102" s="162"/>
      <c r="TAU102" s="162"/>
      <c r="TAV102" s="162"/>
      <c r="TAW102" s="162"/>
      <c r="TAX102" s="162"/>
      <c r="TAY102" s="162"/>
      <c r="TAZ102" s="162"/>
      <c r="TBA102" s="162"/>
      <c r="TBB102" s="162"/>
      <c r="TBC102" s="162"/>
      <c r="TBD102" s="162"/>
      <c r="TBE102" s="162"/>
      <c r="TBF102" s="162"/>
      <c r="TBG102" s="162"/>
      <c r="TBH102" s="162"/>
      <c r="TBI102" s="162"/>
      <c r="TBJ102" s="162"/>
      <c r="TBK102" s="162"/>
      <c r="TBL102" s="162"/>
      <c r="TBM102" s="162"/>
      <c r="TBN102" s="162"/>
      <c r="TBO102" s="162"/>
      <c r="TBP102" s="162"/>
      <c r="TBQ102" s="162"/>
      <c r="TBR102" s="162"/>
      <c r="TBS102" s="162"/>
      <c r="TBT102" s="162"/>
      <c r="TBU102" s="162"/>
      <c r="TBV102" s="162"/>
      <c r="TBW102" s="162"/>
      <c r="TBX102" s="162"/>
      <c r="TBY102" s="162"/>
      <c r="TBZ102" s="162"/>
      <c r="TCA102" s="162"/>
      <c r="TCB102" s="162"/>
      <c r="TCC102" s="162"/>
      <c r="TCD102" s="162"/>
      <c r="TCE102" s="162"/>
      <c r="TCF102" s="162"/>
      <c r="TCG102" s="162"/>
      <c r="TCH102" s="162"/>
      <c r="TCI102" s="162"/>
      <c r="TCJ102" s="162"/>
      <c r="TCK102" s="162"/>
      <c r="TCL102" s="162"/>
      <c r="TCM102" s="162"/>
      <c r="TCN102" s="162"/>
      <c r="TCO102" s="162"/>
      <c r="TCP102" s="162"/>
      <c r="TCQ102" s="162"/>
      <c r="TCR102" s="162"/>
      <c r="TCS102" s="162"/>
      <c r="TCT102" s="162"/>
      <c r="TCU102" s="162"/>
      <c r="TCV102" s="162"/>
      <c r="TCW102" s="162"/>
      <c r="TCX102" s="162"/>
      <c r="TCY102" s="162"/>
      <c r="TCZ102" s="162"/>
      <c r="TDA102" s="162"/>
      <c r="TDB102" s="162"/>
      <c r="TDC102" s="162"/>
      <c r="TDD102" s="162"/>
      <c r="TDE102" s="162"/>
      <c r="TDF102" s="162"/>
      <c r="TDG102" s="162"/>
      <c r="TDH102" s="162"/>
      <c r="TDI102" s="162"/>
      <c r="TDJ102" s="162"/>
      <c r="TDK102" s="162"/>
      <c r="TDL102" s="162"/>
      <c r="TDM102" s="162"/>
      <c r="TDN102" s="162"/>
      <c r="TDO102" s="162"/>
      <c r="TDP102" s="162"/>
      <c r="TDQ102" s="162"/>
      <c r="TDR102" s="162"/>
      <c r="TDS102" s="162"/>
      <c r="TDT102" s="162"/>
      <c r="TDU102" s="162"/>
      <c r="TDV102" s="162"/>
      <c r="TDW102" s="162"/>
      <c r="TDX102" s="162"/>
      <c r="TDY102" s="162"/>
      <c r="TDZ102" s="162"/>
      <c r="TEA102" s="162"/>
      <c r="TEB102" s="162"/>
      <c r="TEC102" s="162"/>
      <c r="TED102" s="162"/>
      <c r="TEE102" s="162"/>
      <c r="TEF102" s="162"/>
      <c r="TEG102" s="162"/>
      <c r="TEH102" s="162"/>
      <c r="TEI102" s="162"/>
      <c r="TEJ102" s="162"/>
      <c r="TEK102" s="162"/>
      <c r="TEL102" s="162"/>
      <c r="TEM102" s="162"/>
      <c r="TEN102" s="162"/>
      <c r="TEO102" s="162"/>
      <c r="TEP102" s="162"/>
      <c r="TEQ102" s="162"/>
      <c r="TER102" s="162"/>
      <c r="TES102" s="162"/>
      <c r="TET102" s="162"/>
      <c r="TEU102" s="162"/>
      <c r="TEV102" s="162"/>
      <c r="TEW102" s="162"/>
      <c r="TEX102" s="162"/>
      <c r="TEY102" s="162"/>
      <c r="TEZ102" s="162"/>
      <c r="TFA102" s="162"/>
      <c r="TFB102" s="162"/>
      <c r="TFC102" s="162"/>
      <c r="TFD102" s="162"/>
      <c r="TFE102" s="162"/>
      <c r="TFF102" s="162"/>
      <c r="TFG102" s="162"/>
      <c r="TFH102" s="162"/>
      <c r="TFI102" s="162"/>
      <c r="TFJ102" s="162"/>
      <c r="TFK102" s="162"/>
      <c r="TFL102" s="162"/>
      <c r="TFM102" s="162"/>
      <c r="TFN102" s="162"/>
      <c r="TFO102" s="162"/>
      <c r="TFP102" s="162"/>
      <c r="TFQ102" s="162"/>
      <c r="TFR102" s="162"/>
      <c r="TFS102" s="162"/>
      <c r="TFT102" s="162"/>
      <c r="TFU102" s="162"/>
      <c r="TFV102" s="162"/>
      <c r="TFW102" s="162"/>
      <c r="TFX102" s="162"/>
      <c r="TFY102" s="162"/>
      <c r="TFZ102" s="162"/>
      <c r="TGA102" s="162"/>
      <c r="TGB102" s="162"/>
      <c r="TGC102" s="162"/>
      <c r="TGD102" s="162"/>
      <c r="TGE102" s="162"/>
      <c r="TGF102" s="162"/>
      <c r="TGG102" s="162"/>
      <c r="TGH102" s="162"/>
      <c r="TGI102" s="162"/>
      <c r="TGJ102" s="162"/>
      <c r="TGK102" s="162"/>
      <c r="TGL102" s="162"/>
      <c r="TGM102" s="162"/>
      <c r="TGN102" s="162"/>
      <c r="TGO102" s="162"/>
      <c r="TGP102" s="162"/>
      <c r="TGQ102" s="162"/>
      <c r="TGR102" s="162"/>
      <c r="TGS102" s="162"/>
      <c r="TGT102" s="162"/>
      <c r="TGU102" s="162"/>
      <c r="TGV102" s="162"/>
      <c r="TGW102" s="162"/>
      <c r="TGX102" s="162"/>
      <c r="TGY102" s="162"/>
      <c r="TGZ102" s="162"/>
      <c r="THA102" s="162"/>
      <c r="THB102" s="162"/>
      <c r="THC102" s="162"/>
      <c r="THD102" s="162"/>
      <c r="THE102" s="162"/>
      <c r="THF102" s="162"/>
      <c r="THG102" s="162"/>
      <c r="THH102" s="162"/>
      <c r="THI102" s="162"/>
      <c r="THJ102" s="162"/>
      <c r="THK102" s="162"/>
      <c r="THL102" s="162"/>
      <c r="THM102" s="162"/>
      <c r="THN102" s="162"/>
      <c r="THO102" s="162"/>
      <c r="THP102" s="162"/>
      <c r="THQ102" s="162"/>
      <c r="THR102" s="162"/>
      <c r="THS102" s="162"/>
      <c r="THT102" s="162"/>
      <c r="THU102" s="162"/>
      <c r="THV102" s="162"/>
      <c r="THW102" s="162"/>
      <c r="THX102" s="162"/>
      <c r="THY102" s="162"/>
      <c r="THZ102" s="162"/>
      <c r="TIA102" s="162"/>
      <c r="TIB102" s="162"/>
      <c r="TIC102" s="162"/>
      <c r="TID102" s="162"/>
      <c r="TIE102" s="162"/>
      <c r="TIF102" s="162"/>
      <c r="TIG102" s="162"/>
      <c r="TIH102" s="162"/>
      <c r="TII102" s="162"/>
      <c r="TIJ102" s="162"/>
      <c r="TIK102" s="162"/>
      <c r="TIL102" s="162"/>
      <c r="TIM102" s="162"/>
      <c r="TIN102" s="162"/>
      <c r="TIO102" s="162"/>
      <c r="TIP102" s="162"/>
      <c r="TIQ102" s="162"/>
      <c r="TIR102" s="162"/>
      <c r="TIS102" s="162"/>
      <c r="TIT102" s="162"/>
      <c r="TIU102" s="162"/>
      <c r="TIV102" s="162"/>
      <c r="TIW102" s="162"/>
      <c r="TIX102" s="162"/>
      <c r="TIY102" s="162"/>
      <c r="TIZ102" s="162"/>
      <c r="TJA102" s="162"/>
      <c r="TJB102" s="162"/>
      <c r="TJC102" s="162"/>
      <c r="TJD102" s="162"/>
      <c r="TJE102" s="162"/>
      <c r="TJF102" s="162"/>
      <c r="TJG102" s="162"/>
      <c r="TJH102" s="162"/>
      <c r="TJI102" s="162"/>
      <c r="TJJ102" s="162"/>
      <c r="TJK102" s="162"/>
      <c r="TJL102" s="162"/>
      <c r="TJM102" s="162"/>
      <c r="TJN102" s="162"/>
      <c r="TJO102" s="162"/>
      <c r="TJP102" s="162"/>
      <c r="TJQ102" s="162"/>
      <c r="TJR102" s="162"/>
      <c r="TJS102" s="162"/>
      <c r="TJT102" s="162"/>
      <c r="TJU102" s="162"/>
      <c r="TJV102" s="162"/>
      <c r="TJW102" s="162"/>
      <c r="TJX102" s="162"/>
      <c r="TJY102" s="162"/>
      <c r="TJZ102" s="162"/>
      <c r="TKA102" s="162"/>
      <c r="TKB102" s="162"/>
      <c r="TKC102" s="162"/>
      <c r="TKD102" s="162"/>
      <c r="TKE102" s="162"/>
      <c r="TKF102" s="162"/>
      <c r="TKG102" s="162"/>
      <c r="TKH102" s="162"/>
      <c r="TKI102" s="162"/>
      <c r="TKJ102" s="162"/>
      <c r="TKK102" s="162"/>
      <c r="TKL102" s="162"/>
      <c r="TKM102" s="162"/>
      <c r="TKN102" s="162"/>
      <c r="TKO102" s="162"/>
      <c r="TKP102" s="162"/>
      <c r="TKQ102" s="162"/>
      <c r="TKR102" s="162"/>
      <c r="TKS102" s="162"/>
      <c r="TKT102" s="162"/>
      <c r="TKU102" s="162"/>
      <c r="TKV102" s="162"/>
      <c r="TKW102" s="162"/>
      <c r="TKX102" s="162"/>
      <c r="TKY102" s="162"/>
      <c r="TKZ102" s="162"/>
      <c r="TLA102" s="162"/>
      <c r="TLB102" s="162"/>
      <c r="TLC102" s="162"/>
      <c r="TLD102" s="162"/>
      <c r="TLE102" s="162"/>
      <c r="TLF102" s="162"/>
      <c r="TLG102" s="162"/>
      <c r="TLH102" s="162"/>
      <c r="TLI102" s="162"/>
      <c r="TLJ102" s="162"/>
      <c r="TLK102" s="162"/>
      <c r="TLL102" s="162"/>
      <c r="TLM102" s="162"/>
      <c r="TLN102" s="162"/>
      <c r="TLO102" s="162"/>
      <c r="TLP102" s="162"/>
      <c r="TLQ102" s="162"/>
      <c r="TLR102" s="162"/>
      <c r="TLS102" s="162"/>
      <c r="TLT102" s="162"/>
      <c r="TLU102" s="162"/>
      <c r="TLV102" s="162"/>
      <c r="TLW102" s="162"/>
      <c r="TLX102" s="162"/>
      <c r="TLY102" s="162"/>
      <c r="TLZ102" s="162"/>
      <c r="TMA102" s="162"/>
      <c r="TMB102" s="162"/>
      <c r="TMC102" s="162"/>
      <c r="TMD102" s="162"/>
      <c r="TME102" s="162"/>
      <c r="TMF102" s="162"/>
      <c r="TMG102" s="162"/>
      <c r="TMH102" s="162"/>
      <c r="TMI102" s="162"/>
      <c r="TMJ102" s="162"/>
      <c r="TMK102" s="162"/>
      <c r="TML102" s="162"/>
      <c r="TMM102" s="162"/>
      <c r="TMN102" s="162"/>
      <c r="TMO102" s="162"/>
      <c r="TMP102" s="162"/>
      <c r="TMQ102" s="162"/>
      <c r="TMR102" s="162"/>
      <c r="TMS102" s="162"/>
      <c r="TMT102" s="162"/>
      <c r="TMU102" s="162"/>
      <c r="TMV102" s="162"/>
      <c r="TMW102" s="162"/>
      <c r="TMX102" s="162"/>
      <c r="TMY102" s="162"/>
      <c r="TMZ102" s="162"/>
      <c r="TNA102" s="162"/>
      <c r="TNB102" s="162"/>
      <c r="TNC102" s="162"/>
      <c r="TND102" s="162"/>
      <c r="TNE102" s="162"/>
      <c r="TNF102" s="162"/>
      <c r="TNG102" s="162"/>
      <c r="TNH102" s="162"/>
      <c r="TNI102" s="162"/>
      <c r="TNJ102" s="162"/>
      <c r="TNK102" s="162"/>
      <c r="TNL102" s="162"/>
      <c r="TNM102" s="162"/>
      <c r="TNN102" s="162"/>
      <c r="TNO102" s="162"/>
      <c r="TNP102" s="162"/>
      <c r="TNQ102" s="162"/>
      <c r="TNR102" s="162"/>
      <c r="TNS102" s="162"/>
      <c r="TNT102" s="162"/>
      <c r="TNU102" s="162"/>
      <c r="TNV102" s="162"/>
      <c r="TNW102" s="162"/>
      <c r="TNX102" s="162"/>
      <c r="TNY102" s="162"/>
      <c r="TNZ102" s="162"/>
      <c r="TOA102" s="162"/>
      <c r="TOB102" s="162"/>
      <c r="TOC102" s="162"/>
      <c r="TOD102" s="162"/>
      <c r="TOE102" s="162"/>
      <c r="TOF102" s="162"/>
      <c r="TOG102" s="162"/>
      <c r="TOH102" s="162"/>
      <c r="TOI102" s="162"/>
      <c r="TOJ102" s="162"/>
      <c r="TOK102" s="162"/>
      <c r="TOL102" s="162"/>
      <c r="TOM102" s="162"/>
      <c r="TON102" s="162"/>
      <c r="TOO102" s="162"/>
      <c r="TOP102" s="162"/>
      <c r="TOQ102" s="162"/>
      <c r="TOR102" s="162"/>
      <c r="TOS102" s="162"/>
      <c r="TOT102" s="162"/>
      <c r="TOU102" s="162"/>
      <c r="TOV102" s="162"/>
      <c r="TOW102" s="162"/>
      <c r="TOX102" s="162"/>
      <c r="TOY102" s="162"/>
      <c r="TOZ102" s="162"/>
      <c r="TPA102" s="162"/>
      <c r="TPB102" s="162"/>
      <c r="TPC102" s="162"/>
      <c r="TPD102" s="162"/>
      <c r="TPE102" s="162"/>
      <c r="TPF102" s="162"/>
      <c r="TPG102" s="162"/>
      <c r="TPH102" s="162"/>
      <c r="TPI102" s="162"/>
      <c r="TPJ102" s="162"/>
      <c r="TPK102" s="162"/>
      <c r="TPL102" s="162"/>
      <c r="TPM102" s="162"/>
      <c r="TPN102" s="162"/>
      <c r="TPO102" s="162"/>
      <c r="TPP102" s="162"/>
      <c r="TPQ102" s="162"/>
      <c r="TPR102" s="162"/>
      <c r="TPS102" s="162"/>
      <c r="TPT102" s="162"/>
      <c r="TPU102" s="162"/>
      <c r="TPV102" s="162"/>
      <c r="TPW102" s="162"/>
      <c r="TPX102" s="162"/>
      <c r="TPY102" s="162"/>
      <c r="TPZ102" s="162"/>
      <c r="TQA102" s="162"/>
      <c r="TQB102" s="162"/>
      <c r="TQC102" s="162"/>
      <c r="TQD102" s="162"/>
      <c r="TQE102" s="162"/>
      <c r="TQF102" s="162"/>
      <c r="TQG102" s="162"/>
      <c r="TQH102" s="162"/>
      <c r="TQI102" s="162"/>
      <c r="TQJ102" s="162"/>
      <c r="TQK102" s="162"/>
      <c r="TQL102" s="162"/>
      <c r="TQM102" s="162"/>
      <c r="TQN102" s="162"/>
      <c r="TQO102" s="162"/>
      <c r="TQP102" s="162"/>
      <c r="TQQ102" s="162"/>
      <c r="TQR102" s="162"/>
      <c r="TQS102" s="162"/>
      <c r="TQT102" s="162"/>
      <c r="TQU102" s="162"/>
      <c r="TQV102" s="162"/>
      <c r="TQW102" s="162"/>
      <c r="TQX102" s="162"/>
      <c r="TQY102" s="162"/>
      <c r="TQZ102" s="162"/>
      <c r="TRA102" s="162"/>
      <c r="TRB102" s="162"/>
      <c r="TRC102" s="162"/>
      <c r="TRD102" s="162"/>
      <c r="TRE102" s="162"/>
      <c r="TRF102" s="162"/>
      <c r="TRG102" s="162"/>
      <c r="TRH102" s="162"/>
      <c r="TRI102" s="162"/>
      <c r="TRJ102" s="162"/>
      <c r="TRK102" s="162"/>
      <c r="TRL102" s="162"/>
      <c r="TRM102" s="162"/>
      <c r="TRN102" s="162"/>
      <c r="TRO102" s="162"/>
      <c r="TRP102" s="162"/>
      <c r="TRQ102" s="162"/>
      <c r="TRR102" s="162"/>
      <c r="TRS102" s="162"/>
      <c r="TRT102" s="162"/>
      <c r="TRU102" s="162"/>
      <c r="TRV102" s="162"/>
      <c r="TRW102" s="162"/>
      <c r="TRX102" s="162"/>
      <c r="TRY102" s="162"/>
      <c r="TRZ102" s="162"/>
      <c r="TSA102" s="162"/>
      <c r="TSB102" s="162"/>
      <c r="TSC102" s="162"/>
      <c r="TSD102" s="162"/>
      <c r="TSE102" s="162"/>
      <c r="TSF102" s="162"/>
      <c r="TSG102" s="162"/>
      <c r="TSH102" s="162"/>
      <c r="TSI102" s="162"/>
      <c r="TSJ102" s="162"/>
      <c r="TSK102" s="162"/>
      <c r="TSL102" s="162"/>
      <c r="TSM102" s="162"/>
      <c r="TSN102" s="162"/>
      <c r="TSO102" s="162"/>
      <c r="TSP102" s="162"/>
      <c r="TSQ102" s="162"/>
      <c r="TSR102" s="162"/>
      <c r="TSS102" s="162"/>
      <c r="TST102" s="162"/>
      <c r="TSU102" s="162"/>
      <c r="TSV102" s="162"/>
      <c r="TSW102" s="162"/>
      <c r="TSX102" s="162"/>
      <c r="TSY102" s="162"/>
      <c r="TSZ102" s="162"/>
      <c r="TTA102" s="162"/>
      <c r="TTB102" s="162"/>
      <c r="TTC102" s="162"/>
      <c r="TTD102" s="162"/>
      <c r="TTE102" s="162"/>
      <c r="TTF102" s="162"/>
      <c r="TTG102" s="162"/>
      <c r="TTH102" s="162"/>
      <c r="TTI102" s="162"/>
      <c r="TTJ102" s="162"/>
      <c r="TTK102" s="162"/>
      <c r="TTL102" s="162"/>
      <c r="TTM102" s="162"/>
      <c r="TTN102" s="162"/>
      <c r="TTO102" s="162"/>
      <c r="TTP102" s="162"/>
      <c r="TTQ102" s="162"/>
      <c r="TTR102" s="162"/>
      <c r="TTS102" s="162"/>
      <c r="TTT102" s="162"/>
      <c r="TTU102" s="162"/>
      <c r="TTV102" s="162"/>
      <c r="TTW102" s="162"/>
      <c r="TTX102" s="162"/>
      <c r="TTY102" s="162"/>
      <c r="TTZ102" s="162"/>
      <c r="TUA102" s="162"/>
      <c r="TUB102" s="162"/>
      <c r="TUC102" s="162"/>
      <c r="TUD102" s="162"/>
      <c r="TUE102" s="162"/>
      <c r="TUF102" s="162"/>
      <c r="TUG102" s="162"/>
      <c r="TUH102" s="162"/>
      <c r="TUI102" s="162"/>
      <c r="TUJ102" s="162"/>
      <c r="TUK102" s="162"/>
      <c r="TUL102" s="162"/>
      <c r="TUM102" s="162"/>
      <c r="TUN102" s="162"/>
      <c r="TUO102" s="162"/>
      <c r="TUP102" s="162"/>
      <c r="TUQ102" s="162"/>
      <c r="TUR102" s="162"/>
      <c r="TUS102" s="162"/>
      <c r="TUT102" s="162"/>
      <c r="TUU102" s="162"/>
      <c r="TUV102" s="162"/>
      <c r="TUW102" s="162"/>
      <c r="TUX102" s="162"/>
      <c r="TUY102" s="162"/>
      <c r="TUZ102" s="162"/>
      <c r="TVA102" s="162"/>
      <c r="TVB102" s="162"/>
      <c r="TVC102" s="162"/>
      <c r="TVD102" s="162"/>
      <c r="TVE102" s="162"/>
      <c r="TVF102" s="162"/>
      <c r="TVG102" s="162"/>
      <c r="TVH102" s="162"/>
      <c r="TVI102" s="162"/>
      <c r="TVJ102" s="162"/>
      <c r="TVK102" s="162"/>
      <c r="TVL102" s="162"/>
      <c r="TVM102" s="162"/>
      <c r="TVN102" s="162"/>
      <c r="TVO102" s="162"/>
      <c r="TVP102" s="162"/>
      <c r="TVQ102" s="162"/>
      <c r="TVR102" s="162"/>
      <c r="TVS102" s="162"/>
      <c r="TVT102" s="162"/>
      <c r="TVU102" s="162"/>
      <c r="TVV102" s="162"/>
      <c r="TVW102" s="162"/>
      <c r="TVX102" s="162"/>
      <c r="TVY102" s="162"/>
      <c r="TVZ102" s="162"/>
      <c r="TWA102" s="162"/>
      <c r="TWB102" s="162"/>
      <c r="TWC102" s="162"/>
      <c r="TWD102" s="162"/>
      <c r="TWE102" s="162"/>
      <c r="TWF102" s="162"/>
      <c r="TWG102" s="162"/>
      <c r="TWH102" s="162"/>
      <c r="TWI102" s="162"/>
      <c r="TWJ102" s="162"/>
      <c r="TWK102" s="162"/>
      <c r="TWL102" s="162"/>
      <c r="TWM102" s="162"/>
      <c r="TWN102" s="162"/>
      <c r="TWO102" s="162"/>
      <c r="TWP102" s="162"/>
      <c r="TWQ102" s="162"/>
      <c r="TWR102" s="162"/>
      <c r="TWS102" s="162"/>
      <c r="TWT102" s="162"/>
      <c r="TWU102" s="162"/>
      <c r="TWV102" s="162"/>
      <c r="TWW102" s="162"/>
      <c r="TWX102" s="162"/>
      <c r="TWY102" s="162"/>
      <c r="TWZ102" s="162"/>
      <c r="TXA102" s="162"/>
      <c r="TXB102" s="162"/>
      <c r="TXC102" s="162"/>
      <c r="TXD102" s="162"/>
      <c r="TXE102" s="162"/>
      <c r="TXF102" s="162"/>
      <c r="TXG102" s="162"/>
      <c r="TXH102" s="162"/>
      <c r="TXI102" s="162"/>
      <c r="TXJ102" s="162"/>
      <c r="TXK102" s="162"/>
      <c r="TXL102" s="162"/>
      <c r="TXM102" s="162"/>
      <c r="TXN102" s="162"/>
      <c r="TXO102" s="162"/>
      <c r="TXP102" s="162"/>
      <c r="TXQ102" s="162"/>
      <c r="TXR102" s="162"/>
      <c r="TXS102" s="162"/>
      <c r="TXT102" s="162"/>
      <c r="TXU102" s="162"/>
      <c r="TXV102" s="162"/>
      <c r="TXW102" s="162"/>
      <c r="TXX102" s="162"/>
      <c r="TXY102" s="162"/>
      <c r="TXZ102" s="162"/>
      <c r="TYA102" s="162"/>
      <c r="TYB102" s="162"/>
      <c r="TYC102" s="162"/>
      <c r="TYD102" s="162"/>
      <c r="TYE102" s="162"/>
      <c r="TYF102" s="162"/>
      <c r="TYG102" s="162"/>
      <c r="TYH102" s="162"/>
      <c r="TYI102" s="162"/>
      <c r="TYJ102" s="162"/>
      <c r="TYK102" s="162"/>
      <c r="TYL102" s="162"/>
      <c r="TYM102" s="162"/>
      <c r="TYN102" s="162"/>
      <c r="TYO102" s="162"/>
      <c r="TYP102" s="162"/>
      <c r="TYQ102" s="162"/>
      <c r="TYR102" s="162"/>
      <c r="TYS102" s="162"/>
      <c r="TYT102" s="162"/>
      <c r="TYU102" s="162"/>
      <c r="TYV102" s="162"/>
      <c r="TYW102" s="162"/>
      <c r="TYX102" s="162"/>
      <c r="TYY102" s="162"/>
      <c r="TYZ102" s="162"/>
      <c r="TZA102" s="162"/>
      <c r="TZB102" s="162"/>
      <c r="TZC102" s="162"/>
      <c r="TZD102" s="162"/>
      <c r="TZE102" s="162"/>
      <c r="TZF102" s="162"/>
      <c r="TZG102" s="162"/>
      <c r="TZH102" s="162"/>
      <c r="TZI102" s="162"/>
      <c r="TZJ102" s="162"/>
      <c r="TZK102" s="162"/>
      <c r="TZL102" s="162"/>
      <c r="TZM102" s="162"/>
      <c r="TZN102" s="162"/>
      <c r="TZO102" s="162"/>
      <c r="TZP102" s="162"/>
      <c r="TZQ102" s="162"/>
      <c r="TZR102" s="162"/>
      <c r="TZS102" s="162"/>
      <c r="TZT102" s="162"/>
      <c r="TZU102" s="162"/>
      <c r="TZV102" s="162"/>
      <c r="TZW102" s="162"/>
      <c r="TZX102" s="162"/>
      <c r="TZY102" s="162"/>
      <c r="TZZ102" s="162"/>
      <c r="UAA102" s="162"/>
      <c r="UAB102" s="162"/>
      <c r="UAC102" s="162"/>
      <c r="UAD102" s="162"/>
      <c r="UAE102" s="162"/>
      <c r="UAF102" s="162"/>
      <c r="UAG102" s="162"/>
      <c r="UAH102" s="162"/>
      <c r="UAI102" s="162"/>
      <c r="UAJ102" s="162"/>
      <c r="UAK102" s="162"/>
      <c r="UAL102" s="162"/>
      <c r="UAM102" s="162"/>
      <c r="UAN102" s="162"/>
      <c r="UAO102" s="162"/>
      <c r="UAP102" s="162"/>
      <c r="UAQ102" s="162"/>
      <c r="UAR102" s="162"/>
      <c r="UAS102" s="162"/>
      <c r="UAT102" s="162"/>
      <c r="UAU102" s="162"/>
      <c r="UAV102" s="162"/>
      <c r="UAW102" s="162"/>
      <c r="UAX102" s="162"/>
      <c r="UAY102" s="162"/>
      <c r="UAZ102" s="162"/>
      <c r="UBA102" s="162"/>
      <c r="UBB102" s="162"/>
      <c r="UBC102" s="162"/>
      <c r="UBD102" s="162"/>
      <c r="UBE102" s="162"/>
      <c r="UBF102" s="162"/>
      <c r="UBG102" s="162"/>
      <c r="UBH102" s="162"/>
      <c r="UBI102" s="162"/>
      <c r="UBJ102" s="162"/>
      <c r="UBK102" s="162"/>
      <c r="UBL102" s="162"/>
      <c r="UBM102" s="162"/>
      <c r="UBN102" s="162"/>
      <c r="UBO102" s="162"/>
      <c r="UBP102" s="162"/>
      <c r="UBQ102" s="162"/>
      <c r="UBR102" s="162"/>
      <c r="UBS102" s="162"/>
      <c r="UBT102" s="162"/>
      <c r="UBU102" s="162"/>
      <c r="UBV102" s="162"/>
      <c r="UBW102" s="162"/>
      <c r="UBX102" s="162"/>
      <c r="UBY102" s="162"/>
      <c r="UBZ102" s="162"/>
      <c r="UCA102" s="162"/>
      <c r="UCB102" s="162"/>
      <c r="UCC102" s="162"/>
      <c r="UCD102" s="162"/>
      <c r="UCE102" s="162"/>
      <c r="UCF102" s="162"/>
      <c r="UCG102" s="162"/>
      <c r="UCH102" s="162"/>
      <c r="UCI102" s="162"/>
      <c r="UCJ102" s="162"/>
      <c r="UCK102" s="162"/>
      <c r="UCL102" s="162"/>
      <c r="UCM102" s="162"/>
      <c r="UCN102" s="162"/>
      <c r="UCO102" s="162"/>
      <c r="UCP102" s="162"/>
      <c r="UCQ102" s="162"/>
      <c r="UCR102" s="162"/>
      <c r="UCS102" s="162"/>
      <c r="UCT102" s="162"/>
      <c r="UCU102" s="162"/>
      <c r="UCV102" s="162"/>
      <c r="UCW102" s="162"/>
      <c r="UCX102" s="162"/>
      <c r="UCY102" s="162"/>
      <c r="UCZ102" s="162"/>
      <c r="UDA102" s="162"/>
      <c r="UDB102" s="162"/>
      <c r="UDC102" s="162"/>
      <c r="UDD102" s="162"/>
      <c r="UDE102" s="162"/>
      <c r="UDF102" s="162"/>
      <c r="UDG102" s="162"/>
      <c r="UDH102" s="162"/>
      <c r="UDI102" s="162"/>
      <c r="UDJ102" s="162"/>
      <c r="UDK102" s="162"/>
      <c r="UDL102" s="162"/>
      <c r="UDM102" s="162"/>
      <c r="UDN102" s="162"/>
      <c r="UDO102" s="162"/>
      <c r="UDP102" s="162"/>
      <c r="UDQ102" s="162"/>
      <c r="UDR102" s="162"/>
      <c r="UDS102" s="162"/>
      <c r="UDT102" s="162"/>
      <c r="UDU102" s="162"/>
      <c r="UDV102" s="162"/>
      <c r="UDW102" s="162"/>
      <c r="UDX102" s="162"/>
      <c r="UDY102" s="162"/>
      <c r="UDZ102" s="162"/>
      <c r="UEA102" s="162"/>
      <c r="UEB102" s="162"/>
      <c r="UEC102" s="162"/>
      <c r="UED102" s="162"/>
      <c r="UEE102" s="162"/>
      <c r="UEF102" s="162"/>
      <c r="UEG102" s="162"/>
      <c r="UEH102" s="162"/>
      <c r="UEI102" s="162"/>
      <c r="UEJ102" s="162"/>
      <c r="UEK102" s="162"/>
      <c r="UEL102" s="162"/>
      <c r="UEM102" s="162"/>
      <c r="UEN102" s="162"/>
      <c r="UEO102" s="162"/>
      <c r="UEP102" s="162"/>
      <c r="UEQ102" s="162"/>
      <c r="UER102" s="162"/>
      <c r="UES102" s="162"/>
      <c r="UET102" s="162"/>
      <c r="UEU102" s="162"/>
      <c r="UEV102" s="162"/>
      <c r="UEW102" s="162"/>
      <c r="UEX102" s="162"/>
      <c r="UEY102" s="162"/>
      <c r="UEZ102" s="162"/>
      <c r="UFA102" s="162"/>
      <c r="UFB102" s="162"/>
      <c r="UFC102" s="162"/>
      <c r="UFD102" s="162"/>
      <c r="UFE102" s="162"/>
      <c r="UFF102" s="162"/>
      <c r="UFG102" s="162"/>
      <c r="UFH102" s="162"/>
      <c r="UFI102" s="162"/>
      <c r="UFJ102" s="162"/>
      <c r="UFK102" s="162"/>
      <c r="UFL102" s="162"/>
      <c r="UFM102" s="162"/>
      <c r="UFN102" s="162"/>
      <c r="UFO102" s="162"/>
      <c r="UFP102" s="162"/>
      <c r="UFQ102" s="162"/>
      <c r="UFR102" s="162"/>
      <c r="UFS102" s="162"/>
      <c r="UFT102" s="162"/>
      <c r="UFU102" s="162"/>
      <c r="UFV102" s="162"/>
      <c r="UFW102" s="162"/>
      <c r="UFX102" s="162"/>
      <c r="UFY102" s="162"/>
      <c r="UFZ102" s="162"/>
      <c r="UGA102" s="162"/>
      <c r="UGB102" s="162"/>
      <c r="UGC102" s="162"/>
      <c r="UGD102" s="162"/>
      <c r="UGE102" s="162"/>
      <c r="UGF102" s="162"/>
      <c r="UGG102" s="162"/>
      <c r="UGH102" s="162"/>
      <c r="UGI102" s="162"/>
      <c r="UGJ102" s="162"/>
      <c r="UGK102" s="162"/>
      <c r="UGL102" s="162"/>
      <c r="UGM102" s="162"/>
      <c r="UGN102" s="162"/>
      <c r="UGO102" s="162"/>
      <c r="UGP102" s="162"/>
      <c r="UGQ102" s="162"/>
      <c r="UGR102" s="162"/>
      <c r="UGS102" s="162"/>
      <c r="UGT102" s="162"/>
      <c r="UGU102" s="162"/>
      <c r="UGV102" s="162"/>
      <c r="UGW102" s="162"/>
      <c r="UGX102" s="162"/>
      <c r="UGY102" s="162"/>
      <c r="UGZ102" s="162"/>
      <c r="UHA102" s="162"/>
      <c r="UHB102" s="162"/>
      <c r="UHC102" s="162"/>
      <c r="UHD102" s="162"/>
      <c r="UHE102" s="162"/>
      <c r="UHF102" s="162"/>
      <c r="UHG102" s="162"/>
      <c r="UHH102" s="162"/>
      <c r="UHI102" s="162"/>
      <c r="UHJ102" s="162"/>
      <c r="UHK102" s="162"/>
      <c r="UHL102" s="162"/>
      <c r="UHM102" s="162"/>
      <c r="UHN102" s="162"/>
      <c r="UHO102" s="162"/>
      <c r="UHP102" s="162"/>
      <c r="UHQ102" s="162"/>
      <c r="UHR102" s="162"/>
      <c r="UHS102" s="162"/>
      <c r="UHT102" s="162"/>
      <c r="UHU102" s="162"/>
      <c r="UHV102" s="162"/>
      <c r="UHW102" s="162"/>
      <c r="UHX102" s="162"/>
      <c r="UHY102" s="162"/>
      <c r="UHZ102" s="162"/>
      <c r="UIA102" s="162"/>
      <c r="UIB102" s="162"/>
      <c r="UIC102" s="162"/>
      <c r="UID102" s="162"/>
      <c r="UIE102" s="162"/>
      <c r="UIF102" s="162"/>
      <c r="UIG102" s="162"/>
      <c r="UIH102" s="162"/>
      <c r="UII102" s="162"/>
      <c r="UIJ102" s="162"/>
      <c r="UIK102" s="162"/>
      <c r="UIL102" s="162"/>
      <c r="UIM102" s="162"/>
      <c r="UIN102" s="162"/>
      <c r="UIO102" s="162"/>
      <c r="UIP102" s="162"/>
      <c r="UIQ102" s="162"/>
      <c r="UIR102" s="162"/>
      <c r="UIS102" s="162"/>
      <c r="UIT102" s="162"/>
      <c r="UIU102" s="162"/>
      <c r="UIV102" s="162"/>
      <c r="UIW102" s="162"/>
      <c r="UIX102" s="162"/>
      <c r="UIY102" s="162"/>
      <c r="UIZ102" s="162"/>
      <c r="UJA102" s="162"/>
      <c r="UJB102" s="162"/>
      <c r="UJC102" s="162"/>
      <c r="UJD102" s="162"/>
      <c r="UJE102" s="162"/>
      <c r="UJF102" s="162"/>
      <c r="UJG102" s="162"/>
      <c r="UJH102" s="162"/>
      <c r="UJI102" s="162"/>
      <c r="UJJ102" s="162"/>
      <c r="UJK102" s="162"/>
      <c r="UJL102" s="162"/>
      <c r="UJM102" s="162"/>
      <c r="UJN102" s="162"/>
      <c r="UJO102" s="162"/>
      <c r="UJP102" s="162"/>
      <c r="UJQ102" s="162"/>
      <c r="UJR102" s="162"/>
      <c r="UJS102" s="162"/>
      <c r="UJT102" s="162"/>
      <c r="UJU102" s="162"/>
      <c r="UJV102" s="162"/>
      <c r="UJW102" s="162"/>
      <c r="UJX102" s="162"/>
      <c r="UJY102" s="162"/>
      <c r="UJZ102" s="162"/>
      <c r="UKA102" s="162"/>
      <c r="UKB102" s="162"/>
      <c r="UKC102" s="162"/>
      <c r="UKD102" s="162"/>
      <c r="UKE102" s="162"/>
      <c r="UKF102" s="162"/>
      <c r="UKG102" s="162"/>
      <c r="UKH102" s="162"/>
      <c r="UKI102" s="162"/>
      <c r="UKJ102" s="162"/>
      <c r="UKK102" s="162"/>
      <c r="UKL102" s="162"/>
      <c r="UKM102" s="162"/>
      <c r="UKN102" s="162"/>
      <c r="UKO102" s="162"/>
      <c r="UKP102" s="162"/>
      <c r="UKQ102" s="162"/>
      <c r="UKR102" s="162"/>
      <c r="UKS102" s="162"/>
      <c r="UKT102" s="162"/>
      <c r="UKU102" s="162"/>
      <c r="UKV102" s="162"/>
      <c r="UKW102" s="162"/>
      <c r="UKX102" s="162"/>
      <c r="UKY102" s="162"/>
      <c r="UKZ102" s="162"/>
      <c r="ULA102" s="162"/>
      <c r="ULB102" s="162"/>
      <c r="ULC102" s="162"/>
      <c r="ULD102" s="162"/>
      <c r="ULE102" s="162"/>
      <c r="ULF102" s="162"/>
      <c r="ULG102" s="162"/>
      <c r="ULH102" s="162"/>
      <c r="ULI102" s="162"/>
      <c r="ULJ102" s="162"/>
      <c r="ULK102" s="162"/>
      <c r="ULL102" s="162"/>
      <c r="ULM102" s="162"/>
      <c r="ULN102" s="162"/>
      <c r="ULO102" s="162"/>
      <c r="ULP102" s="162"/>
      <c r="ULQ102" s="162"/>
      <c r="ULR102" s="162"/>
      <c r="ULS102" s="162"/>
      <c r="ULT102" s="162"/>
      <c r="ULU102" s="162"/>
      <c r="ULV102" s="162"/>
      <c r="ULW102" s="162"/>
      <c r="ULX102" s="162"/>
      <c r="ULY102" s="162"/>
      <c r="ULZ102" s="162"/>
      <c r="UMA102" s="162"/>
      <c r="UMB102" s="162"/>
      <c r="UMC102" s="162"/>
      <c r="UMD102" s="162"/>
      <c r="UME102" s="162"/>
      <c r="UMF102" s="162"/>
      <c r="UMG102" s="162"/>
      <c r="UMH102" s="162"/>
      <c r="UMI102" s="162"/>
      <c r="UMJ102" s="162"/>
      <c r="UMK102" s="162"/>
      <c r="UML102" s="162"/>
      <c r="UMM102" s="162"/>
      <c r="UMN102" s="162"/>
      <c r="UMO102" s="162"/>
      <c r="UMP102" s="162"/>
      <c r="UMQ102" s="162"/>
      <c r="UMR102" s="162"/>
      <c r="UMS102" s="162"/>
      <c r="UMT102" s="162"/>
      <c r="UMU102" s="162"/>
      <c r="UMV102" s="162"/>
      <c r="UMW102" s="162"/>
      <c r="UMX102" s="162"/>
      <c r="UMY102" s="162"/>
      <c r="UMZ102" s="162"/>
      <c r="UNA102" s="162"/>
      <c r="UNB102" s="162"/>
      <c r="UNC102" s="162"/>
      <c r="UND102" s="162"/>
      <c r="UNE102" s="162"/>
      <c r="UNF102" s="162"/>
      <c r="UNG102" s="162"/>
      <c r="UNH102" s="162"/>
      <c r="UNI102" s="162"/>
      <c r="UNJ102" s="162"/>
      <c r="UNK102" s="162"/>
      <c r="UNL102" s="162"/>
      <c r="UNM102" s="162"/>
      <c r="UNN102" s="162"/>
      <c r="UNO102" s="162"/>
      <c r="UNP102" s="162"/>
      <c r="UNQ102" s="162"/>
      <c r="UNR102" s="162"/>
      <c r="UNS102" s="162"/>
      <c r="UNT102" s="162"/>
      <c r="UNU102" s="162"/>
      <c r="UNV102" s="162"/>
      <c r="UNW102" s="162"/>
      <c r="UNX102" s="162"/>
      <c r="UNY102" s="162"/>
      <c r="UNZ102" s="162"/>
      <c r="UOA102" s="162"/>
      <c r="UOB102" s="162"/>
      <c r="UOC102" s="162"/>
      <c r="UOD102" s="162"/>
      <c r="UOE102" s="162"/>
      <c r="UOF102" s="162"/>
      <c r="UOG102" s="162"/>
      <c r="UOH102" s="162"/>
      <c r="UOI102" s="162"/>
      <c r="UOJ102" s="162"/>
      <c r="UOK102" s="162"/>
      <c r="UOL102" s="162"/>
      <c r="UOM102" s="162"/>
      <c r="UON102" s="162"/>
      <c r="UOO102" s="162"/>
      <c r="UOP102" s="162"/>
      <c r="UOQ102" s="162"/>
      <c r="UOR102" s="162"/>
      <c r="UOS102" s="162"/>
      <c r="UOT102" s="162"/>
      <c r="UOU102" s="162"/>
      <c r="UOV102" s="162"/>
      <c r="UOW102" s="162"/>
      <c r="UOX102" s="162"/>
      <c r="UOY102" s="162"/>
      <c r="UOZ102" s="162"/>
      <c r="UPA102" s="162"/>
      <c r="UPB102" s="162"/>
      <c r="UPC102" s="162"/>
      <c r="UPD102" s="162"/>
      <c r="UPE102" s="162"/>
      <c r="UPF102" s="162"/>
      <c r="UPG102" s="162"/>
      <c r="UPH102" s="162"/>
      <c r="UPI102" s="162"/>
      <c r="UPJ102" s="162"/>
      <c r="UPK102" s="162"/>
      <c r="UPL102" s="162"/>
      <c r="UPM102" s="162"/>
      <c r="UPN102" s="162"/>
      <c r="UPO102" s="162"/>
      <c r="UPP102" s="162"/>
      <c r="UPQ102" s="162"/>
      <c r="UPR102" s="162"/>
      <c r="UPS102" s="162"/>
      <c r="UPT102" s="162"/>
      <c r="UPU102" s="162"/>
      <c r="UPV102" s="162"/>
      <c r="UPW102" s="162"/>
      <c r="UPX102" s="162"/>
      <c r="UPY102" s="162"/>
      <c r="UPZ102" s="162"/>
      <c r="UQA102" s="162"/>
      <c r="UQB102" s="162"/>
      <c r="UQC102" s="162"/>
      <c r="UQD102" s="162"/>
      <c r="UQE102" s="162"/>
      <c r="UQF102" s="162"/>
      <c r="UQG102" s="162"/>
      <c r="UQH102" s="162"/>
      <c r="UQI102" s="162"/>
      <c r="UQJ102" s="162"/>
      <c r="UQK102" s="162"/>
      <c r="UQL102" s="162"/>
      <c r="UQM102" s="162"/>
      <c r="UQN102" s="162"/>
      <c r="UQO102" s="162"/>
      <c r="UQP102" s="162"/>
      <c r="UQQ102" s="162"/>
      <c r="UQR102" s="162"/>
      <c r="UQS102" s="162"/>
      <c r="UQT102" s="162"/>
      <c r="UQU102" s="162"/>
      <c r="UQV102" s="162"/>
      <c r="UQW102" s="162"/>
      <c r="UQX102" s="162"/>
      <c r="UQY102" s="162"/>
      <c r="UQZ102" s="162"/>
      <c r="URA102" s="162"/>
      <c r="URB102" s="162"/>
      <c r="URC102" s="162"/>
      <c r="URD102" s="162"/>
      <c r="URE102" s="162"/>
      <c r="URF102" s="162"/>
      <c r="URG102" s="162"/>
      <c r="URH102" s="162"/>
      <c r="URI102" s="162"/>
      <c r="URJ102" s="162"/>
      <c r="URK102" s="162"/>
      <c r="URL102" s="162"/>
      <c r="URM102" s="162"/>
      <c r="URN102" s="162"/>
      <c r="URO102" s="162"/>
      <c r="URP102" s="162"/>
      <c r="URQ102" s="162"/>
      <c r="URR102" s="162"/>
      <c r="URS102" s="162"/>
      <c r="URT102" s="162"/>
      <c r="URU102" s="162"/>
      <c r="URV102" s="162"/>
      <c r="URW102" s="162"/>
      <c r="URX102" s="162"/>
      <c r="URY102" s="162"/>
      <c r="URZ102" s="162"/>
      <c r="USA102" s="162"/>
      <c r="USB102" s="162"/>
      <c r="USC102" s="162"/>
      <c r="USD102" s="162"/>
      <c r="USE102" s="162"/>
      <c r="USF102" s="162"/>
      <c r="USG102" s="162"/>
      <c r="USH102" s="162"/>
      <c r="USI102" s="162"/>
      <c r="USJ102" s="162"/>
      <c r="USK102" s="162"/>
      <c r="USL102" s="162"/>
      <c r="USM102" s="162"/>
      <c r="USN102" s="162"/>
      <c r="USO102" s="162"/>
      <c r="USP102" s="162"/>
      <c r="USQ102" s="162"/>
      <c r="USR102" s="162"/>
      <c r="USS102" s="162"/>
      <c r="UST102" s="162"/>
      <c r="USU102" s="162"/>
      <c r="USV102" s="162"/>
      <c r="USW102" s="162"/>
      <c r="USX102" s="162"/>
      <c r="USY102" s="162"/>
      <c r="USZ102" s="162"/>
      <c r="UTA102" s="162"/>
      <c r="UTB102" s="162"/>
      <c r="UTC102" s="162"/>
      <c r="UTD102" s="162"/>
      <c r="UTE102" s="162"/>
      <c r="UTF102" s="162"/>
      <c r="UTG102" s="162"/>
      <c r="UTH102" s="162"/>
      <c r="UTI102" s="162"/>
      <c r="UTJ102" s="162"/>
      <c r="UTK102" s="162"/>
      <c r="UTL102" s="162"/>
      <c r="UTM102" s="162"/>
      <c r="UTN102" s="162"/>
      <c r="UTO102" s="162"/>
      <c r="UTP102" s="162"/>
      <c r="UTQ102" s="162"/>
      <c r="UTR102" s="162"/>
      <c r="UTS102" s="162"/>
      <c r="UTT102" s="162"/>
      <c r="UTU102" s="162"/>
      <c r="UTV102" s="162"/>
      <c r="UTW102" s="162"/>
      <c r="UTX102" s="162"/>
      <c r="UTY102" s="162"/>
      <c r="UTZ102" s="162"/>
      <c r="UUA102" s="162"/>
      <c r="UUB102" s="162"/>
      <c r="UUC102" s="162"/>
      <c r="UUD102" s="162"/>
      <c r="UUE102" s="162"/>
      <c r="UUF102" s="162"/>
      <c r="UUG102" s="162"/>
      <c r="UUH102" s="162"/>
      <c r="UUI102" s="162"/>
      <c r="UUJ102" s="162"/>
      <c r="UUK102" s="162"/>
      <c r="UUL102" s="162"/>
      <c r="UUM102" s="162"/>
      <c r="UUN102" s="162"/>
      <c r="UUO102" s="162"/>
      <c r="UUP102" s="162"/>
      <c r="UUQ102" s="162"/>
      <c r="UUR102" s="162"/>
      <c r="UUS102" s="162"/>
      <c r="UUT102" s="162"/>
      <c r="UUU102" s="162"/>
      <c r="UUV102" s="162"/>
      <c r="UUW102" s="162"/>
      <c r="UUX102" s="162"/>
      <c r="UUY102" s="162"/>
      <c r="UUZ102" s="162"/>
      <c r="UVA102" s="162"/>
      <c r="UVB102" s="162"/>
      <c r="UVC102" s="162"/>
      <c r="UVD102" s="162"/>
      <c r="UVE102" s="162"/>
      <c r="UVF102" s="162"/>
      <c r="UVG102" s="162"/>
      <c r="UVH102" s="162"/>
      <c r="UVI102" s="162"/>
      <c r="UVJ102" s="162"/>
      <c r="UVK102" s="162"/>
      <c r="UVL102" s="162"/>
      <c r="UVM102" s="162"/>
      <c r="UVN102" s="162"/>
      <c r="UVO102" s="162"/>
      <c r="UVP102" s="162"/>
      <c r="UVQ102" s="162"/>
      <c r="UVR102" s="162"/>
      <c r="UVS102" s="162"/>
      <c r="UVT102" s="162"/>
      <c r="UVU102" s="162"/>
      <c r="UVV102" s="162"/>
      <c r="UVW102" s="162"/>
      <c r="UVX102" s="162"/>
      <c r="UVY102" s="162"/>
      <c r="UVZ102" s="162"/>
      <c r="UWA102" s="162"/>
      <c r="UWB102" s="162"/>
      <c r="UWC102" s="162"/>
      <c r="UWD102" s="162"/>
      <c r="UWE102" s="162"/>
      <c r="UWF102" s="162"/>
      <c r="UWG102" s="162"/>
      <c r="UWH102" s="162"/>
      <c r="UWI102" s="162"/>
      <c r="UWJ102" s="162"/>
      <c r="UWK102" s="162"/>
      <c r="UWL102" s="162"/>
      <c r="UWM102" s="162"/>
      <c r="UWN102" s="162"/>
      <c r="UWO102" s="162"/>
      <c r="UWP102" s="162"/>
      <c r="UWQ102" s="162"/>
      <c r="UWR102" s="162"/>
      <c r="UWS102" s="162"/>
      <c r="UWT102" s="162"/>
      <c r="UWU102" s="162"/>
      <c r="UWV102" s="162"/>
      <c r="UWW102" s="162"/>
      <c r="UWX102" s="162"/>
      <c r="UWY102" s="162"/>
      <c r="UWZ102" s="162"/>
      <c r="UXA102" s="162"/>
      <c r="UXB102" s="162"/>
      <c r="UXC102" s="162"/>
      <c r="UXD102" s="162"/>
      <c r="UXE102" s="162"/>
      <c r="UXF102" s="162"/>
      <c r="UXG102" s="162"/>
      <c r="UXH102" s="162"/>
      <c r="UXI102" s="162"/>
      <c r="UXJ102" s="162"/>
      <c r="UXK102" s="162"/>
      <c r="UXL102" s="162"/>
      <c r="UXM102" s="162"/>
      <c r="UXN102" s="162"/>
      <c r="UXO102" s="162"/>
      <c r="UXP102" s="162"/>
      <c r="UXQ102" s="162"/>
      <c r="UXR102" s="162"/>
      <c r="UXS102" s="162"/>
      <c r="UXT102" s="162"/>
      <c r="UXU102" s="162"/>
      <c r="UXV102" s="162"/>
      <c r="UXW102" s="162"/>
      <c r="UXX102" s="162"/>
      <c r="UXY102" s="162"/>
      <c r="UXZ102" s="162"/>
      <c r="UYA102" s="162"/>
      <c r="UYB102" s="162"/>
      <c r="UYC102" s="162"/>
      <c r="UYD102" s="162"/>
      <c r="UYE102" s="162"/>
      <c r="UYF102" s="162"/>
      <c r="UYG102" s="162"/>
      <c r="UYH102" s="162"/>
      <c r="UYI102" s="162"/>
      <c r="UYJ102" s="162"/>
      <c r="UYK102" s="162"/>
      <c r="UYL102" s="162"/>
      <c r="UYM102" s="162"/>
      <c r="UYN102" s="162"/>
      <c r="UYO102" s="162"/>
      <c r="UYP102" s="162"/>
      <c r="UYQ102" s="162"/>
      <c r="UYR102" s="162"/>
      <c r="UYS102" s="162"/>
      <c r="UYT102" s="162"/>
      <c r="UYU102" s="162"/>
      <c r="UYV102" s="162"/>
      <c r="UYW102" s="162"/>
      <c r="UYX102" s="162"/>
      <c r="UYY102" s="162"/>
      <c r="UYZ102" s="162"/>
      <c r="UZA102" s="162"/>
      <c r="UZB102" s="162"/>
      <c r="UZC102" s="162"/>
      <c r="UZD102" s="162"/>
      <c r="UZE102" s="162"/>
      <c r="UZF102" s="162"/>
      <c r="UZG102" s="162"/>
      <c r="UZH102" s="162"/>
      <c r="UZI102" s="162"/>
      <c r="UZJ102" s="162"/>
      <c r="UZK102" s="162"/>
      <c r="UZL102" s="162"/>
      <c r="UZM102" s="162"/>
      <c r="UZN102" s="162"/>
      <c r="UZO102" s="162"/>
      <c r="UZP102" s="162"/>
      <c r="UZQ102" s="162"/>
      <c r="UZR102" s="162"/>
      <c r="UZS102" s="162"/>
      <c r="UZT102" s="162"/>
      <c r="UZU102" s="162"/>
      <c r="UZV102" s="162"/>
      <c r="UZW102" s="162"/>
      <c r="UZX102" s="162"/>
      <c r="UZY102" s="162"/>
      <c r="UZZ102" s="162"/>
      <c r="VAA102" s="162"/>
      <c r="VAB102" s="162"/>
      <c r="VAC102" s="162"/>
      <c r="VAD102" s="162"/>
      <c r="VAE102" s="162"/>
      <c r="VAF102" s="162"/>
      <c r="VAG102" s="162"/>
      <c r="VAH102" s="162"/>
      <c r="VAI102" s="162"/>
      <c r="VAJ102" s="162"/>
      <c r="VAK102" s="162"/>
      <c r="VAL102" s="162"/>
      <c r="VAM102" s="162"/>
      <c r="VAN102" s="162"/>
      <c r="VAO102" s="162"/>
      <c r="VAP102" s="162"/>
      <c r="VAQ102" s="162"/>
      <c r="VAR102" s="162"/>
      <c r="VAS102" s="162"/>
      <c r="VAT102" s="162"/>
      <c r="VAU102" s="162"/>
      <c r="VAV102" s="162"/>
      <c r="VAW102" s="162"/>
      <c r="VAX102" s="162"/>
      <c r="VAY102" s="162"/>
      <c r="VAZ102" s="162"/>
      <c r="VBA102" s="162"/>
      <c r="VBB102" s="162"/>
      <c r="VBC102" s="162"/>
      <c r="VBD102" s="162"/>
      <c r="VBE102" s="162"/>
      <c r="VBF102" s="162"/>
      <c r="VBG102" s="162"/>
      <c r="VBH102" s="162"/>
      <c r="VBI102" s="162"/>
      <c r="VBJ102" s="162"/>
      <c r="VBK102" s="162"/>
      <c r="VBL102" s="162"/>
      <c r="VBM102" s="162"/>
      <c r="VBN102" s="162"/>
      <c r="VBO102" s="162"/>
      <c r="VBP102" s="162"/>
      <c r="VBQ102" s="162"/>
      <c r="VBR102" s="162"/>
      <c r="VBS102" s="162"/>
      <c r="VBT102" s="162"/>
      <c r="VBU102" s="162"/>
      <c r="VBV102" s="162"/>
      <c r="VBW102" s="162"/>
      <c r="VBX102" s="162"/>
      <c r="VBY102" s="162"/>
      <c r="VBZ102" s="162"/>
      <c r="VCA102" s="162"/>
      <c r="VCB102" s="162"/>
      <c r="VCC102" s="162"/>
      <c r="VCD102" s="162"/>
      <c r="VCE102" s="162"/>
      <c r="VCF102" s="162"/>
      <c r="VCG102" s="162"/>
      <c r="VCH102" s="162"/>
      <c r="VCI102" s="162"/>
      <c r="VCJ102" s="162"/>
      <c r="VCK102" s="162"/>
      <c r="VCL102" s="162"/>
      <c r="VCM102" s="162"/>
      <c r="VCN102" s="162"/>
      <c r="VCO102" s="162"/>
      <c r="VCP102" s="162"/>
      <c r="VCQ102" s="162"/>
      <c r="VCR102" s="162"/>
      <c r="VCS102" s="162"/>
      <c r="VCT102" s="162"/>
      <c r="VCU102" s="162"/>
      <c r="VCV102" s="162"/>
      <c r="VCW102" s="162"/>
      <c r="VCX102" s="162"/>
      <c r="VCY102" s="162"/>
      <c r="VCZ102" s="162"/>
      <c r="VDA102" s="162"/>
      <c r="VDB102" s="162"/>
      <c r="VDC102" s="162"/>
      <c r="VDD102" s="162"/>
      <c r="VDE102" s="162"/>
      <c r="VDF102" s="162"/>
      <c r="VDG102" s="162"/>
      <c r="VDH102" s="162"/>
      <c r="VDI102" s="162"/>
      <c r="VDJ102" s="162"/>
      <c r="VDK102" s="162"/>
      <c r="VDL102" s="162"/>
      <c r="VDM102" s="162"/>
      <c r="VDN102" s="162"/>
      <c r="VDO102" s="162"/>
      <c r="VDP102" s="162"/>
      <c r="VDQ102" s="162"/>
      <c r="VDR102" s="162"/>
      <c r="VDS102" s="162"/>
      <c r="VDT102" s="162"/>
      <c r="VDU102" s="162"/>
      <c r="VDV102" s="162"/>
      <c r="VDW102" s="162"/>
      <c r="VDX102" s="162"/>
      <c r="VDY102" s="162"/>
      <c r="VDZ102" s="162"/>
      <c r="VEA102" s="162"/>
      <c r="VEB102" s="162"/>
      <c r="VEC102" s="162"/>
      <c r="VED102" s="162"/>
      <c r="VEE102" s="162"/>
      <c r="VEF102" s="162"/>
      <c r="VEG102" s="162"/>
      <c r="VEH102" s="162"/>
      <c r="VEI102" s="162"/>
      <c r="VEJ102" s="162"/>
      <c r="VEK102" s="162"/>
      <c r="VEL102" s="162"/>
      <c r="VEM102" s="162"/>
      <c r="VEN102" s="162"/>
      <c r="VEO102" s="162"/>
      <c r="VEP102" s="162"/>
      <c r="VEQ102" s="162"/>
      <c r="VER102" s="162"/>
      <c r="VES102" s="162"/>
      <c r="VET102" s="162"/>
      <c r="VEU102" s="162"/>
      <c r="VEV102" s="162"/>
      <c r="VEW102" s="162"/>
      <c r="VEX102" s="162"/>
      <c r="VEY102" s="162"/>
      <c r="VEZ102" s="162"/>
      <c r="VFA102" s="162"/>
      <c r="VFB102" s="162"/>
      <c r="VFC102" s="162"/>
      <c r="VFD102" s="162"/>
      <c r="VFE102" s="162"/>
      <c r="VFF102" s="162"/>
      <c r="VFG102" s="162"/>
      <c r="VFH102" s="162"/>
      <c r="VFI102" s="162"/>
      <c r="VFJ102" s="162"/>
      <c r="VFK102" s="162"/>
      <c r="VFL102" s="162"/>
      <c r="VFM102" s="162"/>
      <c r="VFN102" s="162"/>
      <c r="VFO102" s="162"/>
      <c r="VFP102" s="162"/>
      <c r="VFQ102" s="162"/>
      <c r="VFR102" s="162"/>
      <c r="VFS102" s="162"/>
      <c r="VFT102" s="162"/>
      <c r="VFU102" s="162"/>
      <c r="VFV102" s="162"/>
      <c r="VFW102" s="162"/>
      <c r="VFX102" s="162"/>
      <c r="VFY102" s="162"/>
      <c r="VFZ102" s="162"/>
      <c r="VGA102" s="162"/>
      <c r="VGB102" s="162"/>
      <c r="VGC102" s="162"/>
      <c r="VGD102" s="162"/>
      <c r="VGE102" s="162"/>
      <c r="VGF102" s="162"/>
      <c r="VGG102" s="162"/>
      <c r="VGH102" s="162"/>
      <c r="VGI102" s="162"/>
      <c r="VGJ102" s="162"/>
      <c r="VGK102" s="162"/>
      <c r="VGL102" s="162"/>
      <c r="VGM102" s="162"/>
      <c r="VGN102" s="162"/>
      <c r="VGO102" s="162"/>
      <c r="VGP102" s="162"/>
      <c r="VGQ102" s="162"/>
      <c r="VGR102" s="162"/>
      <c r="VGS102" s="162"/>
      <c r="VGT102" s="162"/>
      <c r="VGU102" s="162"/>
      <c r="VGV102" s="162"/>
      <c r="VGW102" s="162"/>
      <c r="VGX102" s="162"/>
      <c r="VGY102" s="162"/>
      <c r="VGZ102" s="162"/>
      <c r="VHA102" s="162"/>
      <c r="VHB102" s="162"/>
      <c r="VHC102" s="162"/>
      <c r="VHD102" s="162"/>
      <c r="VHE102" s="162"/>
      <c r="VHF102" s="162"/>
      <c r="VHG102" s="162"/>
      <c r="VHH102" s="162"/>
      <c r="VHI102" s="162"/>
      <c r="VHJ102" s="162"/>
      <c r="VHK102" s="162"/>
      <c r="VHL102" s="162"/>
      <c r="VHM102" s="162"/>
      <c r="VHN102" s="162"/>
      <c r="VHO102" s="162"/>
      <c r="VHP102" s="162"/>
      <c r="VHQ102" s="162"/>
      <c r="VHR102" s="162"/>
      <c r="VHS102" s="162"/>
      <c r="VHT102" s="162"/>
      <c r="VHU102" s="162"/>
      <c r="VHV102" s="162"/>
      <c r="VHW102" s="162"/>
      <c r="VHX102" s="162"/>
      <c r="VHY102" s="162"/>
      <c r="VHZ102" s="162"/>
      <c r="VIA102" s="162"/>
      <c r="VIB102" s="162"/>
      <c r="VIC102" s="162"/>
      <c r="VID102" s="162"/>
      <c r="VIE102" s="162"/>
      <c r="VIF102" s="162"/>
      <c r="VIG102" s="162"/>
      <c r="VIH102" s="162"/>
      <c r="VII102" s="162"/>
      <c r="VIJ102" s="162"/>
      <c r="VIK102" s="162"/>
      <c r="VIL102" s="162"/>
      <c r="VIM102" s="162"/>
      <c r="VIN102" s="162"/>
      <c r="VIO102" s="162"/>
      <c r="VIP102" s="162"/>
      <c r="VIQ102" s="162"/>
      <c r="VIR102" s="162"/>
      <c r="VIS102" s="162"/>
      <c r="VIT102" s="162"/>
      <c r="VIU102" s="162"/>
      <c r="VIV102" s="162"/>
      <c r="VIW102" s="162"/>
      <c r="VIX102" s="162"/>
      <c r="VIY102" s="162"/>
      <c r="VIZ102" s="162"/>
      <c r="VJA102" s="162"/>
      <c r="VJB102" s="162"/>
      <c r="VJC102" s="162"/>
      <c r="VJD102" s="162"/>
      <c r="VJE102" s="162"/>
      <c r="VJF102" s="162"/>
      <c r="VJG102" s="162"/>
      <c r="VJH102" s="162"/>
      <c r="VJI102" s="162"/>
      <c r="VJJ102" s="162"/>
      <c r="VJK102" s="162"/>
      <c r="VJL102" s="162"/>
      <c r="VJM102" s="162"/>
      <c r="VJN102" s="162"/>
      <c r="VJO102" s="162"/>
      <c r="VJP102" s="162"/>
      <c r="VJQ102" s="162"/>
      <c r="VJR102" s="162"/>
      <c r="VJS102" s="162"/>
      <c r="VJT102" s="162"/>
      <c r="VJU102" s="162"/>
      <c r="VJV102" s="162"/>
      <c r="VJW102" s="162"/>
      <c r="VJX102" s="162"/>
      <c r="VJY102" s="162"/>
      <c r="VJZ102" s="162"/>
      <c r="VKA102" s="162"/>
      <c r="VKB102" s="162"/>
      <c r="VKC102" s="162"/>
      <c r="VKD102" s="162"/>
      <c r="VKE102" s="162"/>
      <c r="VKF102" s="162"/>
      <c r="VKG102" s="162"/>
      <c r="VKH102" s="162"/>
      <c r="VKI102" s="162"/>
      <c r="VKJ102" s="162"/>
      <c r="VKK102" s="162"/>
      <c r="VKL102" s="162"/>
      <c r="VKM102" s="162"/>
      <c r="VKN102" s="162"/>
      <c r="VKO102" s="162"/>
      <c r="VKP102" s="162"/>
      <c r="VKQ102" s="162"/>
      <c r="VKR102" s="162"/>
      <c r="VKS102" s="162"/>
      <c r="VKT102" s="162"/>
      <c r="VKU102" s="162"/>
      <c r="VKV102" s="162"/>
      <c r="VKW102" s="162"/>
      <c r="VKX102" s="162"/>
      <c r="VKY102" s="162"/>
      <c r="VKZ102" s="162"/>
      <c r="VLA102" s="162"/>
      <c r="VLB102" s="162"/>
      <c r="VLC102" s="162"/>
      <c r="VLD102" s="162"/>
      <c r="VLE102" s="162"/>
      <c r="VLF102" s="162"/>
      <c r="VLG102" s="162"/>
      <c r="VLH102" s="162"/>
      <c r="VLI102" s="162"/>
      <c r="VLJ102" s="162"/>
      <c r="VLK102" s="162"/>
      <c r="VLL102" s="162"/>
      <c r="VLM102" s="162"/>
      <c r="VLN102" s="162"/>
      <c r="VLO102" s="162"/>
      <c r="VLP102" s="162"/>
      <c r="VLQ102" s="162"/>
      <c r="VLR102" s="162"/>
      <c r="VLS102" s="162"/>
      <c r="VLT102" s="162"/>
      <c r="VLU102" s="162"/>
      <c r="VLV102" s="162"/>
      <c r="VLW102" s="162"/>
      <c r="VLX102" s="162"/>
      <c r="VLY102" s="162"/>
      <c r="VLZ102" s="162"/>
      <c r="VMA102" s="162"/>
      <c r="VMB102" s="162"/>
      <c r="VMC102" s="162"/>
      <c r="VMD102" s="162"/>
      <c r="VME102" s="162"/>
      <c r="VMF102" s="162"/>
      <c r="VMG102" s="162"/>
      <c r="VMH102" s="162"/>
      <c r="VMI102" s="162"/>
      <c r="VMJ102" s="162"/>
      <c r="VMK102" s="162"/>
      <c r="VML102" s="162"/>
      <c r="VMM102" s="162"/>
      <c r="VMN102" s="162"/>
      <c r="VMO102" s="162"/>
      <c r="VMP102" s="162"/>
      <c r="VMQ102" s="162"/>
      <c r="VMR102" s="162"/>
      <c r="VMS102" s="162"/>
      <c r="VMT102" s="162"/>
      <c r="VMU102" s="162"/>
      <c r="VMV102" s="162"/>
      <c r="VMW102" s="162"/>
      <c r="VMX102" s="162"/>
      <c r="VMY102" s="162"/>
      <c r="VMZ102" s="162"/>
      <c r="VNA102" s="162"/>
      <c r="VNB102" s="162"/>
      <c r="VNC102" s="162"/>
      <c r="VND102" s="162"/>
      <c r="VNE102" s="162"/>
      <c r="VNF102" s="162"/>
      <c r="VNG102" s="162"/>
      <c r="VNH102" s="162"/>
      <c r="VNI102" s="162"/>
      <c r="VNJ102" s="162"/>
      <c r="VNK102" s="162"/>
      <c r="VNL102" s="162"/>
      <c r="VNM102" s="162"/>
      <c r="VNN102" s="162"/>
      <c r="VNO102" s="162"/>
      <c r="VNP102" s="162"/>
      <c r="VNQ102" s="162"/>
      <c r="VNR102" s="162"/>
      <c r="VNS102" s="162"/>
      <c r="VNT102" s="162"/>
      <c r="VNU102" s="162"/>
      <c r="VNV102" s="162"/>
      <c r="VNW102" s="162"/>
      <c r="VNX102" s="162"/>
      <c r="VNY102" s="162"/>
      <c r="VNZ102" s="162"/>
      <c r="VOA102" s="162"/>
      <c r="VOB102" s="162"/>
      <c r="VOC102" s="162"/>
      <c r="VOD102" s="162"/>
      <c r="VOE102" s="162"/>
      <c r="VOF102" s="162"/>
      <c r="VOG102" s="162"/>
      <c r="VOH102" s="162"/>
      <c r="VOI102" s="162"/>
      <c r="VOJ102" s="162"/>
      <c r="VOK102" s="162"/>
      <c r="VOL102" s="162"/>
      <c r="VOM102" s="162"/>
      <c r="VON102" s="162"/>
      <c r="VOO102" s="162"/>
      <c r="VOP102" s="162"/>
      <c r="VOQ102" s="162"/>
      <c r="VOR102" s="162"/>
      <c r="VOS102" s="162"/>
      <c r="VOT102" s="162"/>
      <c r="VOU102" s="162"/>
      <c r="VOV102" s="162"/>
      <c r="VOW102" s="162"/>
      <c r="VOX102" s="162"/>
      <c r="VOY102" s="162"/>
      <c r="VOZ102" s="162"/>
      <c r="VPA102" s="162"/>
      <c r="VPB102" s="162"/>
      <c r="VPC102" s="162"/>
      <c r="VPD102" s="162"/>
      <c r="VPE102" s="162"/>
      <c r="VPF102" s="162"/>
      <c r="VPG102" s="162"/>
      <c r="VPH102" s="162"/>
      <c r="VPI102" s="162"/>
      <c r="VPJ102" s="162"/>
      <c r="VPK102" s="162"/>
      <c r="VPL102" s="162"/>
      <c r="VPM102" s="162"/>
      <c r="VPN102" s="162"/>
      <c r="VPO102" s="162"/>
      <c r="VPP102" s="162"/>
      <c r="VPQ102" s="162"/>
      <c r="VPR102" s="162"/>
      <c r="VPS102" s="162"/>
      <c r="VPT102" s="162"/>
      <c r="VPU102" s="162"/>
      <c r="VPV102" s="162"/>
      <c r="VPW102" s="162"/>
      <c r="VPX102" s="162"/>
      <c r="VPY102" s="162"/>
      <c r="VPZ102" s="162"/>
      <c r="VQA102" s="162"/>
      <c r="VQB102" s="162"/>
      <c r="VQC102" s="162"/>
      <c r="VQD102" s="162"/>
      <c r="VQE102" s="162"/>
      <c r="VQF102" s="162"/>
      <c r="VQG102" s="162"/>
      <c r="VQH102" s="162"/>
      <c r="VQI102" s="162"/>
      <c r="VQJ102" s="162"/>
      <c r="VQK102" s="162"/>
      <c r="VQL102" s="162"/>
      <c r="VQM102" s="162"/>
      <c r="VQN102" s="162"/>
      <c r="VQO102" s="162"/>
      <c r="VQP102" s="162"/>
      <c r="VQQ102" s="162"/>
      <c r="VQR102" s="162"/>
      <c r="VQS102" s="162"/>
      <c r="VQT102" s="162"/>
      <c r="VQU102" s="162"/>
      <c r="VQV102" s="162"/>
      <c r="VQW102" s="162"/>
      <c r="VQX102" s="162"/>
      <c r="VQY102" s="162"/>
      <c r="VQZ102" s="162"/>
      <c r="VRA102" s="162"/>
      <c r="VRB102" s="162"/>
      <c r="VRC102" s="162"/>
      <c r="VRD102" s="162"/>
      <c r="VRE102" s="162"/>
      <c r="VRF102" s="162"/>
      <c r="VRG102" s="162"/>
      <c r="VRH102" s="162"/>
      <c r="VRI102" s="162"/>
      <c r="VRJ102" s="162"/>
      <c r="VRK102" s="162"/>
      <c r="VRL102" s="162"/>
      <c r="VRM102" s="162"/>
      <c r="VRN102" s="162"/>
      <c r="VRO102" s="162"/>
      <c r="VRP102" s="162"/>
      <c r="VRQ102" s="162"/>
      <c r="VRR102" s="162"/>
      <c r="VRS102" s="162"/>
      <c r="VRT102" s="162"/>
      <c r="VRU102" s="162"/>
      <c r="VRV102" s="162"/>
      <c r="VRW102" s="162"/>
      <c r="VRX102" s="162"/>
      <c r="VRY102" s="162"/>
      <c r="VRZ102" s="162"/>
      <c r="VSA102" s="162"/>
      <c r="VSB102" s="162"/>
      <c r="VSC102" s="162"/>
      <c r="VSD102" s="162"/>
      <c r="VSE102" s="162"/>
      <c r="VSF102" s="162"/>
      <c r="VSG102" s="162"/>
      <c r="VSH102" s="162"/>
      <c r="VSI102" s="162"/>
      <c r="VSJ102" s="162"/>
      <c r="VSK102" s="162"/>
      <c r="VSL102" s="162"/>
      <c r="VSM102" s="162"/>
      <c r="VSN102" s="162"/>
      <c r="VSO102" s="162"/>
      <c r="VSP102" s="162"/>
      <c r="VSQ102" s="162"/>
      <c r="VSR102" s="162"/>
      <c r="VSS102" s="162"/>
      <c r="VST102" s="162"/>
      <c r="VSU102" s="162"/>
      <c r="VSV102" s="162"/>
      <c r="VSW102" s="162"/>
      <c r="VSX102" s="162"/>
      <c r="VSY102" s="162"/>
      <c r="VSZ102" s="162"/>
      <c r="VTA102" s="162"/>
      <c r="VTB102" s="162"/>
      <c r="VTC102" s="162"/>
      <c r="VTD102" s="162"/>
      <c r="VTE102" s="162"/>
      <c r="VTF102" s="162"/>
      <c r="VTG102" s="162"/>
      <c r="VTH102" s="162"/>
      <c r="VTI102" s="162"/>
      <c r="VTJ102" s="162"/>
      <c r="VTK102" s="162"/>
      <c r="VTL102" s="162"/>
      <c r="VTM102" s="162"/>
      <c r="VTN102" s="162"/>
      <c r="VTO102" s="162"/>
      <c r="VTP102" s="162"/>
      <c r="VTQ102" s="162"/>
      <c r="VTR102" s="162"/>
      <c r="VTS102" s="162"/>
      <c r="VTT102" s="162"/>
      <c r="VTU102" s="162"/>
      <c r="VTV102" s="162"/>
      <c r="VTW102" s="162"/>
      <c r="VTX102" s="162"/>
      <c r="VTY102" s="162"/>
      <c r="VTZ102" s="162"/>
      <c r="VUA102" s="162"/>
      <c r="VUB102" s="162"/>
      <c r="VUC102" s="162"/>
      <c r="VUD102" s="162"/>
      <c r="VUE102" s="162"/>
      <c r="VUF102" s="162"/>
      <c r="VUG102" s="162"/>
      <c r="VUH102" s="162"/>
      <c r="VUI102" s="162"/>
      <c r="VUJ102" s="162"/>
      <c r="VUK102" s="162"/>
      <c r="VUL102" s="162"/>
      <c r="VUM102" s="162"/>
      <c r="VUN102" s="162"/>
      <c r="VUO102" s="162"/>
      <c r="VUP102" s="162"/>
      <c r="VUQ102" s="162"/>
      <c r="VUR102" s="162"/>
      <c r="VUS102" s="162"/>
      <c r="VUT102" s="162"/>
      <c r="VUU102" s="162"/>
      <c r="VUV102" s="162"/>
      <c r="VUW102" s="162"/>
      <c r="VUX102" s="162"/>
      <c r="VUY102" s="162"/>
      <c r="VUZ102" s="162"/>
      <c r="VVA102" s="162"/>
      <c r="VVB102" s="162"/>
      <c r="VVC102" s="162"/>
      <c r="VVD102" s="162"/>
      <c r="VVE102" s="162"/>
      <c r="VVF102" s="162"/>
      <c r="VVG102" s="162"/>
      <c r="VVH102" s="162"/>
      <c r="VVI102" s="162"/>
      <c r="VVJ102" s="162"/>
      <c r="VVK102" s="162"/>
      <c r="VVL102" s="162"/>
      <c r="VVM102" s="162"/>
      <c r="VVN102" s="162"/>
      <c r="VVO102" s="162"/>
      <c r="VVP102" s="162"/>
      <c r="VVQ102" s="162"/>
      <c r="VVR102" s="162"/>
      <c r="VVS102" s="162"/>
      <c r="VVT102" s="162"/>
      <c r="VVU102" s="162"/>
      <c r="VVV102" s="162"/>
      <c r="VVW102" s="162"/>
      <c r="VVX102" s="162"/>
      <c r="VVY102" s="162"/>
      <c r="VVZ102" s="162"/>
      <c r="VWA102" s="162"/>
      <c r="VWB102" s="162"/>
      <c r="VWC102" s="162"/>
      <c r="VWD102" s="162"/>
      <c r="VWE102" s="162"/>
      <c r="VWF102" s="162"/>
      <c r="VWG102" s="162"/>
      <c r="VWH102" s="162"/>
      <c r="VWI102" s="162"/>
      <c r="VWJ102" s="162"/>
      <c r="VWK102" s="162"/>
      <c r="VWL102" s="162"/>
      <c r="VWM102" s="162"/>
      <c r="VWN102" s="162"/>
      <c r="VWO102" s="162"/>
      <c r="VWP102" s="162"/>
      <c r="VWQ102" s="162"/>
      <c r="VWR102" s="162"/>
      <c r="VWS102" s="162"/>
      <c r="VWT102" s="162"/>
      <c r="VWU102" s="162"/>
      <c r="VWV102" s="162"/>
      <c r="VWW102" s="162"/>
      <c r="VWX102" s="162"/>
      <c r="VWY102" s="162"/>
      <c r="VWZ102" s="162"/>
      <c r="VXA102" s="162"/>
      <c r="VXB102" s="162"/>
      <c r="VXC102" s="162"/>
      <c r="VXD102" s="162"/>
      <c r="VXE102" s="162"/>
      <c r="VXF102" s="162"/>
      <c r="VXG102" s="162"/>
      <c r="VXH102" s="162"/>
      <c r="VXI102" s="162"/>
      <c r="VXJ102" s="162"/>
      <c r="VXK102" s="162"/>
      <c r="VXL102" s="162"/>
      <c r="VXM102" s="162"/>
      <c r="VXN102" s="162"/>
      <c r="VXO102" s="162"/>
      <c r="VXP102" s="162"/>
      <c r="VXQ102" s="162"/>
      <c r="VXR102" s="162"/>
      <c r="VXS102" s="162"/>
      <c r="VXT102" s="162"/>
      <c r="VXU102" s="162"/>
      <c r="VXV102" s="162"/>
      <c r="VXW102" s="162"/>
      <c r="VXX102" s="162"/>
      <c r="VXY102" s="162"/>
      <c r="VXZ102" s="162"/>
      <c r="VYA102" s="162"/>
      <c r="VYB102" s="162"/>
      <c r="VYC102" s="162"/>
      <c r="VYD102" s="162"/>
      <c r="VYE102" s="162"/>
      <c r="VYF102" s="162"/>
      <c r="VYG102" s="162"/>
      <c r="VYH102" s="162"/>
      <c r="VYI102" s="162"/>
      <c r="VYJ102" s="162"/>
      <c r="VYK102" s="162"/>
      <c r="VYL102" s="162"/>
      <c r="VYM102" s="162"/>
      <c r="VYN102" s="162"/>
      <c r="VYO102" s="162"/>
      <c r="VYP102" s="162"/>
      <c r="VYQ102" s="162"/>
      <c r="VYR102" s="162"/>
      <c r="VYS102" s="162"/>
      <c r="VYT102" s="162"/>
      <c r="VYU102" s="162"/>
      <c r="VYV102" s="162"/>
      <c r="VYW102" s="162"/>
      <c r="VYX102" s="162"/>
      <c r="VYY102" s="162"/>
      <c r="VYZ102" s="162"/>
      <c r="VZA102" s="162"/>
      <c r="VZB102" s="162"/>
      <c r="VZC102" s="162"/>
      <c r="VZD102" s="162"/>
      <c r="VZE102" s="162"/>
      <c r="VZF102" s="162"/>
      <c r="VZG102" s="162"/>
      <c r="VZH102" s="162"/>
      <c r="VZI102" s="162"/>
      <c r="VZJ102" s="162"/>
      <c r="VZK102" s="162"/>
      <c r="VZL102" s="162"/>
      <c r="VZM102" s="162"/>
      <c r="VZN102" s="162"/>
      <c r="VZO102" s="162"/>
      <c r="VZP102" s="162"/>
      <c r="VZQ102" s="162"/>
      <c r="VZR102" s="162"/>
      <c r="VZS102" s="162"/>
      <c r="VZT102" s="162"/>
      <c r="VZU102" s="162"/>
      <c r="VZV102" s="162"/>
      <c r="VZW102" s="162"/>
      <c r="VZX102" s="162"/>
      <c r="VZY102" s="162"/>
      <c r="VZZ102" s="162"/>
      <c r="WAA102" s="162"/>
      <c r="WAB102" s="162"/>
      <c r="WAC102" s="162"/>
      <c r="WAD102" s="162"/>
      <c r="WAE102" s="162"/>
      <c r="WAF102" s="162"/>
      <c r="WAG102" s="162"/>
      <c r="WAH102" s="162"/>
      <c r="WAI102" s="162"/>
      <c r="WAJ102" s="162"/>
      <c r="WAK102" s="162"/>
      <c r="WAL102" s="162"/>
      <c r="WAM102" s="162"/>
      <c r="WAN102" s="162"/>
      <c r="WAO102" s="162"/>
      <c r="WAP102" s="162"/>
      <c r="WAQ102" s="162"/>
      <c r="WAR102" s="162"/>
      <c r="WAS102" s="162"/>
      <c r="WAT102" s="162"/>
      <c r="WAU102" s="162"/>
      <c r="WAV102" s="162"/>
      <c r="WAW102" s="162"/>
      <c r="WAX102" s="162"/>
      <c r="WAY102" s="162"/>
      <c r="WAZ102" s="162"/>
      <c r="WBA102" s="162"/>
      <c r="WBB102" s="162"/>
      <c r="WBC102" s="162"/>
      <c r="WBD102" s="162"/>
      <c r="WBE102" s="162"/>
      <c r="WBF102" s="162"/>
      <c r="WBG102" s="162"/>
      <c r="WBH102" s="162"/>
      <c r="WBI102" s="162"/>
      <c r="WBJ102" s="162"/>
      <c r="WBK102" s="162"/>
      <c r="WBL102" s="162"/>
      <c r="WBM102" s="162"/>
      <c r="WBN102" s="162"/>
      <c r="WBO102" s="162"/>
      <c r="WBP102" s="162"/>
      <c r="WBQ102" s="162"/>
      <c r="WBR102" s="162"/>
      <c r="WBS102" s="162"/>
      <c r="WBT102" s="162"/>
      <c r="WBU102" s="162"/>
      <c r="WBV102" s="162"/>
      <c r="WBW102" s="162"/>
      <c r="WBX102" s="162"/>
      <c r="WBY102" s="162"/>
      <c r="WBZ102" s="162"/>
      <c r="WCA102" s="162"/>
      <c r="WCB102" s="162"/>
      <c r="WCC102" s="162"/>
      <c r="WCD102" s="162"/>
      <c r="WCE102" s="162"/>
      <c r="WCF102" s="162"/>
      <c r="WCG102" s="162"/>
      <c r="WCH102" s="162"/>
      <c r="WCI102" s="162"/>
      <c r="WCJ102" s="162"/>
      <c r="WCK102" s="162"/>
      <c r="WCL102" s="162"/>
      <c r="WCM102" s="162"/>
      <c r="WCN102" s="162"/>
      <c r="WCO102" s="162"/>
      <c r="WCP102" s="162"/>
      <c r="WCQ102" s="162"/>
      <c r="WCR102" s="162"/>
      <c r="WCS102" s="162"/>
      <c r="WCT102" s="162"/>
      <c r="WCU102" s="162"/>
      <c r="WCV102" s="162"/>
      <c r="WCW102" s="162"/>
      <c r="WCX102" s="162"/>
      <c r="WCY102" s="162"/>
      <c r="WCZ102" s="162"/>
      <c r="WDA102" s="162"/>
      <c r="WDB102" s="162"/>
      <c r="WDC102" s="162"/>
      <c r="WDD102" s="162"/>
      <c r="WDE102" s="162"/>
      <c r="WDF102" s="162"/>
      <c r="WDG102" s="162"/>
      <c r="WDH102" s="162"/>
      <c r="WDI102" s="162"/>
      <c r="WDJ102" s="162"/>
      <c r="WDK102" s="162"/>
      <c r="WDL102" s="162"/>
      <c r="WDM102" s="162"/>
      <c r="WDN102" s="162"/>
      <c r="WDO102" s="162"/>
      <c r="WDP102" s="162"/>
      <c r="WDQ102" s="162"/>
      <c r="WDR102" s="162"/>
      <c r="WDS102" s="162"/>
      <c r="WDT102" s="162"/>
      <c r="WDU102" s="162"/>
      <c r="WDV102" s="162"/>
      <c r="WDW102" s="162"/>
      <c r="WDX102" s="162"/>
      <c r="WDY102" s="162"/>
      <c r="WDZ102" s="162"/>
      <c r="WEA102" s="162"/>
      <c r="WEB102" s="162"/>
      <c r="WEC102" s="162"/>
      <c r="WED102" s="162"/>
      <c r="WEE102" s="162"/>
      <c r="WEF102" s="162"/>
      <c r="WEG102" s="162"/>
      <c r="WEH102" s="162"/>
      <c r="WEI102" s="162"/>
      <c r="WEJ102" s="162"/>
      <c r="WEK102" s="162"/>
      <c r="WEL102" s="162"/>
      <c r="WEM102" s="162"/>
      <c r="WEN102" s="162"/>
      <c r="WEO102" s="162"/>
      <c r="WEP102" s="162"/>
      <c r="WEQ102" s="162"/>
      <c r="WER102" s="162"/>
      <c r="WES102" s="162"/>
      <c r="WET102" s="162"/>
      <c r="WEU102" s="162"/>
      <c r="WEV102" s="162"/>
      <c r="WEW102" s="162"/>
      <c r="WEX102" s="162"/>
      <c r="WEY102" s="162"/>
      <c r="WEZ102" s="162"/>
      <c r="WFA102" s="162"/>
      <c r="WFB102" s="162"/>
      <c r="WFC102" s="162"/>
      <c r="WFD102" s="162"/>
      <c r="WFE102" s="162"/>
      <c r="WFF102" s="162"/>
      <c r="WFG102" s="162"/>
      <c r="WFH102" s="162"/>
      <c r="WFI102" s="162"/>
      <c r="WFJ102" s="162"/>
      <c r="WFK102" s="162"/>
      <c r="WFL102" s="162"/>
      <c r="WFM102" s="162"/>
      <c r="WFN102" s="162"/>
      <c r="WFO102" s="162"/>
      <c r="WFP102" s="162"/>
      <c r="WFQ102" s="162"/>
      <c r="WFR102" s="162"/>
      <c r="WFS102" s="162"/>
      <c r="WFT102" s="162"/>
      <c r="WFU102" s="162"/>
      <c r="WFV102" s="162"/>
      <c r="WFW102" s="162"/>
      <c r="WFX102" s="162"/>
      <c r="WFY102" s="162"/>
      <c r="WFZ102" s="162"/>
      <c r="WGA102" s="162"/>
      <c r="WGB102" s="162"/>
      <c r="WGC102" s="162"/>
      <c r="WGD102" s="162"/>
      <c r="WGE102" s="162"/>
      <c r="WGF102" s="162"/>
      <c r="WGG102" s="162"/>
      <c r="WGH102" s="162"/>
      <c r="WGI102" s="162"/>
      <c r="WGJ102" s="162"/>
      <c r="WGK102" s="162"/>
      <c r="WGL102" s="162"/>
      <c r="WGM102" s="162"/>
      <c r="WGN102" s="162"/>
      <c r="WGO102" s="162"/>
      <c r="WGP102" s="162"/>
      <c r="WGQ102" s="162"/>
      <c r="WGR102" s="162"/>
      <c r="WGS102" s="162"/>
      <c r="WGT102" s="162"/>
      <c r="WGU102" s="162"/>
      <c r="WGV102" s="162"/>
      <c r="WGW102" s="162"/>
      <c r="WGX102" s="162"/>
      <c r="WGY102" s="162"/>
      <c r="WGZ102" s="162"/>
      <c r="WHA102" s="162"/>
      <c r="WHB102" s="162"/>
      <c r="WHC102" s="162"/>
      <c r="WHD102" s="162"/>
      <c r="WHE102" s="162"/>
      <c r="WHF102" s="162"/>
      <c r="WHG102" s="162"/>
      <c r="WHH102" s="162"/>
      <c r="WHI102" s="162"/>
      <c r="WHJ102" s="162"/>
      <c r="WHK102" s="162"/>
      <c r="WHL102" s="162"/>
      <c r="WHM102" s="162"/>
      <c r="WHN102" s="162"/>
      <c r="WHO102" s="162"/>
      <c r="WHP102" s="162"/>
      <c r="WHQ102" s="162"/>
      <c r="WHR102" s="162"/>
      <c r="WHS102" s="162"/>
      <c r="WHT102" s="162"/>
      <c r="WHU102" s="162"/>
      <c r="WHV102" s="162"/>
      <c r="WHW102" s="162"/>
      <c r="WHX102" s="162"/>
      <c r="WHY102" s="162"/>
      <c r="WHZ102" s="162"/>
      <c r="WIA102" s="162"/>
      <c r="WIB102" s="162"/>
      <c r="WIC102" s="162"/>
      <c r="WID102" s="162"/>
      <c r="WIE102" s="162"/>
      <c r="WIF102" s="162"/>
      <c r="WIG102" s="162"/>
      <c r="WIH102" s="162"/>
      <c r="WII102" s="162"/>
      <c r="WIJ102" s="162"/>
      <c r="WIK102" s="162"/>
      <c r="WIL102" s="162"/>
      <c r="WIM102" s="162"/>
      <c r="WIN102" s="162"/>
      <c r="WIO102" s="162"/>
      <c r="WIP102" s="162"/>
      <c r="WIQ102" s="162"/>
      <c r="WIR102" s="162"/>
      <c r="WIS102" s="162"/>
      <c r="WIT102" s="162"/>
      <c r="WIU102" s="162"/>
      <c r="WIV102" s="162"/>
      <c r="WIW102" s="162"/>
      <c r="WIX102" s="162"/>
      <c r="WIY102" s="162"/>
      <c r="WIZ102" s="162"/>
      <c r="WJA102" s="162"/>
      <c r="WJB102" s="162"/>
      <c r="WJC102" s="162"/>
      <c r="WJD102" s="162"/>
      <c r="WJE102" s="162"/>
      <c r="WJF102" s="162"/>
      <c r="WJG102" s="162"/>
      <c r="WJH102" s="162"/>
      <c r="WJI102" s="162"/>
      <c r="WJJ102" s="162"/>
      <c r="WJK102" s="162"/>
      <c r="WJL102" s="162"/>
      <c r="WJM102" s="162"/>
      <c r="WJN102" s="162"/>
      <c r="WJO102" s="162"/>
      <c r="WJP102" s="162"/>
      <c r="WJQ102" s="162"/>
      <c r="WJR102" s="162"/>
      <c r="WJS102" s="162"/>
      <c r="WJT102" s="162"/>
      <c r="WJU102" s="162"/>
      <c r="WJV102" s="162"/>
      <c r="WJW102" s="162"/>
      <c r="WJX102" s="162"/>
      <c r="WJY102" s="162"/>
      <c r="WJZ102" s="162"/>
      <c r="WKA102" s="162"/>
      <c r="WKB102" s="162"/>
      <c r="WKC102" s="162"/>
      <c r="WKD102" s="162"/>
      <c r="WKE102" s="162"/>
      <c r="WKF102" s="162"/>
      <c r="WKG102" s="162"/>
      <c r="WKH102" s="162"/>
      <c r="WKI102" s="162"/>
      <c r="WKJ102" s="162"/>
      <c r="WKK102" s="162"/>
      <c r="WKL102" s="162"/>
      <c r="WKM102" s="162"/>
      <c r="WKN102" s="162"/>
      <c r="WKO102" s="162"/>
      <c r="WKP102" s="162"/>
      <c r="WKQ102" s="162"/>
      <c r="WKR102" s="162"/>
      <c r="WKS102" s="162"/>
      <c r="WKT102" s="162"/>
      <c r="WKU102" s="162"/>
      <c r="WKV102" s="162"/>
      <c r="WKW102" s="162"/>
      <c r="WKX102" s="162"/>
      <c r="WKY102" s="162"/>
      <c r="WKZ102" s="162"/>
      <c r="WLA102" s="162"/>
      <c r="WLB102" s="162"/>
      <c r="WLC102" s="162"/>
      <c r="WLD102" s="162"/>
      <c r="WLE102" s="162"/>
      <c r="WLF102" s="162"/>
      <c r="WLG102" s="162"/>
      <c r="WLH102" s="162"/>
      <c r="WLI102" s="162"/>
      <c r="WLJ102" s="162"/>
      <c r="WLK102" s="162"/>
      <c r="WLL102" s="162"/>
      <c r="WLM102" s="162"/>
      <c r="WLN102" s="162"/>
      <c r="WLO102" s="162"/>
      <c r="WLP102" s="162"/>
      <c r="WLQ102" s="162"/>
      <c r="WLR102" s="162"/>
      <c r="WLS102" s="162"/>
      <c r="WLT102" s="162"/>
      <c r="WLU102" s="162"/>
      <c r="WLV102" s="162"/>
      <c r="WLW102" s="162"/>
      <c r="WLX102" s="162"/>
      <c r="WLY102" s="162"/>
      <c r="WLZ102" s="162"/>
      <c r="WMA102" s="162"/>
      <c r="WMB102" s="162"/>
      <c r="WMC102" s="162"/>
      <c r="WMD102" s="162"/>
      <c r="WME102" s="162"/>
      <c r="WMF102" s="162"/>
      <c r="WMG102" s="162"/>
      <c r="WMH102" s="162"/>
      <c r="WMI102" s="162"/>
      <c r="WMJ102" s="162"/>
      <c r="WMK102" s="162"/>
      <c r="WML102" s="162"/>
      <c r="WMM102" s="162"/>
      <c r="WMN102" s="162"/>
      <c r="WMO102" s="162"/>
      <c r="WMP102" s="162"/>
      <c r="WMQ102" s="162"/>
      <c r="WMR102" s="162"/>
      <c r="WMS102" s="162"/>
      <c r="WMT102" s="162"/>
      <c r="WMU102" s="162"/>
      <c r="WMV102" s="162"/>
      <c r="WMW102" s="162"/>
      <c r="WMX102" s="162"/>
      <c r="WMY102" s="162"/>
      <c r="WMZ102" s="162"/>
      <c r="WNA102" s="162"/>
      <c r="WNB102" s="162"/>
      <c r="WNC102" s="162"/>
      <c r="WND102" s="162"/>
      <c r="WNE102" s="162"/>
      <c r="WNF102" s="162"/>
      <c r="WNG102" s="162"/>
      <c r="WNH102" s="162"/>
      <c r="WNI102" s="162"/>
      <c r="WNJ102" s="162"/>
      <c r="WNK102" s="162"/>
      <c r="WNL102" s="162"/>
      <c r="WNM102" s="162"/>
      <c r="WNN102" s="162"/>
      <c r="WNO102" s="162"/>
      <c r="WNP102" s="162"/>
      <c r="WNQ102" s="162"/>
      <c r="WNR102" s="162"/>
      <c r="WNS102" s="162"/>
      <c r="WNT102" s="162"/>
      <c r="WNU102" s="162"/>
      <c r="WNV102" s="162"/>
      <c r="WNW102" s="162"/>
      <c r="WNX102" s="162"/>
      <c r="WNY102" s="162"/>
      <c r="WNZ102" s="162"/>
      <c r="WOA102" s="162"/>
      <c r="WOB102" s="162"/>
      <c r="WOC102" s="162"/>
      <c r="WOD102" s="162"/>
      <c r="WOE102" s="162"/>
      <c r="WOF102" s="162"/>
      <c r="WOG102" s="162"/>
      <c r="WOH102" s="162"/>
      <c r="WOI102" s="162"/>
      <c r="WOJ102" s="162"/>
      <c r="WOK102" s="162"/>
      <c r="WOL102" s="162"/>
      <c r="WOM102" s="162"/>
      <c r="WON102" s="162"/>
      <c r="WOO102" s="162"/>
      <c r="WOP102" s="162"/>
      <c r="WOQ102" s="162"/>
      <c r="WOR102" s="162"/>
      <c r="WOS102" s="162"/>
      <c r="WOT102" s="162"/>
      <c r="WOU102" s="162"/>
      <c r="WOV102" s="162"/>
      <c r="WOW102" s="162"/>
      <c r="WOX102" s="162"/>
      <c r="WOY102" s="162"/>
      <c r="WOZ102" s="162"/>
      <c r="WPA102" s="162"/>
      <c r="WPB102" s="162"/>
      <c r="WPC102" s="162"/>
      <c r="WPD102" s="162"/>
      <c r="WPE102" s="162"/>
      <c r="WPF102" s="162"/>
      <c r="WPG102" s="162"/>
      <c r="WPH102" s="162"/>
      <c r="WPI102" s="162"/>
      <c r="WPJ102" s="162"/>
      <c r="WPK102" s="162"/>
      <c r="WPL102" s="162"/>
      <c r="WPM102" s="162"/>
      <c r="WPN102" s="162"/>
      <c r="WPO102" s="162"/>
      <c r="WPP102" s="162"/>
      <c r="WPQ102" s="162"/>
      <c r="WPR102" s="162"/>
      <c r="WPS102" s="162"/>
      <c r="WPT102" s="162"/>
      <c r="WPU102" s="162"/>
      <c r="WPV102" s="162"/>
      <c r="WPW102" s="162"/>
      <c r="WPX102" s="162"/>
      <c r="WPY102" s="162"/>
      <c r="WPZ102" s="162"/>
      <c r="WQA102" s="162"/>
      <c r="WQB102" s="162"/>
      <c r="WQC102" s="162"/>
      <c r="WQD102" s="162"/>
      <c r="WQE102" s="162"/>
      <c r="WQF102" s="162"/>
      <c r="WQG102" s="162"/>
      <c r="WQH102" s="162"/>
      <c r="WQI102" s="162"/>
      <c r="WQJ102" s="162"/>
      <c r="WQK102" s="162"/>
      <c r="WQL102" s="162"/>
      <c r="WQM102" s="162"/>
      <c r="WQN102" s="162"/>
      <c r="WQO102" s="162"/>
      <c r="WQP102" s="162"/>
      <c r="WQQ102" s="162"/>
      <c r="WQR102" s="162"/>
      <c r="WQS102" s="162"/>
      <c r="WQT102" s="162"/>
      <c r="WQU102" s="162"/>
      <c r="WQV102" s="162"/>
      <c r="WQW102" s="162"/>
      <c r="WQX102" s="162"/>
      <c r="WQY102" s="162"/>
      <c r="WQZ102" s="162"/>
      <c r="WRA102" s="162"/>
      <c r="WRB102" s="162"/>
      <c r="WRC102" s="162"/>
      <c r="WRD102" s="162"/>
      <c r="WRE102" s="162"/>
      <c r="WRF102" s="162"/>
      <c r="WRG102" s="162"/>
      <c r="WRH102" s="162"/>
      <c r="WRI102" s="162"/>
      <c r="WRJ102" s="162"/>
      <c r="WRK102" s="162"/>
      <c r="WRL102" s="162"/>
      <c r="WRM102" s="162"/>
      <c r="WRN102" s="162"/>
      <c r="WRO102" s="162"/>
      <c r="WRP102" s="162"/>
      <c r="WRQ102" s="162"/>
      <c r="WRR102" s="162"/>
      <c r="WRS102" s="162"/>
      <c r="WRT102" s="162"/>
      <c r="WRU102" s="162"/>
      <c r="WRV102" s="162"/>
      <c r="WRW102" s="162"/>
      <c r="WRX102" s="162"/>
      <c r="WRY102" s="162"/>
      <c r="WRZ102" s="162"/>
      <c r="WSA102" s="162"/>
      <c r="WSB102" s="162"/>
      <c r="WSC102" s="162"/>
      <c r="WSD102" s="162"/>
      <c r="WSE102" s="162"/>
      <c r="WSF102" s="162"/>
      <c r="WSG102" s="162"/>
      <c r="WSH102" s="162"/>
      <c r="WSI102" s="162"/>
      <c r="WSJ102" s="162"/>
      <c r="WSK102" s="162"/>
      <c r="WSL102" s="162"/>
      <c r="WSM102" s="162"/>
      <c r="WSN102" s="162"/>
      <c r="WSO102" s="162"/>
      <c r="WSP102" s="162"/>
      <c r="WSQ102" s="162"/>
      <c r="WSR102" s="162"/>
      <c r="WSS102" s="162"/>
      <c r="WST102" s="162"/>
      <c r="WSU102" s="162"/>
      <c r="WSV102" s="162"/>
      <c r="WSW102" s="162"/>
      <c r="WSX102" s="162"/>
      <c r="WSY102" s="162"/>
      <c r="WSZ102" s="162"/>
      <c r="WTA102" s="162"/>
      <c r="WTB102" s="162"/>
      <c r="WTC102" s="162"/>
      <c r="WTD102" s="162"/>
      <c r="WTE102" s="162"/>
      <c r="WTF102" s="162"/>
      <c r="WTG102" s="162"/>
      <c r="WTH102" s="162"/>
      <c r="WTI102" s="162"/>
      <c r="WTJ102" s="162"/>
      <c r="WTK102" s="162"/>
      <c r="WTL102" s="162"/>
      <c r="WTM102" s="162"/>
      <c r="WTN102" s="162"/>
      <c r="WTO102" s="162"/>
      <c r="WTP102" s="162"/>
      <c r="WTQ102" s="162"/>
      <c r="WTR102" s="162"/>
      <c r="WTS102" s="162"/>
      <c r="WTT102" s="162"/>
      <c r="WTU102" s="162"/>
      <c r="WTV102" s="162"/>
      <c r="WTW102" s="162"/>
      <c r="WTX102" s="162"/>
      <c r="WTY102" s="162"/>
      <c r="WTZ102" s="162"/>
      <c r="WUA102" s="162"/>
      <c r="WUB102" s="162"/>
      <c r="WUC102" s="162"/>
      <c r="WUD102" s="162"/>
      <c r="WUE102" s="162"/>
      <c r="WUF102" s="162"/>
      <c r="WUG102" s="162"/>
      <c r="WUH102" s="162"/>
      <c r="WUI102" s="162"/>
      <c r="WUJ102" s="162"/>
      <c r="WUK102" s="162"/>
      <c r="WUL102" s="162"/>
      <c r="WUM102" s="162"/>
      <c r="WUN102" s="162"/>
      <c r="WUO102" s="162"/>
      <c r="WUP102" s="162"/>
      <c r="WUQ102" s="162"/>
      <c r="WUR102" s="162"/>
      <c r="WUS102" s="162"/>
      <c r="WUT102" s="162"/>
      <c r="WUU102" s="162"/>
      <c r="WUV102" s="162"/>
      <c r="WUW102" s="162"/>
      <c r="WUX102" s="162"/>
      <c r="WUY102" s="162"/>
      <c r="WUZ102" s="162"/>
      <c r="WVA102" s="162"/>
      <c r="WVB102" s="162"/>
      <c r="WVC102" s="162"/>
      <c r="WVD102" s="162"/>
      <c r="WVE102" s="162"/>
      <c r="WVF102" s="162"/>
      <c r="WVG102" s="162"/>
      <c r="WVH102" s="162"/>
      <c r="WVI102" s="162"/>
      <c r="WVJ102" s="162"/>
      <c r="WVK102" s="162"/>
      <c r="WVL102" s="162"/>
      <c r="WVM102" s="162"/>
      <c r="WVN102" s="162"/>
      <c r="WVO102" s="162"/>
      <c r="WVP102" s="162"/>
      <c r="WVQ102" s="162"/>
      <c r="WVR102" s="162"/>
      <c r="WVS102" s="162"/>
      <c r="WVT102" s="162"/>
      <c r="WVU102" s="162"/>
      <c r="WVV102" s="162"/>
      <c r="WVW102" s="162"/>
      <c r="WVX102" s="162"/>
      <c r="WVY102" s="162"/>
      <c r="WVZ102" s="162"/>
      <c r="WWA102" s="162"/>
      <c r="WWB102" s="162"/>
      <c r="WWC102" s="162"/>
      <c r="WWD102" s="162"/>
      <c r="WWE102" s="162"/>
      <c r="WWF102" s="162"/>
      <c r="WWG102" s="162"/>
      <c r="WWH102" s="162"/>
      <c r="WWI102" s="162"/>
      <c r="WWJ102" s="162"/>
      <c r="WWK102" s="162"/>
      <c r="WWL102" s="162"/>
      <c r="WWM102" s="162"/>
      <c r="WWN102" s="162"/>
      <c r="WWO102" s="162"/>
      <c r="WWP102" s="162"/>
      <c r="WWQ102" s="162"/>
      <c r="WWR102" s="162"/>
      <c r="WWS102" s="162"/>
      <c r="WWT102" s="162"/>
      <c r="WWU102" s="162"/>
      <c r="WWV102" s="162"/>
      <c r="WWW102" s="162"/>
      <c r="WWX102" s="162"/>
      <c r="WWY102" s="162"/>
      <c r="WWZ102" s="162"/>
      <c r="WXA102" s="162"/>
      <c r="WXB102" s="162"/>
      <c r="WXC102" s="162"/>
      <c r="WXD102" s="162"/>
      <c r="WXE102" s="162"/>
      <c r="WXF102" s="162"/>
      <c r="WXG102" s="162"/>
      <c r="WXH102" s="162"/>
      <c r="WXI102" s="162"/>
      <c r="WXJ102" s="162"/>
      <c r="WXK102" s="162"/>
      <c r="WXL102" s="162"/>
      <c r="WXM102" s="162"/>
      <c r="WXN102" s="162"/>
      <c r="WXO102" s="162"/>
      <c r="WXP102" s="162"/>
      <c r="WXQ102" s="162"/>
      <c r="WXR102" s="162"/>
      <c r="WXS102" s="162"/>
      <c r="WXT102" s="162"/>
      <c r="WXU102" s="162"/>
      <c r="WXV102" s="162"/>
      <c r="WXW102" s="162"/>
      <c r="WXX102" s="162"/>
    </row>
    <row r="103" spans="1:16196" s="162" customFormat="1" hidden="1" x14ac:dyDescent="0.35">
      <c r="A103" s="159"/>
      <c r="B103" s="160" t="s">
        <v>211</v>
      </c>
      <c r="C103" s="159"/>
      <c r="D103" s="159"/>
      <c r="E103" s="159"/>
      <c r="F103" s="159"/>
      <c r="G103" s="523"/>
      <c r="H103" s="159"/>
      <c r="I103" s="159"/>
      <c r="J103" s="159"/>
      <c r="K103" s="159"/>
      <c r="L103" s="159"/>
      <c r="M103" s="159"/>
      <c r="N103" s="161"/>
      <c r="O103" s="159"/>
      <c r="P103" s="159"/>
      <c r="Q103" s="159"/>
      <c r="R103" s="159"/>
      <c r="S103" s="159"/>
      <c r="T103" s="159"/>
      <c r="U103" s="346">
        <f>U102/N102-1</f>
        <v>0.82209686406129912</v>
      </c>
      <c r="V103" s="159"/>
      <c r="W103" s="159"/>
      <c r="X103" s="159"/>
      <c r="Y103" s="159"/>
      <c r="Z103" s="129">
        <f t="shared" ref="Z103" si="409">Z102/U102-1</f>
        <v>0.81659278812045999</v>
      </c>
      <c r="AA103" s="128"/>
      <c r="AB103" s="128"/>
      <c r="AC103" s="128"/>
      <c r="AD103" s="128"/>
      <c r="AE103" s="129">
        <f>AE102/Z102-1</f>
        <v>0.39973623256108959</v>
      </c>
      <c r="AF103" s="128"/>
      <c r="AG103" s="128"/>
      <c r="AH103" s="128"/>
      <c r="AI103" s="128"/>
      <c r="AJ103" s="129">
        <f>AJ102/AE102-1</f>
        <v>0.15252325876325745</v>
      </c>
      <c r="AK103" s="128"/>
      <c r="AL103" s="128"/>
      <c r="AM103" s="128"/>
      <c r="AN103" s="128"/>
      <c r="AO103" s="129">
        <f>AO102/AJ102-1</f>
        <v>0.2097709367222913</v>
      </c>
      <c r="AP103" s="128"/>
      <c r="AQ103" s="128"/>
      <c r="AR103" s="128"/>
      <c r="AS103" s="128"/>
      <c r="AT103" s="128">
        <f>AT102/AO102-1</f>
        <v>4.0845102522337529E-2</v>
      </c>
      <c r="AU103" s="128">
        <f t="shared" ref="AU103:AY103" si="410">AU102/AT102-1</f>
        <v>0.10918780304475395</v>
      </c>
      <c r="AV103" s="128">
        <f t="shared" si="410"/>
        <v>8.8939341114563808E-2</v>
      </c>
      <c r="AW103" s="128">
        <f t="shared" si="410"/>
        <v>9.0674189174742459E-2</v>
      </c>
      <c r="AX103" s="128">
        <f t="shared" si="410"/>
        <v>0.10683958427200646</v>
      </c>
      <c r="AY103" s="128">
        <f t="shared" si="410"/>
        <v>6.9393784831013994E-2</v>
      </c>
      <c r="AZ103" s="159"/>
      <c r="BA103" s="159"/>
    </row>
    <row r="104" spans="1:16196" s="110" customFormat="1" hidden="1" x14ac:dyDescent="0.35">
      <c r="B104" s="123" t="s">
        <v>218</v>
      </c>
      <c r="G104" s="521"/>
      <c r="N104" s="158">
        <f>N105*N107/1000000</f>
        <v>14.948</v>
      </c>
      <c r="U104" s="363">
        <f>U105*U107/1000000</f>
        <v>23.356249999999999</v>
      </c>
      <c r="Z104" s="158">
        <f t="shared" ref="Z104:AY104" si="411">Z105*Z107/1000000</f>
        <v>35.048388750000001</v>
      </c>
      <c r="AA104" s="150"/>
      <c r="AB104" s="150"/>
      <c r="AC104" s="150"/>
      <c r="AD104" s="150"/>
      <c r="AE104" s="158">
        <f t="shared" si="411"/>
        <v>49.628518469999996</v>
      </c>
      <c r="AF104" s="150"/>
      <c r="AG104" s="150"/>
      <c r="AH104" s="150"/>
      <c r="AI104" s="150"/>
      <c r="AJ104" s="158">
        <f t="shared" si="411"/>
        <v>65.825999999999993</v>
      </c>
      <c r="AK104" s="150"/>
      <c r="AL104" s="150"/>
      <c r="AM104" s="150"/>
      <c r="AN104" s="150"/>
      <c r="AO104" s="158">
        <f t="shared" si="411"/>
        <v>87.054884999999999</v>
      </c>
      <c r="AP104" s="150"/>
      <c r="AQ104" s="150"/>
      <c r="AR104" s="150"/>
      <c r="AS104" s="150"/>
      <c r="AT104" s="150">
        <f t="shared" si="411"/>
        <v>115.13008541249999</v>
      </c>
      <c r="AU104" s="150">
        <f t="shared" si="411"/>
        <v>145.63955804681251</v>
      </c>
      <c r="AV104" s="150">
        <f t="shared" si="411"/>
        <v>184.23404092921783</v>
      </c>
      <c r="AW104" s="150">
        <f t="shared" si="411"/>
        <v>233.05606177546051</v>
      </c>
      <c r="AX104" s="150">
        <f t="shared" si="411"/>
        <v>281.9978347483073</v>
      </c>
      <c r="AY104" s="150">
        <f t="shared" si="411"/>
        <v>341.21738004545182</v>
      </c>
    </row>
    <row r="105" spans="1:16196" s="162" customFormat="1" hidden="1" x14ac:dyDescent="0.35">
      <c r="A105" s="159"/>
      <c r="B105" s="160" t="s">
        <v>209</v>
      </c>
      <c r="C105" s="159"/>
      <c r="D105" s="159"/>
      <c r="E105" s="159"/>
      <c r="F105" s="159"/>
      <c r="G105" s="523"/>
      <c r="H105" s="159"/>
      <c r="I105" s="159"/>
      <c r="J105" s="159"/>
      <c r="K105" s="159"/>
      <c r="L105" s="159"/>
      <c r="M105" s="159"/>
      <c r="N105" s="161">
        <v>1010</v>
      </c>
      <c r="O105" s="159"/>
      <c r="P105" s="159"/>
      <c r="Q105" s="159"/>
      <c r="R105" s="159"/>
      <c r="S105" s="159"/>
      <c r="T105" s="159"/>
      <c r="U105" s="364">
        <f>N105*(1+U106)</f>
        <v>1262.5</v>
      </c>
      <c r="V105" s="159"/>
      <c r="W105" s="159"/>
      <c r="X105" s="159"/>
      <c r="Y105" s="159"/>
      <c r="Z105" s="161">
        <f>U105*(1+Z106)</f>
        <v>1540.25</v>
      </c>
      <c r="AA105" s="159"/>
      <c r="AB105" s="159"/>
      <c r="AC105" s="159"/>
      <c r="AD105" s="159"/>
      <c r="AE105" s="161">
        <f>Z105*(1+AE106)</f>
        <v>1817.4949999999999</v>
      </c>
      <c r="AF105" s="159"/>
      <c r="AG105" s="159"/>
      <c r="AH105" s="159"/>
      <c r="AI105" s="159"/>
      <c r="AJ105" s="161">
        <v>2070</v>
      </c>
      <c r="AK105" s="159"/>
      <c r="AL105" s="159"/>
      <c r="AM105" s="159"/>
      <c r="AN105" s="159"/>
      <c r="AO105" s="161">
        <f>AJ105*(1+AO106)</f>
        <v>2380.5</v>
      </c>
      <c r="AP105" s="159"/>
      <c r="AQ105" s="159"/>
      <c r="AR105" s="159"/>
      <c r="AS105" s="159"/>
      <c r="AT105" s="159">
        <f>AO105*(1+AT106)</f>
        <v>2737.5749999999998</v>
      </c>
      <c r="AU105" s="159">
        <f t="shared" ref="AU105:AY105" si="412">AT105*(1+AU106)</f>
        <v>3011.3325</v>
      </c>
      <c r="AV105" s="159">
        <f t="shared" si="412"/>
        <v>3312.4657500000003</v>
      </c>
      <c r="AW105" s="159">
        <f t="shared" si="412"/>
        <v>3643.7123250000004</v>
      </c>
      <c r="AX105" s="159">
        <f t="shared" si="412"/>
        <v>4008.083557500001</v>
      </c>
      <c r="AY105" s="159">
        <f t="shared" si="412"/>
        <v>4408.8919132500014</v>
      </c>
      <c r="AZ105" s="159"/>
      <c r="BA105" s="159"/>
    </row>
    <row r="106" spans="1:16196" hidden="1" x14ac:dyDescent="0.35">
      <c r="B106" s="160" t="s">
        <v>211</v>
      </c>
      <c r="U106" s="346">
        <v>0.25</v>
      </c>
      <c r="V106" s="159"/>
      <c r="W106" s="159"/>
      <c r="X106" s="159"/>
      <c r="Y106" s="159"/>
      <c r="Z106" s="129">
        <v>0.22</v>
      </c>
      <c r="AA106" s="128"/>
      <c r="AB106" s="128"/>
      <c r="AC106" s="128"/>
      <c r="AD106" s="128"/>
      <c r="AE106" s="129">
        <v>0.18</v>
      </c>
      <c r="AF106" s="128"/>
      <c r="AG106" s="128"/>
      <c r="AH106" s="128"/>
      <c r="AI106" s="128"/>
      <c r="AJ106" s="129">
        <f>AJ105/AE105-1</f>
        <v>0.13893023089472045</v>
      </c>
      <c r="AK106" s="128"/>
      <c r="AL106" s="128"/>
      <c r="AM106" s="128"/>
      <c r="AN106" s="128"/>
      <c r="AO106" s="129">
        <v>0.15</v>
      </c>
      <c r="AP106" s="128"/>
      <c r="AQ106" s="128"/>
      <c r="AR106" s="128"/>
      <c r="AS106" s="128"/>
      <c r="AT106" s="128">
        <v>0.15</v>
      </c>
      <c r="AU106" s="128">
        <v>0.1</v>
      </c>
      <c r="AV106" s="128">
        <v>0.1</v>
      </c>
      <c r="AW106" s="128">
        <v>0.1</v>
      </c>
      <c r="AX106" s="128">
        <v>0.1</v>
      </c>
      <c r="AY106" s="128">
        <v>0.1</v>
      </c>
    </row>
    <row r="107" spans="1:16196" s="162" customFormat="1" hidden="1" x14ac:dyDescent="0.35">
      <c r="A107" s="159"/>
      <c r="B107" s="160" t="s">
        <v>210</v>
      </c>
      <c r="C107" s="159"/>
      <c r="D107" s="159"/>
      <c r="E107" s="159"/>
      <c r="F107" s="159"/>
      <c r="G107" s="523"/>
      <c r="H107" s="159"/>
      <c r="I107" s="159"/>
      <c r="J107" s="159"/>
      <c r="K107" s="159"/>
      <c r="L107" s="159"/>
      <c r="M107" s="159"/>
      <c r="N107" s="161">
        <v>14800</v>
      </c>
      <c r="O107" s="159"/>
      <c r="P107" s="159"/>
      <c r="Q107" s="159"/>
      <c r="R107" s="159"/>
      <c r="S107" s="159"/>
      <c r="T107" s="159"/>
      <c r="U107" s="364">
        <f>N107*(1+U108)</f>
        <v>18500</v>
      </c>
      <c r="V107" s="159"/>
      <c r="W107" s="159"/>
      <c r="X107" s="159"/>
      <c r="Y107" s="159"/>
      <c r="Z107" s="161">
        <f>U107*(1+Z108)</f>
        <v>22755</v>
      </c>
      <c r="AA107" s="159"/>
      <c r="AB107" s="159"/>
      <c r="AC107" s="159"/>
      <c r="AD107" s="159"/>
      <c r="AE107" s="161">
        <f>Z107*(1+AE108)</f>
        <v>27306</v>
      </c>
      <c r="AF107" s="159"/>
      <c r="AG107" s="159"/>
      <c r="AH107" s="159"/>
      <c r="AI107" s="159"/>
      <c r="AJ107" s="161">
        <v>31800</v>
      </c>
      <c r="AK107" s="159"/>
      <c r="AL107" s="159"/>
      <c r="AM107" s="159"/>
      <c r="AN107" s="159"/>
      <c r="AO107" s="161">
        <f>AJ107*(1+AO108)</f>
        <v>36570</v>
      </c>
      <c r="AP107" s="159"/>
      <c r="AQ107" s="159"/>
      <c r="AR107" s="159"/>
      <c r="AS107" s="159"/>
      <c r="AT107" s="159">
        <f>AO107*(1+AT108)</f>
        <v>42055.5</v>
      </c>
      <c r="AU107" s="159">
        <f t="shared" ref="AU107:AY107" si="413">AT107*(1+AU108)</f>
        <v>48363.824999999997</v>
      </c>
      <c r="AV107" s="159">
        <f t="shared" si="413"/>
        <v>55618.398749999993</v>
      </c>
      <c r="AW107" s="159">
        <f t="shared" si="413"/>
        <v>63961.158562499986</v>
      </c>
      <c r="AX107" s="159">
        <f t="shared" si="413"/>
        <v>70357.274418749992</v>
      </c>
      <c r="AY107" s="159">
        <f t="shared" si="413"/>
        <v>77393.001860624994</v>
      </c>
      <c r="AZ107" s="159"/>
      <c r="BA107" s="159"/>
    </row>
    <row r="108" spans="1:16196" s="162" customFormat="1" hidden="1" x14ac:dyDescent="0.35">
      <c r="A108" s="159"/>
      <c r="B108" s="160" t="s">
        <v>211</v>
      </c>
      <c r="C108" s="159"/>
      <c r="D108" s="159"/>
      <c r="E108" s="159"/>
      <c r="F108" s="159"/>
      <c r="G108" s="523"/>
      <c r="H108" s="159"/>
      <c r="I108" s="159"/>
      <c r="J108" s="159"/>
      <c r="K108" s="159"/>
      <c r="L108" s="159"/>
      <c r="M108" s="159"/>
      <c r="N108" s="161"/>
      <c r="O108" s="159"/>
      <c r="P108" s="159"/>
      <c r="Q108" s="159"/>
      <c r="R108" s="159"/>
      <c r="S108" s="159"/>
      <c r="T108" s="159"/>
      <c r="U108" s="346">
        <v>0.25</v>
      </c>
      <c r="V108" s="159"/>
      <c r="W108" s="159"/>
      <c r="X108" s="159"/>
      <c r="Y108" s="159"/>
      <c r="Z108" s="129">
        <v>0.23</v>
      </c>
      <c r="AA108" s="128"/>
      <c r="AB108" s="128"/>
      <c r="AC108" s="128"/>
      <c r="AD108" s="128"/>
      <c r="AE108" s="129">
        <v>0.2</v>
      </c>
      <c r="AF108" s="128"/>
      <c r="AG108" s="128"/>
      <c r="AH108" s="128"/>
      <c r="AI108" s="128"/>
      <c r="AJ108" s="129">
        <f>AJ107/AE107-1</f>
        <v>0.16457921335970127</v>
      </c>
      <c r="AK108" s="128"/>
      <c r="AL108" s="128"/>
      <c r="AM108" s="128"/>
      <c r="AN108" s="128"/>
      <c r="AO108" s="129">
        <v>0.15</v>
      </c>
      <c r="AP108" s="128"/>
      <c r="AQ108" s="128"/>
      <c r="AR108" s="128"/>
      <c r="AS108" s="128"/>
      <c r="AT108" s="128">
        <v>0.15</v>
      </c>
      <c r="AU108" s="128">
        <v>0.15</v>
      </c>
      <c r="AV108" s="128">
        <v>0.15</v>
      </c>
      <c r="AW108" s="128">
        <v>0.15</v>
      </c>
      <c r="AX108" s="128">
        <v>0.1</v>
      </c>
      <c r="AY108" s="128">
        <v>0.1</v>
      </c>
      <c r="AZ108" s="159"/>
      <c r="BA108" s="159"/>
    </row>
    <row r="109" spans="1:16196" s="165" customFormat="1" hidden="1" x14ac:dyDescent="0.35">
      <c r="A109" s="164"/>
      <c r="B109" s="123" t="s">
        <v>240</v>
      </c>
      <c r="C109" s="164"/>
      <c r="D109" s="164"/>
      <c r="E109" s="164"/>
      <c r="F109" s="164"/>
      <c r="G109" s="515">
        <f>G115</f>
        <v>200.71593959000003</v>
      </c>
      <c r="H109" s="164"/>
      <c r="I109" s="164"/>
      <c r="J109" s="164"/>
      <c r="K109" s="164"/>
      <c r="L109" s="164"/>
      <c r="M109" s="164"/>
      <c r="N109" s="126">
        <f>N104+N99+N94</f>
        <v>256.64999999999998</v>
      </c>
      <c r="O109" s="125"/>
      <c r="P109" s="125"/>
      <c r="Q109" s="125"/>
      <c r="R109" s="125"/>
      <c r="S109" s="125"/>
      <c r="T109" s="125"/>
      <c r="U109" s="350">
        <f>U104+U99+U94</f>
        <v>449.1</v>
      </c>
      <c r="V109" s="125"/>
      <c r="W109" s="125"/>
      <c r="X109" s="125"/>
      <c r="Y109" s="125"/>
      <c r="Z109" s="126">
        <f t="shared" ref="Z109:AY109" si="414">Z104+Z99+Z94</f>
        <v>776.99999999999989</v>
      </c>
      <c r="AA109" s="125"/>
      <c r="AB109" s="125"/>
      <c r="AC109" s="125"/>
      <c r="AD109" s="125"/>
      <c r="AE109" s="126">
        <f t="shared" si="414"/>
        <v>1120.3000000000002</v>
      </c>
      <c r="AF109" s="125"/>
      <c r="AG109" s="125"/>
      <c r="AH109" s="125"/>
      <c r="AI109" s="125"/>
      <c r="AJ109" s="126">
        <f t="shared" si="414"/>
        <v>1375.5000000000005</v>
      </c>
      <c r="AK109" s="125"/>
      <c r="AL109" s="125"/>
      <c r="AM109" s="125"/>
      <c r="AN109" s="125"/>
      <c r="AO109" s="126">
        <f t="shared" si="414"/>
        <v>1753.5000000000023</v>
      </c>
      <c r="AP109" s="125"/>
      <c r="AQ109" s="125"/>
      <c r="AR109" s="125"/>
      <c r="AS109" s="125"/>
      <c r="AT109" s="125">
        <f t="shared" si="414"/>
        <v>1915.4194336759567</v>
      </c>
      <c r="AU109" s="125">
        <f t="shared" si="414"/>
        <v>2191.0083598648089</v>
      </c>
      <c r="AV109" s="125">
        <f t="shared" si="414"/>
        <v>2461.4229202769079</v>
      </c>
      <c r="AW109" s="125">
        <f t="shared" si="414"/>
        <v>2772.1319486103184</v>
      </c>
      <c r="AX109" s="125">
        <f t="shared" si="414"/>
        <v>3137.6235493709878</v>
      </c>
      <c r="AY109" s="125">
        <f t="shared" si="414"/>
        <v>3465.3886648924909</v>
      </c>
      <c r="AZ109" s="164"/>
      <c r="BA109" s="164"/>
    </row>
    <row r="110" spans="1:16196" s="162" customFormat="1" hidden="1" x14ac:dyDescent="0.35">
      <c r="A110" s="159"/>
      <c r="B110" s="160" t="s">
        <v>209</v>
      </c>
      <c r="C110" s="159"/>
      <c r="D110" s="159"/>
      <c r="E110" s="159"/>
      <c r="F110" s="159"/>
      <c r="G110" s="523">
        <v>6380</v>
      </c>
      <c r="H110" s="159"/>
      <c r="I110" s="159"/>
      <c r="J110" s="159"/>
      <c r="K110" s="159"/>
      <c r="L110" s="159"/>
      <c r="M110" s="159"/>
      <c r="N110" s="161">
        <f>N105+N100+N95</f>
        <v>7450</v>
      </c>
      <c r="O110" s="159"/>
      <c r="P110" s="159"/>
      <c r="Q110" s="159"/>
      <c r="R110" s="159"/>
      <c r="S110" s="159"/>
      <c r="T110" s="159"/>
      <c r="U110" s="364">
        <f>U105+U100+U95</f>
        <v>8375.5</v>
      </c>
      <c r="V110" s="159"/>
      <c r="W110" s="159"/>
      <c r="X110" s="159"/>
      <c r="Y110" s="159"/>
      <c r="Z110" s="161">
        <f t="shared" ref="Z110:AY110" si="415">Z105+Z100+Z95</f>
        <v>9327.5</v>
      </c>
      <c r="AA110" s="159"/>
      <c r="AB110" s="159"/>
      <c r="AC110" s="159"/>
      <c r="AD110" s="159"/>
      <c r="AE110" s="161">
        <f t="shared" si="415"/>
        <v>10250.5805</v>
      </c>
      <c r="AF110" s="159"/>
      <c r="AG110" s="159"/>
      <c r="AH110" s="159"/>
      <c r="AI110" s="159"/>
      <c r="AJ110" s="161">
        <f t="shared" si="415"/>
        <v>11080</v>
      </c>
      <c r="AK110" s="159"/>
      <c r="AL110" s="159"/>
      <c r="AM110" s="159"/>
      <c r="AN110" s="159"/>
      <c r="AO110" s="161">
        <f t="shared" si="415"/>
        <v>11974.5</v>
      </c>
      <c r="AP110" s="159"/>
      <c r="AQ110" s="159"/>
      <c r="AR110" s="159"/>
      <c r="AS110" s="159"/>
      <c r="AT110" s="159">
        <f t="shared" si="415"/>
        <v>12619.395</v>
      </c>
      <c r="AU110" s="159">
        <f t="shared" si="415"/>
        <v>13189.607100000001</v>
      </c>
      <c r="AV110" s="159">
        <f t="shared" si="415"/>
        <v>13796.088588000002</v>
      </c>
      <c r="AW110" s="159">
        <f t="shared" si="415"/>
        <v>14441.843848140001</v>
      </c>
      <c r="AX110" s="159">
        <f t="shared" si="415"/>
        <v>15130.1590263342</v>
      </c>
      <c r="AY110" s="159">
        <f t="shared" si="415"/>
        <v>15864.629646149231</v>
      </c>
      <c r="AZ110" s="159"/>
      <c r="BA110" s="159"/>
    </row>
    <row r="111" spans="1:16196" s="162" customFormat="1" hidden="1" x14ac:dyDescent="0.35">
      <c r="A111" s="159"/>
      <c r="B111" s="160" t="s">
        <v>211</v>
      </c>
      <c r="C111" s="159"/>
      <c r="D111" s="159"/>
      <c r="E111" s="159"/>
      <c r="F111" s="159"/>
      <c r="G111" s="523"/>
      <c r="H111" s="159"/>
      <c r="I111" s="159"/>
      <c r="J111" s="159"/>
      <c r="K111" s="159"/>
      <c r="L111" s="159"/>
      <c r="M111" s="159"/>
      <c r="N111" s="129">
        <f>N110/G110-1</f>
        <v>0.16771159874608155</v>
      </c>
      <c r="O111" s="159"/>
      <c r="P111" s="159"/>
      <c r="Q111" s="159"/>
      <c r="R111" s="159"/>
      <c r="S111" s="159"/>
      <c r="T111" s="159"/>
      <c r="U111" s="346">
        <f>U110/N110-1</f>
        <v>0.12422818791946311</v>
      </c>
      <c r="V111" s="159"/>
      <c r="W111" s="159"/>
      <c r="X111" s="159"/>
      <c r="Y111" s="159"/>
      <c r="Z111" s="129">
        <f>Z110/U110-1</f>
        <v>0.11366485582950281</v>
      </c>
      <c r="AA111" s="128"/>
      <c r="AB111" s="128"/>
      <c r="AC111" s="128"/>
      <c r="AD111" s="128"/>
      <c r="AE111" s="129">
        <f>AE110/Z110-1</f>
        <v>9.8963334226748856E-2</v>
      </c>
      <c r="AF111" s="128"/>
      <c r="AG111" s="128"/>
      <c r="AH111" s="128"/>
      <c r="AI111" s="128"/>
      <c r="AJ111" s="129">
        <f>AJ110/AE110-1</f>
        <v>8.0914393092176518E-2</v>
      </c>
      <c r="AK111" s="128"/>
      <c r="AL111" s="128"/>
      <c r="AM111" s="128"/>
      <c r="AN111" s="128"/>
      <c r="AO111" s="129">
        <f>AO110/AJ110-1</f>
        <v>8.0731046931407979E-2</v>
      </c>
      <c r="AP111" s="128"/>
      <c r="AQ111" s="128"/>
      <c r="AR111" s="128"/>
      <c r="AS111" s="128"/>
      <c r="AT111" s="128">
        <f>AT110/AO110-1</f>
        <v>5.3855693348365374E-2</v>
      </c>
      <c r="AU111" s="128">
        <f t="shared" ref="AU111:AY111" si="416">AU110/AT110-1</f>
        <v>4.5185375368629099E-2</v>
      </c>
      <c r="AV111" s="128">
        <f t="shared" si="416"/>
        <v>4.5981770601794647E-2</v>
      </c>
      <c r="AW111" s="128">
        <f t="shared" si="416"/>
        <v>4.6807126238786578E-2</v>
      </c>
      <c r="AX111" s="128">
        <f t="shared" si="416"/>
        <v>4.7661170237818906E-2</v>
      </c>
      <c r="AY111" s="128">
        <f t="shared" si="416"/>
        <v>4.8543483154187328E-2</v>
      </c>
      <c r="AZ111" s="159"/>
      <c r="BA111" s="159"/>
    </row>
    <row r="112" spans="1:16196" s="162" customFormat="1" hidden="1" x14ac:dyDescent="0.35">
      <c r="A112" s="159"/>
      <c r="B112" s="160" t="s">
        <v>210</v>
      </c>
      <c r="C112" s="159"/>
      <c r="D112" s="159"/>
      <c r="E112" s="159"/>
      <c r="F112" s="159"/>
      <c r="G112" s="523">
        <f>G109/G110*1000000</f>
        <v>31460.178619122267</v>
      </c>
      <c r="H112" s="159"/>
      <c r="I112" s="159"/>
      <c r="J112" s="159"/>
      <c r="K112" s="159"/>
      <c r="L112" s="159"/>
      <c r="M112" s="159"/>
      <c r="N112" s="161">
        <f>N109/N110*1000000</f>
        <v>34449.664429530203</v>
      </c>
      <c r="O112" s="159"/>
      <c r="P112" s="159"/>
      <c r="Q112" s="159"/>
      <c r="R112" s="159"/>
      <c r="S112" s="159"/>
      <c r="T112" s="159"/>
      <c r="U112" s="364">
        <f>U109/U110*1000000</f>
        <v>53620.679362426126</v>
      </c>
      <c r="V112" s="159"/>
      <c r="W112" s="159"/>
      <c r="X112" s="159"/>
      <c r="Y112" s="159"/>
      <c r="Z112" s="161">
        <f>Z109/Z110*1000000</f>
        <v>83302.063789868655</v>
      </c>
      <c r="AA112" s="159"/>
      <c r="AB112" s="159"/>
      <c r="AC112" s="159"/>
      <c r="AD112" s="159"/>
      <c r="AE112" s="161">
        <f>AE109/AE110*1000000</f>
        <v>109291.37135209076</v>
      </c>
      <c r="AF112" s="159"/>
      <c r="AG112" s="159"/>
      <c r="AH112" s="159"/>
      <c r="AI112" s="159"/>
      <c r="AJ112" s="161">
        <f>AJ109/AJ110*1000000</f>
        <v>124142.59927797838</v>
      </c>
      <c r="AK112" s="159"/>
      <c r="AL112" s="159"/>
      <c r="AM112" s="159"/>
      <c r="AN112" s="159"/>
      <c r="AO112" s="161">
        <f t="shared" ref="AO112:AY112" si="417">AO109/AO110*1000000</f>
        <v>146436.17687586139</v>
      </c>
      <c r="AP112" s="159"/>
      <c r="AQ112" s="159"/>
      <c r="AR112" s="159"/>
      <c r="AS112" s="159"/>
      <c r="AT112" s="159">
        <f t="shared" si="417"/>
        <v>151783.77677186241</v>
      </c>
      <c r="AU112" s="159">
        <f t="shared" si="417"/>
        <v>166116.27194450761</v>
      </c>
      <c r="AV112" s="159">
        <f t="shared" si="417"/>
        <v>178414.54877419982</v>
      </c>
      <c r="AW112" s="159">
        <f t="shared" si="417"/>
        <v>191951.38638528821</v>
      </c>
      <c r="AX112" s="159">
        <f t="shared" si="417"/>
        <v>207375.45084026686</v>
      </c>
      <c r="AY112" s="159">
        <f t="shared" si="417"/>
        <v>218434.89209555124</v>
      </c>
      <c r="AZ112" s="159"/>
      <c r="BA112" s="159"/>
    </row>
    <row r="113" spans="1:53" s="162" customFormat="1" hidden="1" x14ac:dyDescent="0.35">
      <c r="A113" s="159"/>
      <c r="B113" s="160" t="s">
        <v>211</v>
      </c>
      <c r="C113" s="159"/>
      <c r="D113" s="159"/>
      <c r="E113" s="159"/>
      <c r="F113" s="159"/>
      <c r="G113" s="523"/>
      <c r="H113" s="159"/>
      <c r="I113" s="159"/>
      <c r="J113" s="159"/>
      <c r="K113" s="159"/>
      <c r="L113" s="159"/>
      <c r="M113" s="159"/>
      <c r="N113" s="129">
        <f>N112/G112-1</f>
        <v>9.5024438564085267E-2</v>
      </c>
      <c r="O113" s="159"/>
      <c r="P113" s="159"/>
      <c r="Q113" s="159"/>
      <c r="R113" s="159"/>
      <c r="S113" s="159"/>
      <c r="T113" s="159"/>
      <c r="U113" s="346">
        <f>U112/N112-1</f>
        <v>0.55649351743648801</v>
      </c>
      <c r="V113" s="159"/>
      <c r="W113" s="159"/>
      <c r="X113" s="159"/>
      <c r="Y113" s="159"/>
      <c r="Z113" s="129">
        <f>Z112/U112-1</f>
        <v>0.55354361004686004</v>
      </c>
      <c r="AA113" s="128"/>
      <c r="AB113" s="128"/>
      <c r="AC113" s="128"/>
      <c r="AD113" s="128"/>
      <c r="AE113" s="129">
        <f>AE112/Z112-1</f>
        <v>0.31198875969964823</v>
      </c>
      <c r="AF113" s="128"/>
      <c r="AG113" s="128"/>
      <c r="AH113" s="128"/>
      <c r="AI113" s="128"/>
      <c r="AJ113" s="129">
        <f>AJ112/AE112-1</f>
        <v>0.1358865548318835</v>
      </c>
      <c r="AK113" s="128"/>
      <c r="AL113" s="128"/>
      <c r="AM113" s="128"/>
      <c r="AN113" s="128"/>
      <c r="AO113" s="129">
        <f>AO112/AJ112-1</f>
        <v>0.17958039969795969</v>
      </c>
      <c r="AP113" s="128"/>
      <c r="AQ113" s="128"/>
      <c r="AR113" s="128"/>
      <c r="AS113" s="128"/>
      <c r="AT113" s="128">
        <f>AT112/AO112-1</f>
        <v>3.6518297664479116E-2</v>
      </c>
      <c r="AU113" s="128">
        <f t="shared" ref="AU113:AY113" si="418">AU112/AT112-1</f>
        <v>9.4427055891405098E-2</v>
      </c>
      <c r="AV113" s="128">
        <f t="shared" si="418"/>
        <v>7.403414900739258E-2</v>
      </c>
      <c r="AW113" s="128">
        <f t="shared" si="418"/>
        <v>7.5872947044360872E-2</v>
      </c>
      <c r="AX113" s="128">
        <f t="shared" si="418"/>
        <v>8.03540143441277E-2</v>
      </c>
      <c r="AY113" s="128">
        <f t="shared" si="418"/>
        <v>5.3330523022240728E-2</v>
      </c>
      <c r="AZ113" s="159"/>
      <c r="BA113" s="159"/>
    </row>
    <row r="114" spans="1:53" hidden="1" x14ac:dyDescent="0.35">
      <c r="B114" s="124" t="s">
        <v>241</v>
      </c>
      <c r="N114" s="166">
        <f>N115-N109</f>
        <v>8.16924487</v>
      </c>
      <c r="U114" s="366">
        <f>U115-U109</f>
        <v>0</v>
      </c>
      <c r="Z114" s="166">
        <f t="shared" ref="Z114:AY114" si="419">Z115-Z109</f>
        <v>0</v>
      </c>
      <c r="AA114" s="167"/>
      <c r="AB114" s="167"/>
      <c r="AC114" s="167"/>
      <c r="AD114" s="167"/>
      <c r="AE114" s="468">
        <f t="shared" si="419"/>
        <v>0</v>
      </c>
      <c r="AF114" s="168"/>
      <c r="AG114" s="168"/>
      <c r="AH114" s="168"/>
      <c r="AI114" s="168"/>
      <c r="AJ114" s="468">
        <f t="shared" si="419"/>
        <v>0</v>
      </c>
      <c r="AK114" s="168"/>
      <c r="AL114" s="168"/>
      <c r="AM114" s="168"/>
      <c r="AN114" s="168"/>
      <c r="AO114" s="468">
        <f t="shared" si="419"/>
        <v>0</v>
      </c>
      <c r="AP114" s="168"/>
      <c r="AQ114" s="168"/>
      <c r="AR114" s="168"/>
      <c r="AS114" s="168"/>
      <c r="AT114" s="168">
        <f t="shared" si="419"/>
        <v>0</v>
      </c>
      <c r="AU114" s="168">
        <f t="shared" si="419"/>
        <v>0</v>
      </c>
      <c r="AV114" s="168">
        <f t="shared" si="419"/>
        <v>0</v>
      </c>
      <c r="AW114" s="168">
        <f t="shared" si="419"/>
        <v>0</v>
      </c>
      <c r="AX114" s="168">
        <f t="shared" si="419"/>
        <v>0</v>
      </c>
      <c r="AY114" s="168">
        <f t="shared" si="419"/>
        <v>0</v>
      </c>
    </row>
    <row r="115" spans="1:53" s="110" customFormat="1" x14ac:dyDescent="0.35">
      <c r="B115" s="133" t="s">
        <v>219</v>
      </c>
      <c r="C115" s="135">
        <v>38.603625000000001</v>
      </c>
      <c r="D115" s="135">
        <v>53.474778210000004</v>
      </c>
      <c r="E115" s="135">
        <v>47.531104299999996</v>
      </c>
      <c r="F115" s="135">
        <v>61.106432080000033</v>
      </c>
      <c r="G115" s="511">
        <v>200.71593959000003</v>
      </c>
      <c r="H115" s="135">
        <v>49.852466729999996</v>
      </c>
      <c r="I115" s="135">
        <v>48.119778269999991</v>
      </c>
      <c r="J115" s="135">
        <f>I115+H115</f>
        <v>97.972244999999987</v>
      </c>
      <c r="K115" s="135">
        <v>90.583352899999994</v>
      </c>
      <c r="L115" s="135">
        <v>76.263646969999996</v>
      </c>
      <c r="M115" s="135">
        <f>L115+K115</f>
        <v>166.84699986999999</v>
      </c>
      <c r="N115" s="169">
        <v>264.81924486999998</v>
      </c>
      <c r="O115" s="135">
        <f t="shared" ref="O115:AY115" si="420">O31-O78</f>
        <v>90.700000000000031</v>
      </c>
      <c r="P115" s="135">
        <f t="shared" si="420"/>
        <v>109.6999999999999</v>
      </c>
      <c r="Q115" s="135">
        <f>P115+O115</f>
        <v>200.39999999999992</v>
      </c>
      <c r="R115" s="135">
        <f t="shared" si="420"/>
        <v>142.30000000000001</v>
      </c>
      <c r="S115" s="135">
        <f t="shared" si="420"/>
        <v>106.40000000000005</v>
      </c>
      <c r="T115" s="135">
        <f>S115+R115</f>
        <v>248.70000000000005</v>
      </c>
      <c r="U115" s="344">
        <f t="shared" si="420"/>
        <v>449.10000000000008</v>
      </c>
      <c r="V115" s="135">
        <f t="shared" si="420"/>
        <v>152.29999999999998</v>
      </c>
      <c r="W115" s="135">
        <f>W31-W78</f>
        <v>186.02100000000002</v>
      </c>
      <c r="X115" s="135">
        <f t="shared" si="420"/>
        <v>221.43699999999995</v>
      </c>
      <c r="Y115" s="135">
        <f t="shared" si="420"/>
        <v>217.24199999999976</v>
      </c>
      <c r="Z115" s="169">
        <f t="shared" si="420"/>
        <v>776.99999999999989</v>
      </c>
      <c r="AA115" s="135">
        <f t="shared" ref="AA115" si="421">AA31-AA78</f>
        <v>283.19999999999987</v>
      </c>
      <c r="AB115" s="135">
        <f>AB53-AB78</f>
        <v>280.79999999999995</v>
      </c>
      <c r="AC115" s="135">
        <f>AC53-AC78</f>
        <v>315.8</v>
      </c>
      <c r="AD115" s="135">
        <f>AE115-AC115-AB115-AA115</f>
        <v>240.5000000000004</v>
      </c>
      <c r="AE115" s="169">
        <f t="shared" si="420"/>
        <v>1120.3000000000002</v>
      </c>
      <c r="AF115" s="135">
        <f t="shared" si="420"/>
        <v>317.70000000000005</v>
      </c>
      <c r="AG115" s="135">
        <f>AG53-AG78</f>
        <v>358.30000000000007</v>
      </c>
      <c r="AH115" s="135">
        <f>AH53-AH78</f>
        <v>389.1</v>
      </c>
      <c r="AI115" s="135">
        <f>AJ115-AH115-AG115-AF115</f>
        <v>310.40000000000032</v>
      </c>
      <c r="AJ115" s="169">
        <f t="shared" si="420"/>
        <v>1375.5000000000005</v>
      </c>
      <c r="AK115" s="135">
        <f t="shared" ref="AK115:AM115" si="422">AK31-AK78</f>
        <v>449.65480000000002</v>
      </c>
      <c r="AL115" s="135">
        <f>AL31-AL78</f>
        <v>440.92</v>
      </c>
      <c r="AM115" s="135">
        <f t="shared" si="422"/>
        <v>479.70000000000033</v>
      </c>
      <c r="AN115" s="135">
        <f>AO115-AM115-AL115-AK115</f>
        <v>383.22520000000168</v>
      </c>
      <c r="AO115" s="169">
        <f t="shared" si="420"/>
        <v>1753.500000000002</v>
      </c>
      <c r="AP115" s="135">
        <f t="shared" si="420"/>
        <v>509.60000000000025</v>
      </c>
      <c r="AQ115" s="135">
        <f>AQ31-AQ78</f>
        <v>461.90000000000015</v>
      </c>
      <c r="AR115" s="135">
        <f t="shared" ref="AR115" si="423">AR31-AR78</f>
        <v>519.1613533343924</v>
      </c>
      <c r="AS115" s="135">
        <f>AT115-AR115-AQ115-AP115</f>
        <v>424.75808034156364</v>
      </c>
      <c r="AT115" s="135">
        <f t="shared" si="420"/>
        <v>1915.4194336759565</v>
      </c>
      <c r="AU115" s="135">
        <f t="shared" si="420"/>
        <v>2191.0083598648089</v>
      </c>
      <c r="AV115" s="135">
        <f t="shared" si="420"/>
        <v>2461.4229202769075</v>
      </c>
      <c r="AW115" s="135">
        <f>AW31-AW78</f>
        <v>2772.1319486103184</v>
      </c>
      <c r="AX115" s="135">
        <f>AX31-AX78</f>
        <v>3137.6235493709873</v>
      </c>
      <c r="AY115" s="135">
        <f t="shared" si="420"/>
        <v>3465.3886648924909</v>
      </c>
      <c r="AZ115" s="195"/>
      <c r="BA115" s="195"/>
    </row>
    <row r="116" spans="1:53" x14ac:dyDescent="0.35">
      <c r="B116" s="124" t="s">
        <v>156</v>
      </c>
      <c r="O116" s="505">
        <f>((1+O118)/(1+O117))-1</f>
        <v>0.93152810025423571</v>
      </c>
      <c r="P116" s="505">
        <f>((1+P118)/(1+P117))-1</f>
        <v>1.3946207855260599</v>
      </c>
      <c r="Q116" s="506"/>
      <c r="R116" s="505">
        <f>((1+R118)/(1+R117))-1</f>
        <v>0.57697588088940388</v>
      </c>
      <c r="S116" s="505">
        <f>((1+S118)/(1+S117))-1</f>
        <v>0.35128313943489164</v>
      </c>
      <c r="T116" s="506"/>
      <c r="U116" s="505">
        <f t="shared" ref="U116:AD116" si="424">((1+U118)/(1+U117))-1</f>
        <v>0.71792602729212396</v>
      </c>
      <c r="V116" s="505">
        <f t="shared" si="424"/>
        <v>0.61920810991247266</v>
      </c>
      <c r="W116" s="505">
        <f t="shared" si="424"/>
        <v>0.60182703550916838</v>
      </c>
      <c r="X116" s="505">
        <f t="shared" si="424"/>
        <v>0.47402345896601616</v>
      </c>
      <c r="Y116" s="505">
        <f t="shared" si="424"/>
        <v>0.97201303194534816</v>
      </c>
      <c r="Z116" s="505">
        <f t="shared" si="424"/>
        <v>0.65182621417681741</v>
      </c>
      <c r="AA116" s="505">
        <f t="shared" si="424"/>
        <v>0.84903683535669083</v>
      </c>
      <c r="AB116" s="505">
        <f t="shared" si="424"/>
        <v>0.58993255010765822</v>
      </c>
      <c r="AC116" s="505">
        <f t="shared" si="424"/>
        <v>0.61043003489621972</v>
      </c>
      <c r="AD116" s="505">
        <f t="shared" si="424"/>
        <v>0.1895383044198915</v>
      </c>
      <c r="AE116" s="129">
        <v>0.52</v>
      </c>
      <c r="AF116" s="127">
        <f t="shared" ref="AF116" si="425">((1+AF118)/(1+AF117))-1</f>
        <v>0.19788791660256888</v>
      </c>
      <c r="AG116" s="127">
        <f t="shared" ref="AG116:AH116" si="426">((1+AG118)/(1+AG117))-1</f>
        <v>0.28841191472486316</v>
      </c>
      <c r="AH116" s="127">
        <f t="shared" si="426"/>
        <v>0.2401064381544411</v>
      </c>
      <c r="AI116" s="127">
        <v>0.34200000000000003</v>
      </c>
      <c r="AJ116" s="461">
        <v>0.26300000000000001</v>
      </c>
      <c r="AK116" s="127">
        <f t="shared" ref="AK116:AM116" si="427">((1+AK118)/(1+AK117))-1</f>
        <v>0.38629313278155886</v>
      </c>
      <c r="AL116" s="127">
        <f t="shared" si="427"/>
        <v>0.28803914594463365</v>
      </c>
      <c r="AM116" s="127">
        <f t="shared" si="427"/>
        <v>0.32459441210646101</v>
      </c>
      <c r="AN116" s="127">
        <v>0.312</v>
      </c>
      <c r="AO116" s="461">
        <v>0.32600000000000001</v>
      </c>
      <c r="AP116" s="127">
        <f>((1+AP118)/(1+AP117))-1</f>
        <v>0.25098921784154271</v>
      </c>
      <c r="AQ116" s="127">
        <f t="shared" ref="AQ116" si="428">((1+AQ118)/(1+AQ117))-1</f>
        <v>0.12663855741185825</v>
      </c>
      <c r="AR116" s="127">
        <f>AR118-AR117</f>
        <v>9.7892432770481569E-2</v>
      </c>
      <c r="AS116" s="127">
        <f>AS118-AS117</f>
        <v>9.052579252290438E-2</v>
      </c>
      <c r="AT116" s="127">
        <f>AT118-AT117</f>
        <v>0.13354947248360424</v>
      </c>
    </row>
    <row r="117" spans="1:53" x14ac:dyDescent="0.35">
      <c r="B117" s="124" t="s">
        <v>157</v>
      </c>
      <c r="O117" s="507">
        <f>O55</f>
        <v>-5.8067885736396659E-2</v>
      </c>
      <c r="P117" s="507">
        <f>P55</f>
        <v>-4.7979583377296062E-2</v>
      </c>
      <c r="Q117" s="506"/>
      <c r="R117" s="507">
        <f>R55</f>
        <v>-3.8345909163137438E-3</v>
      </c>
      <c r="S117" s="507">
        <f>S55</f>
        <v>3.2470615709640549E-2</v>
      </c>
      <c r="T117" s="506"/>
      <c r="U117" s="507">
        <f t="shared" ref="U117:AD117" si="429">U55</f>
        <v>-1.2836582662641845E-2</v>
      </c>
      <c r="V117" s="507">
        <f t="shared" si="429"/>
        <v>3.7026718485329561E-2</v>
      </c>
      <c r="W117" s="507">
        <f t="shared" si="429"/>
        <v>5.8619105650475033E-2</v>
      </c>
      <c r="X117" s="507">
        <f t="shared" si="429"/>
        <v>5.5700904446200725E-2</v>
      </c>
      <c r="Y117" s="507">
        <f t="shared" si="429"/>
        <v>3.5362387177841549E-2</v>
      </c>
      <c r="Z117" s="507">
        <f t="shared" si="429"/>
        <v>4.7402508604626331E-2</v>
      </c>
      <c r="AA117" s="507">
        <f t="shared" si="429"/>
        <v>5.6521413556140368E-3</v>
      </c>
      <c r="AB117" s="507">
        <f t="shared" si="429"/>
        <v>-5.0584258405208374E-2</v>
      </c>
      <c r="AC117" s="507">
        <f t="shared" si="429"/>
        <v>-0.11443575182822564</v>
      </c>
      <c r="AD117" s="507">
        <f t="shared" si="429"/>
        <v>-6.9336124006641686E-2</v>
      </c>
      <c r="AE117" s="129">
        <f>((1+AE118)/(1+AE116))-1</f>
        <v>-5.1429248797669525E-2</v>
      </c>
      <c r="AF117" s="128">
        <v>-6.3500000000000001E-2</v>
      </c>
      <c r="AG117" s="128">
        <v>-9.6357101217608761E-3</v>
      </c>
      <c r="AH117" s="128">
        <f>AH55</f>
        <v>-6.4490500218675152E-3</v>
      </c>
      <c r="AI117" s="128">
        <f>((1+AI118)/(1+AI116))-1</f>
        <v>-3.8267890726907838E-2</v>
      </c>
      <c r="AJ117" s="129">
        <f>((1+AJ118)/(1+AJ116))-1</f>
        <v>-2.7873217705725484E-2</v>
      </c>
      <c r="AK117" s="128">
        <f>AK133</f>
        <v>2.0955815032809723E-2</v>
      </c>
      <c r="AL117" s="128">
        <v>-4.4602878829857216E-2</v>
      </c>
      <c r="AM117" s="128">
        <v>-6.9266021570484518E-2</v>
      </c>
      <c r="AN117" s="128">
        <f>AN118-AN116</f>
        <v>-7.7382731958758721E-2</v>
      </c>
      <c r="AO117" s="129">
        <f>AO118-AO116</f>
        <v>-5.1190839694655377E-2</v>
      </c>
      <c r="AP117" s="128">
        <v>-9.406587530374512E-2</v>
      </c>
      <c r="AQ117" s="128">
        <v>-7.0170001755965786E-2</v>
      </c>
      <c r="AR117" s="128">
        <f t="shared" ref="AR117" si="430">AR133</f>
        <v>-1.5629865886195554E-2</v>
      </c>
      <c r="AS117" s="128">
        <f t="shared" ref="AS117:AT117" si="431">AS133</f>
        <v>1.7851423645452558E-2</v>
      </c>
      <c r="AT117" s="128">
        <f t="shared" si="431"/>
        <v>-4.1208763230137307E-2</v>
      </c>
      <c r="AU117" s="128"/>
      <c r="AV117" s="128"/>
      <c r="AW117" s="128"/>
      <c r="AX117" s="128"/>
      <c r="AY117" s="128"/>
    </row>
    <row r="118" spans="1:53" x14ac:dyDescent="0.35">
      <c r="B118" s="124" t="s">
        <v>158</v>
      </c>
      <c r="H118" s="128">
        <f t="shared" ref="H118:Z118" si="432">H115/C115-1</f>
        <v>0.29139340489397036</v>
      </c>
      <c r="I118" s="128">
        <f t="shared" si="432"/>
        <v>-0.10014066667037824</v>
      </c>
      <c r="J118" s="128"/>
      <c r="K118" s="128">
        <f>K115/E115-1</f>
        <v>0.90577000543200104</v>
      </c>
      <c r="L118" s="128">
        <f>L115/F115-1</f>
        <v>0.24804614463754437</v>
      </c>
      <c r="M118" s="128"/>
      <c r="N118" s="129">
        <f t="shared" ref="N118:W118" si="433">N115/G115-1</f>
        <v>0.31937326657236587</v>
      </c>
      <c r="O118" s="128">
        <f t="shared" si="433"/>
        <v>0.81936834723203344</v>
      </c>
      <c r="P118" s="128">
        <f t="shared" si="433"/>
        <v>1.2797278778899064</v>
      </c>
      <c r="Q118" s="128">
        <f t="shared" si="433"/>
        <v>1.0454772675669517</v>
      </c>
      <c r="R118" s="128">
        <f t="shared" si="433"/>
        <v>0.57092882350129948</v>
      </c>
      <c r="S118" s="128">
        <f t="shared" si="433"/>
        <v>0.39516013497039881</v>
      </c>
      <c r="T118" s="128">
        <f t="shared" si="433"/>
        <v>0.49058718582759298</v>
      </c>
      <c r="U118" s="346">
        <f t="shared" si="433"/>
        <v>0.69587372783448465</v>
      </c>
      <c r="V118" s="128">
        <f t="shared" si="433"/>
        <v>0.67916207276736418</v>
      </c>
      <c r="W118" s="128">
        <f t="shared" si="433"/>
        <v>0.69572470373746742</v>
      </c>
      <c r="X118" s="128">
        <f>X115/R115-1</f>
        <v>0.55612789880534041</v>
      </c>
      <c r="Y118" s="128">
        <f>Y115/S115-1</f>
        <v>1.0417481203007486</v>
      </c>
      <c r="Z118" s="129">
        <f t="shared" si="432"/>
        <v>0.73012692050768147</v>
      </c>
      <c r="AA118" s="128">
        <f t="shared" ref="AA118:AJ118" si="434">AA115/V115-1</f>
        <v>0.85948785292186414</v>
      </c>
      <c r="AB118" s="128">
        <f t="shared" si="434"/>
        <v>0.50950699114616049</v>
      </c>
      <c r="AC118" s="128">
        <f t="shared" si="434"/>
        <v>0.42613926308611516</v>
      </c>
      <c r="AD118" s="128">
        <f t="shared" si="434"/>
        <v>0.10706032903398355</v>
      </c>
      <c r="AE118" s="129">
        <f t="shared" si="434"/>
        <v>0.44182754182754236</v>
      </c>
      <c r="AF118" s="128">
        <f t="shared" si="434"/>
        <v>0.12182203389830581</v>
      </c>
      <c r="AG118" s="128">
        <f t="shared" si="434"/>
        <v>0.2759971509971515</v>
      </c>
      <c r="AH118" s="128">
        <f t="shared" si="434"/>
        <v>0.23210892970234331</v>
      </c>
      <c r="AI118" s="128">
        <f t="shared" si="434"/>
        <v>0.29064449064448983</v>
      </c>
      <c r="AJ118" s="129">
        <f t="shared" si="434"/>
        <v>0.22779612603766863</v>
      </c>
      <c r="AK118" s="128">
        <f t="shared" ref="AK118" si="435">AK115/AF115-1</f>
        <v>0.41534403525338348</v>
      </c>
      <c r="AL118" s="128">
        <f t="shared" ref="AL118" si="436">AL115/AG115-1</f>
        <v>0.23058889198995236</v>
      </c>
      <c r="AM118" s="128">
        <f t="shared" ref="AM118" si="437">AM115/AH115-1</f>
        <v>0.23284502698535148</v>
      </c>
      <c r="AN118" s="128">
        <f t="shared" ref="AN118" si="438">AN115/AI115-1</f>
        <v>0.23461726804124128</v>
      </c>
      <c r="AO118" s="129">
        <f>AO115/AJ115-1</f>
        <v>0.27480916030534464</v>
      </c>
      <c r="AP118" s="128">
        <f t="shared" ref="AP118" si="439">AP115/AK115-1</f>
        <v>0.13331382206973053</v>
      </c>
      <c r="AQ118" s="128">
        <f t="shared" ref="AQ118" si="440">AQ115/AL115-1</f>
        <v>4.7582327859929441E-2</v>
      </c>
      <c r="AR118" s="128">
        <f>AR115/AM115-1</f>
        <v>8.2262566884286015E-2</v>
      </c>
      <c r="AS118" s="128">
        <f t="shared" ref="AS118" si="441">AS115/AN115-1</f>
        <v>0.10837721616835694</v>
      </c>
      <c r="AT118" s="128">
        <f>AT115/AO115-1</f>
        <v>9.2340709253466935E-2</v>
      </c>
      <c r="AU118" s="128">
        <f t="shared" ref="AU118:AY118" si="442">AU115/AT115-1</f>
        <v>0.14387915322544198</v>
      </c>
      <c r="AV118" s="128">
        <f t="shared" si="442"/>
        <v>0.12342014086554376</v>
      </c>
      <c r="AW118" s="128">
        <f t="shared" si="442"/>
        <v>0.12623146789356166</v>
      </c>
      <c r="AX118" s="128">
        <f t="shared" si="442"/>
        <v>0.13184495093889437</v>
      </c>
      <c r="AY118" s="128">
        <f t="shared" si="442"/>
        <v>0.10446285552236234</v>
      </c>
    </row>
    <row r="119" spans="1:53" x14ac:dyDescent="0.35">
      <c r="B119" s="124" t="s">
        <v>163</v>
      </c>
      <c r="C119" s="128">
        <f>C115/C131</f>
        <v>0.77876478857687959</v>
      </c>
      <c r="D119" s="128">
        <f t="shared" ref="D119:AX119" si="443">D115/D131</f>
        <v>0.76745768510319801</v>
      </c>
      <c r="E119" s="128">
        <f t="shared" si="443"/>
        <v>0.73045333876201379</v>
      </c>
      <c r="F119" s="128">
        <f t="shared" si="443"/>
        <v>0.73799057359105369</v>
      </c>
      <c r="G119" s="513">
        <f t="shared" si="443"/>
        <v>0.75140755084804634</v>
      </c>
      <c r="H119" s="128">
        <f t="shared" si="443"/>
        <v>0.69929271391342529</v>
      </c>
      <c r="I119" s="128">
        <f t="shared" si="443"/>
        <v>0.48299524617597661</v>
      </c>
      <c r="J119" s="128">
        <f t="shared" si="443"/>
        <v>0.57321301118916146</v>
      </c>
      <c r="K119" s="128">
        <f t="shared" si="443"/>
        <v>0.69638071103220578</v>
      </c>
      <c r="L119" s="128">
        <f t="shared" si="443"/>
        <v>0.61354399496096668</v>
      </c>
      <c r="M119" s="128">
        <f t="shared" si="443"/>
        <v>0.65590299971684185</v>
      </c>
      <c r="N119" s="129">
        <f t="shared" si="443"/>
        <v>0.62267153951121013</v>
      </c>
      <c r="O119" s="128">
        <f t="shared" si="443"/>
        <v>0.64601139601139612</v>
      </c>
      <c r="P119" s="128">
        <f t="shared" si="443"/>
        <v>0.62649914334665879</v>
      </c>
      <c r="Q119" s="128">
        <f t="shared" si="443"/>
        <v>0.63518225039619636</v>
      </c>
      <c r="R119" s="128">
        <f t="shared" si="443"/>
        <v>0.65275229357798159</v>
      </c>
      <c r="S119" s="128">
        <f t="shared" si="443"/>
        <v>0.55677655677655691</v>
      </c>
      <c r="T119" s="128">
        <f t="shared" si="443"/>
        <v>0.60791982400391098</v>
      </c>
      <c r="U119" s="346">
        <f t="shared" si="443"/>
        <v>0.61979022909191273</v>
      </c>
      <c r="V119" s="128">
        <f t="shared" si="443"/>
        <v>0.64616037335596088</v>
      </c>
      <c r="W119" s="128">
        <f t="shared" si="443"/>
        <v>0.63779649045813303</v>
      </c>
      <c r="X119" s="128">
        <f t="shared" si="443"/>
        <v>0.6750860484188127</v>
      </c>
      <c r="Y119" s="128">
        <f t="shared" si="443"/>
        <v>0.59238393891880792</v>
      </c>
      <c r="Z119" s="129">
        <f t="shared" si="443"/>
        <v>0.63579085181245387</v>
      </c>
      <c r="AA119" s="128">
        <f t="shared" ref="AA119:AB119" si="444">AA115/AA131</f>
        <v>0.67396477867682048</v>
      </c>
      <c r="AB119" s="128">
        <f t="shared" si="444"/>
        <v>0.63200540175557052</v>
      </c>
      <c r="AC119" s="128">
        <f t="shared" ref="AC119:AD119" si="445">AC115/AC131</f>
        <v>0.65723204994797091</v>
      </c>
      <c r="AD119" s="128">
        <f t="shared" si="445"/>
        <v>0.53791098188324837</v>
      </c>
      <c r="AE119" s="129">
        <f t="shared" si="443"/>
        <v>0.62513252608671399</v>
      </c>
      <c r="AF119" s="128">
        <f t="shared" si="443"/>
        <v>0.62514757969303436</v>
      </c>
      <c r="AG119" s="128">
        <f t="shared" si="443"/>
        <v>0.63114320944160651</v>
      </c>
      <c r="AH119" s="128">
        <f t="shared" si="443"/>
        <v>0.61198490091223667</v>
      </c>
      <c r="AI119" s="128">
        <f t="shared" si="443"/>
        <v>0.51170458292120058</v>
      </c>
      <c r="AJ119" s="129">
        <f t="shared" si="443"/>
        <v>0.59332269335288801</v>
      </c>
      <c r="AK119" s="128">
        <f t="shared" ref="AK119:AN119" si="446">AK115/AK131</f>
        <v>0.61888628359485065</v>
      </c>
      <c r="AL119" s="128">
        <f t="shared" si="446"/>
        <v>0.58850537892741783</v>
      </c>
      <c r="AM119" s="128">
        <f t="shared" si="446"/>
        <v>0.60385196374622374</v>
      </c>
      <c r="AN119" s="128">
        <f t="shared" si="446"/>
        <v>0.51520868074918891</v>
      </c>
      <c r="AO119" s="129">
        <f t="shared" si="443"/>
        <v>0.58178500331785055</v>
      </c>
      <c r="AP119" s="128">
        <f t="shared" si="443"/>
        <v>0.61257362663781723</v>
      </c>
      <c r="AQ119" s="128">
        <f t="shared" si="443"/>
        <v>0.54322003998588742</v>
      </c>
      <c r="AR119" s="128">
        <f t="shared" si="443"/>
        <v>0.56611576815347464</v>
      </c>
      <c r="AS119" s="128">
        <f t="shared" si="443"/>
        <v>0.47045468305111321</v>
      </c>
      <c r="AT119" s="128">
        <f t="shared" si="443"/>
        <v>0.54693050730632453</v>
      </c>
      <c r="AU119" s="128">
        <f t="shared" si="443"/>
        <v>0.52687160975108038</v>
      </c>
      <c r="AV119" s="128">
        <f t="shared" si="443"/>
        <v>0.50833609602813756</v>
      </c>
      <c r="AW119" s="128">
        <f t="shared" si="443"/>
        <v>0.49456802424377377</v>
      </c>
      <c r="AX119" s="128">
        <f t="shared" si="443"/>
        <v>0.48950651588312261</v>
      </c>
      <c r="AY119" s="128">
        <f t="shared" ref="AY119" si="447">AY115/AY131</f>
        <v>0.48379602142147238</v>
      </c>
    </row>
    <row r="120" spans="1:53" x14ac:dyDescent="0.35">
      <c r="B120" s="124" t="s">
        <v>192</v>
      </c>
      <c r="C120" s="128"/>
      <c r="D120" s="128"/>
      <c r="E120" s="128"/>
      <c r="F120" s="128"/>
      <c r="G120" s="513"/>
      <c r="H120" s="128"/>
      <c r="I120" s="128"/>
      <c r="J120" s="128"/>
      <c r="K120" s="128"/>
      <c r="L120" s="128"/>
      <c r="M120" s="128"/>
      <c r="N120" s="129"/>
      <c r="O120" s="128">
        <f t="shared" ref="O120" si="448">(1*(1+H118)*(1+O118))-1</f>
        <v>1.3495202846882912</v>
      </c>
      <c r="P120" s="128">
        <f t="shared" ref="P120" si="449">(1*(1+I118)*(1+P118))-1</f>
        <v>1.0514344083709646</v>
      </c>
      <c r="Q120" s="128"/>
      <c r="R120" s="128">
        <f t="shared" ref="R120" si="450">(1*(1+K118)*(1+R118))-1</f>
        <v>1.9938290324973584</v>
      </c>
      <c r="S120" s="128">
        <f t="shared" ref="S120" si="451">(1*(1+L118)*(1+S118))-1</f>
        <v>0.7412242276018024</v>
      </c>
      <c r="T120" s="128"/>
      <c r="U120" s="346">
        <f t="shared" ref="U120" si="452">(1*(1+N118)*(1+U118))-1</f>
        <v>1.2374904599872392</v>
      </c>
      <c r="V120" s="128">
        <f>(1*(1+O118)*(1+V118))-1</f>
        <v>2.0550143250654749</v>
      </c>
      <c r="W120" s="128">
        <f t="shared" ref="W120" si="453">(1*(1+P118)*(1+W118))-1</f>
        <v>2.865790880336907</v>
      </c>
      <c r="X120" s="128">
        <f t="shared" ref="X120" si="454">(1*(1+R118)*(1+X118))-1</f>
        <v>1.4445661692878224</v>
      </c>
      <c r="Y120" s="128">
        <f t="shared" ref="Y120" si="455">(1*(1+S118)*(1+Y118))-1</f>
        <v>1.8485655830943504</v>
      </c>
      <c r="Z120" s="129">
        <f t="shared" ref="Z120" si="456">(1*(1+U118)*(1+Z118))-1</f>
        <v>1.934076790308159</v>
      </c>
      <c r="AA120" s="128"/>
      <c r="AB120" s="128"/>
      <c r="AC120" s="128"/>
      <c r="AD120" s="128"/>
      <c r="AE120" s="129">
        <f>(1*(1+Z118)*(1+AE118))-1</f>
        <v>1.494544644845246</v>
      </c>
      <c r="AF120" s="128"/>
      <c r="AG120" s="128"/>
      <c r="AH120" s="128"/>
      <c r="AI120" s="128"/>
      <c r="AJ120" s="129">
        <f>(1*(1+AE118)*(1+AJ118))-1</f>
        <v>0.77027027027027106</v>
      </c>
      <c r="AK120" s="128"/>
      <c r="AL120" s="128"/>
      <c r="AM120" s="128"/>
      <c r="AN120" s="128"/>
      <c r="AO120" s="129">
        <f>(1*(1+AJ118)*(1+AO118))-1</f>
        <v>0.56520574846023552</v>
      </c>
      <c r="AP120" s="128"/>
      <c r="AQ120" s="128"/>
      <c r="AR120" s="128"/>
      <c r="AS120" s="128"/>
      <c r="AT120" s="128">
        <f>(1*(1+AO118)*(1+AT118))-1</f>
        <v>0.39252594233075677</v>
      </c>
      <c r="AU120" s="128">
        <f t="shared" ref="AU120:AX120" si="457">(1*(1+AT118)*(1+AU118))-1</f>
        <v>0.24950576553453452</v>
      </c>
      <c r="AV120" s="128">
        <f t="shared" si="457"/>
        <v>0.28505687944968505</v>
      </c>
      <c r="AW120" s="128">
        <f t="shared" si="457"/>
        <v>0.26523111430819313</v>
      </c>
      <c r="AX120" s="128">
        <f t="shared" si="457"/>
        <v>0.27471940052382737</v>
      </c>
      <c r="AY120" s="128">
        <f t="shared" ref="AY120" si="458">(1*(1+AX118)*(1+AY118))-1</f>
        <v>0.25008070652253944</v>
      </c>
    </row>
    <row r="121" spans="1:53" s="110" customFormat="1" ht="15.75" hidden="1" customHeight="1" x14ac:dyDescent="0.35">
      <c r="B121" s="123" t="s">
        <v>194</v>
      </c>
      <c r="G121" s="521"/>
      <c r="N121" s="151">
        <f>N135-N84</f>
        <v>118.77209912999997</v>
      </c>
      <c r="O121" s="139">
        <f>O122*O115</f>
        <v>44.773414284179225</v>
      </c>
      <c r="P121" s="139">
        <f t="shared" ref="P121:R121" si="459">P122*P115</f>
        <v>57.566668660066256</v>
      </c>
      <c r="Q121" s="139">
        <f>P121+O121</f>
        <v>102.34008294424548</v>
      </c>
      <c r="R121" s="139">
        <f t="shared" si="459"/>
        <v>74.525000000000006</v>
      </c>
      <c r="S121" s="139">
        <f>U121-R121-Q121</f>
        <v>48.622000000000085</v>
      </c>
      <c r="T121" s="139">
        <f>S121+R121</f>
        <v>123.14700000000009</v>
      </c>
      <c r="U121" s="359">
        <f>U122*U115</f>
        <v>225.48708294424557</v>
      </c>
      <c r="V121" s="139">
        <f>V122*V115</f>
        <v>66.777395046825234</v>
      </c>
      <c r="W121" s="139">
        <f>W122*W115</f>
        <v>87.983917025589918</v>
      </c>
      <c r="X121" s="139">
        <f t="shared" ref="X121" si="460">X122*X115</f>
        <v>110.22779301371367</v>
      </c>
      <c r="Y121" s="139">
        <f>Z121-SUM(V121:X121)</f>
        <v>103.18916499999983</v>
      </c>
      <c r="Z121" s="151">
        <f>Z122*Z115</f>
        <v>368.17827008612863</v>
      </c>
      <c r="AA121" s="152"/>
      <c r="AB121" s="152"/>
      <c r="AC121" s="152"/>
      <c r="AD121" s="152"/>
      <c r="AE121" s="151"/>
      <c r="AF121" s="152"/>
      <c r="AG121" s="152"/>
      <c r="AH121" s="152"/>
      <c r="AI121" s="152"/>
      <c r="AJ121" s="151"/>
      <c r="AK121" s="152"/>
      <c r="AL121" s="152"/>
      <c r="AM121" s="152"/>
      <c r="AN121" s="152"/>
      <c r="AO121" s="151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</row>
    <row r="122" spans="1:53" hidden="1" x14ac:dyDescent="0.35">
      <c r="B122" s="124" t="s">
        <v>122</v>
      </c>
      <c r="N122" s="129">
        <f>N121/N115</f>
        <v>0.44850252174197275</v>
      </c>
      <c r="O122" s="127">
        <v>0.49364293587849184</v>
      </c>
      <c r="P122" s="127">
        <v>0.52476452743907298</v>
      </c>
      <c r="Q122" s="127">
        <f>Q121/Q115</f>
        <v>0.51067905660801161</v>
      </c>
      <c r="R122" s="127">
        <v>0.52371749824314828</v>
      </c>
      <c r="S122" s="128">
        <f>S121/S115</f>
        <v>0.45697368421052692</v>
      </c>
      <c r="T122" s="128">
        <f>T121/T115</f>
        <v>0.49516284680337785</v>
      </c>
      <c r="U122" s="346">
        <v>0.50208657970217219</v>
      </c>
      <c r="V122" s="127">
        <f>0.5+V85-O85</f>
        <v>0.43845958665019857</v>
      </c>
      <c r="W122" s="127">
        <v>0.47297841117717843</v>
      </c>
      <c r="X122" s="127">
        <v>0.49778398828431419</v>
      </c>
      <c r="Y122" s="128">
        <f>Y121/Y115</f>
        <v>0.47499638651826048</v>
      </c>
      <c r="Z122" s="129">
        <v>0.47384590744675503</v>
      </c>
      <c r="AA122" s="128"/>
      <c r="AB122" s="128"/>
      <c r="AC122" s="128"/>
      <c r="AD122" s="128"/>
      <c r="AE122" s="129"/>
      <c r="AF122" s="128"/>
      <c r="AG122" s="128"/>
      <c r="AH122" s="128"/>
      <c r="AI122" s="128"/>
      <c r="AJ122" s="129"/>
      <c r="AK122" s="128"/>
      <c r="AL122" s="128"/>
      <c r="AM122" s="128"/>
      <c r="AN122" s="128"/>
      <c r="AO122" s="129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</row>
    <row r="123" spans="1:53" hidden="1" x14ac:dyDescent="0.35">
      <c r="B123" s="124" t="s">
        <v>190</v>
      </c>
      <c r="N123" s="153">
        <f>N121-N126</f>
        <v>67.132346380349972</v>
      </c>
      <c r="O123" s="154">
        <f t="shared" ref="O123:S123" si="461">O121-O126</f>
        <v>26.097177878109502</v>
      </c>
      <c r="P123" s="154">
        <f t="shared" si="461"/>
        <v>34.978100482052518</v>
      </c>
      <c r="Q123" s="154">
        <f t="shared" si="461"/>
        <v>61.075278360162017</v>
      </c>
      <c r="R123" s="154">
        <f t="shared" si="461"/>
        <v>45.223694150124366</v>
      </c>
      <c r="S123" s="154">
        <f t="shared" si="461"/>
        <v>54.188110433959189</v>
      </c>
      <c r="T123" s="154">
        <f t="shared" ref="T123" si="462">T121-T126</f>
        <v>99.411804584083555</v>
      </c>
      <c r="U123" s="360">
        <f>U121-U126</f>
        <v>160.48708294424557</v>
      </c>
      <c r="V123" s="154">
        <f t="shared" ref="V123:Y123" si="463">V121-V126</f>
        <v>51.547395046825237</v>
      </c>
      <c r="W123" s="154">
        <f t="shared" si="463"/>
        <v>45.943171025589912</v>
      </c>
      <c r="X123" s="154">
        <f t="shared" si="463"/>
        <v>60.183031013713673</v>
      </c>
      <c r="Y123" s="154">
        <f t="shared" si="463"/>
        <v>34.902672999999851</v>
      </c>
      <c r="Z123" s="153">
        <f t="shared" ref="Z123" si="464">Z121-Z126</f>
        <v>192.57627008612866</v>
      </c>
      <c r="AA123" s="154"/>
      <c r="AB123" s="154"/>
      <c r="AC123" s="154"/>
      <c r="AD123" s="154"/>
      <c r="AE123" s="153"/>
      <c r="AF123" s="154"/>
      <c r="AG123" s="154"/>
      <c r="AH123" s="154"/>
      <c r="AI123" s="154"/>
      <c r="AJ123" s="153"/>
      <c r="AK123" s="154"/>
      <c r="AL123" s="154"/>
      <c r="AM123" s="154"/>
      <c r="AN123" s="154"/>
      <c r="AO123" s="129"/>
      <c r="AP123" s="154"/>
      <c r="AQ123" s="154"/>
      <c r="AR123" s="154"/>
      <c r="AS123" s="154"/>
      <c r="AT123" s="128"/>
      <c r="AU123" s="154"/>
      <c r="AV123" s="154"/>
      <c r="AW123" s="154"/>
      <c r="AX123" s="154"/>
      <c r="AY123" s="154"/>
    </row>
    <row r="124" spans="1:53" hidden="1" x14ac:dyDescent="0.35">
      <c r="B124" s="124" t="s">
        <v>275</v>
      </c>
      <c r="N124" s="129">
        <f>N123/N115</f>
        <v>0.25350252174197274</v>
      </c>
      <c r="O124" s="128">
        <f t="shared" ref="O124" si="465">O123/O115</f>
        <v>0.28773073735512122</v>
      </c>
      <c r="P124" s="128">
        <f t="shared" ref="P124:Q124" si="466">P123/P115</f>
        <v>0.31885232891570237</v>
      </c>
      <c r="Q124" s="128">
        <f t="shared" si="466"/>
        <v>0.30476685808464093</v>
      </c>
      <c r="R124" s="128">
        <f t="shared" ref="R124" si="467">R123/R115</f>
        <v>0.31780529971977767</v>
      </c>
      <c r="S124" s="128">
        <f t="shared" ref="S124:T124" si="468">S123/S115</f>
        <v>0.50928675219886432</v>
      </c>
      <c r="T124" s="128">
        <f t="shared" si="468"/>
        <v>0.39972579245711115</v>
      </c>
      <c r="U124" s="346">
        <f>U123/U115</f>
        <v>0.35735266743318983</v>
      </c>
      <c r="V124" s="128">
        <f t="shared" ref="V124" si="469">V123/V115</f>
        <v>0.3384595866501986</v>
      </c>
      <c r="W124" s="128">
        <f t="shared" ref="W124" si="470">W123/W115</f>
        <v>0.24697841117717842</v>
      </c>
      <c r="X124" s="128">
        <f t="shared" ref="X124" si="471">X123/X115</f>
        <v>0.27178398828431422</v>
      </c>
      <c r="Y124" s="128">
        <f t="shared" ref="Y124" si="472">Y123/Y115</f>
        <v>0.16066263890039628</v>
      </c>
      <c r="Z124" s="129">
        <f>Z123/Z115</f>
        <v>0.24784590744675505</v>
      </c>
      <c r="AA124" s="128"/>
      <c r="AB124" s="128"/>
      <c r="AC124" s="128"/>
      <c r="AD124" s="128"/>
      <c r="AE124" s="129"/>
      <c r="AF124" s="128"/>
      <c r="AG124" s="128"/>
      <c r="AH124" s="128"/>
      <c r="AI124" s="128"/>
      <c r="AJ124" s="129"/>
      <c r="AK124" s="128"/>
      <c r="AL124" s="128"/>
      <c r="AM124" s="128"/>
      <c r="AN124" s="128"/>
      <c r="AO124" s="129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</row>
    <row r="125" spans="1:53" hidden="1" x14ac:dyDescent="0.35">
      <c r="B125" s="124" t="s">
        <v>167</v>
      </c>
      <c r="U125" s="346"/>
      <c r="V125" s="128"/>
      <c r="W125" s="128"/>
      <c r="X125" s="128"/>
      <c r="Y125" s="128"/>
      <c r="Z125" s="129">
        <f>Z123/U123-1</f>
        <v>0.19994872206027403</v>
      </c>
      <c r="AA125" s="128"/>
      <c r="AB125" s="128"/>
      <c r="AC125" s="128"/>
      <c r="AD125" s="128"/>
      <c r="AE125" s="129"/>
      <c r="AF125" s="128"/>
      <c r="AG125" s="128"/>
      <c r="AH125" s="128"/>
      <c r="AI125" s="128"/>
      <c r="AJ125" s="129"/>
      <c r="AK125" s="128"/>
      <c r="AL125" s="128"/>
      <c r="AM125" s="128"/>
      <c r="AN125" s="128"/>
      <c r="AO125" s="129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</row>
    <row r="126" spans="1:53" s="110" customFormat="1" hidden="1" x14ac:dyDescent="0.35">
      <c r="B126" s="123" t="s">
        <v>193</v>
      </c>
      <c r="G126" s="521"/>
      <c r="N126" s="155">
        <f>N127*N115</f>
        <v>51.63975274965</v>
      </c>
      <c r="O126" s="139">
        <f>O115*O127</f>
        <v>18.676236406069723</v>
      </c>
      <c r="P126" s="139">
        <f t="shared" ref="P126:R126" si="473">P115*P127</f>
        <v>22.588568178013738</v>
      </c>
      <c r="Q126" s="139">
        <f>P126+O126</f>
        <v>41.264804584083464</v>
      </c>
      <c r="R126" s="139">
        <f t="shared" si="473"/>
        <v>29.301305849875639</v>
      </c>
      <c r="S126" s="139">
        <f>U126-R126-Q126</f>
        <v>-5.5661104339591034</v>
      </c>
      <c r="T126" s="139">
        <f>S126+R126</f>
        <v>23.735195415916536</v>
      </c>
      <c r="U126" s="363">
        <v>65</v>
      </c>
      <c r="V126" s="139">
        <f>V115*V127</f>
        <v>15.229999999999999</v>
      </c>
      <c r="W126" s="139">
        <f t="shared" ref="W126" si="474">W115*W127</f>
        <v>42.040746000000006</v>
      </c>
      <c r="X126" s="139">
        <f t="shared" ref="X126" si="475">X115*X127</f>
        <v>50.044761999999992</v>
      </c>
      <c r="Y126" s="139">
        <f>Z126-SUM(V126:X126)</f>
        <v>68.286491999999981</v>
      </c>
      <c r="Z126" s="155">
        <f>Z127*Z115</f>
        <v>175.60199999999998</v>
      </c>
      <c r="AA126" s="139"/>
      <c r="AB126" s="139"/>
      <c r="AC126" s="139"/>
      <c r="AD126" s="139"/>
      <c r="AE126" s="155"/>
      <c r="AF126" s="139"/>
      <c r="AG126" s="139"/>
      <c r="AH126" s="139"/>
      <c r="AI126" s="139"/>
      <c r="AJ126" s="155"/>
      <c r="AK126" s="139"/>
      <c r="AL126" s="139"/>
      <c r="AM126" s="139"/>
      <c r="AN126" s="139"/>
      <c r="AO126" s="155"/>
      <c r="AP126" s="139"/>
      <c r="AQ126" s="139"/>
      <c r="AR126" s="139"/>
      <c r="AS126" s="139"/>
      <c r="AT126" s="139"/>
      <c r="AU126" s="139"/>
      <c r="AV126" s="139"/>
      <c r="AW126" s="139"/>
      <c r="AX126" s="139"/>
      <c r="AY126" s="139"/>
    </row>
    <row r="127" spans="1:53" hidden="1" x14ac:dyDescent="0.35">
      <c r="B127" s="124" t="s">
        <v>188</v>
      </c>
      <c r="N127" s="129">
        <v>0.19500000000000001</v>
      </c>
      <c r="O127" s="127">
        <v>0.20591219852337062</v>
      </c>
      <c r="P127" s="127">
        <v>0.20591219852337062</v>
      </c>
      <c r="Q127" s="128">
        <f t="shared" ref="Q127" si="476">Q126/Q115</f>
        <v>0.20591219852337067</v>
      </c>
      <c r="R127" s="127">
        <v>0.20591219852337062</v>
      </c>
      <c r="S127" s="128">
        <f>S126/S115</f>
        <v>-5.2313067988337417E-2</v>
      </c>
      <c r="T127" s="128">
        <f>T126/T115</f>
        <v>9.5437054346266717E-2</v>
      </c>
      <c r="U127" s="346">
        <f>U126/U115</f>
        <v>0.14473391226898238</v>
      </c>
      <c r="V127" s="127">
        <v>0.1</v>
      </c>
      <c r="W127" s="127">
        <f>Z127</f>
        <v>0.22600000000000001</v>
      </c>
      <c r="X127" s="127">
        <f>Z127</f>
        <v>0.22600000000000001</v>
      </c>
      <c r="Y127" s="128">
        <f t="shared" ref="Y127" si="477">Y126/Y115</f>
        <v>0.3143337476178642</v>
      </c>
      <c r="Z127" s="129">
        <v>0.22600000000000001</v>
      </c>
      <c r="AA127" s="128"/>
      <c r="AB127" s="128"/>
      <c r="AC127" s="128"/>
      <c r="AD127" s="128"/>
      <c r="AE127" s="129"/>
      <c r="AF127" s="128"/>
      <c r="AG127" s="128"/>
      <c r="AH127" s="128"/>
      <c r="AI127" s="128"/>
      <c r="AJ127" s="129"/>
      <c r="AK127" s="128"/>
      <c r="AL127" s="128"/>
      <c r="AM127" s="128"/>
      <c r="AN127" s="128"/>
      <c r="AO127" s="129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</row>
    <row r="128" spans="1:53" hidden="1" x14ac:dyDescent="0.35">
      <c r="B128" s="124" t="s">
        <v>167</v>
      </c>
      <c r="U128" s="346">
        <f>U126/N126-1</f>
        <v>0.25872020176240196</v>
      </c>
      <c r="V128" s="128">
        <f t="shared" ref="V128" si="478">V126/O126-1</f>
        <v>-0.18452520792410332</v>
      </c>
      <c r="W128" s="128">
        <f t="shared" ref="W128" si="479">W126/P126-1</f>
        <v>0.8611514314979809</v>
      </c>
      <c r="X128" s="128">
        <f t="shared" ref="X128" si="480">X126/R126-1</f>
        <v>0.70793623521090931</v>
      </c>
      <c r="Y128" s="128">
        <f t="shared" ref="Y128" si="481">Y126/S126-1</f>
        <v>-13.268260360660626</v>
      </c>
      <c r="Z128" s="129">
        <f>Z126/U126-1</f>
        <v>1.7015692307692305</v>
      </c>
      <c r="AA128" s="128"/>
      <c r="AB128" s="128"/>
      <c r="AC128" s="128"/>
      <c r="AD128" s="128"/>
      <c r="AE128" s="129"/>
      <c r="AF128" s="128"/>
      <c r="AG128" s="128"/>
      <c r="AH128" s="128"/>
      <c r="AI128" s="128"/>
      <c r="AJ128" s="129"/>
      <c r="AK128" s="128"/>
      <c r="AL128" s="128"/>
      <c r="AM128" s="128"/>
      <c r="AN128" s="128"/>
      <c r="AO128" s="129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</row>
    <row r="129" spans="2:54" x14ac:dyDescent="0.35">
      <c r="O129" s="167"/>
      <c r="P129" s="167"/>
      <c r="U129" s="346"/>
      <c r="V129" s="128"/>
      <c r="W129" s="167"/>
      <c r="Y129" s="128"/>
      <c r="Z129" s="129"/>
      <c r="AA129" s="128"/>
      <c r="AB129" s="167"/>
      <c r="AC129" s="127"/>
      <c r="AD129" s="128"/>
      <c r="AE129" s="129"/>
      <c r="AF129" s="128"/>
      <c r="AG129" s="128"/>
      <c r="AH129" s="128"/>
      <c r="AI129" s="128"/>
      <c r="AJ129" s="129"/>
      <c r="AK129" s="128"/>
      <c r="AL129" s="128"/>
      <c r="AM129" s="172"/>
      <c r="AN129" s="128"/>
      <c r="AO129" s="129"/>
      <c r="AP129" s="172"/>
      <c r="AQ129" s="128"/>
      <c r="AR129" s="128"/>
      <c r="AS129" s="128"/>
      <c r="AT129" s="128"/>
      <c r="AU129" s="128"/>
      <c r="AV129" s="128"/>
      <c r="AW129" s="128"/>
      <c r="AX129" s="128"/>
      <c r="AY129" s="128"/>
    </row>
    <row r="130" spans="2:54" x14ac:dyDescent="0.35">
      <c r="B130" s="120" t="s">
        <v>155</v>
      </c>
      <c r="C130" s="121" t="str">
        <f t="shared" ref="C130:AY130" si="482">C58</f>
        <v>1Q19</v>
      </c>
      <c r="D130" s="121" t="str">
        <f t="shared" si="482"/>
        <v>2Q19</v>
      </c>
      <c r="E130" s="121" t="str">
        <f t="shared" si="482"/>
        <v>3Q19</v>
      </c>
      <c r="F130" s="121" t="str">
        <f t="shared" si="482"/>
        <v>4Q19</v>
      </c>
      <c r="G130" s="509">
        <f t="shared" si="482"/>
        <v>2019</v>
      </c>
      <c r="H130" s="121" t="str">
        <f t="shared" si="482"/>
        <v>1Q20</v>
      </c>
      <c r="I130" s="121" t="str">
        <f t="shared" si="482"/>
        <v>2Q20</v>
      </c>
      <c r="J130" s="121" t="str">
        <f>J2</f>
        <v>1H20</v>
      </c>
      <c r="K130" s="121" t="str">
        <f t="shared" si="482"/>
        <v>3Q20</v>
      </c>
      <c r="L130" s="121" t="str">
        <f t="shared" si="482"/>
        <v>4Q20</v>
      </c>
      <c r="M130" s="121" t="str">
        <f>M2</f>
        <v>2H20</v>
      </c>
      <c r="N130" s="122">
        <f t="shared" si="482"/>
        <v>2020</v>
      </c>
      <c r="O130" s="121" t="str">
        <f t="shared" si="482"/>
        <v>1Q21</v>
      </c>
      <c r="P130" s="121" t="str">
        <f t="shared" si="482"/>
        <v>2Q21</v>
      </c>
      <c r="Q130" s="121" t="str">
        <f>Q2</f>
        <v>1H21</v>
      </c>
      <c r="R130" s="121" t="str">
        <f t="shared" si="482"/>
        <v>3Q21</v>
      </c>
      <c r="S130" s="121" t="str">
        <f t="shared" si="482"/>
        <v>4Q21</v>
      </c>
      <c r="T130" s="121" t="str">
        <f>T2</f>
        <v>2H21</v>
      </c>
      <c r="U130" s="342">
        <f t="shared" si="482"/>
        <v>2021</v>
      </c>
      <c r="V130" s="121" t="str">
        <f t="shared" si="482"/>
        <v>1Q22</v>
      </c>
      <c r="W130" s="121" t="str">
        <f t="shared" si="482"/>
        <v>2Q22</v>
      </c>
      <c r="X130" s="121" t="str">
        <f t="shared" si="482"/>
        <v>3Q22</v>
      </c>
      <c r="Y130" s="121" t="str">
        <f t="shared" si="482"/>
        <v>4Q22</v>
      </c>
      <c r="Z130" s="122">
        <f t="shared" si="482"/>
        <v>2022</v>
      </c>
      <c r="AA130" s="121" t="str">
        <f t="shared" si="482"/>
        <v>1Q23</v>
      </c>
      <c r="AB130" s="121" t="str">
        <f t="shared" si="482"/>
        <v>2Q23</v>
      </c>
      <c r="AC130" s="121" t="str">
        <f t="shared" si="482"/>
        <v>3Q23</v>
      </c>
      <c r="AD130" s="121" t="str">
        <f t="shared" si="482"/>
        <v>4Q23</v>
      </c>
      <c r="AE130" s="122">
        <f t="shared" si="482"/>
        <v>2023</v>
      </c>
      <c r="AF130" s="121" t="str">
        <f t="shared" si="482"/>
        <v>1Q24</v>
      </c>
      <c r="AG130" s="121" t="str">
        <f t="shared" si="482"/>
        <v>2Q24</v>
      </c>
      <c r="AH130" s="121" t="str">
        <f t="shared" si="482"/>
        <v>3Q24</v>
      </c>
      <c r="AI130" s="121" t="str">
        <f t="shared" si="482"/>
        <v>4Q24</v>
      </c>
      <c r="AJ130" s="122">
        <f t="shared" si="482"/>
        <v>2024</v>
      </c>
      <c r="AK130" s="121" t="str">
        <f t="shared" si="482"/>
        <v>1Q25</v>
      </c>
      <c r="AL130" s="121" t="str">
        <f t="shared" si="482"/>
        <v>2Q25</v>
      </c>
      <c r="AM130" s="121" t="str">
        <f t="shared" si="482"/>
        <v>3Q25</v>
      </c>
      <c r="AN130" s="121" t="str">
        <f t="shared" si="482"/>
        <v>4Q25</v>
      </c>
      <c r="AO130" s="122">
        <f t="shared" si="482"/>
        <v>2025</v>
      </c>
      <c r="AP130" s="121" t="str">
        <f t="shared" ref="AP130:AS130" si="483">AP58</f>
        <v>1Q26</v>
      </c>
      <c r="AQ130" s="121" t="str">
        <f t="shared" si="483"/>
        <v>2Q26</v>
      </c>
      <c r="AR130" s="121" t="str">
        <f t="shared" si="483"/>
        <v>3Q26E</v>
      </c>
      <c r="AS130" s="121" t="str">
        <f t="shared" si="483"/>
        <v>4Q26E</v>
      </c>
      <c r="AT130" s="121" t="str">
        <f t="shared" si="482"/>
        <v>2026E</v>
      </c>
      <c r="AU130" s="121" t="str">
        <f t="shared" si="482"/>
        <v>2027E</v>
      </c>
      <c r="AV130" s="121" t="str">
        <f t="shared" si="482"/>
        <v>2028E</v>
      </c>
      <c r="AW130" s="121" t="str">
        <f t="shared" si="482"/>
        <v>2029E</v>
      </c>
      <c r="AX130" s="121" t="str">
        <f t="shared" si="482"/>
        <v>2030E</v>
      </c>
      <c r="AY130" s="121" t="str">
        <f t="shared" si="482"/>
        <v>2031E</v>
      </c>
    </row>
    <row r="131" spans="2:54" x14ac:dyDescent="0.35">
      <c r="B131" s="123" t="s">
        <v>117</v>
      </c>
      <c r="C131" s="213">
        <f t="shared" ref="C131:AY131" si="484">C115+C78</f>
        <v>49.570326710000003</v>
      </c>
      <c r="D131" s="213">
        <f t="shared" si="484"/>
        <v>69.677819700000001</v>
      </c>
      <c r="E131" s="213">
        <f t="shared" si="484"/>
        <v>65.070692100000002</v>
      </c>
      <c r="F131" s="213">
        <f t="shared" si="484"/>
        <v>82.801101080000024</v>
      </c>
      <c r="G131" s="524">
        <f t="shared" si="484"/>
        <v>267.11993959000006</v>
      </c>
      <c r="H131" s="213">
        <f t="shared" si="484"/>
        <v>71.289841489999986</v>
      </c>
      <c r="I131" s="213">
        <f t="shared" si="484"/>
        <v>99.627850690000002</v>
      </c>
      <c r="J131" s="213">
        <f>I131+H131</f>
        <v>170.91769217999999</v>
      </c>
      <c r="K131" s="213">
        <f t="shared" si="484"/>
        <v>130.07734341999998</v>
      </c>
      <c r="L131" s="213">
        <f t="shared" si="484"/>
        <v>124.30020927000002</v>
      </c>
      <c r="M131" s="213">
        <f>L131+K131</f>
        <v>254.37755269000002</v>
      </c>
      <c r="N131" s="214">
        <f t="shared" si="484"/>
        <v>425.29524486999998</v>
      </c>
      <c r="O131" s="213">
        <f t="shared" si="484"/>
        <v>140.40000000000003</v>
      </c>
      <c r="P131" s="213">
        <f t="shared" si="484"/>
        <v>175.09999999999991</v>
      </c>
      <c r="Q131" s="213">
        <f>P131+O131</f>
        <v>315.49999999999994</v>
      </c>
      <c r="R131" s="213">
        <f t="shared" si="484"/>
        <v>218.00000000000003</v>
      </c>
      <c r="S131" s="213">
        <f t="shared" si="484"/>
        <v>191.10000000000005</v>
      </c>
      <c r="T131" s="213">
        <f>S131+R131</f>
        <v>409.10000000000008</v>
      </c>
      <c r="U131" s="367">
        <f t="shared" si="484"/>
        <v>724.60000000000014</v>
      </c>
      <c r="V131" s="213">
        <f t="shared" si="484"/>
        <v>235.7</v>
      </c>
      <c r="W131" s="213">
        <f>W115+W78</f>
        <v>291.66200000000003</v>
      </c>
      <c r="X131" s="213">
        <f t="shared" si="484"/>
        <v>328.01299999999992</v>
      </c>
      <c r="Y131" s="213">
        <f t="shared" si="484"/>
        <v>366.72499999999985</v>
      </c>
      <c r="Z131" s="214">
        <f>Z115+Z78</f>
        <v>1222.0999999999999</v>
      </c>
      <c r="AA131" s="213">
        <f>AA31</f>
        <v>420.19999999999987</v>
      </c>
      <c r="AB131" s="213">
        <f t="shared" ref="AB131:AD131" si="485">AB31</f>
        <v>444.29999999999995</v>
      </c>
      <c r="AC131" s="213">
        <f t="shared" si="485"/>
        <v>480.5</v>
      </c>
      <c r="AD131" s="213">
        <f t="shared" si="485"/>
        <v>447.10000000000014</v>
      </c>
      <c r="AE131" s="214">
        <f t="shared" si="484"/>
        <v>1792.1</v>
      </c>
      <c r="AF131" s="213">
        <f>AF31</f>
        <v>508.2</v>
      </c>
      <c r="AG131" s="213">
        <f t="shared" ref="AG131:AI131" si="486">AG31</f>
        <v>567.70000000000005</v>
      </c>
      <c r="AH131" s="213">
        <f t="shared" si="486"/>
        <v>635.79999999999995</v>
      </c>
      <c r="AI131" s="213">
        <f t="shared" si="486"/>
        <v>606.60000000000014</v>
      </c>
      <c r="AJ131" s="214">
        <f t="shared" si="484"/>
        <v>2318.3000000000002</v>
      </c>
      <c r="AK131" s="213">
        <f>AK31</f>
        <v>726.5548</v>
      </c>
      <c r="AL131" s="213">
        <f t="shared" ref="AL131:AN131" si="487">AL31</f>
        <v>749.22</v>
      </c>
      <c r="AM131" s="213">
        <f t="shared" si="487"/>
        <v>794.40000000000032</v>
      </c>
      <c r="AN131" s="213">
        <f t="shared" si="487"/>
        <v>743.82520000000022</v>
      </c>
      <c r="AO131" s="214">
        <f t="shared" si="484"/>
        <v>3014.0000000000009</v>
      </c>
      <c r="AP131" s="213">
        <f>AP31</f>
        <v>831.90000000000009</v>
      </c>
      <c r="AQ131" s="213">
        <f t="shared" ref="AQ131:AS131" si="488">AQ31</f>
        <v>850.30000000000018</v>
      </c>
      <c r="AR131" s="213">
        <f t="shared" si="488"/>
        <v>917.05863454000666</v>
      </c>
      <c r="AS131" s="213">
        <f t="shared" si="488"/>
        <v>902.86715308436033</v>
      </c>
      <c r="AT131" s="213">
        <f>SUM(AP131:AS131)</f>
        <v>3502.1257876243671</v>
      </c>
      <c r="AU131" s="213">
        <f t="shared" si="484"/>
        <v>4158.5242387608378</v>
      </c>
      <c r="AV131" s="213">
        <f t="shared" si="484"/>
        <v>4842.1171337411024</v>
      </c>
      <c r="AW131" s="213">
        <f t="shared" si="484"/>
        <v>5605.1580626327104</v>
      </c>
      <c r="AX131" s="213">
        <f t="shared" si="484"/>
        <v>6409.7687110668503</v>
      </c>
      <c r="AY131" s="213">
        <f t="shared" si="484"/>
        <v>7162.9126976088155</v>
      </c>
      <c r="AZ131" s="128"/>
      <c r="BA131" s="195"/>
      <c r="BB131" s="547"/>
    </row>
    <row r="132" spans="2:54" x14ac:dyDescent="0.35">
      <c r="B132" s="124" t="s">
        <v>156</v>
      </c>
      <c r="O132" s="127">
        <f>((1+O134)/(1+O133))-1</f>
        <v>1.0908354489817698</v>
      </c>
      <c r="P132" s="127">
        <f t="shared" ref="P132:AY132" si="489">((1+P134)/(1+P133))-1</f>
        <v>0.84611657986465461</v>
      </c>
      <c r="Q132" s="127">
        <f t="shared" si="489"/>
        <v>0.94755564093654354</v>
      </c>
      <c r="R132" s="127">
        <f t="shared" si="489"/>
        <v>0.68237721417245023</v>
      </c>
      <c r="S132" s="127">
        <f t="shared" si="489"/>
        <v>0.48905632897363516</v>
      </c>
      <c r="T132" s="127">
        <f t="shared" si="489"/>
        <v>0.58618233265294228</v>
      </c>
      <c r="U132" s="345">
        <f t="shared" si="489"/>
        <v>0.725912403859033</v>
      </c>
      <c r="V132" s="127">
        <f t="shared" si="489"/>
        <v>0.61883478877663789</v>
      </c>
      <c r="W132" s="127">
        <f t="shared" si="489"/>
        <v>0.57345372787354298</v>
      </c>
      <c r="X132" s="127">
        <f t="shared" si="489"/>
        <v>0.42525859611736561</v>
      </c>
      <c r="Y132" s="127">
        <f t="shared" si="489"/>
        <v>0.8534780464321754</v>
      </c>
      <c r="Z132" s="461">
        <f t="shared" si="489"/>
        <v>0.61025554989689268</v>
      </c>
      <c r="AA132" s="127">
        <f>AA32</f>
        <v>0.77275485260324261</v>
      </c>
      <c r="AB132" s="127">
        <f t="shared" ref="AB132:AD132" si="490">AB32</f>
        <v>0.60450116044419766</v>
      </c>
      <c r="AC132" s="127">
        <f t="shared" si="490"/>
        <v>0.65417807698076347</v>
      </c>
      <c r="AD132" s="127">
        <f t="shared" si="490"/>
        <v>0.31</v>
      </c>
      <c r="AE132" s="461">
        <f t="shared" si="489"/>
        <v>0.55000000000000004</v>
      </c>
      <c r="AF132" s="127">
        <f>AF32</f>
        <v>0.29170745158702593</v>
      </c>
      <c r="AG132" s="127">
        <f t="shared" ref="AG132:AI132" si="491">AG32</f>
        <v>0.29404278388925542</v>
      </c>
      <c r="AH132" s="127">
        <f t="shared" si="491"/>
        <v>0.33179379962971134</v>
      </c>
      <c r="AI132" s="127">
        <f t="shared" si="491"/>
        <v>0.40627971059242673</v>
      </c>
      <c r="AJ132" s="461">
        <f t="shared" si="489"/>
        <v>0.33200000000000007</v>
      </c>
      <c r="AK132" s="127">
        <f>AK32</f>
        <v>0.40031831319564981</v>
      </c>
      <c r="AL132" s="127">
        <f>AL32</f>
        <v>0.38204002442171814</v>
      </c>
      <c r="AM132" s="127">
        <f t="shared" ref="AM132:AN132" si="492">AM32</f>
        <v>0.34549597744253902</v>
      </c>
      <c r="AN132" s="127">
        <f t="shared" si="492"/>
        <v>0.30493637221208636</v>
      </c>
      <c r="AO132" s="461">
        <f t="shared" si="489"/>
        <v>0.35544157246643993</v>
      </c>
      <c r="AP132" s="127">
        <f>AP32</f>
        <v>0.26424120520571887</v>
      </c>
      <c r="AQ132" s="127">
        <f>AQ32</f>
        <v>0.21612522783695043</v>
      </c>
      <c r="AR132" s="127">
        <f t="shared" ref="AR132:AT132" si="493">AR32</f>
        <v>0.17003398791540783</v>
      </c>
      <c r="AS132" s="127">
        <f t="shared" si="493"/>
        <v>0.19596487766345727</v>
      </c>
      <c r="AT132" s="127">
        <f t="shared" si="493"/>
        <v>0.2031615792966158</v>
      </c>
      <c r="AU132" s="127">
        <f t="shared" si="489"/>
        <v>0.17779812836569664</v>
      </c>
      <c r="AV132" s="127">
        <f t="shared" si="489"/>
        <v>0.17330606641839186</v>
      </c>
      <c r="AW132" s="127">
        <f t="shared" si="489"/>
        <v>0.16619070073605102</v>
      </c>
      <c r="AX132" s="127">
        <f t="shared" si="489"/>
        <v>0.14901791376570972</v>
      </c>
      <c r="AY132" s="127">
        <f t="shared" si="489"/>
        <v>0.12263998321932035</v>
      </c>
      <c r="BB132" s="547"/>
    </row>
    <row r="133" spans="2:54" x14ac:dyDescent="0.35">
      <c r="B133" s="124" t="s">
        <v>157</v>
      </c>
      <c r="O133" s="127">
        <f t="shared" ref="O133:AY133" si="494">O33</f>
        <v>-5.8067885736396659E-2</v>
      </c>
      <c r="P133" s="127">
        <f t="shared" si="494"/>
        <v>-4.7979583377296062E-2</v>
      </c>
      <c r="Q133" s="127">
        <f>((O133*H131)+(P133*I131))/J131</f>
        <v>-5.2187418545852314E-2</v>
      </c>
      <c r="R133" s="127">
        <f t="shared" si="494"/>
        <v>-3.8345909163137438E-3</v>
      </c>
      <c r="S133" s="127">
        <f t="shared" si="494"/>
        <v>3.2470615709640549E-2</v>
      </c>
      <c r="T133" s="127">
        <f>((R133*K131)+(S133*L131))/M131</f>
        <v>1.3905751081143147E-2</v>
      </c>
      <c r="U133" s="345">
        <f t="shared" si="494"/>
        <v>-1.2836582662641845E-2</v>
      </c>
      <c r="V133" s="127">
        <f t="shared" si="494"/>
        <v>3.7026718485329561E-2</v>
      </c>
      <c r="W133" s="127">
        <f t="shared" si="494"/>
        <v>5.8619105650475033E-2</v>
      </c>
      <c r="X133" s="127">
        <f t="shared" si="494"/>
        <v>5.5700904446200725E-2</v>
      </c>
      <c r="Y133" s="127">
        <f t="shared" si="494"/>
        <v>3.5362387177841549E-2</v>
      </c>
      <c r="Z133" s="461">
        <f t="shared" si="494"/>
        <v>4.7402508604626331E-2</v>
      </c>
      <c r="AA133" s="127">
        <f>AA33</f>
        <v>5.6521413556140368E-3</v>
      </c>
      <c r="AB133" s="127">
        <f t="shared" ref="AB133:AD133" si="495">AB33</f>
        <v>-5.0584258405208374E-2</v>
      </c>
      <c r="AC133" s="127">
        <f t="shared" si="495"/>
        <v>-0.11443575182822564</v>
      </c>
      <c r="AD133" s="127">
        <f t="shared" si="495"/>
        <v>-6.9336124006641686E-2</v>
      </c>
      <c r="AE133" s="461">
        <f t="shared" si="494"/>
        <v>-5.3928853295886703E-2</v>
      </c>
      <c r="AF133" s="127">
        <f>AF33</f>
        <v>-6.3701241110203824E-2</v>
      </c>
      <c r="AG133" s="127">
        <f t="shared" ref="AG133:AI133" si="496">AG33</f>
        <v>-1.259812929364079E-2</v>
      </c>
      <c r="AH133" s="127">
        <f t="shared" si="496"/>
        <v>-6.4490500218675152E-3</v>
      </c>
      <c r="AI133" s="127">
        <f t="shared" si="496"/>
        <v>-3.5225035517399916E-2</v>
      </c>
      <c r="AJ133" s="461">
        <f t="shared" si="494"/>
        <v>-2.8812306531183829E-2</v>
      </c>
      <c r="AK133" s="127">
        <f>AK33</f>
        <v>2.0955815032809723E-2</v>
      </c>
      <c r="AL133" s="127">
        <f t="shared" ref="AL133:AN133" si="497">AL33</f>
        <v>-4.5073715970930552E-2</v>
      </c>
      <c r="AM133" s="127">
        <f t="shared" si="497"/>
        <v>-7.1383687968958789E-2</v>
      </c>
      <c r="AN133" s="127">
        <f t="shared" si="497"/>
        <v>-6.0321813312471349E-2</v>
      </c>
      <c r="AO133" s="461">
        <f t="shared" si="494"/>
        <v>-4.0836130434168477E-2</v>
      </c>
      <c r="AP133" s="127">
        <f>AP33</f>
        <v>-0.11924842558331444</v>
      </c>
      <c r="AQ133" s="127">
        <f t="shared" ref="AQ133:AS133" si="498">AQ33</f>
        <v>-8.121158431435338E-2</v>
      </c>
      <c r="AR133" s="127">
        <f t="shared" si="498"/>
        <v>-1.5629865886195554E-2</v>
      </c>
      <c r="AS133" s="127">
        <f t="shared" si="498"/>
        <v>1.7851423645452558E-2</v>
      </c>
      <c r="AT133" s="127">
        <f t="shared" si="494"/>
        <v>-4.1208763230137307E-2</v>
      </c>
      <c r="AU133" s="127">
        <f t="shared" si="494"/>
        <v>8.1766543121815638E-3</v>
      </c>
      <c r="AV133" s="127">
        <f t="shared" si="494"/>
        <v>-7.6046109603962742E-3</v>
      </c>
      <c r="AW133" s="127">
        <f t="shared" si="494"/>
        <v>-7.3800514710422593E-3</v>
      </c>
      <c r="AX133" s="127">
        <f t="shared" si="494"/>
        <v>-4.7602918680376693E-3</v>
      </c>
      <c r="AY133" s="127">
        <f t="shared" si="494"/>
        <v>-4.5790118960767623E-3</v>
      </c>
      <c r="BB133" s="547"/>
    </row>
    <row r="134" spans="2:54" x14ac:dyDescent="0.35">
      <c r="B134" s="124" t="s">
        <v>158</v>
      </c>
      <c r="H134" s="128">
        <f>H131/C131-1</f>
        <v>0.43815557051025911</v>
      </c>
      <c r="I134" s="128">
        <f t="shared" ref="I134:Z134" si="499">I131/D131-1</f>
        <v>0.42983593802089071</v>
      </c>
      <c r="J134" s="128"/>
      <c r="K134" s="128">
        <f>K131/E131-1</f>
        <v>0.99901582758791618</v>
      </c>
      <c r="L134" s="128">
        <f>L131/F131-1</f>
        <v>0.50119029395399917</v>
      </c>
      <c r="M134" s="128"/>
      <c r="N134" s="129">
        <f t="shared" ref="N134:W134" si="500">N131/G131-1</f>
        <v>0.59215087246119391</v>
      </c>
      <c r="O134" s="128">
        <f t="shared" si="500"/>
        <v>0.96942505503668874</v>
      </c>
      <c r="P134" s="128">
        <f t="shared" si="500"/>
        <v>0.75754067549682991</v>
      </c>
      <c r="Q134" s="128">
        <f t="shared" si="500"/>
        <v>0.84591773956165262</v>
      </c>
      <c r="R134" s="128">
        <f t="shared" si="500"/>
        <v>0.67592598578917129</v>
      </c>
      <c r="S134" s="128">
        <f t="shared" si="500"/>
        <v>0.53740690480174624</v>
      </c>
      <c r="T134" s="128">
        <f t="shared" si="500"/>
        <v>0.60823938934012101</v>
      </c>
      <c r="U134" s="346">
        <f t="shared" si="500"/>
        <v>0.70375758661841759</v>
      </c>
      <c r="V134" s="128">
        <f t="shared" si="500"/>
        <v>0.67877492877492829</v>
      </c>
      <c r="W134" s="128">
        <f t="shared" si="500"/>
        <v>0.66568817818389592</v>
      </c>
      <c r="X134" s="128">
        <f>X131/R131-1</f>
        <v>0.50464678899082505</v>
      </c>
      <c r="Y134" s="128">
        <f>Y131/S131-1</f>
        <v>0.91902145473573915</v>
      </c>
      <c r="Z134" s="129">
        <f t="shared" si="499"/>
        <v>0.68658570245652739</v>
      </c>
      <c r="AA134" s="128">
        <f>AA34</f>
        <v>0.78277471361900686</v>
      </c>
      <c r="AB134" s="128">
        <f t="shared" ref="AB134:AD134" si="501">AB34</f>
        <v>0.52333865913283151</v>
      </c>
      <c r="AC134" s="128">
        <f t="shared" si="501"/>
        <v>0.46488096508370136</v>
      </c>
      <c r="AD134" s="128">
        <f t="shared" si="501"/>
        <v>0.21916967755129946</v>
      </c>
      <c r="AE134" s="129">
        <f>AE131/Z131-1</f>
        <v>0.46641027739137564</v>
      </c>
      <c r="AF134" s="128">
        <f>AF34</f>
        <v>0.20942408376963395</v>
      </c>
      <c r="AG134" s="128">
        <f t="shared" ref="AG134:AI134" si="502">AG34</f>
        <v>0.2777402655863157</v>
      </c>
      <c r="AH134" s="128">
        <f t="shared" si="502"/>
        <v>0.32320499479708631</v>
      </c>
      <c r="AI134" s="128">
        <f t="shared" si="502"/>
        <v>0.35674345783940953</v>
      </c>
      <c r="AJ134" s="129">
        <f>AJ131/AE131-1</f>
        <v>0.29362200770046321</v>
      </c>
      <c r="AK134" s="128">
        <f>AK34</f>
        <v>0.4296631247540339</v>
      </c>
      <c r="AL134" s="128">
        <f t="shared" ref="AL134:AN134" si="503">AL34</f>
        <v>0.3197463449004756</v>
      </c>
      <c r="AM134" s="128">
        <f t="shared" si="503"/>
        <v>0.24944951242529156</v>
      </c>
      <c r="AN134" s="128">
        <f t="shared" si="503"/>
        <v>0.22622024398285534</v>
      </c>
      <c r="AO134" s="129">
        <f>AO131/AJ131-1</f>
        <v>0.30009058361730601</v>
      </c>
      <c r="AP134" s="128">
        <f>AP34</f>
        <v>0.14499277962240442</v>
      </c>
      <c r="AQ134" s="128">
        <f t="shared" ref="AQ134:AS134" si="504">AQ34</f>
        <v>0.13491364352259705</v>
      </c>
      <c r="AR134" s="128">
        <f t="shared" si="504"/>
        <v>0.15440412202921228</v>
      </c>
      <c r="AS134" s="128">
        <f t="shared" si="504"/>
        <v>0.21381630130890983</v>
      </c>
      <c r="AT134" s="128">
        <f>AT131/AO131-1</f>
        <v>0.16195281606647849</v>
      </c>
      <c r="AU134" s="128">
        <f t="shared" ref="AU134:AY134" si="505">AU131/AT131-1</f>
        <v>0.18742857651087741</v>
      </c>
      <c r="AV134" s="128">
        <f t="shared" si="505"/>
        <v>0.16438353024580721</v>
      </c>
      <c r="AW134" s="128">
        <f t="shared" si="505"/>
        <v>0.1575841533395681</v>
      </c>
      <c r="AX134" s="128">
        <f t="shared" si="505"/>
        <v>0.14354825313458131</v>
      </c>
      <c r="AY134" s="128">
        <f t="shared" si="505"/>
        <v>0.11749940138114767</v>
      </c>
      <c r="BB134" s="547"/>
    </row>
    <row r="135" spans="2:54" x14ac:dyDescent="0.35">
      <c r="B135" s="138" t="s">
        <v>118</v>
      </c>
      <c r="C135" s="170">
        <v>25.776933979999999</v>
      </c>
      <c r="D135" s="170">
        <v>37.254939450000002</v>
      </c>
      <c r="E135" s="170">
        <v>33.805535570000004</v>
      </c>
      <c r="F135" s="170">
        <v>46.279816090000004</v>
      </c>
      <c r="G135" s="525">
        <v>143.11722510999996</v>
      </c>
      <c r="H135" s="170">
        <v>38.587894380000002</v>
      </c>
      <c r="I135" s="170">
        <v>57.416251450000004</v>
      </c>
      <c r="J135" s="170">
        <f>I135+H135</f>
        <v>96.004145829999999</v>
      </c>
      <c r="K135" s="170">
        <v>70.822322409999998</v>
      </c>
      <c r="L135" s="170">
        <v>64.278830859999999</v>
      </c>
      <c r="M135" s="170">
        <f>L135+K135</f>
        <v>135.10115327</v>
      </c>
      <c r="N135" s="171">
        <v>231.10529912999996</v>
      </c>
      <c r="O135" s="170">
        <f>O121+O84</f>
        <v>80.799999999999983</v>
      </c>
      <c r="P135" s="170">
        <f>P121+P84</f>
        <v>106.89999999999999</v>
      </c>
      <c r="Q135" s="170">
        <f>P135+O135</f>
        <v>187.7</v>
      </c>
      <c r="R135" s="170">
        <f>R121+R84</f>
        <v>130.80000000000001</v>
      </c>
      <c r="S135" s="170">
        <f>S121+S84</f>
        <v>111.79999999999998</v>
      </c>
      <c r="T135" s="170">
        <f>S135+R135</f>
        <v>242.6</v>
      </c>
      <c r="U135" s="368">
        <f>T135+Q135</f>
        <v>430.29999999999995</v>
      </c>
      <c r="V135" s="170">
        <f>V121+V84</f>
        <v>122.10000000000011</v>
      </c>
      <c r="W135" s="170">
        <f>W121+W84</f>
        <v>160.83800000000002</v>
      </c>
      <c r="X135" s="170">
        <f>X121+X84</f>
        <v>187.40800000000002</v>
      </c>
      <c r="Y135" s="170">
        <f>Y121+Y84</f>
        <v>214.55399999999992</v>
      </c>
      <c r="Z135" s="171">
        <f>SUM(V135:Y135)</f>
        <v>684.90000000000009</v>
      </c>
      <c r="AA135" s="170">
        <f>AA136*AA131</f>
        <v>244.90000000000003</v>
      </c>
      <c r="AB135" s="170">
        <f t="shared" ref="AB135:AC135" si="506">AB136*AB131</f>
        <v>264.5</v>
      </c>
      <c r="AC135" s="170">
        <f t="shared" si="506"/>
        <v>287.70000000000005</v>
      </c>
      <c r="AD135" s="170">
        <f>AE135-AC135-AB135-AA135</f>
        <v>270.09999999999997</v>
      </c>
      <c r="AE135" s="171">
        <f>AE136*AE131</f>
        <v>1067.2</v>
      </c>
      <c r="AF135" s="170">
        <f>AF136*AF131</f>
        <v>303.3</v>
      </c>
      <c r="AG135" s="170">
        <f t="shared" ref="AG135:AH135" si="507">AG136*AG131</f>
        <v>340.23310024758052</v>
      </c>
      <c r="AH135" s="170">
        <f t="shared" si="507"/>
        <v>385.30000000000007</v>
      </c>
      <c r="AI135" s="170">
        <f>AJ135-AH135-AG135-AF135</f>
        <v>376.84076657566999</v>
      </c>
      <c r="AJ135" s="555">
        <f t="shared" ref="AJ135:AY135" si="508">AJ136*AJ131</f>
        <v>1405.6738668232506</v>
      </c>
      <c r="AK135" s="170">
        <f>AK136*AK131</f>
        <v>435.3</v>
      </c>
      <c r="AL135" s="170">
        <f t="shared" ref="AL135:AM135" si="509">AL136*AL131</f>
        <v>460.8</v>
      </c>
      <c r="AM135" s="170">
        <f t="shared" si="509"/>
        <v>522.20000000000005</v>
      </c>
      <c r="AN135" s="170">
        <f>AO135-AM135-AL135-AK135</f>
        <v>475.2999999999999</v>
      </c>
      <c r="AO135" s="171">
        <f t="shared" si="508"/>
        <v>1893.6</v>
      </c>
      <c r="AP135" s="170">
        <f>AP136*AP131</f>
        <v>534.29999999999995</v>
      </c>
      <c r="AQ135" s="170">
        <f t="shared" ref="AQ135:AR135" si="510">AQ136*AQ131</f>
        <v>555.70000000000005</v>
      </c>
      <c r="AR135" s="170">
        <f t="shared" si="510"/>
        <v>596.08811245100435</v>
      </c>
      <c r="AS135" s="170">
        <f>AT135-AR135-AQ135-AP135</f>
        <v>590.29364950483432</v>
      </c>
      <c r="AT135" s="170">
        <f t="shared" si="508"/>
        <v>2276.3817619558386</v>
      </c>
      <c r="AU135" s="170">
        <f t="shared" si="508"/>
        <v>2711.3578036720664</v>
      </c>
      <c r="AV135" s="170">
        <f t="shared" si="508"/>
        <v>3166.7446054666812</v>
      </c>
      <c r="AW135" s="170">
        <f t="shared" si="508"/>
        <v>3676.9836890870583</v>
      </c>
      <c r="AX135" s="170">
        <f t="shared" si="508"/>
        <v>4217.6278118819873</v>
      </c>
      <c r="AY135" s="170">
        <f t="shared" si="508"/>
        <v>4727.5223804218185</v>
      </c>
      <c r="BB135" s="547"/>
    </row>
    <row r="136" spans="2:54" x14ac:dyDescent="0.35">
      <c r="B136" s="124" t="s">
        <v>119</v>
      </c>
      <c r="C136" s="128">
        <f>C135/C131</f>
        <v>0.52000734493444289</v>
      </c>
      <c r="D136" s="128">
        <f t="shared" ref="D136:U136" si="511">D135/D131</f>
        <v>0.53467429966095803</v>
      </c>
      <c r="E136" s="128">
        <f t="shared" si="511"/>
        <v>0.51952014768873189</v>
      </c>
      <c r="F136" s="128">
        <f t="shared" si="511"/>
        <v>0.55892754427608138</v>
      </c>
      <c r="G136" s="513">
        <f t="shared" si="511"/>
        <v>0.53577889142109447</v>
      </c>
      <c r="H136" s="128">
        <f t="shared" si="511"/>
        <v>0.54128180920998159</v>
      </c>
      <c r="I136" s="128">
        <f t="shared" si="511"/>
        <v>0.57630723790935978</v>
      </c>
      <c r="J136" s="128">
        <f t="shared" si="511"/>
        <v>0.5616981168274513</v>
      </c>
      <c r="K136" s="128">
        <f t="shared" si="511"/>
        <v>0.54446316743512724</v>
      </c>
      <c r="L136" s="128">
        <f t="shared" si="511"/>
        <v>0.51712568496466527</v>
      </c>
      <c r="M136" s="128">
        <f t="shared" ref="M136" si="512">M135/M131</f>
        <v>0.53110485513099692</v>
      </c>
      <c r="N136" s="129">
        <f t="shared" si="511"/>
        <v>0.54339967802988709</v>
      </c>
      <c r="O136" s="128">
        <f t="shared" si="511"/>
        <v>0.57549857549857519</v>
      </c>
      <c r="P136" s="128">
        <f t="shared" si="511"/>
        <v>0.61050828098229615</v>
      </c>
      <c r="Q136" s="128">
        <f t="shared" ref="Q136" si="513">Q135/Q131</f>
        <v>0.59492868462757531</v>
      </c>
      <c r="R136" s="128">
        <f t="shared" si="511"/>
        <v>0.6</v>
      </c>
      <c r="S136" s="128">
        <f t="shared" si="511"/>
        <v>0.58503401360544194</v>
      </c>
      <c r="T136" s="128">
        <f t="shared" si="511"/>
        <v>0.59300904424346113</v>
      </c>
      <c r="U136" s="346">
        <f t="shared" si="511"/>
        <v>0.59384487993375634</v>
      </c>
      <c r="V136" s="128">
        <f t="shared" ref="V136:Y136" si="514">V135/V131</f>
        <v>0.51803139584217273</v>
      </c>
      <c r="W136" s="128">
        <f t="shared" si="514"/>
        <v>0.55145339468288634</v>
      </c>
      <c r="X136" s="128">
        <f t="shared" si="514"/>
        <v>0.57134320895818169</v>
      </c>
      <c r="Y136" s="128">
        <f t="shared" si="514"/>
        <v>0.58505419592337582</v>
      </c>
      <c r="Z136" s="129">
        <f t="shared" ref="Z136" si="515">Z135/Z131</f>
        <v>0.56042877014974235</v>
      </c>
      <c r="AA136" s="128">
        <v>0.58281770585435533</v>
      </c>
      <c r="AB136" s="128">
        <v>0.59531847850551434</v>
      </c>
      <c r="AC136" s="128">
        <v>0.59875130072840799</v>
      </c>
      <c r="AD136" s="128">
        <f>AD135/AD131</f>
        <v>0.60411541042272399</v>
      </c>
      <c r="AE136" s="129">
        <v>0.59550248312036158</v>
      </c>
      <c r="AF136" s="128">
        <v>0.59681227863046049</v>
      </c>
      <c r="AG136" s="128">
        <f t="shared" ref="AG136" si="516">AB136+0.004</f>
        <v>0.59931847850551434</v>
      </c>
      <c r="AH136" s="128">
        <v>0.60600817867253864</v>
      </c>
      <c r="AI136" s="128">
        <f>AI135/AI131</f>
        <v>0.62123436626388051</v>
      </c>
      <c r="AJ136" s="129">
        <v>0.60633820766218804</v>
      </c>
      <c r="AK136" s="128">
        <v>0.59912893012337132</v>
      </c>
      <c r="AL136" s="128">
        <v>0.61503964122687593</v>
      </c>
      <c r="AM136" s="128">
        <v>0.65735146022155067</v>
      </c>
      <c r="AN136" s="128">
        <f>AN135/AN131</f>
        <v>0.63899421530757461</v>
      </c>
      <c r="AO136" s="129">
        <v>0.62826808228268061</v>
      </c>
      <c r="AP136" s="128">
        <v>0.64226469527587438</v>
      </c>
      <c r="AQ136" s="128">
        <v>0.65353404680700922</v>
      </c>
      <c r="AR136" s="128">
        <v>0.65</v>
      </c>
      <c r="AS136" s="128">
        <f>AS135/AS131</f>
        <v>0.65379900851225192</v>
      </c>
      <c r="AT136" s="128">
        <v>0.65</v>
      </c>
      <c r="AU136" s="128">
        <f>AT136+0.002</f>
        <v>0.65200000000000002</v>
      </c>
      <c r="AV136" s="128">
        <f>AU136+0.002</f>
        <v>0.65400000000000003</v>
      </c>
      <c r="AW136" s="128">
        <f>AV136+0.002</f>
        <v>0.65600000000000003</v>
      </c>
      <c r="AX136" s="128">
        <f t="shared" ref="AX136:AY136" si="517">AW136+0.002</f>
        <v>0.65800000000000003</v>
      </c>
      <c r="AY136" s="128">
        <f t="shared" si="517"/>
        <v>0.66</v>
      </c>
      <c r="BB136" s="547"/>
    </row>
    <row r="137" spans="2:54" x14ac:dyDescent="0.35">
      <c r="B137" s="332" t="s">
        <v>345</v>
      </c>
      <c r="O137" s="159">
        <f>(O136-H136)*10000</f>
        <v>342.16766288593601</v>
      </c>
      <c r="P137" s="159">
        <f t="shared" ref="P137:T137" si="518">(P136-I136)*10000</f>
        <v>342.01043072936363</v>
      </c>
      <c r="Q137" s="159">
        <f t="shared" si="518"/>
        <v>332.3056780012401</v>
      </c>
      <c r="R137" s="159">
        <f t="shared" si="518"/>
        <v>555.36832564872736</v>
      </c>
      <c r="S137" s="159">
        <f t="shared" si="518"/>
        <v>679.08328640776676</v>
      </c>
      <c r="T137" s="159">
        <f t="shared" si="518"/>
        <v>619.04189112464201</v>
      </c>
      <c r="U137" s="346"/>
      <c r="V137" s="159">
        <f>(V136-O136)*10000</f>
        <v>-574.6717965640247</v>
      </c>
      <c r="W137" s="159">
        <f>(W136-P136)*10000</f>
        <v>-590.54886299409804</v>
      </c>
      <c r="X137" s="159">
        <f>(X136-R136)*10000</f>
        <v>-286.56791041818286</v>
      </c>
      <c r="Y137" s="159">
        <f>(Y136-S136)*10000</f>
        <v>0.20182317933881144</v>
      </c>
      <c r="Z137" s="161">
        <f>(Z136-U136)*10000</f>
        <v>-334.16109784013992</v>
      </c>
      <c r="AA137" s="159">
        <f>(AA136-V136)*10000</f>
        <v>647.86310012182605</v>
      </c>
      <c r="AB137" s="159">
        <f t="shared" ref="AB137:AD137" si="519">(AB136-W136)*10000</f>
        <v>438.65083822627992</v>
      </c>
      <c r="AC137" s="159">
        <f t="shared" si="519"/>
        <v>274.08091770226292</v>
      </c>
      <c r="AD137" s="159">
        <f t="shared" si="519"/>
        <v>190.61214499348168</v>
      </c>
      <c r="AE137" s="161">
        <f>(AE136-Z136)*10000</f>
        <v>350.73712970619232</v>
      </c>
      <c r="AF137" s="159">
        <f>(AF136-AA136)*10000</f>
        <v>139.94572776105164</v>
      </c>
      <c r="AG137" s="159">
        <f t="shared" ref="AG137" si="520">(AG136-AB136)*10000</f>
        <v>40.000000000000036</v>
      </c>
      <c r="AH137" s="159">
        <f t="shared" ref="AH137" si="521">(AH136-AC136)*10000</f>
        <v>72.568779441306575</v>
      </c>
      <c r="AI137" s="159">
        <f t="shared" ref="AI137:AJ137" si="522">(AI136-AD136)*10000</f>
        <v>171.18955841156526</v>
      </c>
      <c r="AJ137" s="161">
        <f t="shared" si="522"/>
        <v>108.35724541826464</v>
      </c>
      <c r="AK137" s="159">
        <f>(AK136-AF136)*10000</f>
        <v>23.16651492910826</v>
      </c>
      <c r="AL137" s="159">
        <f t="shared" ref="AL137" si="523">(AL136-AG136)*10000</f>
        <v>157.21162721361591</v>
      </c>
      <c r="AM137" s="159">
        <f t="shared" ref="AM137" si="524">(AM136-AH136)*10000</f>
        <v>513.43281549012022</v>
      </c>
      <c r="AN137" s="159">
        <f t="shared" ref="AN137" si="525">(AN136-AI136)*10000</f>
        <v>177.59849043694098</v>
      </c>
      <c r="AO137" s="161">
        <f>(AO136-AJ136)*10000</f>
        <v>219.29874620492564</v>
      </c>
      <c r="AP137" s="159">
        <f t="shared" ref="AP137" si="526">(AP136-AK136)*10000</f>
        <v>431.35765152503058</v>
      </c>
      <c r="AQ137" s="159">
        <f t="shared" ref="AQ137" si="527">(AQ136-AL136)*10000</f>
        <v>384.94405580133287</v>
      </c>
      <c r="AR137" s="159">
        <f t="shared" ref="AR137" si="528">(AR136-AM136)*10000</f>
        <v>-73.514602215506429</v>
      </c>
      <c r="AS137" s="159">
        <f t="shared" ref="AS137" si="529">(AS136-AN136)*10000</f>
        <v>148.04793204677313</v>
      </c>
      <c r="AT137" s="159">
        <f>(AT136-AO136)*10000</f>
        <v>217.31917717319416</v>
      </c>
      <c r="AU137" s="159">
        <f t="shared" ref="AU137:AW137" si="530">(AU136-AT136)*10000</f>
        <v>20.000000000000018</v>
      </c>
      <c r="AV137" s="159">
        <f t="shared" si="530"/>
        <v>20.000000000000018</v>
      </c>
      <c r="AW137" s="159">
        <f t="shared" si="530"/>
        <v>20.000000000000018</v>
      </c>
      <c r="AX137" s="159">
        <f t="shared" ref="AX137" si="531">(AX136-AW136)*10000</f>
        <v>20.000000000000018</v>
      </c>
      <c r="AY137" s="159">
        <f t="shared" ref="AY137" si="532">(AY136-AX136)*10000</f>
        <v>20.000000000000018</v>
      </c>
      <c r="BB137" s="547"/>
    </row>
    <row r="138" spans="2:54" x14ac:dyDescent="0.35">
      <c r="B138" s="124" t="s">
        <v>168</v>
      </c>
      <c r="C138" s="154">
        <v>4.5934654800000008</v>
      </c>
      <c r="D138" s="154">
        <v>6.62210696</v>
      </c>
      <c r="E138" s="154">
        <v>8.1066707600000001</v>
      </c>
      <c r="F138" s="154">
        <v>9.2414716300000013</v>
      </c>
      <c r="G138" s="526">
        <v>28.563714830000002</v>
      </c>
      <c r="H138" s="154">
        <v>8.3272966000000004</v>
      </c>
      <c r="I138" s="154">
        <v>14.572403320000001</v>
      </c>
      <c r="J138" s="154">
        <f>I138+H138</f>
        <v>22.899699920000003</v>
      </c>
      <c r="K138" s="154">
        <v>14.042727730000001</v>
      </c>
      <c r="L138" s="154">
        <v>14.14692249</v>
      </c>
      <c r="M138" s="154">
        <f>L138+K138</f>
        <v>28.189650220000001</v>
      </c>
      <c r="N138" s="153">
        <v>51.089349680000005</v>
      </c>
      <c r="O138" s="154">
        <f>O140*O131</f>
        <v>17.971200000000003</v>
      </c>
      <c r="P138" s="154">
        <f t="shared" ref="P138:S138" si="533">P140*P131</f>
        <v>22.428788839490441</v>
      </c>
      <c r="Q138" s="154">
        <f>P138+O138</f>
        <v>40.399988839490447</v>
      </c>
      <c r="R138" s="154">
        <f t="shared" si="533"/>
        <v>30.256999999999991</v>
      </c>
      <c r="S138" s="154">
        <f t="shared" si="533"/>
        <v>25.743011160509564</v>
      </c>
      <c r="T138" s="154">
        <f>S138+R138</f>
        <v>56.000011160509558</v>
      </c>
      <c r="U138" s="360">
        <f>T138+Q138</f>
        <v>96.4</v>
      </c>
      <c r="V138" s="154">
        <f>V140*V131</f>
        <v>30.899000000000001</v>
      </c>
      <c r="W138" s="154">
        <f>W140*W131</f>
        <v>36.082000000000008</v>
      </c>
      <c r="X138" s="154">
        <f t="shared" ref="X138:AJ138" si="534">X140*X131</f>
        <v>40.129999999999995</v>
      </c>
      <c r="Y138" s="154">
        <f t="shared" si="534"/>
        <v>43.888999999999989</v>
      </c>
      <c r="Z138" s="153">
        <f>SUM(V138:Y138)</f>
        <v>151</v>
      </c>
      <c r="AA138" s="154">
        <f>AA140*AA131</f>
        <v>59.20000000000001</v>
      </c>
      <c r="AB138" s="154">
        <f>AB140*AB131</f>
        <v>61.499999999999993</v>
      </c>
      <c r="AC138" s="154">
        <f t="shared" ref="AC138" si="535">AC140*AC131</f>
        <v>64.3</v>
      </c>
      <c r="AD138" s="154">
        <f>AE138-SUM(AA138:AC138)</f>
        <v>54.5</v>
      </c>
      <c r="AE138" s="153">
        <f t="shared" si="534"/>
        <v>239.5</v>
      </c>
      <c r="AF138" s="154">
        <f>AF140*AF131</f>
        <v>70.799999999999983</v>
      </c>
      <c r="AG138" s="154">
        <f>AG140*AG131</f>
        <v>71.099999999999952</v>
      </c>
      <c r="AH138" s="154">
        <f t="shared" ref="AH138" si="536">AH140*AH131</f>
        <v>75.800000000000011</v>
      </c>
      <c r="AI138" s="154">
        <f>AJ138-SUM(AF138:AH138)</f>
        <v>70.594640254067826</v>
      </c>
      <c r="AJ138" s="153">
        <f t="shared" si="534"/>
        <v>288.29464025406776</v>
      </c>
      <c r="AK138" s="154">
        <f>AK140*AK131</f>
        <v>79.600000000000009</v>
      </c>
      <c r="AL138" s="154">
        <f>AL140*AL131</f>
        <v>85.3</v>
      </c>
      <c r="AM138" s="154">
        <f t="shared" ref="AM138" si="537">AM140*AM131</f>
        <v>83.000000000000014</v>
      </c>
      <c r="AN138" s="154">
        <f>AO138-SUM(AK138:AM138)</f>
        <v>74.999999999999829</v>
      </c>
      <c r="AO138" s="153">
        <f>AO140*AO131</f>
        <v>322.89999999999986</v>
      </c>
      <c r="AP138" s="154">
        <f>AP140*AP131</f>
        <v>83.2</v>
      </c>
      <c r="AQ138" s="154">
        <f>AQ140*AQ131</f>
        <v>84.7</v>
      </c>
      <c r="AR138" s="154">
        <f t="shared" ref="AR138" si="538">AR140*AR131</f>
        <v>91.705863454000678</v>
      </c>
      <c r="AS138" s="154">
        <f>AT138-SUM(AP138:AR138)</f>
        <v>90.606715308436094</v>
      </c>
      <c r="AT138" s="154">
        <f t="shared" ref="AT138:AX138" si="539">AT140*AT131</f>
        <v>350.21257876243675</v>
      </c>
      <c r="AU138" s="154">
        <f t="shared" si="539"/>
        <v>403.37685115980128</v>
      </c>
      <c r="AV138" s="154">
        <f t="shared" si="539"/>
        <v>455.1590105716636</v>
      </c>
      <c r="AW138" s="154">
        <f t="shared" si="539"/>
        <v>510.06938369957663</v>
      </c>
      <c r="AX138" s="154">
        <f t="shared" si="539"/>
        <v>576.87918399601654</v>
      </c>
      <c r="AY138" s="154">
        <f t="shared" ref="AY138" si="540">AY140*AY131</f>
        <v>637.49923008718451</v>
      </c>
      <c r="BB138" s="547"/>
    </row>
    <row r="139" spans="2:54" x14ac:dyDescent="0.35">
      <c r="B139" s="124" t="s">
        <v>170</v>
      </c>
      <c r="H139" s="128">
        <f>H138/C138-1</f>
        <v>0.81285711980576347</v>
      </c>
      <c r="I139" s="128">
        <f t="shared" ref="I139" si="541">I138/D138-1</f>
        <v>1.2005690044003763</v>
      </c>
      <c r="J139" s="128"/>
      <c r="K139" s="128">
        <f>K138/E138-1</f>
        <v>0.73224349991981175</v>
      </c>
      <c r="L139" s="128">
        <f>L138/F138-1</f>
        <v>0.53080840978570398</v>
      </c>
      <c r="M139" s="128"/>
      <c r="N139" s="129">
        <f>N138/G138-1</f>
        <v>0.78861012946193187</v>
      </c>
      <c r="O139" s="128">
        <f>O138/H138-1</f>
        <v>1.1581073502293653</v>
      </c>
      <c r="P139" s="128">
        <f>P138/I138-1</f>
        <v>0.53912764744219555</v>
      </c>
      <c r="Q139" s="128"/>
      <c r="R139" s="128">
        <f>R138/K138-1</f>
        <v>1.1546383709598556</v>
      </c>
      <c r="S139" s="128">
        <f>S138/L138-1</f>
        <v>0.81968984269946077</v>
      </c>
      <c r="T139" s="128"/>
      <c r="U139" s="346">
        <f>U138/N138-1</f>
        <v>0.88689033240401183</v>
      </c>
      <c r="V139" s="128">
        <f>V138/O138-1</f>
        <v>0.71936209045584021</v>
      </c>
      <c r="W139" s="128">
        <f>W138/P138-1</f>
        <v>0.60873599810571655</v>
      </c>
      <c r="X139" s="128">
        <f>X138/R138-1</f>
        <v>0.3263046567736394</v>
      </c>
      <c r="Y139" s="128">
        <f>Y138/S138-1</f>
        <v>0.70488991075476193</v>
      </c>
      <c r="Z139" s="129">
        <f t="shared" ref="Z139" si="542">Z138/U138-1</f>
        <v>0.56639004149377592</v>
      </c>
      <c r="AA139" s="128">
        <f t="shared" ref="AA139:AJ139" si="543">AA138/V138-1</f>
        <v>0.91591960904883685</v>
      </c>
      <c r="AB139" s="128">
        <f t="shared" si="543"/>
        <v>0.7044509727842132</v>
      </c>
      <c r="AC139" s="128">
        <f t="shared" si="543"/>
        <v>0.60229254921505126</v>
      </c>
      <c r="AD139" s="128">
        <f t="shared" si="543"/>
        <v>0.24176900817972635</v>
      </c>
      <c r="AE139" s="129">
        <f t="shared" si="543"/>
        <v>0.58609271523178808</v>
      </c>
      <c r="AF139" s="128">
        <f t="shared" si="543"/>
        <v>0.19594594594594539</v>
      </c>
      <c r="AG139" s="128">
        <f t="shared" si="543"/>
        <v>0.15609756097560901</v>
      </c>
      <c r="AH139" s="128">
        <f t="shared" si="543"/>
        <v>0.17884914463452595</v>
      </c>
      <c r="AI139" s="128">
        <f t="shared" si="543"/>
        <v>0.29531450007463911</v>
      </c>
      <c r="AJ139" s="129">
        <f t="shared" si="543"/>
        <v>0.20373544991260029</v>
      </c>
      <c r="AK139" s="128">
        <f t="shared" ref="AK139" si="544">AK138/AF138-1</f>
        <v>0.12429378531073487</v>
      </c>
      <c r="AL139" s="128">
        <f t="shared" ref="AL139" si="545">AL138/AG138-1</f>
        <v>0.19971870604782072</v>
      </c>
      <c r="AM139" s="128">
        <f t="shared" ref="AM139" si="546">AM138/AH138-1</f>
        <v>9.4986807387862804E-2</v>
      </c>
      <c r="AN139" s="128">
        <f t="shared" ref="AN139" si="547">AN138/AI138-1</f>
        <v>6.2403600756052446E-2</v>
      </c>
      <c r="AO139" s="129">
        <f>AO138/AJ138-1</f>
        <v>0.12003469684845736</v>
      </c>
      <c r="AP139" s="128">
        <f t="shared" ref="AP139" si="548">AP138/AK138-1</f>
        <v>4.5226130653266194E-2</v>
      </c>
      <c r="AQ139" s="128">
        <f t="shared" ref="AQ139" si="549">AQ138/AL138-1</f>
        <v>-7.0339976553340788E-3</v>
      </c>
      <c r="AR139" s="128">
        <f t="shared" ref="AR139" si="550">AR138/AM138-1</f>
        <v>0.10488992113253803</v>
      </c>
      <c r="AS139" s="128">
        <f t="shared" ref="AS139" si="551">AS138/AN138-1</f>
        <v>0.20808953744581737</v>
      </c>
      <c r="AT139" s="128">
        <f>AT138/AO138-1</f>
        <v>8.45852547613406E-2</v>
      </c>
      <c r="AU139" s="128">
        <f t="shared" ref="AU139:AY139" si="552">AU138/AT138-1</f>
        <v>0.15180571921555108</v>
      </c>
      <c r="AV139" s="128">
        <f t="shared" si="552"/>
        <v>0.12837166848562753</v>
      </c>
      <c r="AW139" s="128">
        <f t="shared" si="552"/>
        <v>0.12063997823298611</v>
      </c>
      <c r="AX139" s="128">
        <f t="shared" si="552"/>
        <v>0.13098178881442113</v>
      </c>
      <c r="AY139" s="128">
        <f t="shared" si="552"/>
        <v>0.10508274136580154</v>
      </c>
      <c r="BB139" s="547"/>
    </row>
    <row r="140" spans="2:54" x14ac:dyDescent="0.35">
      <c r="B140" s="124" t="s">
        <v>169</v>
      </c>
      <c r="C140" s="128">
        <f t="shared" ref="C140:G140" si="553">C138/C131</f>
        <v>9.2665628509431316E-2</v>
      </c>
      <c r="D140" s="128">
        <f t="shared" si="553"/>
        <v>9.5038951972258687E-2</v>
      </c>
      <c r="E140" s="128">
        <f t="shared" si="553"/>
        <v>0.12458251938586649</v>
      </c>
      <c r="F140" s="128">
        <f t="shared" si="553"/>
        <v>0.11161049200385825</v>
      </c>
      <c r="G140" s="513">
        <f t="shared" si="553"/>
        <v>0.10693217014739591</v>
      </c>
      <c r="H140" s="128">
        <f>H138/H131</f>
        <v>0.11680902111653724</v>
      </c>
      <c r="I140" s="128">
        <f t="shared" ref="I140:U140" si="554">I138/I131</f>
        <v>0.14626836992944067</v>
      </c>
      <c r="J140" s="128">
        <f t="shared" si="554"/>
        <v>0.13398086311558344</v>
      </c>
      <c r="K140" s="128">
        <f t="shared" si="554"/>
        <v>0.10795675373426229</v>
      </c>
      <c r="L140" s="128">
        <f t="shared" si="554"/>
        <v>0.11381253960136632</v>
      </c>
      <c r="M140" s="128">
        <f t="shared" si="554"/>
        <v>0.11081815168791102</v>
      </c>
      <c r="N140" s="129">
        <f t="shared" si="554"/>
        <v>0.12012678320825451</v>
      </c>
      <c r="O140" s="128">
        <v>0.128</v>
      </c>
      <c r="P140" s="128">
        <v>0.12809131261844919</v>
      </c>
      <c r="Q140" s="128">
        <f t="shared" ref="Q140" si="555">Q138/Q131</f>
        <v>0.12805067777968449</v>
      </c>
      <c r="R140" s="128">
        <v>0.13879357798165132</v>
      </c>
      <c r="S140" s="128">
        <v>0.13470963453955812</v>
      </c>
      <c r="T140" s="128">
        <f t="shared" ref="T140" si="556">T138/T131</f>
        <v>0.13688587426181753</v>
      </c>
      <c r="U140" s="346">
        <f t="shared" si="554"/>
        <v>0.13303891802373721</v>
      </c>
      <c r="V140" s="128">
        <v>0.13109461179465423</v>
      </c>
      <c r="W140" s="128">
        <v>0.12371169367281305</v>
      </c>
      <c r="X140" s="128">
        <v>0.1223427120266575</v>
      </c>
      <c r="Y140" s="128">
        <v>0.11967823300838505</v>
      </c>
      <c r="Z140" s="129">
        <f t="shared" ref="Z140" si="557">Z138/Z131</f>
        <v>0.1235578103264872</v>
      </c>
      <c r="AA140" s="128">
        <v>0.14088529271775352</v>
      </c>
      <c r="AB140" s="128">
        <v>0.13841998649561107</v>
      </c>
      <c r="AC140" s="128">
        <v>0.13381893860561914</v>
      </c>
      <c r="AD140" s="128">
        <f t="shared" ref="AD140" si="558">AD138/AD131</f>
        <v>0.121896667412212</v>
      </c>
      <c r="AE140" s="129">
        <v>0.13364209586518611</v>
      </c>
      <c r="AF140" s="128">
        <v>0.1393152302243211</v>
      </c>
      <c r="AG140" s="128">
        <v>0.12524220539017078</v>
      </c>
      <c r="AH140" s="128">
        <v>0.11921988046555523</v>
      </c>
      <c r="AI140" s="128">
        <f t="shared" ref="AI140" si="559">AI138/AI131</f>
        <v>0.1163775803726802</v>
      </c>
      <c r="AJ140" s="129">
        <v>0.12435605411468219</v>
      </c>
      <c r="AK140" s="128">
        <v>0.10955815032809639</v>
      </c>
      <c r="AL140" s="128">
        <v>0.11385173914204105</v>
      </c>
      <c r="AM140" s="128">
        <v>0.10448136958710974</v>
      </c>
      <c r="AN140" s="128">
        <f t="shared" ref="AN140" si="560">AN138/AN131</f>
        <v>0.10083014127512728</v>
      </c>
      <c r="AO140" s="129">
        <v>0.1071333775713337</v>
      </c>
      <c r="AP140" s="128">
        <v>0.10001202067556196</v>
      </c>
      <c r="AQ140" s="128">
        <v>9.961190168175936E-2</v>
      </c>
      <c r="AR140" s="128">
        <v>0.1</v>
      </c>
      <c r="AS140" s="128">
        <f t="shared" ref="AS140" si="561">AS138/AS131</f>
        <v>0.10035442645012269</v>
      </c>
      <c r="AT140" s="128">
        <v>0.1</v>
      </c>
      <c r="AU140" s="128">
        <f>AT140-0.003</f>
        <v>9.7000000000000003E-2</v>
      </c>
      <c r="AV140" s="128">
        <f>AU140-0.003</f>
        <v>9.4E-2</v>
      </c>
      <c r="AW140" s="128">
        <f>AV140-0.003</f>
        <v>9.0999999999999998E-2</v>
      </c>
      <c r="AX140" s="128">
        <f t="shared" ref="AX140:AY140" si="562">AW140-0.001</f>
        <v>0.09</v>
      </c>
      <c r="AY140" s="128">
        <f t="shared" si="562"/>
        <v>8.8999999999999996E-2</v>
      </c>
      <c r="BB140" s="547"/>
    </row>
    <row r="141" spans="2:54" x14ac:dyDescent="0.35">
      <c r="B141" s="124" t="s">
        <v>171</v>
      </c>
      <c r="C141" s="154">
        <v>4.8031009100000004</v>
      </c>
      <c r="D141" s="154">
        <v>5.4559591100000002</v>
      </c>
      <c r="E141" s="154">
        <v>6.1032459800000005</v>
      </c>
      <c r="F141" s="154">
        <v>7.1245449299999999</v>
      </c>
      <c r="G141" s="526">
        <v>23.486850929999999</v>
      </c>
      <c r="H141" s="154">
        <v>6.6966040800000002</v>
      </c>
      <c r="I141" s="154">
        <v>10.66609261</v>
      </c>
      <c r="J141" s="154">
        <f>I141+H141</f>
        <v>17.36269669</v>
      </c>
      <c r="K141" s="154">
        <v>8.4789336300000002</v>
      </c>
      <c r="L141" s="154">
        <v>9.7728058200000003</v>
      </c>
      <c r="M141" s="154">
        <f>L141+K141</f>
        <v>18.251739450000002</v>
      </c>
      <c r="N141" s="153">
        <v>35.614521060000001</v>
      </c>
      <c r="O141" s="154">
        <f>O143*O131</f>
        <v>10.389600000000002</v>
      </c>
      <c r="P141" s="154">
        <f t="shared" ref="P141:S141" si="563">P143*P131</f>
        <v>11.811200069027839</v>
      </c>
      <c r="Q141" s="154">
        <f>P141+O141</f>
        <v>22.200800069027842</v>
      </c>
      <c r="R141" s="154">
        <f t="shared" si="563"/>
        <v>15.716000000000003</v>
      </c>
      <c r="S141" s="154">
        <f t="shared" si="563"/>
        <v>14.683199930972155</v>
      </c>
      <c r="T141" s="154">
        <f>S141+R141</f>
        <v>30.399199930972159</v>
      </c>
      <c r="U141" s="360">
        <f>T141+Q141</f>
        <v>52.6</v>
      </c>
      <c r="V141" s="154">
        <f>V143*V131</f>
        <v>15.936000000000002</v>
      </c>
      <c r="W141" s="154">
        <f>W143*W131</f>
        <v>20.088000000000001</v>
      </c>
      <c r="X141" s="154">
        <f t="shared" ref="X141:AY141" si="564">X143*X131</f>
        <v>20.006999999999998</v>
      </c>
      <c r="Y141" s="154">
        <f t="shared" si="564"/>
        <v>29.468999999999998</v>
      </c>
      <c r="Z141" s="153">
        <f>SUM(V141:Y141)</f>
        <v>85.5</v>
      </c>
      <c r="AA141" s="154">
        <f>AA143*AA131</f>
        <v>27.699999999999996</v>
      </c>
      <c r="AB141" s="154">
        <f>AB143*AB131</f>
        <v>31.8</v>
      </c>
      <c r="AC141" s="154">
        <f t="shared" ref="AC141" si="565">AC143*AC131</f>
        <v>35.800000000000004</v>
      </c>
      <c r="AD141" s="154">
        <f>AE141-SUM(AA141:AC141)</f>
        <v>38</v>
      </c>
      <c r="AE141" s="153">
        <f t="shared" si="564"/>
        <v>133.30000000000001</v>
      </c>
      <c r="AF141" s="154">
        <f>AF143*AF131</f>
        <v>34.4</v>
      </c>
      <c r="AG141" s="154">
        <f>AG143*AG131</f>
        <v>41.199999999999982</v>
      </c>
      <c r="AH141" s="154">
        <f t="shared" ref="AH141" si="566">AH143*AH131</f>
        <v>44.7</v>
      </c>
      <c r="AI141" s="154">
        <f>AJ141-SUM(AF141:AH141)</f>
        <v>47.896873016767927</v>
      </c>
      <c r="AJ141" s="153">
        <f t="shared" si="564"/>
        <v>168.19687301676791</v>
      </c>
      <c r="AK141" s="154">
        <f>AK143*AK131</f>
        <v>60.699999999999996</v>
      </c>
      <c r="AL141" s="154">
        <v>60.8</v>
      </c>
      <c r="AM141" s="154">
        <f t="shared" ref="AM141" si="567">AM143*AM131</f>
        <v>65.200000000000017</v>
      </c>
      <c r="AN141" s="154">
        <f>AO141-SUM(AK141:AM141)</f>
        <v>73.400000000000006</v>
      </c>
      <c r="AO141" s="153">
        <f t="shared" si="564"/>
        <v>260.10000000000002</v>
      </c>
      <c r="AP141" s="154">
        <f>AP143*AP131</f>
        <v>70.400000000000006</v>
      </c>
      <c r="AQ141" s="154">
        <f t="shared" ref="AQ141:AR141" si="568">AQ143*AQ131</f>
        <v>81.09999999999998</v>
      </c>
      <c r="AR141" s="154">
        <f t="shared" si="568"/>
        <v>82.535277108600596</v>
      </c>
      <c r="AS141" s="154">
        <f>AT141-SUM(AP141:AR141)</f>
        <v>98.666672715714299</v>
      </c>
      <c r="AT141" s="154">
        <f t="shared" si="564"/>
        <v>332.70194982431491</v>
      </c>
      <c r="AU141" s="154">
        <f t="shared" si="564"/>
        <v>403.37685115980128</v>
      </c>
      <c r="AV141" s="154">
        <f t="shared" si="564"/>
        <v>479.36959624036916</v>
      </c>
      <c r="AW141" s="154">
        <f t="shared" si="564"/>
        <v>566.12096432590374</v>
      </c>
      <c r="AX141" s="154">
        <f t="shared" si="564"/>
        <v>660.20617723988562</v>
      </c>
      <c r="AY141" s="154">
        <f t="shared" si="564"/>
        <v>752.10583324892571</v>
      </c>
      <c r="BB141" s="547"/>
    </row>
    <row r="142" spans="2:54" x14ac:dyDescent="0.35">
      <c r="B142" s="124" t="s">
        <v>170</v>
      </c>
      <c r="H142" s="128">
        <f>H141/C141-1</f>
        <v>0.3942251486030095</v>
      </c>
      <c r="I142" s="128">
        <f t="shared" ref="I142" si="569">I141/D141-1</f>
        <v>0.9549436487620595</v>
      </c>
      <c r="J142" s="128"/>
      <c r="K142" s="128">
        <f>K141/E141-1</f>
        <v>0.38924986110423809</v>
      </c>
      <c r="L142" s="128">
        <f>L141/F141-1</f>
        <v>0.37170947983620906</v>
      </c>
      <c r="M142" s="128"/>
      <c r="N142" s="129">
        <f>N141/G141-1</f>
        <v>0.51635999079421935</v>
      </c>
      <c r="O142" s="128">
        <f>O141/H141-1</f>
        <v>0.55147293701138156</v>
      </c>
      <c r="P142" s="128">
        <f>P141/I141-1</f>
        <v>0.10735960214279805</v>
      </c>
      <c r="Q142" s="128"/>
      <c r="R142" s="128">
        <f>R141/K141-1</f>
        <v>0.85353497100082887</v>
      </c>
      <c r="S142" s="128">
        <f>S141/L141-1</f>
        <v>0.50245489385689579</v>
      </c>
      <c r="T142" s="128"/>
      <c r="U142" s="346">
        <f>U141/N141-1</f>
        <v>0.4769256593787814</v>
      </c>
      <c r="V142" s="128">
        <f>V141/O141-1</f>
        <v>0.53384153384153388</v>
      </c>
      <c r="W142" s="128">
        <f>W141/P141-1</f>
        <v>0.70075859206518487</v>
      </c>
      <c r="X142" s="128">
        <f>X141/R141-1</f>
        <v>0.27303385085263399</v>
      </c>
      <c r="Y142" s="128">
        <f>Y141/S141-1</f>
        <v>1.0069875870748901</v>
      </c>
      <c r="Z142" s="129">
        <f t="shared" ref="Z142" si="570">Z141/U141-1</f>
        <v>0.62547528517110251</v>
      </c>
      <c r="AA142" s="128">
        <f t="shared" ref="AA142:AI142" si="571">AA141/V141-1</f>
        <v>0.73820281124497944</v>
      </c>
      <c r="AB142" s="128">
        <f t="shared" si="571"/>
        <v>0.58303464755077661</v>
      </c>
      <c r="AC142" s="128">
        <f t="shared" si="571"/>
        <v>0.78937371919828103</v>
      </c>
      <c r="AD142" s="128">
        <f t="shared" si="571"/>
        <v>0.28949065119277906</v>
      </c>
      <c r="AE142" s="129">
        <f t="shared" si="571"/>
        <v>0.55906432748538015</v>
      </c>
      <c r="AF142" s="128">
        <f t="shared" si="571"/>
        <v>0.24187725631768964</v>
      </c>
      <c r="AG142" s="128">
        <f t="shared" si="571"/>
        <v>0.29559748427672905</v>
      </c>
      <c r="AH142" s="128">
        <f t="shared" si="571"/>
        <v>0.24860335195530725</v>
      </c>
      <c r="AI142" s="128">
        <f t="shared" si="571"/>
        <v>0.2604440267570507</v>
      </c>
      <c r="AJ142" s="129">
        <f t="shared" ref="AJ142" si="572">AJ141/AE141-1</f>
        <v>0.26179199562466549</v>
      </c>
      <c r="AK142" s="128">
        <f t="shared" ref="AK142" si="573">AK141/AF141-1</f>
        <v>0.76453488372093026</v>
      </c>
      <c r="AL142" s="128">
        <f t="shared" ref="AL142" si="574">AL141/AG141-1</f>
        <v>0.4757281553398065</v>
      </c>
      <c r="AM142" s="128">
        <f t="shared" ref="AM142" si="575">AM141/AH141-1</f>
        <v>0.45861297539149914</v>
      </c>
      <c r="AN142" s="128">
        <f t="shared" ref="AN142" si="576">AN141/AI141-1</f>
        <v>0.532459122630069</v>
      </c>
      <c r="AO142" s="129">
        <f t="shared" ref="AO142" si="577">AO141/AJ141-1</f>
        <v>0.54640211399215555</v>
      </c>
      <c r="AP142" s="128">
        <f t="shared" ref="AP142" si="578">AP141/AK141-1</f>
        <v>0.15980230642504134</v>
      </c>
      <c r="AQ142" s="128">
        <f t="shared" ref="AQ142" si="579">AQ141/AL141-1</f>
        <v>0.33388157894736814</v>
      </c>
      <c r="AR142" s="128">
        <f t="shared" ref="AR142" si="580">AR141/AM141-1</f>
        <v>0.26587848326074504</v>
      </c>
      <c r="AS142" s="128">
        <f t="shared" ref="AS142" si="581">AS141/AN141-1</f>
        <v>0.34423259830673425</v>
      </c>
      <c r="AT142" s="128">
        <f t="shared" ref="AT142" si="582">AT141/AO141-1</f>
        <v>0.27913091051255234</v>
      </c>
      <c r="AU142" s="128">
        <f t="shared" ref="AU142" si="583">AU141/AT141-1</f>
        <v>0.21242707285847473</v>
      </c>
      <c r="AV142" s="128">
        <f t="shared" ref="AV142" si="584">AV141/AU141-1</f>
        <v>0.18839143808592707</v>
      </c>
      <c r="AW142" s="128">
        <f t="shared" ref="AW142" si="585">AW141/AV141-1</f>
        <v>0.18096969179087252</v>
      </c>
      <c r="AX142" s="128">
        <f t="shared" ref="AX142:AY142" si="586">AX141/AW141-1</f>
        <v>0.16619277299863255</v>
      </c>
      <c r="AY142" s="128">
        <f t="shared" si="586"/>
        <v>0.13919841888369433</v>
      </c>
      <c r="BB142" s="547"/>
    </row>
    <row r="143" spans="2:54" x14ac:dyDescent="0.35">
      <c r="B143" s="124" t="s">
        <v>169</v>
      </c>
      <c r="C143" s="128">
        <f t="shared" ref="C143:G143" si="587">C141/C131</f>
        <v>9.689467931287718E-2</v>
      </c>
      <c r="D143" s="128">
        <f t="shared" si="587"/>
        <v>7.8302666953282987E-2</v>
      </c>
      <c r="E143" s="128">
        <f t="shared" si="587"/>
        <v>9.3794084295593355E-2</v>
      </c>
      <c r="F143" s="128">
        <f t="shared" si="587"/>
        <v>8.6044084403134574E-2</v>
      </c>
      <c r="G143" s="513">
        <f t="shared" si="587"/>
        <v>8.7926236304372296E-2</v>
      </c>
      <c r="H143" s="128">
        <f>H141/H131</f>
        <v>9.3934899279294243E-2</v>
      </c>
      <c r="I143" s="128">
        <f t="shared" ref="I143:U143" si="588">I141/I131</f>
        <v>0.10705934672010939</v>
      </c>
      <c r="J143" s="128">
        <f t="shared" si="588"/>
        <v>0.10158513415752582</v>
      </c>
      <c r="K143" s="128">
        <f t="shared" si="588"/>
        <v>6.5183785331645427E-2</v>
      </c>
      <c r="L143" s="128">
        <f t="shared" si="588"/>
        <v>7.8622601501594391E-2</v>
      </c>
      <c r="M143" s="128">
        <f t="shared" si="588"/>
        <v>7.1750589849579549E-2</v>
      </c>
      <c r="N143" s="129">
        <f t="shared" si="588"/>
        <v>8.3740698937008556E-2</v>
      </c>
      <c r="O143" s="128">
        <v>7.3999999999999996E-2</v>
      </c>
      <c r="P143" s="128">
        <v>6.745402666492202E-2</v>
      </c>
      <c r="Q143" s="128">
        <f t="shared" ref="Q143" si="589">Q141/Q131</f>
        <v>7.0367036668867969E-2</v>
      </c>
      <c r="R143" s="128">
        <v>7.2091743119266055E-2</v>
      </c>
      <c r="S143" s="128">
        <v>7.6835164473951598E-2</v>
      </c>
      <c r="T143" s="128">
        <f t="shared" ref="T143" si="590">T141/T131</f>
        <v>7.4307504108951733E-2</v>
      </c>
      <c r="U143" s="346">
        <f t="shared" si="588"/>
        <v>7.2591774772288148E-2</v>
      </c>
      <c r="V143" s="128">
        <v>6.7611370386084016E-2</v>
      </c>
      <c r="W143" s="128">
        <v>6.887424484506037E-2</v>
      </c>
      <c r="X143" s="128">
        <v>6.0994533753235401E-2</v>
      </c>
      <c r="Y143" s="128">
        <v>8.0357215897470885E-2</v>
      </c>
      <c r="Z143" s="129">
        <f t="shared" ref="Z143" si="591">Z141/Z131</f>
        <v>6.9961541608706324E-2</v>
      </c>
      <c r="AA143" s="128">
        <v>6.592099000475965E-2</v>
      </c>
      <c r="AB143" s="128">
        <v>7.1573261309925737E-2</v>
      </c>
      <c r="AC143" s="128">
        <v>7.4505723204994809E-2</v>
      </c>
      <c r="AD143" s="128">
        <f>AD141/AD131</f>
        <v>8.4992171773652397E-2</v>
      </c>
      <c r="AE143" s="129">
        <v>7.4382009932481452E-2</v>
      </c>
      <c r="AF143" s="128">
        <v>6.7689885871704047E-2</v>
      </c>
      <c r="AG143" s="128">
        <v>7.2573542363924576E-2</v>
      </c>
      <c r="AH143" s="128">
        <v>7.0305127398553019E-2</v>
      </c>
      <c r="AI143" s="128">
        <f>AI141/AI131</f>
        <v>7.8959566463514527E-2</v>
      </c>
      <c r="AJ143" s="129">
        <v>7.2551815130383432E-2</v>
      </c>
      <c r="AK143" s="128">
        <v>8.3544971418535799E-2</v>
      </c>
      <c r="AL143" s="128">
        <v>8.3422025126892396E-2</v>
      </c>
      <c r="AM143" s="128">
        <v>8.2074521651560914E-2</v>
      </c>
      <c r="AN143" s="128">
        <f>AN141/AN131</f>
        <v>9.8679098261258133E-2</v>
      </c>
      <c r="AO143" s="129">
        <v>8.6297279362972781E-2</v>
      </c>
      <c r="AP143" s="128">
        <v>8.4625555956244741E-2</v>
      </c>
      <c r="AQ143" s="128">
        <v>9.5378101846407104E-2</v>
      </c>
      <c r="AR143" s="128">
        <v>0.09</v>
      </c>
      <c r="AS143" s="128">
        <f>AS141/AS131</f>
        <v>0.10928149548762604</v>
      </c>
      <c r="AT143" s="128">
        <v>9.5000000000000001E-2</v>
      </c>
      <c r="AU143" s="128">
        <f>AT143+0.002</f>
        <v>9.7000000000000003E-2</v>
      </c>
      <c r="AV143" s="128">
        <f t="shared" ref="AV143:AY143" si="592">AU143+0.002</f>
        <v>9.9000000000000005E-2</v>
      </c>
      <c r="AW143" s="128">
        <f t="shared" si="592"/>
        <v>0.10100000000000001</v>
      </c>
      <c r="AX143" s="128">
        <f t="shared" si="592"/>
        <v>0.10300000000000001</v>
      </c>
      <c r="AY143" s="128">
        <f t="shared" si="592"/>
        <v>0.10500000000000001</v>
      </c>
      <c r="BB143" s="547"/>
    </row>
    <row r="144" spans="2:54" x14ac:dyDescent="0.35">
      <c r="B144" s="124" t="s">
        <v>172</v>
      </c>
      <c r="C144" s="154">
        <v>3.3969052799999999</v>
      </c>
      <c r="D144" s="154">
        <v>8.3605797200000005</v>
      </c>
      <c r="E144" s="154">
        <v>6.4383801600000004</v>
      </c>
      <c r="F144" s="154">
        <v>10.357154570000001</v>
      </c>
      <c r="G144" s="526">
        <v>28.553019729999995</v>
      </c>
      <c r="H144" s="154">
        <v>6.3759126200000003</v>
      </c>
      <c r="I144" s="154">
        <v>10.42834865</v>
      </c>
      <c r="J144" s="154">
        <f>I144+H144</f>
        <v>16.804261270000001</v>
      </c>
      <c r="K144" s="154">
        <v>13.202145380000001</v>
      </c>
      <c r="L144" s="154">
        <v>15.61909708</v>
      </c>
      <c r="M144" s="154">
        <f>L144+K144</f>
        <v>28.821242460000001</v>
      </c>
      <c r="N144" s="153">
        <v>45.625503730000005</v>
      </c>
      <c r="O144" s="154">
        <f>O146*O131</f>
        <v>16.286400000000004</v>
      </c>
      <c r="P144" s="154">
        <f>P146*P131</f>
        <v>25.709831932965617</v>
      </c>
      <c r="Q144" s="154">
        <f>P144+O144</f>
        <v>41.996231932965621</v>
      </c>
      <c r="R144" s="154">
        <f>R146*R131</f>
        <v>25.44100000000001</v>
      </c>
      <c r="S144" s="154">
        <f>S146*S131</f>
        <v>33.062768067034405</v>
      </c>
      <c r="T144" s="154">
        <f>S144+R144</f>
        <v>58.503768067034414</v>
      </c>
      <c r="U144" s="360">
        <f>T144+Q144</f>
        <v>100.50000000000003</v>
      </c>
      <c r="V144" s="154">
        <f>V146*V131</f>
        <v>28.293000000000013</v>
      </c>
      <c r="W144" s="154">
        <f>W146*W131</f>
        <v>34.591999999999999</v>
      </c>
      <c r="X144" s="154">
        <f>X146*X131</f>
        <v>33.817</v>
      </c>
      <c r="Y144" s="154">
        <f>Y146*Y131</f>
        <v>33.497999999999976</v>
      </c>
      <c r="Z144" s="153">
        <f>SUM(V144:Y144)</f>
        <v>130.19999999999999</v>
      </c>
      <c r="AA144" s="154">
        <f>AA146*AA131</f>
        <v>44.6</v>
      </c>
      <c r="AB144" s="154">
        <f>AB146*AB131</f>
        <v>51.499999999999993</v>
      </c>
      <c r="AC144" s="154">
        <f>AC146*AC131</f>
        <v>51.799999999999955</v>
      </c>
      <c r="AD144" s="154">
        <f>AE144-SUM(AA144:AC144)</f>
        <v>47.900000000000063</v>
      </c>
      <c r="AE144" s="153">
        <f>AE146*AE131</f>
        <v>195.8</v>
      </c>
      <c r="AF144" s="154">
        <f>AF146*AF131</f>
        <v>61.5</v>
      </c>
      <c r="AG144" s="154">
        <f>AG146*AG131</f>
        <v>70.3</v>
      </c>
      <c r="AH144" s="154">
        <f>AH146*AH131</f>
        <v>65.7</v>
      </c>
      <c r="AI144" s="154">
        <f>AJ144-SUM(AF144:AH144)</f>
        <v>79.134857023535517</v>
      </c>
      <c r="AJ144" s="153">
        <f>AJ146*AJ131</f>
        <v>276.63485702353552</v>
      </c>
      <c r="AK144" s="154">
        <f>AK146*AK131</f>
        <v>80.8</v>
      </c>
      <c r="AL144" s="154">
        <f>AL146*AL131</f>
        <v>89.699999999999989</v>
      </c>
      <c r="AM144" s="154">
        <f>AM146*AM131</f>
        <v>97.9</v>
      </c>
      <c r="AN144" s="154">
        <f>AO144-SUM(AK144:AM144)</f>
        <v>108.09999999999997</v>
      </c>
      <c r="AO144" s="153">
        <f>AO146*AO131</f>
        <v>376.49999999999994</v>
      </c>
      <c r="AP144" s="154">
        <f>AP146*AP131</f>
        <v>109.20000000000002</v>
      </c>
      <c r="AQ144" s="154">
        <f>AQ146*AQ131</f>
        <v>118.8</v>
      </c>
      <c r="AR144" s="154">
        <f>AR146*AR131</f>
        <v>113.71527068296082</v>
      </c>
      <c r="AS144" s="154">
        <f>AT144-SUM(AP144:AR144)</f>
        <v>131.07171064632877</v>
      </c>
      <c r="AT144" s="154">
        <f t="shared" ref="AT144:AY144" si="593">AT146*AT131</f>
        <v>472.78698132928957</v>
      </c>
      <c r="AU144" s="154">
        <f t="shared" si="593"/>
        <v>557.24224799395233</v>
      </c>
      <c r="AV144" s="154">
        <f t="shared" si="593"/>
        <v>644.0015787875667</v>
      </c>
      <c r="AW144" s="154">
        <f t="shared" si="593"/>
        <v>739.88086426751784</v>
      </c>
      <c r="AX144" s="154">
        <f t="shared" si="593"/>
        <v>839.67970114975742</v>
      </c>
      <c r="AY144" s="154">
        <f t="shared" si="593"/>
        <v>931.17865068914602</v>
      </c>
      <c r="BB144" s="547"/>
    </row>
    <row r="145" spans="2:54" x14ac:dyDescent="0.35">
      <c r="B145" s="124" t="s">
        <v>170</v>
      </c>
      <c r="H145" s="128">
        <f>H144/C144-1</f>
        <v>0.87697686407081687</v>
      </c>
      <c r="I145" s="128">
        <f t="shared" ref="I145" si="594">I144/D144-1</f>
        <v>0.24732363056757012</v>
      </c>
      <c r="J145" s="128"/>
      <c r="K145" s="128">
        <f>K144/E144-1</f>
        <v>1.0505383422404186</v>
      </c>
      <c r="L145" s="128">
        <f>L144/F144-1</f>
        <v>0.50804904710425691</v>
      </c>
      <c r="M145" s="128"/>
      <c r="N145" s="129">
        <f>N144/G144-1</f>
        <v>0.59792218691539478</v>
      </c>
      <c r="O145" s="128">
        <f>O144/H144-1</f>
        <v>1.554363739068934</v>
      </c>
      <c r="P145" s="128">
        <f>P144/I144-1</f>
        <v>1.4653790159735038</v>
      </c>
      <c r="Q145" s="128"/>
      <c r="R145" s="128">
        <f>R144/K144-1</f>
        <v>0.92703528613922948</v>
      </c>
      <c r="S145" s="128">
        <f>S144/L144-1</f>
        <v>1.116816861928001</v>
      </c>
      <c r="T145" s="128"/>
      <c r="U145" s="346">
        <f>U144/N144-1</f>
        <v>1.202715406600948</v>
      </c>
      <c r="V145" s="128">
        <f>V144/O144-1</f>
        <v>0.73721632773356949</v>
      </c>
      <c r="W145" s="128">
        <f>W144/P144-1</f>
        <v>0.34547748465230166</v>
      </c>
      <c r="X145" s="128">
        <f>X144/R144-1</f>
        <v>0.32923234149600988</v>
      </c>
      <c r="Y145" s="128">
        <f>Y144/S144-1</f>
        <v>1.3163808066013916E-2</v>
      </c>
      <c r="Z145" s="129">
        <f t="shared" ref="Z145" si="595">Z144/U144-1</f>
        <v>0.2955223880597011</v>
      </c>
      <c r="AA145" s="128">
        <f t="shared" ref="AA145:AI145" si="596">AA144/V144-1</f>
        <v>0.576361644222952</v>
      </c>
      <c r="AB145" s="128">
        <f t="shared" si="596"/>
        <v>0.48878353376503214</v>
      </c>
      <c r="AC145" s="128">
        <f t="shared" si="596"/>
        <v>0.53177395984268139</v>
      </c>
      <c r="AD145" s="128">
        <f t="shared" si="596"/>
        <v>0.42993611558899336</v>
      </c>
      <c r="AE145" s="129">
        <f t="shared" si="596"/>
        <v>0.50384024577572983</v>
      </c>
      <c r="AF145" s="128">
        <f t="shared" si="596"/>
        <v>0.37892376681614337</v>
      </c>
      <c r="AG145" s="128">
        <f t="shared" si="596"/>
        <v>0.36504854368932049</v>
      </c>
      <c r="AH145" s="128">
        <f t="shared" si="596"/>
        <v>0.26833976833976947</v>
      </c>
      <c r="AI145" s="128">
        <f t="shared" si="596"/>
        <v>0.65208469777735734</v>
      </c>
      <c r="AJ145" s="129">
        <f t="shared" ref="AJ145" si="597">AJ144/AE144-1</f>
        <v>0.41284400931325593</v>
      </c>
      <c r="AK145" s="128">
        <f t="shared" ref="AK145" si="598">AK144/AF144-1</f>
        <v>0.31382113821138202</v>
      </c>
      <c r="AL145" s="128">
        <f t="shared" ref="AL145" si="599">AL144/AG144-1</f>
        <v>0.27596017069701273</v>
      </c>
      <c r="AM145" s="128">
        <f t="shared" ref="AM145" si="600">AM144/AH144-1</f>
        <v>0.49010654490106553</v>
      </c>
      <c r="AN145" s="128">
        <f t="shared" ref="AN145" si="601">AN144/AI144-1</f>
        <v>0.36602256029665803</v>
      </c>
      <c r="AO145" s="129">
        <f t="shared" ref="AO145" si="602">AO144/AJ144-1</f>
        <v>0.36099985392646339</v>
      </c>
      <c r="AP145" s="128">
        <f t="shared" ref="AP145" si="603">AP144/AK144-1</f>
        <v>0.3514851485148518</v>
      </c>
      <c r="AQ145" s="128">
        <f t="shared" ref="AQ145" si="604">AQ144/AL144-1</f>
        <v>0.32441471571906377</v>
      </c>
      <c r="AR145" s="128">
        <f t="shared" ref="AR145" si="605">AR144/AM144-1</f>
        <v>0.16154515508642309</v>
      </c>
      <c r="AS145" s="128">
        <f t="shared" ref="AS145" si="606">AS144/AN144-1</f>
        <v>0.21250426129813893</v>
      </c>
      <c r="AT145" s="128">
        <f t="shared" ref="AT145" si="607">AT144/AO144-1</f>
        <v>0.25574231428762184</v>
      </c>
      <c r="AU145" s="128">
        <f t="shared" ref="AU145" si="608">AU144/AT144-1</f>
        <v>0.17863280927746361</v>
      </c>
      <c r="AV145" s="128">
        <f t="shared" ref="AV145" si="609">AV144/AU144-1</f>
        <v>0.15569410091561453</v>
      </c>
      <c r="AW145" s="128">
        <f t="shared" ref="AW145" si="610">AW144/AV144-1</f>
        <v>0.14888051308889461</v>
      </c>
      <c r="AX145" s="128">
        <f t="shared" ref="AX145:AY145" si="611">AX144/AW144-1</f>
        <v>0.13488500879265275</v>
      </c>
      <c r="AY145" s="128">
        <f t="shared" si="611"/>
        <v>0.10896887159961222</v>
      </c>
      <c r="BB145" s="547"/>
    </row>
    <row r="146" spans="2:54" x14ac:dyDescent="0.35">
      <c r="B146" s="124" t="s">
        <v>169</v>
      </c>
      <c r="C146" s="128">
        <f t="shared" ref="C146:G146" si="612">C144/C131</f>
        <v>6.8526989944464697E-2</v>
      </c>
      <c r="D146" s="128">
        <f t="shared" si="612"/>
        <v>0.11998911211626216</v>
      </c>
      <c r="E146" s="128">
        <f t="shared" si="612"/>
        <v>9.8944393431463135E-2</v>
      </c>
      <c r="F146" s="128">
        <f t="shared" si="612"/>
        <v>0.1250847444648498</v>
      </c>
      <c r="G146" s="513">
        <f t="shared" si="612"/>
        <v>0.1068921315788921</v>
      </c>
      <c r="H146" s="128">
        <f>H144/H131</f>
        <v>8.9436481927012923E-2</v>
      </c>
      <c r="I146" s="128">
        <f t="shared" ref="I146:U146" si="613">I144/I131</f>
        <v>0.10467302644567369</v>
      </c>
      <c r="J146" s="128">
        <f t="shared" si="613"/>
        <v>9.8317857301178563E-2</v>
      </c>
      <c r="K146" s="128">
        <f t="shared" si="613"/>
        <v>0.10149458032343327</v>
      </c>
      <c r="L146" s="128">
        <f t="shared" si="613"/>
        <v>0.12565624122219143</v>
      </c>
      <c r="M146" s="128">
        <f t="shared" si="613"/>
        <v>0.11330104466852593</v>
      </c>
      <c r="N146" s="129">
        <f t="shared" si="613"/>
        <v>0.10727959994931605</v>
      </c>
      <c r="O146" s="128">
        <v>0.11600000000000001</v>
      </c>
      <c r="P146" s="128">
        <v>0.14682942280391564</v>
      </c>
      <c r="Q146" s="128">
        <f t="shared" ref="Q146" si="614">Q144/Q131</f>
        <v>0.13311008536597663</v>
      </c>
      <c r="R146" s="128">
        <v>0.11670183486238535</v>
      </c>
      <c r="S146" s="128">
        <v>0.17301291505512503</v>
      </c>
      <c r="T146" s="128">
        <f t="shared" ref="T146" si="615">T144/T131</f>
        <v>0.14300603291868591</v>
      </c>
      <c r="U146" s="346">
        <f t="shared" si="613"/>
        <v>0.13869721225503728</v>
      </c>
      <c r="V146" s="128">
        <v>0.12003818413237172</v>
      </c>
      <c r="W146" s="128">
        <v>0.11860304050579093</v>
      </c>
      <c r="X146" s="128">
        <v>0.1030965236133934</v>
      </c>
      <c r="Y146" s="128">
        <v>9.1343649873883673E-2</v>
      </c>
      <c r="Z146" s="129">
        <f t="shared" ref="Z146" si="616">Z144/Z131</f>
        <v>0.10653792651992472</v>
      </c>
      <c r="AA146" s="128">
        <v>0.10613993336506429</v>
      </c>
      <c r="AB146" s="128">
        <v>0.11591267161827594</v>
      </c>
      <c r="AC146" s="128">
        <v>0.10780437044745048</v>
      </c>
      <c r="AD146" s="128">
        <f>AD144/AD131</f>
        <v>0.1071348691567883</v>
      </c>
      <c r="AE146" s="129">
        <v>0.10925729590982647</v>
      </c>
      <c r="AF146" s="128">
        <v>0.12101534828807556</v>
      </c>
      <c r="AG146" s="128">
        <v>0.12383301039281309</v>
      </c>
      <c r="AH146" s="128">
        <v>0.1033343818810947</v>
      </c>
      <c r="AI146" s="128">
        <f>AI144/AI131</f>
        <v>0.1304564078858152</v>
      </c>
      <c r="AJ146" s="129">
        <v>0.11932660010504917</v>
      </c>
      <c r="AK146" s="128">
        <v>0.1112097807350526</v>
      </c>
      <c r="AL146" s="128">
        <v>0.11972451349403378</v>
      </c>
      <c r="AM146" s="128">
        <v>0.12323766364551858</v>
      </c>
      <c r="AN146" s="128">
        <f>AN144/AN131</f>
        <v>0.1453298436245504</v>
      </c>
      <c r="AO146" s="129">
        <v>0.12491705374917049</v>
      </c>
      <c r="AP146" s="128">
        <v>0.13126577713667509</v>
      </c>
      <c r="AQ146" s="128">
        <v>0.13971539456662352</v>
      </c>
      <c r="AR146" s="128">
        <v>0.124</v>
      </c>
      <c r="AS146" s="128">
        <f>AS144/AS131</f>
        <v>0.14517275348711456</v>
      </c>
      <c r="AT146" s="128">
        <v>0.13500000000000001</v>
      </c>
      <c r="AU146" s="128">
        <f>AT146-0.001</f>
        <v>0.13400000000000001</v>
      </c>
      <c r="AV146" s="128">
        <f>AU146-0.001</f>
        <v>0.13300000000000001</v>
      </c>
      <c r="AW146" s="128">
        <f>AV146-0.001</f>
        <v>0.13200000000000001</v>
      </c>
      <c r="AX146" s="128">
        <f t="shared" ref="AX146:AY146" si="617">AW146-0.001</f>
        <v>0.13100000000000001</v>
      </c>
      <c r="AY146" s="128">
        <f t="shared" si="617"/>
        <v>0.13</v>
      </c>
      <c r="BB146" s="547"/>
    </row>
    <row r="147" spans="2:54" s="110" customFormat="1" x14ac:dyDescent="0.35">
      <c r="B147" s="133" t="s">
        <v>186</v>
      </c>
      <c r="C147" s="135">
        <f t="shared" ref="C147:I147" si="618">C135-C138-C141-C144</f>
        <v>12.983462309999995</v>
      </c>
      <c r="D147" s="135">
        <f t="shared" si="618"/>
        <v>16.816293660000003</v>
      </c>
      <c r="E147" s="135">
        <f t="shared" si="618"/>
        <v>13.157238670000002</v>
      </c>
      <c r="F147" s="135">
        <f t="shared" si="618"/>
        <v>19.556644960000007</v>
      </c>
      <c r="G147" s="511">
        <f t="shared" si="618"/>
        <v>62.513639619999957</v>
      </c>
      <c r="H147" s="135">
        <f t="shared" si="618"/>
        <v>17.18808108</v>
      </c>
      <c r="I147" s="135">
        <f t="shared" si="618"/>
        <v>21.749406870000005</v>
      </c>
      <c r="J147" s="135">
        <f>I147+H147</f>
        <v>38.937487950000005</v>
      </c>
      <c r="K147" s="135">
        <f>K135-K138-K141-K144</f>
        <v>35.098515669999998</v>
      </c>
      <c r="L147" s="135">
        <f>L135-L138-L141-L144</f>
        <v>24.740005469999996</v>
      </c>
      <c r="M147" s="135">
        <f>L147+K147</f>
        <v>59.838521139999997</v>
      </c>
      <c r="N147" s="169">
        <f>N135-N138-N141-N144</f>
        <v>98.775924659999973</v>
      </c>
      <c r="O147" s="135">
        <f>O135-O138-O141-O144</f>
        <v>36.152799999999971</v>
      </c>
      <c r="P147" s="135">
        <f>P135-P138-P141-P144</f>
        <v>46.950179158516107</v>
      </c>
      <c r="Q147" s="135">
        <f>P147+O147</f>
        <v>83.102979158516078</v>
      </c>
      <c r="R147" s="135">
        <f>R135-R138-R141-R144</f>
        <v>59.386000000000003</v>
      </c>
      <c r="S147" s="135">
        <f>S135-S138-S141-S144</f>
        <v>38.31102084148386</v>
      </c>
      <c r="T147" s="135">
        <f>S147+R147</f>
        <v>97.697020841483862</v>
      </c>
      <c r="U147" s="344">
        <f t="shared" ref="U147:AC147" si="619">U135-U138-U141-U144</f>
        <v>180.79999999999993</v>
      </c>
      <c r="V147" s="135">
        <f t="shared" si="619"/>
        <v>46.972000000000087</v>
      </c>
      <c r="W147" s="135">
        <f t="shared" si="619"/>
        <v>70.076000000000008</v>
      </c>
      <c r="X147" s="135">
        <f t="shared" si="619"/>
        <v>93.454000000000008</v>
      </c>
      <c r="Y147" s="135">
        <f t="shared" si="619"/>
        <v>107.69799999999996</v>
      </c>
      <c r="Z147" s="169">
        <f t="shared" si="619"/>
        <v>318.2000000000001</v>
      </c>
      <c r="AA147" s="135">
        <f t="shared" si="619"/>
        <v>113.40000000000003</v>
      </c>
      <c r="AB147" s="135">
        <f t="shared" si="619"/>
        <v>119.69999999999999</v>
      </c>
      <c r="AC147" s="135">
        <f t="shared" si="619"/>
        <v>135.80000000000007</v>
      </c>
      <c r="AD147" s="135">
        <f>AE147-SUM(AA147:AC147)</f>
        <v>129.69999999999999</v>
      </c>
      <c r="AE147" s="169">
        <f>AE135-AE138-AE141-AE144</f>
        <v>498.60000000000008</v>
      </c>
      <c r="AF147" s="135">
        <f>AF135-AF138-AF141-AF144</f>
        <v>136.60000000000002</v>
      </c>
      <c r="AG147" s="135">
        <f>AG135-AG138-AG141-AG144</f>
        <v>157.63310024758056</v>
      </c>
      <c r="AH147" s="135">
        <f>AH135-AH138-AH141-AH144</f>
        <v>199.10000000000008</v>
      </c>
      <c r="AI147" s="135">
        <f>AJ147-SUM(AF147:AH147)</f>
        <v>179.2143962812986</v>
      </c>
      <c r="AJ147" s="169">
        <f>AJ135-AJ138-AJ141-AJ144</f>
        <v>672.54749652887926</v>
      </c>
      <c r="AK147" s="135">
        <f>AK135-AK138-AK141-AK144</f>
        <v>214.2</v>
      </c>
      <c r="AL147" s="135">
        <f>AL135-AL138-AL141-AL144</f>
        <v>225</v>
      </c>
      <c r="AM147" s="135">
        <f>AM135-AM138-AM141-AM144</f>
        <v>276.10000000000002</v>
      </c>
      <c r="AN147" s="135">
        <f>AO147-SUM(AK147:AM147)</f>
        <v>218.79999999999995</v>
      </c>
      <c r="AO147" s="169">
        <f>AO135-AO138-AO141-AO144</f>
        <v>934.09999999999991</v>
      </c>
      <c r="AP147" s="135">
        <f>AP135-AP138-AP141-AP144</f>
        <v>271.49999999999989</v>
      </c>
      <c r="AQ147" s="135">
        <f>AQ135-AQ138-AQ141-AQ144</f>
        <v>271.10000000000008</v>
      </c>
      <c r="AR147" s="135">
        <f>AR135-AR138-AR141-AR144</f>
        <v>308.13170120544225</v>
      </c>
      <c r="AS147" s="135">
        <f>AT147-SUM(AP147:AR147)</f>
        <v>269.94855083435516</v>
      </c>
      <c r="AT147" s="135">
        <f t="shared" ref="AT147:AY147" si="620">AT135-AT138-AT141-AT144</f>
        <v>1120.6802520397973</v>
      </c>
      <c r="AU147" s="135">
        <f t="shared" si="620"/>
        <v>1347.3618533585113</v>
      </c>
      <c r="AV147" s="135">
        <f t="shared" si="620"/>
        <v>1588.2144198670817</v>
      </c>
      <c r="AW147" s="135">
        <f t="shared" si="620"/>
        <v>1860.91247679406</v>
      </c>
      <c r="AX147" s="135">
        <f t="shared" si="620"/>
        <v>2140.8627494963275</v>
      </c>
      <c r="AY147" s="135">
        <f t="shared" si="620"/>
        <v>2406.7386663965626</v>
      </c>
      <c r="BB147" s="547"/>
    </row>
    <row r="148" spans="2:54" x14ac:dyDescent="0.35">
      <c r="B148" s="124" t="s">
        <v>170</v>
      </c>
      <c r="C148" s="128"/>
      <c r="D148" s="128"/>
      <c r="E148" s="128"/>
      <c r="F148" s="128"/>
      <c r="G148" s="513"/>
      <c r="H148" s="128">
        <f>H147/C147-1</f>
        <v>0.32384418497996226</v>
      </c>
      <c r="I148" s="128">
        <f t="shared" ref="I148" si="621">I147/D147-1</f>
        <v>0.29335317934736871</v>
      </c>
      <c r="J148" s="128"/>
      <c r="K148" s="128">
        <f t="shared" ref="K148" si="622">K147/E147-1</f>
        <v>1.6676202013442682</v>
      </c>
      <c r="L148" s="128">
        <f t="shared" ref="L148" si="623">L147/F147-1</f>
        <v>0.26504344280942482</v>
      </c>
      <c r="M148" s="128"/>
      <c r="N148" s="129">
        <f t="shared" ref="N148" si="624">N147/G147-1</f>
        <v>0.58006996969663938</v>
      </c>
      <c r="O148" s="128">
        <f t="shared" ref="O148" si="625">O147/H147-1</f>
        <v>1.1033645252038786</v>
      </c>
      <c r="P148" s="128">
        <f t="shared" ref="P148" si="626">P147/I147-1</f>
        <v>1.1586877949888708</v>
      </c>
      <c r="Q148" s="128"/>
      <c r="R148" s="128">
        <f t="shared" ref="R148" si="627">R147/K147-1</f>
        <v>0.69198038339722201</v>
      </c>
      <c r="S148" s="128">
        <f t="shared" ref="S148" si="628">S147/L147-1</f>
        <v>0.54854536665079667</v>
      </c>
      <c r="T148" s="128"/>
      <c r="U148" s="346">
        <f t="shared" ref="U148" si="629">U147/N147-1</f>
        <v>0.83040554287229251</v>
      </c>
      <c r="V148" s="128">
        <f t="shared" ref="V148" si="630">V147/O147-1</f>
        <v>0.29926312761390883</v>
      </c>
      <c r="W148" s="128">
        <f t="shared" ref="W148" si="631">W147/P147-1</f>
        <v>0.49256086464345694</v>
      </c>
      <c r="X148" s="128">
        <f t="shared" ref="X148" si="632">X147/R147-1</f>
        <v>0.57367056208533995</v>
      </c>
      <c r="Y148" s="128">
        <f t="shared" ref="Y148" si="633">Y147/S147-1</f>
        <v>1.81114931511777</v>
      </c>
      <c r="Z148" s="129">
        <f t="shared" ref="Z148" si="634">Z147/U147-1</f>
        <v>0.75995575221239076</v>
      </c>
      <c r="AA148" s="128">
        <f t="shared" ref="AA148:AI148" si="635">AA147/V147-1</f>
        <v>1.4142042067614713</v>
      </c>
      <c r="AB148" s="128">
        <f t="shared" si="635"/>
        <v>0.70814544209144326</v>
      </c>
      <c r="AC148" s="128">
        <f t="shared" si="635"/>
        <v>0.45312132171977715</v>
      </c>
      <c r="AD148" s="128">
        <f t="shared" si="635"/>
        <v>0.20429348734424058</v>
      </c>
      <c r="AE148" s="129">
        <f t="shared" si="635"/>
        <v>0.56693903205531093</v>
      </c>
      <c r="AF148" s="128">
        <f t="shared" si="635"/>
        <v>0.20458553791887102</v>
      </c>
      <c r="AG148" s="128">
        <f t="shared" si="635"/>
        <v>0.31690142228555196</v>
      </c>
      <c r="AH148" s="128">
        <f t="shared" si="635"/>
        <v>0.46612665684830623</v>
      </c>
      <c r="AI148" s="128">
        <f t="shared" si="635"/>
        <v>0.38176095822126932</v>
      </c>
      <c r="AJ148" s="129">
        <f t="shared" ref="AJ148" si="636">AJ147/AE147-1</f>
        <v>0.34887183419350021</v>
      </c>
      <c r="AK148" s="128">
        <f t="shared" ref="AK148" si="637">AK147/AF147-1</f>
        <v>0.56808199121522662</v>
      </c>
      <c r="AL148" s="128">
        <f t="shared" ref="AL148" si="638">AL147/AG147-1</f>
        <v>0.42736518945965107</v>
      </c>
      <c r="AM148" s="128">
        <f t="shared" ref="AM148" si="639">AM147/AH147-1</f>
        <v>0.38674033149171216</v>
      </c>
      <c r="AN148" s="128">
        <f t="shared" ref="AN148" si="640">AN147/AI147-1</f>
        <v>0.22088406143760331</v>
      </c>
      <c r="AO148" s="129">
        <f t="shared" ref="AO148" si="641">AO147/AJ147-1</f>
        <v>0.38889818908111806</v>
      </c>
      <c r="AP148" s="128">
        <f t="shared" ref="AP148" si="642">AP147/AK147-1</f>
        <v>0.26750700280111994</v>
      </c>
      <c r="AQ148" s="128">
        <f t="shared" ref="AQ148" si="643">AQ147/AL147-1</f>
        <v>0.20488888888888934</v>
      </c>
      <c r="AR148" s="128">
        <f t="shared" ref="AR148" si="644">AR147/AM147-1</f>
        <v>0.11601485405810297</v>
      </c>
      <c r="AS148" s="128">
        <f t="shared" ref="AS148" si="645">AS147/AN147-1</f>
        <v>0.23376851386816822</v>
      </c>
      <c r="AT148" s="128">
        <f t="shared" ref="AT148" si="646">AT147/AO147-1</f>
        <v>0.19974333801498489</v>
      </c>
      <c r="AU148" s="128">
        <f t="shared" ref="AU148" si="647">AU147/AT147-1</f>
        <v>0.20227143371726353</v>
      </c>
      <c r="AV148" s="128">
        <f t="shared" ref="AV148" si="648">AV147/AU147-1</f>
        <v>0.17875863555748395</v>
      </c>
      <c r="AW148" s="128">
        <f t="shared" ref="AW148" si="649">AW147/AV147-1</f>
        <v>0.17170103325834329</v>
      </c>
      <c r="AX148" s="128">
        <f t="shared" ref="AX148:AY148" si="650">AX147/AW147-1</f>
        <v>0.15043709803298211</v>
      </c>
      <c r="AY148" s="128">
        <f t="shared" si="650"/>
        <v>0.12419101456307113</v>
      </c>
      <c r="BA148" s="546"/>
      <c r="BB148" s="547"/>
    </row>
    <row r="149" spans="2:54" x14ac:dyDescent="0.35">
      <c r="B149" s="124" t="s">
        <v>187</v>
      </c>
      <c r="C149" s="128"/>
      <c r="D149" s="128"/>
      <c r="E149" s="128"/>
      <c r="F149" s="128"/>
      <c r="G149" s="513"/>
      <c r="H149" s="128">
        <f t="shared" ref="H149:AY149" si="651">H147/H131</f>
        <v>0.24110140688713716</v>
      </c>
      <c r="I149" s="128">
        <f t="shared" si="651"/>
        <v>0.21830649481413603</v>
      </c>
      <c r="J149" s="128">
        <f t="shared" si="651"/>
        <v>0.22781426225316359</v>
      </c>
      <c r="K149" s="128">
        <f t="shared" si="651"/>
        <v>0.26982804804578631</v>
      </c>
      <c r="L149" s="128">
        <f t="shared" si="651"/>
        <v>0.19903430263951311</v>
      </c>
      <c r="M149" s="128">
        <f t="shared" si="651"/>
        <v>0.23523506892498044</v>
      </c>
      <c r="N149" s="129">
        <f t="shared" si="651"/>
        <v>0.23225259593530798</v>
      </c>
      <c r="O149" s="128">
        <f t="shared" si="651"/>
        <v>0.25749857549857524</v>
      </c>
      <c r="P149" s="128">
        <f t="shared" si="651"/>
        <v>0.2681335188950093</v>
      </c>
      <c r="Q149" s="128">
        <f t="shared" si="651"/>
        <v>0.26340088481304624</v>
      </c>
      <c r="R149" s="128">
        <f t="shared" si="651"/>
        <v>0.27241284403669724</v>
      </c>
      <c r="S149" s="128">
        <f t="shared" si="651"/>
        <v>0.20047629953680718</v>
      </c>
      <c r="T149" s="128">
        <f t="shared" si="651"/>
        <v>0.23880963295400598</v>
      </c>
      <c r="U149" s="346">
        <f t="shared" si="651"/>
        <v>0.24951697488269375</v>
      </c>
      <c r="V149" s="128">
        <f t="shared" si="651"/>
        <v>0.19928722952906275</v>
      </c>
      <c r="W149" s="128">
        <f t="shared" si="651"/>
        <v>0.24026441565922196</v>
      </c>
      <c r="X149" s="128">
        <f t="shared" si="651"/>
        <v>0.28490943956489539</v>
      </c>
      <c r="Y149" s="128">
        <f t="shared" si="651"/>
        <v>0.29367509714363627</v>
      </c>
      <c r="Z149" s="129">
        <f t="shared" si="651"/>
        <v>0.26037149169462409</v>
      </c>
      <c r="AA149" s="128">
        <f t="shared" si="651"/>
        <v>0.26987148976677788</v>
      </c>
      <c r="AB149" s="128">
        <f t="shared" si="651"/>
        <v>0.26941255908170153</v>
      </c>
      <c r="AC149" s="128">
        <f t="shared" si="651"/>
        <v>0.28262226847034355</v>
      </c>
      <c r="AD149" s="128">
        <f t="shared" si="651"/>
        <v>0.29009170208007146</v>
      </c>
      <c r="AE149" s="129">
        <f t="shared" si="651"/>
        <v>0.27822108141286767</v>
      </c>
      <c r="AF149" s="128">
        <f t="shared" si="651"/>
        <v>0.26879181424635973</v>
      </c>
      <c r="AG149" s="128">
        <f t="shared" si="651"/>
        <v>0.27766972035860588</v>
      </c>
      <c r="AH149" s="128">
        <f t="shared" si="651"/>
        <v>0.31314878892733577</v>
      </c>
      <c r="AI149" s="128">
        <f t="shared" si="651"/>
        <v>0.29544081154187035</v>
      </c>
      <c r="AJ149" s="129">
        <f t="shared" si="651"/>
        <v>0.29010373831207314</v>
      </c>
      <c r="AK149" s="128">
        <f t="shared" si="651"/>
        <v>0.29481602764168646</v>
      </c>
      <c r="AL149" s="128">
        <f t="shared" si="651"/>
        <v>0.30031232481781051</v>
      </c>
      <c r="AM149" s="128">
        <f t="shared" si="651"/>
        <v>0.34755790533736142</v>
      </c>
      <c r="AN149" s="128">
        <f t="shared" si="651"/>
        <v>0.29415513214663863</v>
      </c>
      <c r="AO149" s="129">
        <f t="shared" si="651"/>
        <v>0.3099203715992036</v>
      </c>
      <c r="AP149" s="128">
        <f t="shared" si="651"/>
        <v>0.32636134150739254</v>
      </c>
      <c r="AQ149" s="128">
        <f t="shared" si="651"/>
        <v>0.31882864871221922</v>
      </c>
      <c r="AR149" s="128">
        <f t="shared" si="651"/>
        <v>0.33600000000000002</v>
      </c>
      <c r="AS149" s="128">
        <f t="shared" si="651"/>
        <v>0.29899033308738859</v>
      </c>
      <c r="AT149" s="128">
        <f t="shared" si="651"/>
        <v>0.31999999999999995</v>
      </c>
      <c r="AU149" s="128">
        <f t="shared" si="651"/>
        <v>0.32399999999999995</v>
      </c>
      <c r="AV149" s="128">
        <f t="shared" si="651"/>
        <v>0.32800000000000001</v>
      </c>
      <c r="AW149" s="128">
        <f t="shared" si="651"/>
        <v>0.33200000000000002</v>
      </c>
      <c r="AX149" s="128">
        <f t="shared" si="651"/>
        <v>0.33399999999999991</v>
      </c>
      <c r="AY149" s="128">
        <f t="shared" si="651"/>
        <v>0.33600000000000008</v>
      </c>
      <c r="BB149" s="547"/>
    </row>
    <row r="150" spans="2:54" x14ac:dyDescent="0.35">
      <c r="B150" s="124" t="s">
        <v>173</v>
      </c>
      <c r="C150" s="154">
        <v>6.0339899300000006</v>
      </c>
      <c r="D150" s="154">
        <v>7.4649264800000008</v>
      </c>
      <c r="E150" s="154">
        <v>7.8962474999999994</v>
      </c>
      <c r="F150" s="154">
        <v>11.249276530000001</v>
      </c>
      <c r="G150" s="526">
        <v>32.644440440000004</v>
      </c>
      <c r="H150" s="154">
        <v>14.09390352</v>
      </c>
      <c r="I150" s="154">
        <v>8.8671605600000021</v>
      </c>
      <c r="J150" s="154">
        <f>I150+H150</f>
        <v>22.96106408</v>
      </c>
      <c r="K150" s="154">
        <v>12.50445021</v>
      </c>
      <c r="L150" s="154">
        <v>13.546702770000003</v>
      </c>
      <c r="M150" s="154">
        <f>L150+K150</f>
        <v>26.051152980000005</v>
      </c>
      <c r="N150" s="153">
        <v>49.012133059999996</v>
      </c>
      <c r="O150" s="154">
        <f>O152*O131</f>
        <v>16.252799999999972</v>
      </c>
      <c r="P150" s="154">
        <f>P152*P131</f>
        <v>18.950179158516107</v>
      </c>
      <c r="Q150" s="154">
        <f>P150+O150</f>
        <v>35.202979158516079</v>
      </c>
      <c r="R150" s="154">
        <v>22.1</v>
      </c>
      <c r="S150" s="154">
        <f>S152*S131</f>
        <v>27.11102084148386</v>
      </c>
      <c r="T150" s="154">
        <f>S150+R150</f>
        <v>49.211020841483858</v>
      </c>
      <c r="U150" s="360">
        <f>T150+Q150</f>
        <v>84.41399999999993</v>
      </c>
      <c r="V150" s="154">
        <f>V152*V131</f>
        <v>31.272000000000109</v>
      </c>
      <c r="W150" s="154">
        <f>W152*W131</f>
        <v>38.653999999999996</v>
      </c>
      <c r="X150" s="154">
        <f>X152*X131</f>
        <v>37.116</v>
      </c>
      <c r="Y150" s="154">
        <f>Y152*Y131</f>
        <v>45.857999999999876</v>
      </c>
      <c r="Z150" s="153">
        <f>SUM(V150:Y150)</f>
        <v>152.89999999999998</v>
      </c>
      <c r="AA150" s="154">
        <f>AA152*AA131</f>
        <v>52.400000000000027</v>
      </c>
      <c r="AB150" s="154">
        <f>AB152*AB131</f>
        <v>56.999999999999993</v>
      </c>
      <c r="AC150" s="154">
        <f>AC152*AC131</f>
        <v>54.389098742621222</v>
      </c>
      <c r="AD150" s="154">
        <f>AE150-SUM(AA150:AC150)</f>
        <v>57.910901257378754</v>
      </c>
      <c r="AE150" s="153">
        <f>AE152*AE131</f>
        <v>221.7</v>
      </c>
      <c r="AF150" s="154">
        <f>AF152*AF131</f>
        <v>59.200000000000045</v>
      </c>
      <c r="AG150" s="154">
        <f>AG152*AG131</f>
        <v>66.800000000000011</v>
      </c>
      <c r="AH150" s="154">
        <f>AH152*AH131</f>
        <v>79.000000000000071</v>
      </c>
      <c r="AI150" s="154">
        <f>AJ150-SUM(AF150:AH150)</f>
        <v>79.9247029052774</v>
      </c>
      <c r="AJ150" s="153">
        <f>AJ152*AJ131</f>
        <v>284.92470290527751</v>
      </c>
      <c r="AK150" s="154">
        <f>AK152*AK131</f>
        <v>94.300000000000026</v>
      </c>
      <c r="AL150" s="154">
        <f>AL152*AL131</f>
        <v>88.90000000000002</v>
      </c>
      <c r="AM150" s="154">
        <f>AM152*AM131</f>
        <v>96.200000000000017</v>
      </c>
      <c r="AN150" s="154">
        <f>AO150-SUM(AK150:AM150)</f>
        <v>87.699999999999761</v>
      </c>
      <c r="AO150" s="153">
        <f>AO152*AO131</f>
        <v>367.09999999999985</v>
      </c>
      <c r="AP150" s="154">
        <f>AP152*AP131</f>
        <v>97.200000000000173</v>
      </c>
      <c r="AQ150" s="154">
        <f>AQ152*AQ131</f>
        <v>103.0000000000001</v>
      </c>
      <c r="AR150" s="154">
        <f>AR152*AR131</f>
        <v>110.60884615906264</v>
      </c>
      <c r="AS150" s="154">
        <f>AT150-SUM(AP150:AR150)</f>
        <v>109.88177259201638</v>
      </c>
      <c r="AT150" s="154">
        <f t="shared" ref="AT150:AY150" si="652">AT152*AT131</f>
        <v>420.69061875107928</v>
      </c>
      <c r="AU150" s="154">
        <f t="shared" si="652"/>
        <v>492.36185335851133</v>
      </c>
      <c r="AV150" s="154">
        <f t="shared" si="652"/>
        <v>558.2144198670818</v>
      </c>
      <c r="AW150" s="154">
        <f t="shared" si="652"/>
        <v>627.9124767940599</v>
      </c>
      <c r="AX150" s="154">
        <f t="shared" si="652"/>
        <v>712.86274949632752</v>
      </c>
      <c r="AY150" s="154">
        <f t="shared" si="652"/>
        <v>786.73866639656251</v>
      </c>
      <c r="BB150" s="547"/>
    </row>
    <row r="151" spans="2:54" x14ac:dyDescent="0.35">
      <c r="B151" s="124" t="s">
        <v>170</v>
      </c>
      <c r="H151" s="128">
        <f>H150/C150-1</f>
        <v>1.3357519126651902</v>
      </c>
      <c r="I151" s="128">
        <f t="shared" ref="I151" si="653">I150/D150-1</f>
        <v>0.18784298596333948</v>
      </c>
      <c r="J151" s="128"/>
      <c r="K151" s="128">
        <f>K150/E150-1</f>
        <v>0.58359400588697352</v>
      </c>
      <c r="L151" s="128">
        <f>L150/F150-1</f>
        <v>0.20422879941417893</v>
      </c>
      <c r="M151" s="128"/>
      <c r="N151" s="129">
        <f>N150/G150-1</f>
        <v>0.50139296000749556</v>
      </c>
      <c r="O151" s="128">
        <f>O150/H150-1</f>
        <v>0.1531794564179032</v>
      </c>
      <c r="P151" s="128">
        <f>P150/I150-1</f>
        <v>1.137119208599974</v>
      </c>
      <c r="Q151" s="128"/>
      <c r="R151" s="128">
        <f>R150/K150-1</f>
        <v>0.76737078630824529</v>
      </c>
      <c r="S151" s="128">
        <f>S150/L150-1</f>
        <v>1.0013003386715522</v>
      </c>
      <c r="T151" s="128"/>
      <c r="U151" s="346">
        <f>U150/N150-1</f>
        <v>0.72230822716206711</v>
      </c>
      <c r="V151" s="128">
        <f>V150/O150-1</f>
        <v>0.92409923213231959</v>
      </c>
      <c r="W151" s="128">
        <f>W150/P150-1</f>
        <v>1.0397696336622286</v>
      </c>
      <c r="X151" s="128">
        <f>X150/R150-1</f>
        <v>0.67945701357466048</v>
      </c>
      <c r="Y151" s="128">
        <f>Y150/S150-1</f>
        <v>0.69148923856937072</v>
      </c>
      <c r="Z151" s="129">
        <f t="shared" ref="Z151" si="654">Z150/U150-1</f>
        <v>0.8113109199895765</v>
      </c>
      <c r="AA151" s="128">
        <f t="shared" ref="AA151:AI151" si="655">AA150/V150-1</f>
        <v>0.67562036326425701</v>
      </c>
      <c r="AB151" s="128">
        <f t="shared" si="655"/>
        <v>0.47462099653334699</v>
      </c>
      <c r="AC151" s="128">
        <f t="shared" si="655"/>
        <v>0.46538147275086805</v>
      </c>
      <c r="AD151" s="128">
        <f t="shared" si="655"/>
        <v>0.26283094023679432</v>
      </c>
      <c r="AE151" s="129">
        <f t="shared" si="655"/>
        <v>0.44996729888816245</v>
      </c>
      <c r="AF151" s="128">
        <f t="shared" si="655"/>
        <v>0.12977099236641254</v>
      </c>
      <c r="AG151" s="128">
        <f t="shared" si="655"/>
        <v>0.17192982456140382</v>
      </c>
      <c r="AH151" s="128">
        <f t="shared" si="655"/>
        <v>0.45249694932144324</v>
      </c>
      <c r="AI151" s="128">
        <f t="shared" si="655"/>
        <v>0.3801322578293278</v>
      </c>
      <c r="AJ151" s="129">
        <f t="shared" ref="AJ151" si="656">AJ150/AE150-1</f>
        <v>0.28518133922091793</v>
      </c>
      <c r="AK151" s="128">
        <f t="shared" ref="AK151" si="657">AK150/AF150-1</f>
        <v>0.5929054054054046</v>
      </c>
      <c r="AL151" s="128">
        <f t="shared" ref="AL151" si="658">AL150/AG150-1</f>
        <v>0.33083832335329344</v>
      </c>
      <c r="AM151" s="128">
        <f t="shared" ref="AM151" si="659">AM150/AH150-1</f>
        <v>0.21772151898734093</v>
      </c>
      <c r="AN151" s="128">
        <f t="shared" ref="AN151" si="660">AN150/AI150-1</f>
        <v>9.7282777565494749E-2</v>
      </c>
      <c r="AO151" s="129">
        <f t="shared" ref="AO151" si="661">AO150/AJ150-1</f>
        <v>0.28841057394044656</v>
      </c>
      <c r="AP151" s="128">
        <f t="shared" ref="AP151" si="662">AP150/AK150-1</f>
        <v>3.0752916224815907E-2</v>
      </c>
      <c r="AQ151" s="128">
        <f t="shared" ref="AQ151" si="663">AQ150/AL150-1</f>
        <v>0.15860517435320665</v>
      </c>
      <c r="AR151" s="128">
        <f t="shared" ref="AR151" si="664">AR150/AM150-1</f>
        <v>0.14978010560356148</v>
      </c>
      <c r="AS151" s="128">
        <f t="shared" ref="AS151" si="665">AS150/AN150-1</f>
        <v>0.25292785167635889</v>
      </c>
      <c r="AT151" s="128">
        <f t="shared" ref="AT151" si="666">AT150/AO150-1</f>
        <v>0.14598370675859296</v>
      </c>
      <c r="AU151" s="128">
        <f t="shared" ref="AU151" si="667">AU150/AT150-1</f>
        <v>0.17036565925859071</v>
      </c>
      <c r="AV151" s="128">
        <f t="shared" ref="AV151" si="668">AV150/AU150-1</f>
        <v>0.13374831144893795</v>
      </c>
      <c r="AW151" s="128">
        <f t="shared" ref="AW151" si="669">AW150/AV150-1</f>
        <v>0.12485893313822682</v>
      </c>
      <c r="AX151" s="128">
        <f t="shared" ref="AX151:AY151" si="670">AX150/AW150-1</f>
        <v>0.13528998999350872</v>
      </c>
      <c r="AY151" s="128">
        <f t="shared" si="670"/>
        <v>0.10363273568780507</v>
      </c>
      <c r="BB151" s="547"/>
    </row>
    <row r="152" spans="2:54" x14ac:dyDescent="0.35">
      <c r="B152" s="124" t="s">
        <v>169</v>
      </c>
      <c r="C152" s="128">
        <f t="shared" ref="C152:N152" si="671">C150/C131</f>
        <v>0.12172584549019609</v>
      </c>
      <c r="D152" s="128">
        <f t="shared" si="671"/>
        <v>0.10713490336150688</v>
      </c>
      <c r="E152" s="128">
        <f t="shared" si="671"/>
        <v>0.12134875540996434</v>
      </c>
      <c r="F152" s="128">
        <f t="shared" si="671"/>
        <v>0.1358590209945551</v>
      </c>
      <c r="G152" s="513">
        <f t="shared" si="671"/>
        <v>0.12220892416382564</v>
      </c>
      <c r="H152" s="128">
        <f t="shared" si="671"/>
        <v>0.19769862333018356</v>
      </c>
      <c r="I152" s="128">
        <f t="shared" si="671"/>
        <v>8.9002829014056303E-2</v>
      </c>
      <c r="J152" s="128">
        <f t="shared" si="671"/>
        <v>0.13433989066397423</v>
      </c>
      <c r="K152" s="128">
        <f t="shared" si="671"/>
        <v>9.613088552727457E-2</v>
      </c>
      <c r="L152" s="128">
        <f t="shared" si="671"/>
        <v>0.1089837486964675</v>
      </c>
      <c r="M152" s="128">
        <f t="shared" si="671"/>
        <v>0.10241136729445435</v>
      </c>
      <c r="N152" s="129">
        <f t="shared" si="671"/>
        <v>0.1152426076971106</v>
      </c>
      <c r="O152" s="128">
        <v>0.11576068376068353</v>
      </c>
      <c r="P152" s="128">
        <v>0.10822489525137702</v>
      </c>
      <c r="Q152" s="128">
        <f>Q150/Q131</f>
        <v>0.1115783808510811</v>
      </c>
      <c r="R152" s="128">
        <f>R150/R131</f>
        <v>0.10137614678899082</v>
      </c>
      <c r="S152" s="128">
        <v>0.14186824092874858</v>
      </c>
      <c r="T152" s="128">
        <f>T150/T131</f>
        <v>0.12029093336955231</v>
      </c>
      <c r="U152" s="346">
        <f>U150/U131</f>
        <v>0.11649737786364879</v>
      </c>
      <c r="V152" s="128">
        <v>0.13267713194739122</v>
      </c>
      <c r="W152" s="128">
        <v>0.13253012048192769</v>
      </c>
      <c r="X152" s="128">
        <v>0.11315405182111687</v>
      </c>
      <c r="Y152" s="128">
        <v>0.12504737882609557</v>
      </c>
      <c r="Z152" s="129">
        <f>Z150/Z131</f>
        <v>0.1251125112511251</v>
      </c>
      <c r="AA152" s="128">
        <v>0.12470252260828188</v>
      </c>
      <c r="AB152" s="128">
        <v>0.12829169480081026</v>
      </c>
      <c r="AC152" s="128">
        <v>0.11319271330410244</v>
      </c>
      <c r="AD152" s="128">
        <f>AD150/AD131</f>
        <v>0.12952561229563572</v>
      </c>
      <c r="AE152" s="129">
        <v>0.12370961441883824</v>
      </c>
      <c r="AF152" s="128">
        <v>0.11648957103502568</v>
      </c>
      <c r="AG152" s="128">
        <v>0.11766778227937291</v>
      </c>
      <c r="AH152" s="128">
        <v>0.12425290972003787</v>
      </c>
      <c r="AI152" s="128">
        <f>AI150/AI131</f>
        <v>0.13175849473339496</v>
      </c>
      <c r="AJ152" s="129">
        <v>0.12290242975683799</v>
      </c>
      <c r="AK152" s="128">
        <v>0.12979062281331019</v>
      </c>
      <c r="AL152" s="128">
        <v>0.11865673633912605</v>
      </c>
      <c r="AM152" s="128">
        <v>0.12109768378650551</v>
      </c>
      <c r="AN152" s="128">
        <f>AN150/AN131</f>
        <v>0.11790404519771545</v>
      </c>
      <c r="AO152" s="129">
        <v>0.12179827471798266</v>
      </c>
      <c r="AP152" s="128">
        <v>0.11684096646231537</v>
      </c>
      <c r="AQ152" s="128">
        <v>0.12113371751146663</v>
      </c>
      <c r="AR152" s="128">
        <v>0.12061262169407917</v>
      </c>
      <c r="AS152" s="128">
        <f>AS150/AS131</f>
        <v>0.121703145603027</v>
      </c>
      <c r="AT152" s="128">
        <v>0.12012435996379521</v>
      </c>
      <c r="AU152" s="128">
        <v>0.11839821655223198</v>
      </c>
      <c r="AV152" s="128">
        <v>0.11528313017818216</v>
      </c>
      <c r="AW152" s="128">
        <v>0.11202404459922277</v>
      </c>
      <c r="AX152" s="128">
        <v>0.11121505028184983</v>
      </c>
      <c r="AY152" s="128">
        <v>0.10983502097675968</v>
      </c>
      <c r="BB152" s="547"/>
    </row>
    <row r="153" spans="2:54" s="110" customFormat="1" x14ac:dyDescent="0.35">
      <c r="B153" s="210" t="s">
        <v>120</v>
      </c>
      <c r="C153" s="211">
        <f t="shared" ref="C153:I153" si="672">C135-C138-C141-C144-C150</f>
        <v>6.9494723799999942</v>
      </c>
      <c r="D153" s="211">
        <f t="shared" si="672"/>
        <v>9.3513671800000022</v>
      </c>
      <c r="E153" s="211">
        <f t="shared" si="672"/>
        <v>5.2609911700000023</v>
      </c>
      <c r="F153" s="211">
        <f t="shared" si="672"/>
        <v>8.3073684300000057</v>
      </c>
      <c r="G153" s="527">
        <f t="shared" si="672"/>
        <v>29.869199179999953</v>
      </c>
      <c r="H153" s="211">
        <f t="shared" si="672"/>
        <v>3.0941775600000003</v>
      </c>
      <c r="I153" s="211">
        <f t="shared" si="672"/>
        <v>12.882246310000003</v>
      </c>
      <c r="J153" s="211">
        <f>I153+H153</f>
        <v>15.976423870000003</v>
      </c>
      <c r="K153" s="211">
        <f>K135-K138-K141-K144-K150</f>
        <v>22.594065459999996</v>
      </c>
      <c r="L153" s="211">
        <f>L135-L138-L141-L144-L150</f>
        <v>11.193302699999993</v>
      </c>
      <c r="M153" s="211">
        <f>L153+K153</f>
        <v>33.787368159999986</v>
      </c>
      <c r="N153" s="212">
        <f>N135-N138-N141-N144-N150</f>
        <v>49.763791599999976</v>
      </c>
      <c r="O153" s="211">
        <f>O135-O138-O141-O144-O150</f>
        <v>19.899999999999999</v>
      </c>
      <c r="P153" s="211">
        <f>P135-P138-P141-P144-P150</f>
        <v>28</v>
      </c>
      <c r="Q153" s="211">
        <f>P153+O153</f>
        <v>47.9</v>
      </c>
      <c r="R153" s="211">
        <f>R135-R138-R141-R144-R150</f>
        <v>37.286000000000001</v>
      </c>
      <c r="S153" s="211">
        <f>S135-S138-S141-S144-S150</f>
        <v>11.2</v>
      </c>
      <c r="T153" s="211">
        <f>S153+R153</f>
        <v>48.486000000000004</v>
      </c>
      <c r="U153" s="369">
        <f t="shared" ref="U153:AC153" si="673">U135-U138-U141-U144-U150</f>
        <v>96.385999999999996</v>
      </c>
      <c r="V153" s="211">
        <f t="shared" si="673"/>
        <v>15.699999999999978</v>
      </c>
      <c r="W153" s="211">
        <f t="shared" si="673"/>
        <v>31.422000000000011</v>
      </c>
      <c r="X153" s="211">
        <f t="shared" si="673"/>
        <v>56.338000000000008</v>
      </c>
      <c r="Y153" s="211">
        <f t="shared" si="673"/>
        <v>61.840000000000089</v>
      </c>
      <c r="Z153" s="212">
        <f t="shared" si="673"/>
        <v>165.30000000000013</v>
      </c>
      <c r="AA153" s="211">
        <f t="shared" si="673"/>
        <v>61.000000000000007</v>
      </c>
      <c r="AB153" s="211">
        <f t="shared" si="673"/>
        <v>62.699999999999996</v>
      </c>
      <c r="AC153" s="211">
        <f t="shared" si="673"/>
        <v>81.410901257378839</v>
      </c>
      <c r="AD153" s="211">
        <f>AE153-SUM(AA153:AC153)</f>
        <v>71.789098742621263</v>
      </c>
      <c r="AE153" s="212">
        <f>AE135-AE138-AE141-AE144-AE150</f>
        <v>276.90000000000009</v>
      </c>
      <c r="AF153" s="211">
        <f>AF135-AF138-AF141-AF144-AF150</f>
        <v>77.399999999999977</v>
      </c>
      <c r="AG153" s="211">
        <f>AG135-AG138-AG141-AG144-AG150</f>
        <v>90.833100247580546</v>
      </c>
      <c r="AH153" s="211">
        <f>AH135-AH138-AH141-AH144-AH150</f>
        <v>120.10000000000001</v>
      </c>
      <c r="AI153" s="211">
        <f>AJ153-SUM(AF153:AH153)</f>
        <v>99.289693376021205</v>
      </c>
      <c r="AJ153" s="556">
        <f>AJ135-AJ138-AJ141-AJ144-AJ150</f>
        <v>387.62279362360175</v>
      </c>
      <c r="AK153" s="211">
        <f>AK135-AK138-AK141-AK144-AK150</f>
        <v>119.89999999999996</v>
      </c>
      <c r="AL153" s="211">
        <f>AL135-AL138-AL141-AL144-AL150</f>
        <v>136.09999999999997</v>
      </c>
      <c r="AM153" s="211">
        <f>AM135-AM138-AM141-AM144-AM150</f>
        <v>179.9</v>
      </c>
      <c r="AN153" s="211">
        <f>AO153-SUM(AK153:AM153)</f>
        <v>131.10000000000002</v>
      </c>
      <c r="AO153" s="212">
        <f>AO135-AO138-AO141-AO144-AO150</f>
        <v>567</v>
      </c>
      <c r="AP153" s="211">
        <f>AP135-AP138-AP141-AP144-AP150</f>
        <v>174.29999999999973</v>
      </c>
      <c r="AQ153" s="211">
        <f>AQ135-AQ138-AQ141-AQ144-AQ150</f>
        <v>168.09999999999997</v>
      </c>
      <c r="AR153" s="211">
        <f>AR135-AR138-AR141-AR144-AR150</f>
        <v>197.52285504637962</v>
      </c>
      <c r="AS153" s="211">
        <f>AT153-SUM(AP153:AR153)</f>
        <v>160.06677824233884</v>
      </c>
      <c r="AT153" s="211">
        <f t="shared" ref="AT153:AY153" si="674">AT135-AT138-AT141-AT144-AT150</f>
        <v>699.9896332887181</v>
      </c>
      <c r="AU153" s="211">
        <f t="shared" si="674"/>
        <v>855</v>
      </c>
      <c r="AV153" s="211">
        <f t="shared" si="674"/>
        <v>1030</v>
      </c>
      <c r="AW153" s="211">
        <f t="shared" si="674"/>
        <v>1233</v>
      </c>
      <c r="AX153" s="211">
        <f t="shared" si="674"/>
        <v>1428</v>
      </c>
      <c r="AY153" s="211">
        <f t="shared" si="674"/>
        <v>1620</v>
      </c>
      <c r="AZ153" s="196"/>
      <c r="BA153" s="195"/>
      <c r="BB153" s="112"/>
    </row>
    <row r="154" spans="2:54" x14ac:dyDescent="0.35">
      <c r="B154" s="124" t="s">
        <v>170</v>
      </c>
      <c r="C154" s="154"/>
      <c r="D154" s="154"/>
      <c r="E154" s="154"/>
      <c r="F154" s="154"/>
      <c r="G154" s="526"/>
      <c r="H154" s="128">
        <f>H153/C153-1</f>
        <v>-0.5547607946605001</v>
      </c>
      <c r="I154" s="128">
        <f t="shared" ref="I154" si="675">I153/D153-1</f>
        <v>0.37757892103216495</v>
      </c>
      <c r="J154" s="128"/>
      <c r="K154" s="128">
        <f>K153/E153-1</f>
        <v>3.2946404451007636</v>
      </c>
      <c r="L154" s="128">
        <f>L153/F153-1</f>
        <v>0.34739452021631179</v>
      </c>
      <c r="M154" s="128"/>
      <c r="N154" s="129">
        <f t="shared" ref="N154:W154" si="676">N153/G153-1</f>
        <v>0.66605710786250993</v>
      </c>
      <c r="O154" s="128">
        <f t="shared" si="676"/>
        <v>5.4314344002934325</v>
      </c>
      <c r="P154" s="128">
        <f t="shared" si="676"/>
        <v>1.1735339727408141</v>
      </c>
      <c r="Q154" s="128">
        <f t="shared" si="676"/>
        <v>1.9981678246497343</v>
      </c>
      <c r="R154" s="128">
        <f t="shared" si="676"/>
        <v>0.65025635010265259</v>
      </c>
      <c r="S154" s="128">
        <f t="shared" si="676"/>
        <v>5.9833100019757168E-4</v>
      </c>
      <c r="T154" s="128">
        <f t="shared" si="676"/>
        <v>0.43503334649785952</v>
      </c>
      <c r="U154" s="346">
        <f t="shared" si="676"/>
        <v>0.93687009974537472</v>
      </c>
      <c r="V154" s="128">
        <f t="shared" si="676"/>
        <v>-0.21105527638191057</v>
      </c>
      <c r="W154" s="128">
        <f t="shared" si="676"/>
        <v>0.12221428571428605</v>
      </c>
      <c r="X154" s="128">
        <f>X153/R153-1</f>
        <v>0.51096926460333658</v>
      </c>
      <c r="Y154" s="128">
        <f>Y153/S153-1</f>
        <v>4.5214285714285793</v>
      </c>
      <c r="Z154" s="129">
        <f t="shared" ref="Z154" si="677">Z153/U153-1</f>
        <v>0.71497935384807065</v>
      </c>
      <c r="AA154" s="128">
        <f>AA153/V153-1</f>
        <v>2.8853503184713434</v>
      </c>
      <c r="AB154" s="128">
        <f t="shared" ref="AB154:AD154" si="678">AB153/W153-1</f>
        <v>0.9954172236012977</v>
      </c>
      <c r="AC154" s="128">
        <f t="shared" si="678"/>
        <v>0.44504421984058418</v>
      </c>
      <c r="AD154" s="128">
        <f t="shared" si="678"/>
        <v>0.16088452041754797</v>
      </c>
      <c r="AE154" s="129">
        <f>AE153/Z153-1</f>
        <v>0.67513611615244939</v>
      </c>
      <c r="AF154" s="128">
        <f>AF153/AA153-1</f>
        <v>0.26885245901639299</v>
      </c>
      <c r="AG154" s="128">
        <f t="shared" ref="AG154" si="679">AG153/AB153-1</f>
        <v>0.44869378385295944</v>
      </c>
      <c r="AH154" s="128">
        <f t="shared" ref="AH154" si="680">AH153/AC153-1</f>
        <v>0.47523240923603582</v>
      </c>
      <c r="AI154" s="128">
        <f t="shared" ref="AI154" si="681">AI153/AD153-1</f>
        <v>0.38307479986613635</v>
      </c>
      <c r="AJ154" s="129">
        <f t="shared" ref="AJ154" si="682">AJ153/AE153-1</f>
        <v>0.39986563244348727</v>
      </c>
      <c r="AK154" s="128">
        <f>AK153/AF153-1</f>
        <v>0.54909560723514206</v>
      </c>
      <c r="AL154" s="128">
        <f t="shared" ref="AL154" si="683">AL153/AG153-1</f>
        <v>0.49835246874803385</v>
      </c>
      <c r="AM154" s="128">
        <f t="shared" ref="AM154" si="684">AM153/AH153-1</f>
        <v>0.49791840133222309</v>
      </c>
      <c r="AN154" s="128">
        <f t="shared" ref="AN154" si="685">AN153/AI153-1</f>
        <v>0.32037873763502933</v>
      </c>
      <c r="AO154" s="129">
        <f t="shared" ref="AO154" si="686">AO153/AJ153-1</f>
        <v>0.46276227643769885</v>
      </c>
      <c r="AP154" s="128">
        <f>AP153/AK153-1</f>
        <v>0.45371142618848848</v>
      </c>
      <c r="AQ154" s="128">
        <f t="shared" ref="AQ154" si="687">AQ153/AL153-1</f>
        <v>0.23512123438648058</v>
      </c>
      <c r="AR154" s="128">
        <f t="shared" ref="AR154" si="688">AR153/AM153-1</f>
        <v>9.7959172019897789E-2</v>
      </c>
      <c r="AS154" s="128">
        <f t="shared" ref="AS154" si="689">AS153/AN153-1</f>
        <v>0.22095177911776354</v>
      </c>
      <c r="AT154" s="128">
        <f t="shared" ref="AT154" si="690">AT153/AO153-1</f>
        <v>0.23454961779315364</v>
      </c>
      <c r="AU154" s="128">
        <f t="shared" ref="AU154" si="691">AU153/AT153-1</f>
        <v>0.22144666054982309</v>
      </c>
      <c r="AV154" s="128">
        <f t="shared" ref="AV154" si="692">AV153/AU153-1</f>
        <v>0.20467836257309946</v>
      </c>
      <c r="AW154" s="128">
        <f t="shared" ref="AW154" si="693">AW153/AV153-1</f>
        <v>0.19708737864077674</v>
      </c>
      <c r="AX154" s="128">
        <f t="shared" ref="AX154:AY154" si="694">AX153/AW153-1</f>
        <v>0.15815085158150843</v>
      </c>
      <c r="AY154" s="128">
        <f t="shared" si="694"/>
        <v>0.13445378151260501</v>
      </c>
      <c r="BB154" s="547"/>
    </row>
    <row r="155" spans="2:54" x14ac:dyDescent="0.35">
      <c r="B155" s="124" t="s">
        <v>121</v>
      </c>
      <c r="C155" s="128">
        <f t="shared" ref="C155:AH155" si="695">C153/C131</f>
        <v>0.14019420167747354</v>
      </c>
      <c r="D155" s="128">
        <f t="shared" si="695"/>
        <v>0.1342086652576473</v>
      </c>
      <c r="E155" s="128">
        <f t="shared" si="695"/>
        <v>8.0850395165844594E-2</v>
      </c>
      <c r="F155" s="128">
        <f t="shared" si="695"/>
        <v>0.10032920240968375</v>
      </c>
      <c r="G155" s="513">
        <f t="shared" si="695"/>
        <v>0.11181942922660851</v>
      </c>
      <c r="H155" s="128">
        <f t="shared" si="695"/>
        <v>4.3402783556953609E-2</v>
      </c>
      <c r="I155" s="128">
        <f t="shared" si="695"/>
        <v>0.12930366580007974</v>
      </c>
      <c r="J155" s="128">
        <f t="shared" si="695"/>
        <v>9.3474371589189365E-2</v>
      </c>
      <c r="K155" s="128">
        <f t="shared" si="695"/>
        <v>0.17369716251851172</v>
      </c>
      <c r="L155" s="128">
        <f t="shared" si="695"/>
        <v>9.0050553943045591E-2</v>
      </c>
      <c r="M155" s="128">
        <f t="shared" si="695"/>
        <v>0.13282370163052606</v>
      </c>
      <c r="N155" s="129">
        <f t="shared" si="695"/>
        <v>0.11700998823819739</v>
      </c>
      <c r="O155" s="128">
        <f t="shared" si="695"/>
        <v>0.1417378917378917</v>
      </c>
      <c r="P155" s="128">
        <f t="shared" si="695"/>
        <v>0.15990862364363229</v>
      </c>
      <c r="Q155" s="128">
        <f t="shared" si="695"/>
        <v>0.15182250396196514</v>
      </c>
      <c r="R155" s="128">
        <f t="shared" si="695"/>
        <v>0.1710366972477064</v>
      </c>
      <c r="S155" s="128">
        <f t="shared" si="695"/>
        <v>5.8608058608058587E-2</v>
      </c>
      <c r="T155" s="128">
        <f t="shared" si="695"/>
        <v>0.11851869958445367</v>
      </c>
      <c r="U155" s="346">
        <f t="shared" si="695"/>
        <v>0.13301959701904495</v>
      </c>
      <c r="V155" s="128">
        <f t="shared" si="695"/>
        <v>6.6610097581671524E-2</v>
      </c>
      <c r="W155" s="128">
        <f t="shared" si="695"/>
        <v>0.10773429517729428</v>
      </c>
      <c r="X155" s="128">
        <f t="shared" si="695"/>
        <v>0.17175538774377852</v>
      </c>
      <c r="Y155" s="128">
        <f t="shared" si="695"/>
        <v>0.1686277183175407</v>
      </c>
      <c r="Z155" s="129">
        <f t="shared" si="695"/>
        <v>0.13525898044349902</v>
      </c>
      <c r="AA155" s="128">
        <f t="shared" si="695"/>
        <v>0.145168967158496</v>
      </c>
      <c r="AB155" s="128">
        <f t="shared" si="695"/>
        <v>0.14112086428089129</v>
      </c>
      <c r="AC155" s="128">
        <f t="shared" si="695"/>
        <v>0.16942955516624109</v>
      </c>
      <c r="AD155" s="128">
        <f t="shared" si="695"/>
        <v>0.16056608978443579</v>
      </c>
      <c r="AE155" s="129">
        <f t="shared" si="695"/>
        <v>0.1545114669940294</v>
      </c>
      <c r="AF155" s="128">
        <f t="shared" si="695"/>
        <v>0.15230224321133409</v>
      </c>
      <c r="AG155" s="128">
        <f t="shared" si="695"/>
        <v>0.16000193807923294</v>
      </c>
      <c r="AH155" s="128">
        <f t="shared" si="695"/>
        <v>0.18889587920729792</v>
      </c>
      <c r="AI155" s="128">
        <f t="shared" ref="AI155:AY155" si="696">AI153/AI131</f>
        <v>0.16368231680847542</v>
      </c>
      <c r="AJ155" s="129">
        <f t="shared" si="696"/>
        <v>0.16720130855523518</v>
      </c>
      <c r="AK155" s="128">
        <f t="shared" si="696"/>
        <v>0.16502540482837627</v>
      </c>
      <c r="AL155" s="128">
        <f t="shared" si="696"/>
        <v>0.18165558847868446</v>
      </c>
      <c r="AM155" s="128">
        <f t="shared" si="696"/>
        <v>0.22646022155085591</v>
      </c>
      <c r="AN155" s="128">
        <f t="shared" si="696"/>
        <v>0.17625108694892291</v>
      </c>
      <c r="AO155" s="129">
        <f t="shared" si="696"/>
        <v>0.18812209688122092</v>
      </c>
      <c r="AP155" s="128">
        <f t="shared" si="696"/>
        <v>0.20952037504507717</v>
      </c>
      <c r="AQ155" s="128">
        <f t="shared" si="696"/>
        <v>0.1976949312007526</v>
      </c>
      <c r="AR155" s="128">
        <f t="shared" si="696"/>
        <v>0.21538737830592083</v>
      </c>
      <c r="AS155" s="128">
        <f t="shared" si="696"/>
        <v>0.17728718748436165</v>
      </c>
      <c r="AT155" s="128">
        <f t="shared" si="696"/>
        <v>0.19987564003620475</v>
      </c>
      <c r="AU155" s="128">
        <f t="shared" si="696"/>
        <v>0.205601783447768</v>
      </c>
      <c r="AV155" s="128">
        <f t="shared" si="696"/>
        <v>0.21271686982181787</v>
      </c>
      <c r="AW155" s="128">
        <f t="shared" si="696"/>
        <v>0.21997595540077722</v>
      </c>
      <c r="AX155" s="128">
        <f t="shared" si="696"/>
        <v>0.2227849497181501</v>
      </c>
      <c r="AY155" s="128">
        <f t="shared" si="696"/>
        <v>0.2261649790232404</v>
      </c>
      <c r="BB155" s="547"/>
    </row>
    <row r="156" spans="2:54" x14ac:dyDescent="0.35">
      <c r="O156" s="167"/>
      <c r="S156" s="167"/>
      <c r="T156" s="167"/>
      <c r="U156" s="346"/>
      <c r="Z156" s="466"/>
      <c r="AA156" s="542"/>
      <c r="AB156" s="542"/>
      <c r="AC156" s="542"/>
      <c r="AD156" s="542"/>
      <c r="AE156" s="542"/>
      <c r="AF156" s="554"/>
      <c r="AG156" s="542"/>
      <c r="AH156" s="542"/>
      <c r="AI156" s="542"/>
      <c r="AJ156" s="557"/>
      <c r="AK156" s="567"/>
      <c r="AL156" s="567"/>
      <c r="AM156" s="567"/>
      <c r="AN156" s="567"/>
      <c r="AO156" s="568"/>
      <c r="AP156" s="567"/>
      <c r="AQ156" s="567"/>
      <c r="AR156" s="567"/>
      <c r="AS156" s="567"/>
      <c r="AT156" s="567"/>
      <c r="AU156" s="128"/>
      <c r="AV156" s="128"/>
      <c r="AW156" s="128"/>
      <c r="AX156" s="128"/>
      <c r="AY156" s="128"/>
    </row>
    <row r="157" spans="2:54" x14ac:dyDescent="0.35">
      <c r="B157" s="124" t="s">
        <v>82</v>
      </c>
      <c r="C157" s="154">
        <v>1.27092231</v>
      </c>
      <c r="D157" s="154">
        <v>1.2710709599999999</v>
      </c>
      <c r="E157" s="154">
        <v>1.3278966400000001</v>
      </c>
      <c r="F157" s="154">
        <v>1.4724923499999998</v>
      </c>
      <c r="G157" s="526">
        <v>5.3423822600000008</v>
      </c>
      <c r="H157" s="154">
        <v>1.2138840200000001</v>
      </c>
      <c r="I157" s="154">
        <v>3.6714695700000002</v>
      </c>
      <c r="J157" s="154">
        <f>I157+H157</f>
        <v>4.8853535900000002</v>
      </c>
      <c r="K157" s="154">
        <v>3.2494780500000005</v>
      </c>
      <c r="L157" s="154">
        <v>3.9577057600000001</v>
      </c>
      <c r="M157" s="154">
        <f>L157+K157</f>
        <v>7.2071838100000001</v>
      </c>
      <c r="N157" s="153">
        <v>12.09253694</v>
      </c>
      <c r="O157" s="154">
        <f>O159*O131</f>
        <v>5.8050535008766824</v>
      </c>
      <c r="P157" s="154">
        <f>P159*P131</f>
        <v>5.8958845621061</v>
      </c>
      <c r="Q157" s="154">
        <f>P157+O157</f>
        <v>11.700938062982782</v>
      </c>
      <c r="R157" s="154">
        <f>R159*R131</f>
        <v>7.7160000000000002</v>
      </c>
      <c r="S157" s="154">
        <f>S159*S131</f>
        <v>11.983061937017217</v>
      </c>
      <c r="T157" s="154">
        <f>S157+R157</f>
        <v>19.699061937017216</v>
      </c>
      <c r="U157" s="360">
        <f>T157+Q157</f>
        <v>31.4</v>
      </c>
      <c r="V157" s="154">
        <f>V159*V131</f>
        <v>9.3079999999999998</v>
      </c>
      <c r="W157" s="154">
        <f>W159*W131</f>
        <v>10.647</v>
      </c>
      <c r="X157" s="154">
        <f>X159*X131</f>
        <v>13.72</v>
      </c>
      <c r="Y157" s="154">
        <f>Y159*Y131</f>
        <v>12.72500000000001</v>
      </c>
      <c r="Z157" s="153">
        <f>SUM(V157:Y157)</f>
        <v>46.400000000000006</v>
      </c>
      <c r="AA157" s="154">
        <f>AA159*AA131</f>
        <v>13.8</v>
      </c>
      <c r="AB157" s="154">
        <f>AB159*AB131</f>
        <v>14.199999999999996</v>
      </c>
      <c r="AC157" s="154">
        <f>AC159*AC131</f>
        <v>16.600000000000001</v>
      </c>
      <c r="AD157" s="154">
        <f>AE157-SUM(AA157:AC157)</f>
        <v>20.300000000000026</v>
      </c>
      <c r="AE157" s="153">
        <f>AE159*AE131</f>
        <v>64.90000000000002</v>
      </c>
      <c r="AF157" s="154">
        <f>AF159*AF131</f>
        <v>22.099999999999905</v>
      </c>
      <c r="AG157" s="154">
        <f>AG159*AG131</f>
        <v>26.299999999999997</v>
      </c>
      <c r="AH157" s="154">
        <f>AH159*AH131</f>
        <v>27.600000000000033</v>
      </c>
      <c r="AI157" s="154">
        <f>AJ157-SUM(AF157:AH157)</f>
        <v>28.598055395683318</v>
      </c>
      <c r="AJ157" s="153">
        <f>AJ159*AJ131</f>
        <v>104.59805539568326</v>
      </c>
      <c r="AK157" s="154">
        <f>AK159*AK131</f>
        <v>28.299999999999983</v>
      </c>
      <c r="AL157" s="154">
        <f>AL159*AL131</f>
        <v>32.399999999999984</v>
      </c>
      <c r="AM157" s="154">
        <f>AM159*AM131</f>
        <v>32.200000000000003</v>
      </c>
      <c r="AN157" s="154">
        <f>AO157-SUM(AK157:AM157)</f>
        <v>34.500000000000028</v>
      </c>
      <c r="AO157" s="153">
        <f>AO159*AO131</f>
        <v>127.4</v>
      </c>
      <c r="AP157" s="154">
        <f>AP159*AP131</f>
        <v>35.599999999999994</v>
      </c>
      <c r="AQ157" s="154">
        <f>AQ159*AQ131</f>
        <v>36.499999999999993</v>
      </c>
      <c r="AR157" s="154">
        <f>AR159*AR131</f>
        <v>37.171812729340637</v>
      </c>
      <c r="AS157" s="154">
        <f>AT157-SUM(AP157:AR157)</f>
        <v>38.760976037528707</v>
      </c>
      <c r="AT157" s="154">
        <f t="shared" ref="AT157:AY157" si="697">AT159*AT131</f>
        <v>148.03278876686934</v>
      </c>
      <c r="AU157" s="154">
        <f t="shared" si="697"/>
        <v>171.61983940361824</v>
      </c>
      <c r="AV157" s="154">
        <f t="shared" si="697"/>
        <v>194.9891973312624</v>
      </c>
      <c r="AW157" s="154">
        <f t="shared" si="697"/>
        <v>225.71640490307138</v>
      </c>
      <c r="AX157" s="154">
        <f t="shared" si="697"/>
        <v>258.1176005307251</v>
      </c>
      <c r="AY157" s="154">
        <f t="shared" si="697"/>
        <v>288.44626407902354</v>
      </c>
    </row>
    <row r="158" spans="2:54" x14ac:dyDescent="0.35">
      <c r="B158" s="124" t="s">
        <v>170</v>
      </c>
      <c r="C158" s="154"/>
      <c r="D158" s="154"/>
      <c r="E158" s="154"/>
      <c r="F158" s="154"/>
      <c r="G158" s="526"/>
      <c r="H158" s="128">
        <f>H157/C157-1</f>
        <v>-4.4879446643752652E-2</v>
      </c>
      <c r="I158" s="128">
        <f t="shared" ref="I158:Z158" si="698">I157/D157-1</f>
        <v>1.8884851322541429</v>
      </c>
      <c r="J158" s="128"/>
      <c r="K158" s="128">
        <f>K157/E157-1</f>
        <v>1.4470865819797543</v>
      </c>
      <c r="L158" s="128">
        <f>L157/F157-1</f>
        <v>1.687759810772532</v>
      </c>
      <c r="M158" s="128"/>
      <c r="N158" s="129">
        <f>N157/G157-1</f>
        <v>1.2635102378465892</v>
      </c>
      <c r="O158" s="128">
        <f>O157/H157-1</f>
        <v>3.782214285081932</v>
      </c>
      <c r="P158" s="128">
        <f>P157/I157-1</f>
        <v>0.60586502208326887</v>
      </c>
      <c r="Q158" s="128"/>
      <c r="R158" s="128">
        <f>R157/K157-1</f>
        <v>1.3745351965064048</v>
      </c>
      <c r="S158" s="128">
        <f>S157/L157-1</f>
        <v>2.0277798966584157</v>
      </c>
      <c r="T158" s="128"/>
      <c r="U158" s="346">
        <f>U157/N157-1</f>
        <v>1.596642884433479</v>
      </c>
      <c r="V158" s="128">
        <f>V157/O157-1</f>
        <v>0.60343052800362651</v>
      </c>
      <c r="W158" s="128">
        <f>W157/P157-1</f>
        <v>0.80583589923557275</v>
      </c>
      <c r="X158" s="128">
        <f>X157/R157-1</f>
        <v>0.77812337998963188</v>
      </c>
      <c r="Y158" s="128">
        <f>Y157/S157-1</f>
        <v>6.1915566061696792E-2</v>
      </c>
      <c r="Z158" s="129">
        <f t="shared" si="698"/>
        <v>0.47770700636942709</v>
      </c>
      <c r="AA158" s="128">
        <f t="shared" ref="AA158:AI158" si="699">AA157/V157-1</f>
        <v>0.482595616673829</v>
      </c>
      <c r="AB158" s="128">
        <f t="shared" si="699"/>
        <v>0.33370902601671792</v>
      </c>
      <c r="AC158" s="128">
        <f t="shared" si="699"/>
        <v>0.20991253644314867</v>
      </c>
      <c r="AD158" s="128">
        <f t="shared" si="699"/>
        <v>0.59528487229862548</v>
      </c>
      <c r="AE158" s="129">
        <f t="shared" si="699"/>
        <v>0.39870689655172442</v>
      </c>
      <c r="AF158" s="128">
        <f t="shared" si="699"/>
        <v>0.60144927536231196</v>
      </c>
      <c r="AG158" s="128">
        <f t="shared" si="699"/>
        <v>0.85211267605633845</v>
      </c>
      <c r="AH158" s="128">
        <f t="shared" si="699"/>
        <v>0.66265060240964035</v>
      </c>
      <c r="AI158" s="128">
        <f t="shared" si="699"/>
        <v>0.40877120175779713</v>
      </c>
      <c r="AJ158" s="129">
        <f t="shared" ref="AJ158" si="700">AJ157/AE157-1</f>
        <v>0.6116803604881853</v>
      </c>
      <c r="AK158" s="128">
        <f t="shared" ref="AK158" si="701">AK157/AF157-1</f>
        <v>0.28054298642534414</v>
      </c>
      <c r="AL158" s="128">
        <f t="shared" ref="AL158" si="702">AL157/AG157-1</f>
        <v>0.23193916349809829</v>
      </c>
      <c r="AM158" s="128">
        <f t="shared" ref="AM158" si="703">AM157/AH157-1</f>
        <v>0.16666666666666541</v>
      </c>
      <c r="AN158" s="128">
        <f t="shared" ref="AN158" si="704">AN157/AI157-1</f>
        <v>0.2063757315893433</v>
      </c>
      <c r="AO158" s="129">
        <f>AO157/AJ157-1</f>
        <v>0.21799587495254502</v>
      </c>
      <c r="AP158" s="128">
        <f t="shared" ref="AP158" si="705">AP157/AK157-1</f>
        <v>0.25795053003533619</v>
      </c>
      <c r="AQ158" s="128">
        <f t="shared" ref="AQ158" si="706">AQ157/AL157-1</f>
        <v>0.12654320987654355</v>
      </c>
      <c r="AR158" s="128">
        <f t="shared" ref="AR158" si="707">AR157/AM157-1</f>
        <v>0.15440412202921228</v>
      </c>
      <c r="AS158" s="128">
        <f t="shared" ref="AS158" si="708">AS157/AN157-1</f>
        <v>0.12350655181242542</v>
      </c>
      <c r="AT158" s="128">
        <f>AT157/AO157-1</f>
        <v>0.16195281606647827</v>
      </c>
      <c r="AU158" s="128">
        <f t="shared" ref="AU158:AY158" si="709">AU157/AT157-1</f>
        <v>0.15933666340566721</v>
      </c>
      <c r="AV158" s="128">
        <f t="shared" si="709"/>
        <v>0.13616932639520618</v>
      </c>
      <c r="AW158" s="128">
        <f t="shared" si="709"/>
        <v>0.1575841533395681</v>
      </c>
      <c r="AX158" s="128">
        <f t="shared" si="709"/>
        <v>0.14354825313458131</v>
      </c>
      <c r="AY158" s="128">
        <f t="shared" si="709"/>
        <v>0.11749940138114789</v>
      </c>
    </row>
    <row r="159" spans="2:54" x14ac:dyDescent="0.35">
      <c r="B159" s="124" t="s">
        <v>169</v>
      </c>
      <c r="C159" s="128">
        <f t="shared" ref="C159:N159" si="710">C157/C131</f>
        <v>2.5638772111292382E-2</v>
      </c>
      <c r="D159" s="128">
        <f t="shared" si="710"/>
        <v>1.8242117297479099E-2</v>
      </c>
      <c r="E159" s="128">
        <f t="shared" si="710"/>
        <v>2.0406985036509239E-2</v>
      </c>
      <c r="F159" s="128">
        <f t="shared" si="710"/>
        <v>1.778348754779626E-2</v>
      </c>
      <c r="G159" s="513">
        <f t="shared" si="710"/>
        <v>1.9999938110947368E-2</v>
      </c>
      <c r="H159" s="128">
        <f t="shared" si="710"/>
        <v>1.702744731407875E-2</v>
      </c>
      <c r="I159" s="128">
        <f t="shared" si="710"/>
        <v>3.6851839566669667E-2</v>
      </c>
      <c r="J159" s="128">
        <f t="shared" si="710"/>
        <v>2.8583077197503033E-2</v>
      </c>
      <c r="K159" s="128">
        <f t="shared" si="710"/>
        <v>2.4981122496543686E-2</v>
      </c>
      <c r="L159" s="128">
        <f t="shared" si="710"/>
        <v>3.1839896193603563E-2</v>
      </c>
      <c r="M159" s="128">
        <f t="shared" si="710"/>
        <v>2.8332625004782216E-2</v>
      </c>
      <c r="N159" s="129">
        <f t="shared" si="710"/>
        <v>2.8433275673459098E-2</v>
      </c>
      <c r="O159" s="128">
        <v>4.1346534906529064E-2</v>
      </c>
      <c r="P159" s="128">
        <v>3.3671528053147361E-2</v>
      </c>
      <c r="Q159" s="128">
        <f>Q157/Q131</f>
        <v>3.7086966919121347E-2</v>
      </c>
      <c r="R159" s="128">
        <v>3.5394495412844035E-2</v>
      </c>
      <c r="S159" s="128">
        <v>6.2705713956134029E-2</v>
      </c>
      <c r="T159" s="128">
        <f>T157/T131</f>
        <v>4.8152192463987317E-2</v>
      </c>
      <c r="U159" s="346">
        <f>U157/U131</f>
        <v>4.3334253381175809E-2</v>
      </c>
      <c r="V159" s="128">
        <v>3.9490878235044546E-2</v>
      </c>
      <c r="W159" s="128">
        <v>3.650458407334517E-2</v>
      </c>
      <c r="X159" s="128">
        <v>4.182761049104762E-2</v>
      </c>
      <c r="Y159" s="128">
        <v>3.4699025155089006E-2</v>
      </c>
      <c r="Z159" s="129">
        <f>Z157/Z131</f>
        <v>3.7967433106947064E-2</v>
      </c>
      <c r="AA159" s="128">
        <v>3.2841504045692541E-2</v>
      </c>
      <c r="AB159" s="128">
        <v>3.1960387125815885E-2</v>
      </c>
      <c r="AC159" s="128">
        <v>3.4547346514047866E-2</v>
      </c>
      <c r="AD159" s="128">
        <f>AD157/AD131</f>
        <v>4.5403712815924889E-2</v>
      </c>
      <c r="AE159" s="129">
        <v>3.6214496958875075E-2</v>
      </c>
      <c r="AF159" s="128">
        <v>4.3486816214088758E-2</v>
      </c>
      <c r="AG159" s="128">
        <v>4.632728553813633E-2</v>
      </c>
      <c r="AH159" s="128">
        <v>4.3409877319911978E-2</v>
      </c>
      <c r="AI159" s="128">
        <f>AI157/AI131</f>
        <v>4.7144832501950729E-2</v>
      </c>
      <c r="AJ159" s="129">
        <v>4.5118429623294334E-2</v>
      </c>
      <c r="AK159" s="128">
        <v>3.8950950430717661E-2</v>
      </c>
      <c r="AL159" s="128">
        <v>4.3244974773764697E-2</v>
      </c>
      <c r="AM159" s="128">
        <v>4.0533736153071487E-2</v>
      </c>
      <c r="AN159" s="128">
        <f>AN157/AN131</f>
        <v>4.6381864986558698E-2</v>
      </c>
      <c r="AO159" s="129">
        <v>4.2269409422694082E-2</v>
      </c>
      <c r="AP159" s="128">
        <v>4.2793605000601025E-2</v>
      </c>
      <c r="AQ159" s="128">
        <v>4.2926026108432304E-2</v>
      </c>
      <c r="AR159" s="128">
        <f>AM159+AT159-$AO$159</f>
        <v>4.0533736153071487E-2</v>
      </c>
      <c r="AS159" s="128">
        <f>AS157/AS131</f>
        <v>4.2930984813340567E-2</v>
      </c>
      <c r="AT159" s="128">
        <f>AO159</f>
        <v>4.2269409422694082E-2</v>
      </c>
      <c r="AU159" s="128">
        <f>AT159-0.001</f>
        <v>4.1269409422694081E-2</v>
      </c>
      <c r="AV159" s="128">
        <f>AU159-0.001</f>
        <v>4.026940942269408E-2</v>
      </c>
      <c r="AW159" s="128">
        <f t="shared" ref="AW159:AY159" si="711">AV159</f>
        <v>4.026940942269408E-2</v>
      </c>
      <c r="AX159" s="128">
        <f t="shared" si="711"/>
        <v>4.026940942269408E-2</v>
      </c>
      <c r="AY159" s="128">
        <f t="shared" si="711"/>
        <v>4.026940942269408E-2</v>
      </c>
    </row>
    <row r="160" spans="2:54" x14ac:dyDescent="0.35">
      <c r="B160" s="124" t="s">
        <v>191</v>
      </c>
      <c r="C160" s="128"/>
      <c r="D160" s="128"/>
      <c r="E160" s="128"/>
      <c r="F160" s="128"/>
      <c r="G160" s="513"/>
      <c r="H160" s="128"/>
      <c r="I160" s="128"/>
      <c r="J160" s="128"/>
      <c r="K160" s="128"/>
      <c r="L160" s="128"/>
      <c r="M160" s="128"/>
      <c r="N160" s="129"/>
      <c r="O160" s="154">
        <v>0.2</v>
      </c>
      <c r="P160" s="154">
        <v>3.1</v>
      </c>
      <c r="Q160" s="154">
        <f>P160+O160</f>
        <v>3.3000000000000003</v>
      </c>
      <c r="R160" s="154">
        <v>3.9</v>
      </c>
      <c r="S160" s="154">
        <v>0.44700000000000739</v>
      </c>
      <c r="T160" s="154">
        <f>S160+R160</f>
        <v>4.3470000000000075</v>
      </c>
      <c r="U160" s="360">
        <f>T160+Q160</f>
        <v>7.6470000000000073</v>
      </c>
      <c r="V160" s="128"/>
      <c r="W160" s="128"/>
      <c r="X160" s="128"/>
      <c r="Y160" s="128"/>
      <c r="Z160" s="129"/>
      <c r="AA160" s="128"/>
      <c r="AB160" s="128"/>
      <c r="AC160" s="128"/>
      <c r="AD160" s="128"/>
      <c r="AE160" s="129"/>
      <c r="AF160" s="128"/>
      <c r="AG160" s="128"/>
      <c r="AH160" s="128"/>
      <c r="AI160" s="128"/>
      <c r="AJ160" s="129"/>
      <c r="AK160" s="128"/>
      <c r="AL160" s="128"/>
      <c r="AM160" s="128"/>
      <c r="AN160" s="128"/>
      <c r="AO160" s="12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</row>
    <row r="161" spans="2:53" x14ac:dyDescent="0.35">
      <c r="B161" s="124" t="s">
        <v>16</v>
      </c>
      <c r="C161" s="154">
        <v>1.03994991</v>
      </c>
      <c r="D161" s="154">
        <v>2.3407997200000001</v>
      </c>
      <c r="E161" s="154">
        <v>2.9125316800000003</v>
      </c>
      <c r="F161" s="154">
        <v>12.5446136</v>
      </c>
      <c r="G161" s="526">
        <v>18.837894909999999</v>
      </c>
      <c r="H161" s="154">
        <v>35.296489389999998</v>
      </c>
      <c r="I161" s="154">
        <v>5.1098034700000001</v>
      </c>
      <c r="J161" s="154">
        <f>I161+H161</f>
        <v>40.406292860000001</v>
      </c>
      <c r="K161" s="154">
        <v>5.3342982999999995</v>
      </c>
      <c r="L161" s="154">
        <v>9.024260589999999</v>
      </c>
      <c r="M161" s="154">
        <f>L161+K161</f>
        <v>14.358558889999998</v>
      </c>
      <c r="N161" s="153">
        <v>54.764851749999998</v>
      </c>
      <c r="O161" s="154">
        <v>9.9499999999999993</v>
      </c>
      <c r="P161" s="154">
        <f>O161</f>
        <v>9.9499999999999993</v>
      </c>
      <c r="Q161" s="154">
        <f>P161+O161</f>
        <v>19.899999999999999</v>
      </c>
      <c r="R161" s="154">
        <v>2.36</v>
      </c>
      <c r="S161" s="154">
        <v>176.2</v>
      </c>
      <c r="T161" s="154">
        <f>S161+R161</f>
        <v>178.56</v>
      </c>
      <c r="U161" s="360">
        <f>T161+Q161</f>
        <v>198.46</v>
      </c>
      <c r="V161" s="154">
        <v>3.0310000000000001</v>
      </c>
      <c r="W161" s="154">
        <v>-5.5659999999999998</v>
      </c>
      <c r="X161" s="154">
        <v>1.93</v>
      </c>
      <c r="Y161" s="154">
        <v>34.404999999999994</v>
      </c>
      <c r="Z161" s="153">
        <f>SUM(V161:Y161)</f>
        <v>33.799999999999997</v>
      </c>
      <c r="AA161" s="154">
        <v>4.9000000000000004</v>
      </c>
      <c r="AB161" s="154">
        <v>9.1</v>
      </c>
      <c r="AC161" s="154">
        <v>7</v>
      </c>
      <c r="AD161" s="154">
        <f>AE161-SUM(AA161:AC161)</f>
        <v>10.8</v>
      </c>
      <c r="AE161" s="153">
        <v>31.8</v>
      </c>
      <c r="AF161" s="154">
        <f>AF162*AF131</f>
        <v>16.8</v>
      </c>
      <c r="AG161" s="154">
        <f>AG162*AG131</f>
        <v>17.233100247580552</v>
      </c>
      <c r="AH161" s="154">
        <f>AH162*AH131</f>
        <v>19.899999999999995</v>
      </c>
      <c r="AI161" s="154">
        <f>AJ161-SUM(AF161:AH161)</f>
        <v>17.565570505682871</v>
      </c>
      <c r="AJ161" s="153">
        <f>AJ162*AJ131</f>
        <v>71.498670753263411</v>
      </c>
      <c r="AK161" s="154">
        <f>AK162*AK131</f>
        <v>14.600000000000001</v>
      </c>
      <c r="AL161" s="154">
        <f>AL162*AL131</f>
        <v>10.900000000000002</v>
      </c>
      <c r="AM161" s="154">
        <f>AM162*AM131</f>
        <v>23</v>
      </c>
      <c r="AN161" s="154">
        <f>AO161-SUM(AK161:AM161)</f>
        <v>14.100000000000001</v>
      </c>
      <c r="AO161" s="153">
        <f>AO162*AO131</f>
        <v>62.6</v>
      </c>
      <c r="AP161" s="154">
        <f>AP162*AP131</f>
        <v>21.299999999999997</v>
      </c>
      <c r="AQ161" s="154">
        <f>AQ162*AQ131</f>
        <v>12.199999999999994</v>
      </c>
      <c r="AR161" s="154">
        <f>AR162*AR131</f>
        <v>18.341172690800132</v>
      </c>
      <c r="AS161" s="154">
        <f>AT161-SUM(AP161:AR161)</f>
        <v>18.201343061687226</v>
      </c>
      <c r="AT161" s="154">
        <f t="shared" ref="AT161:AY161" si="712">AT162*AT131</f>
        <v>70.042515752487347</v>
      </c>
      <c r="AU161" s="154">
        <f t="shared" si="712"/>
        <v>83.170484775216764</v>
      </c>
      <c r="AV161" s="154">
        <f t="shared" si="712"/>
        <v>96.842342674822049</v>
      </c>
      <c r="AW161" s="154">
        <f t="shared" si="712"/>
        <v>112.10316125265422</v>
      </c>
      <c r="AX161" s="154">
        <f t="shared" si="712"/>
        <v>128.195374221337</v>
      </c>
      <c r="AY161" s="154">
        <f t="shared" si="712"/>
        <v>143.25825395217632</v>
      </c>
      <c r="AZ161" s="167"/>
      <c r="BA161" s="167"/>
    </row>
    <row r="162" spans="2:53" x14ac:dyDescent="0.35">
      <c r="B162" s="124" t="s">
        <v>169</v>
      </c>
      <c r="C162" s="128">
        <f t="shared" ref="C162:AE162" si="713">C161/C131</f>
        <v>2.0979282950544024E-2</v>
      </c>
      <c r="D162" s="128">
        <f t="shared" si="713"/>
        <v>3.3594617771887603E-2</v>
      </c>
      <c r="E162" s="128">
        <f t="shared" si="713"/>
        <v>4.4759500567844737E-2</v>
      </c>
      <c r="F162" s="128">
        <f t="shared" si="713"/>
        <v>0.15150298047220118</v>
      </c>
      <c r="G162" s="513">
        <f t="shared" si="713"/>
        <v>7.0522234090476782E-2</v>
      </c>
      <c r="H162" s="128">
        <f t="shared" si="713"/>
        <v>0.49511246837252582</v>
      </c>
      <c r="I162" s="128">
        <f t="shared" si="713"/>
        <v>5.1288906009822104E-2</v>
      </c>
      <c r="J162" s="128">
        <f t="shared" si="713"/>
        <v>0.23640790104658435</v>
      </c>
      <c r="K162" s="128">
        <f t="shared" si="713"/>
        <v>4.1008665765692655E-2</v>
      </c>
      <c r="L162" s="128">
        <f t="shared" si="713"/>
        <v>7.2600526121382916E-2</v>
      </c>
      <c r="M162" s="128">
        <f t="shared" si="713"/>
        <v>5.6445856712436467E-2</v>
      </c>
      <c r="N162" s="129">
        <f t="shared" si="713"/>
        <v>0.12876901966477422</v>
      </c>
      <c r="O162" s="128">
        <f t="shared" si="713"/>
        <v>7.0868945868945848E-2</v>
      </c>
      <c r="P162" s="128">
        <f t="shared" si="713"/>
        <v>5.6824671616219326E-2</v>
      </c>
      <c r="Q162" s="128">
        <f t="shared" si="713"/>
        <v>6.3074484944532494E-2</v>
      </c>
      <c r="R162" s="128">
        <f t="shared" si="713"/>
        <v>1.0825688073394494E-2</v>
      </c>
      <c r="S162" s="128">
        <f t="shared" si="713"/>
        <v>0.92203035060177885</v>
      </c>
      <c r="T162" s="128">
        <f t="shared" si="713"/>
        <v>0.43647030065998527</v>
      </c>
      <c r="U162" s="346">
        <f t="shared" si="713"/>
        <v>0.27388904223019594</v>
      </c>
      <c r="V162" s="128">
        <f t="shared" si="713"/>
        <v>1.285956724649979E-2</v>
      </c>
      <c r="W162" s="128">
        <f t="shared" si="713"/>
        <v>-1.9083733911171148E-2</v>
      </c>
      <c r="X162" s="128">
        <f t="shared" si="713"/>
        <v>5.8839131375890601E-3</v>
      </c>
      <c r="Y162" s="128">
        <f t="shared" si="713"/>
        <v>9.3816892767059804E-2</v>
      </c>
      <c r="Z162" s="129">
        <f t="shared" si="713"/>
        <v>2.7657311185664019E-2</v>
      </c>
      <c r="AA162" s="128">
        <f t="shared" si="713"/>
        <v>1.1661113755354597E-2</v>
      </c>
      <c r="AB162" s="128">
        <f t="shared" si="713"/>
        <v>2.0481656538374974E-2</v>
      </c>
      <c r="AC162" s="128">
        <f t="shared" si="713"/>
        <v>1.4568158168574402E-2</v>
      </c>
      <c r="AD162" s="128">
        <f t="shared" si="713"/>
        <v>2.4155669872511738E-2</v>
      </c>
      <c r="AE162" s="129">
        <f t="shared" si="713"/>
        <v>1.7744545505273143E-2</v>
      </c>
      <c r="AF162" s="128">
        <v>3.3057851239669422E-2</v>
      </c>
      <c r="AG162" s="128">
        <v>3.0355998322319094E-2</v>
      </c>
      <c r="AH162" s="128">
        <v>3.1299150676313302E-2</v>
      </c>
      <c r="AI162" s="128">
        <f>AI161/AI131</f>
        <v>2.8957419231260908E-2</v>
      </c>
      <c r="AJ162" s="129">
        <v>3.0840991568504252E-2</v>
      </c>
      <c r="AK162" s="128">
        <v>2.0094836617967429E-2</v>
      </c>
      <c r="AL162" s="128">
        <v>1.4548463735618378E-2</v>
      </c>
      <c r="AM162" s="128">
        <v>2.8952668680765348E-2</v>
      </c>
      <c r="AN162" s="128">
        <f>AN161/AN131</f>
        <v>1.8956066559723976E-2</v>
      </c>
      <c r="AO162" s="129">
        <v>2.0769741207697406E-2</v>
      </c>
      <c r="AP162" s="128">
        <v>2.5604038946988816E-2</v>
      </c>
      <c r="AQ162" s="128">
        <v>1.4347877219804765E-2</v>
      </c>
      <c r="AR162" s="128">
        <v>0.02</v>
      </c>
      <c r="AS162" s="128">
        <f>AS161/AS131</f>
        <v>2.0159491902555199E-2</v>
      </c>
      <c r="AT162" s="128">
        <v>0.02</v>
      </c>
      <c r="AU162" s="128">
        <f>AT162</f>
        <v>0.02</v>
      </c>
      <c r="AV162" s="128">
        <f t="shared" ref="AV162:AW162" si="714">AU162</f>
        <v>0.02</v>
      </c>
      <c r="AW162" s="128">
        <f t="shared" si="714"/>
        <v>0.02</v>
      </c>
      <c r="AX162" s="128">
        <f t="shared" ref="AX162" si="715">AW162</f>
        <v>0.02</v>
      </c>
      <c r="AY162" s="128">
        <f t="shared" ref="AY162" si="716">AX162</f>
        <v>0.02</v>
      </c>
    </row>
    <row r="163" spans="2:53" s="110" customFormat="1" x14ac:dyDescent="0.35">
      <c r="B163" s="133" t="s">
        <v>174</v>
      </c>
      <c r="C163" s="135">
        <f>C153-C157-C161</f>
        <v>4.6386001599999949</v>
      </c>
      <c r="D163" s="135">
        <f t="shared" ref="D163:N163" si="717">D153-D157-D161</f>
        <v>5.7394965000000031</v>
      </c>
      <c r="E163" s="135">
        <f t="shared" si="717"/>
        <v>1.0205628500000019</v>
      </c>
      <c r="F163" s="135">
        <f t="shared" si="717"/>
        <v>-5.7097375199999938</v>
      </c>
      <c r="G163" s="511">
        <f t="shared" si="717"/>
        <v>5.6889220099999527</v>
      </c>
      <c r="H163" s="135">
        <f t="shared" si="717"/>
        <v>-33.416195849999994</v>
      </c>
      <c r="I163" s="135">
        <f t="shared" si="717"/>
        <v>4.1009732700000034</v>
      </c>
      <c r="J163" s="135">
        <f>I163+H163</f>
        <v>-29.31522257999999</v>
      </c>
      <c r="K163" s="135">
        <f t="shared" si="717"/>
        <v>14.010289109999995</v>
      </c>
      <c r="L163" s="135">
        <f t="shared" si="717"/>
        <v>-1.7886636500000055</v>
      </c>
      <c r="M163" s="135">
        <f>L163+K163</f>
        <v>12.22162545999999</v>
      </c>
      <c r="N163" s="169">
        <f t="shared" si="717"/>
        <v>-17.093597090000024</v>
      </c>
      <c r="O163" s="135">
        <f>O153-O157-O161-O160</f>
        <v>3.9449464991233176</v>
      </c>
      <c r="P163" s="135">
        <f>P153-P157-P161-P160</f>
        <v>9.0541154378939002</v>
      </c>
      <c r="Q163" s="135">
        <f>P163+O163</f>
        <v>12.999061937017217</v>
      </c>
      <c r="R163" s="135">
        <f>R153-R157-R161-R160</f>
        <v>23.310000000000002</v>
      </c>
      <c r="S163" s="135">
        <f>S153-S157-S161-S160</f>
        <v>-177.4300619370172</v>
      </c>
      <c r="T163" s="135">
        <f>S163+R163</f>
        <v>-154.1200619370172</v>
      </c>
      <c r="U163" s="344">
        <f>U153-U157-U161-U160</f>
        <v>-141.12100000000004</v>
      </c>
      <c r="V163" s="135">
        <f t="shared" ref="V163:Y163" si="718">V153-V157-V161</f>
        <v>3.360999999999978</v>
      </c>
      <c r="W163" s="135">
        <f>W153-W157-W161</f>
        <v>26.341000000000012</v>
      </c>
      <c r="X163" s="135">
        <f t="shared" si="718"/>
        <v>40.688000000000009</v>
      </c>
      <c r="Y163" s="135">
        <f t="shared" si="718"/>
        <v>14.710000000000086</v>
      </c>
      <c r="Z163" s="169">
        <f t="shared" ref="Z163:AK163" si="719">Z153-Z157-Z161</f>
        <v>85.100000000000122</v>
      </c>
      <c r="AA163" s="135">
        <f t="shared" si="719"/>
        <v>42.300000000000004</v>
      </c>
      <c r="AB163" s="135">
        <f>AB153-AB157-AB161</f>
        <v>39.4</v>
      </c>
      <c r="AC163" s="135">
        <f t="shared" ref="AC163:AD163" si="720">AC153-AC157-AC161</f>
        <v>57.810901257378845</v>
      </c>
      <c r="AD163" s="135">
        <f t="shared" si="720"/>
        <v>40.68909874262124</v>
      </c>
      <c r="AE163" s="169">
        <f>AE153-AE157-AE161</f>
        <v>180.20000000000005</v>
      </c>
      <c r="AF163" s="135">
        <f t="shared" ref="AF163" si="721">AF153-AF157-AF161</f>
        <v>38.500000000000071</v>
      </c>
      <c r="AG163" s="135">
        <f>AG153-AG157-AG161</f>
        <v>47.3</v>
      </c>
      <c r="AH163" s="135">
        <f t="shared" ref="AH163:AI163" si="722">AH153-AH157-AH161</f>
        <v>72.59999999999998</v>
      </c>
      <c r="AI163" s="135">
        <f t="shared" si="722"/>
        <v>53.126067474655017</v>
      </c>
      <c r="AJ163" s="169">
        <f t="shared" si="719"/>
        <v>211.52606747465506</v>
      </c>
      <c r="AK163" s="135">
        <f t="shared" si="719"/>
        <v>76.999999999999972</v>
      </c>
      <c r="AL163" s="135">
        <f>AL153-AL157-AL161</f>
        <v>92.799999999999983</v>
      </c>
      <c r="AM163" s="135">
        <f t="shared" ref="AM163:AN163" si="723">AM153-AM157-AM161</f>
        <v>124.69999999999999</v>
      </c>
      <c r="AN163" s="135">
        <f t="shared" si="723"/>
        <v>82.5</v>
      </c>
      <c r="AO163" s="169">
        <f t="shared" ref="AO163:AX163" si="724">AO153-AO157-AO161</f>
        <v>377</v>
      </c>
      <c r="AP163" s="135">
        <f t="shared" si="724"/>
        <v>117.39999999999974</v>
      </c>
      <c r="AQ163" s="135">
        <f>AQ153-AQ157-AQ161</f>
        <v>119.39999999999998</v>
      </c>
      <c r="AR163" s="135">
        <f t="shared" ref="AR163:AS163" si="725">AR153-AR157-AR161</f>
        <v>142.00986962623884</v>
      </c>
      <c r="AS163" s="135">
        <f t="shared" si="725"/>
        <v>103.10445914312291</v>
      </c>
      <c r="AT163" s="135">
        <f t="shared" si="724"/>
        <v>481.91432876936142</v>
      </c>
      <c r="AU163" s="135">
        <f t="shared" si="724"/>
        <v>600.20967582116498</v>
      </c>
      <c r="AV163" s="135">
        <f t="shared" si="724"/>
        <v>738.16845999391558</v>
      </c>
      <c r="AW163" s="135">
        <f t="shared" si="724"/>
        <v>895.18043384427438</v>
      </c>
      <c r="AX163" s="135">
        <f t="shared" si="724"/>
        <v>1041.6870252479378</v>
      </c>
      <c r="AY163" s="135">
        <f t="shared" ref="AY163" si="726">AY153-AY157-AY161</f>
        <v>1188.2954819688002</v>
      </c>
    </row>
    <row r="164" spans="2:53" x14ac:dyDescent="0.35">
      <c r="B164" s="124" t="s">
        <v>170</v>
      </c>
      <c r="H164" s="128">
        <f>H163/C163-1</f>
        <v>-8.203939701067064</v>
      </c>
      <c r="I164" s="128">
        <f t="shared" ref="I164" si="727">I163/D163-1</f>
        <v>-0.28548205055966125</v>
      </c>
      <c r="J164" s="128"/>
      <c r="K164" s="128">
        <f>K163/E163-1</f>
        <v>12.728002258753559</v>
      </c>
      <c r="L164" s="128">
        <f>L163/F163-1</f>
        <v>-0.68673452260551415</v>
      </c>
      <c r="M164" s="128"/>
      <c r="N164" s="129">
        <f>N163/G163-1</f>
        <v>-4.0047163698066175</v>
      </c>
      <c r="O164" s="128">
        <f>O163/H163-1</f>
        <v>-1.1180549251276704</v>
      </c>
      <c r="P164" s="128">
        <f>P163/I163-1</f>
        <v>1.2077967452574723</v>
      </c>
      <c r="Q164" s="128"/>
      <c r="R164" s="128">
        <f>R163/K163-1</f>
        <v>0.66377722950500995</v>
      </c>
      <c r="S164" s="128">
        <f>S163/L163-1</f>
        <v>98.19699656054209</v>
      </c>
      <c r="T164" s="128"/>
      <c r="U164" s="346">
        <f>U163/N163-1</f>
        <v>7.2557813464877832</v>
      </c>
      <c r="V164" s="128">
        <f>V163/O163-1</f>
        <v>-0.14802393372206935</v>
      </c>
      <c r="W164" s="128">
        <f>W163/P163-1</f>
        <v>1.9092847535117419</v>
      </c>
      <c r="X164" s="128">
        <f>X163/R163-1</f>
        <v>0.74551694551694569</v>
      </c>
      <c r="Y164" s="128">
        <f>Y163/S163-1</f>
        <v>-1.0829059057941475</v>
      </c>
      <c r="Z164" s="129">
        <f t="shared" ref="Z164" si="728">Z163/U163-1</f>
        <v>-1.6030286066566997</v>
      </c>
      <c r="AA164" s="128">
        <f>AA163/V163-1</f>
        <v>11.585540017851914</v>
      </c>
      <c r="AB164" s="128">
        <f t="shared" ref="AB164:AD164" si="729">AB163/W163-1</f>
        <v>0.49576705516115482</v>
      </c>
      <c r="AC164" s="128">
        <f t="shared" si="729"/>
        <v>0.42083418347863821</v>
      </c>
      <c r="AD164" s="128">
        <f t="shared" si="729"/>
        <v>1.7660842109191708</v>
      </c>
      <c r="AE164" s="129">
        <f>AE163/Z163-1</f>
        <v>1.1175088131609847</v>
      </c>
      <c r="AF164" s="128">
        <f>AF163/AA163-1</f>
        <v>-8.9834515366428724E-2</v>
      </c>
      <c r="AG164" s="128">
        <f t="shared" ref="AG164" si="730">AG163/AB163-1</f>
        <v>0.20050761421319785</v>
      </c>
      <c r="AH164" s="128">
        <f t="shared" ref="AH164" si="731">AH163/AC163-1</f>
        <v>0.25581851209651374</v>
      </c>
      <c r="AI164" s="128">
        <f t="shared" ref="AI164" si="732">AI163/AD163-1</f>
        <v>0.3056584961663511</v>
      </c>
      <c r="AJ164" s="129">
        <f t="shared" ref="AJ164" si="733">AJ163/AE163-1</f>
        <v>0.17384055202361282</v>
      </c>
      <c r="AK164" s="128">
        <f>AK163/AF163-1</f>
        <v>0.99999999999999556</v>
      </c>
      <c r="AL164" s="128">
        <f t="shared" ref="AL164" si="734">AL163/AG163-1</f>
        <v>0.96194503171247336</v>
      </c>
      <c r="AM164" s="128">
        <f t="shared" ref="AM164" si="735">AM163/AH163-1</f>
        <v>0.71763085399449067</v>
      </c>
      <c r="AN164" s="128">
        <f t="shared" ref="AN164" si="736">AN163/AI163-1</f>
        <v>0.55290997285576382</v>
      </c>
      <c r="AO164" s="129">
        <f t="shared" ref="AO164" si="737">AO163/AJ163-1</f>
        <v>0.78228624254630907</v>
      </c>
      <c r="AP164" s="128">
        <f>AP163/AK163-1</f>
        <v>0.52467532467532174</v>
      </c>
      <c r="AQ164" s="128">
        <f t="shared" ref="AQ164" si="738">AQ163/AL163-1</f>
        <v>0.28663793103448265</v>
      </c>
      <c r="AR164" s="128">
        <f t="shared" ref="AR164" si="739">AR163/AM163-1</f>
        <v>0.13881210606446559</v>
      </c>
      <c r="AS164" s="128">
        <f t="shared" ref="AS164" si="740">AS163/AN163-1</f>
        <v>0.24975101991664128</v>
      </c>
      <c r="AT164" s="128">
        <f t="shared" ref="AT164" si="741">AT163/AO163-1</f>
        <v>0.27828734421581269</v>
      </c>
      <c r="AU164" s="128">
        <f t="shared" ref="AU164" si="742">AU163/AT163-1</f>
        <v>0.2454696612858307</v>
      </c>
      <c r="AV164" s="128">
        <f t="shared" ref="AV164" si="743">AV163/AU163-1</f>
        <v>0.22985098329846987</v>
      </c>
      <c r="AW164" s="128">
        <f>AW163/AV163-1</f>
        <v>0.21270479891765226</v>
      </c>
      <c r="AX164" s="128">
        <f t="shared" ref="AX164:AY164" si="744">AX163/AW163-1</f>
        <v>0.16366152103493103</v>
      </c>
      <c r="AY164" s="128">
        <f t="shared" si="744"/>
        <v>0.14074136776923707</v>
      </c>
      <c r="AZ164" s="127"/>
    </row>
    <row r="165" spans="2:53" x14ac:dyDescent="0.35">
      <c r="B165" s="124" t="s">
        <v>169</v>
      </c>
      <c r="C165" s="128">
        <f t="shared" ref="C165:AH165" si="745">C163/C131</f>
        <v>9.3576146615637151E-2</v>
      </c>
      <c r="D165" s="128">
        <f t="shared" si="745"/>
        <v>8.2371930188280609E-2</v>
      </c>
      <c r="E165" s="128">
        <f t="shared" si="745"/>
        <v>1.5683909561490617E-2</v>
      </c>
      <c r="F165" s="128">
        <f t="shared" si="745"/>
        <v>-6.8957265610313692E-2</v>
      </c>
      <c r="G165" s="513">
        <f t="shared" si="745"/>
        <v>2.1297257025184368E-2</v>
      </c>
      <c r="H165" s="128">
        <f t="shared" si="745"/>
        <v>-0.4687371321296509</v>
      </c>
      <c r="I165" s="128">
        <f t="shared" si="745"/>
        <v>4.1162920223587966E-2</v>
      </c>
      <c r="J165" s="128">
        <f t="shared" si="745"/>
        <v>-0.17151660665489799</v>
      </c>
      <c r="K165" s="128">
        <f t="shared" si="745"/>
        <v>0.10770737425627537</v>
      </c>
      <c r="L165" s="128">
        <f t="shared" si="745"/>
        <v>-1.4389868371940876E-2</v>
      </c>
      <c r="M165" s="128">
        <f t="shared" si="745"/>
        <v>4.8045219913307395E-2</v>
      </c>
      <c r="N165" s="129">
        <f t="shared" si="745"/>
        <v>-4.0192307100035941E-2</v>
      </c>
      <c r="O165" s="128">
        <f t="shared" si="745"/>
        <v>2.8097909537915362E-2</v>
      </c>
      <c r="P165" s="128">
        <f t="shared" si="745"/>
        <v>5.1708254928006313E-2</v>
      </c>
      <c r="Q165" s="128">
        <f t="shared" si="745"/>
        <v>4.1201464142685322E-2</v>
      </c>
      <c r="R165" s="128">
        <f t="shared" si="745"/>
        <v>0.10692660550458716</v>
      </c>
      <c r="S165" s="128">
        <f t="shared" si="745"/>
        <v>-0.92846709543180095</v>
      </c>
      <c r="T165" s="128">
        <f t="shared" si="745"/>
        <v>-0.37672955741143282</v>
      </c>
      <c r="U165" s="346">
        <f t="shared" si="745"/>
        <v>-0.19475710736958324</v>
      </c>
      <c r="V165" s="128">
        <f t="shared" si="745"/>
        <v>1.4259652100127187E-2</v>
      </c>
      <c r="W165" s="128">
        <f t="shared" si="745"/>
        <v>9.0313445015120272E-2</v>
      </c>
      <c r="X165" s="128">
        <f t="shared" si="745"/>
        <v>0.12404386411514183</v>
      </c>
      <c r="Y165" s="128">
        <f t="shared" si="745"/>
        <v>4.0111800395391896E-2</v>
      </c>
      <c r="Z165" s="129">
        <f t="shared" si="745"/>
        <v>6.9634236150887915E-2</v>
      </c>
      <c r="AA165" s="128">
        <f t="shared" si="745"/>
        <v>0.10066634935744888</v>
      </c>
      <c r="AB165" s="128">
        <f t="shared" si="745"/>
        <v>8.8678820616700432E-2</v>
      </c>
      <c r="AC165" s="128">
        <f t="shared" si="745"/>
        <v>0.12031405048361882</v>
      </c>
      <c r="AD165" s="128">
        <f t="shared" si="745"/>
        <v>9.1006707095999173E-2</v>
      </c>
      <c r="AE165" s="129">
        <f t="shared" si="745"/>
        <v>0.10055242452988118</v>
      </c>
      <c r="AF165" s="128">
        <f t="shared" si="745"/>
        <v>7.5757575757575898E-2</v>
      </c>
      <c r="AG165" s="128">
        <f t="shared" si="745"/>
        <v>8.3318654218777516E-2</v>
      </c>
      <c r="AH165" s="128">
        <f t="shared" si="745"/>
        <v>0.11418685121107264</v>
      </c>
      <c r="AI165" s="128">
        <f t="shared" ref="AI165:AY165" si="746">AI163/AI131</f>
        <v>8.7580065075263766E-2</v>
      </c>
      <c r="AJ165" s="129">
        <f t="shared" si="746"/>
        <v>9.1241887363436594E-2</v>
      </c>
      <c r="AK165" s="128">
        <f t="shared" si="746"/>
        <v>0.10597961777969118</v>
      </c>
      <c r="AL165" s="128">
        <f t="shared" si="746"/>
        <v>0.12386214996930138</v>
      </c>
      <c r="AM165" s="128">
        <f t="shared" si="746"/>
        <v>0.15697381671701904</v>
      </c>
      <c r="AN165" s="128">
        <f t="shared" si="746"/>
        <v>0.11091315540264027</v>
      </c>
      <c r="AO165" s="129">
        <f t="shared" si="746"/>
        <v>0.12508294625082941</v>
      </c>
      <c r="AP165" s="128">
        <f t="shared" si="746"/>
        <v>0.14112273109748735</v>
      </c>
      <c r="AQ165" s="128">
        <f t="shared" si="746"/>
        <v>0.14042102787251554</v>
      </c>
      <c r="AR165" s="128">
        <f t="shared" si="746"/>
        <v>0.15485364215284936</v>
      </c>
      <c r="AS165" s="128">
        <f t="shared" si="746"/>
        <v>0.11419671076846588</v>
      </c>
      <c r="AT165" s="128">
        <f t="shared" si="746"/>
        <v>0.13760623061351068</v>
      </c>
      <c r="AU165" s="128">
        <f t="shared" si="746"/>
        <v>0.1443323740250739</v>
      </c>
      <c r="AV165" s="128">
        <f t="shared" si="746"/>
        <v>0.1524474603991238</v>
      </c>
      <c r="AW165" s="128">
        <f t="shared" si="746"/>
        <v>0.15970654597808315</v>
      </c>
      <c r="AX165" s="128">
        <f t="shared" si="746"/>
        <v>0.16251554029545601</v>
      </c>
      <c r="AY165" s="128">
        <f t="shared" si="746"/>
        <v>0.16589556960054633</v>
      </c>
    </row>
    <row r="166" spans="2:53" x14ac:dyDescent="0.35">
      <c r="B166" s="124" t="s">
        <v>176</v>
      </c>
      <c r="C166" s="154">
        <v>0.14555410999999999</v>
      </c>
      <c r="D166" s="154">
        <v>0.34005352</v>
      </c>
      <c r="E166" s="154">
        <v>0.38164935999999999</v>
      </c>
      <c r="F166" s="154">
        <v>1.6751247</v>
      </c>
      <c r="G166" s="526">
        <v>2.54238169</v>
      </c>
      <c r="H166" s="154">
        <v>3.010355E-2</v>
      </c>
      <c r="I166" s="154">
        <v>1.0643522700000001</v>
      </c>
      <c r="J166" s="154">
        <f>I166+H166</f>
        <v>1.0944558200000001</v>
      </c>
      <c r="K166" s="154">
        <v>0.75777382999999998</v>
      </c>
      <c r="L166" s="154">
        <v>5.4952197300000005</v>
      </c>
      <c r="M166" s="154">
        <f>L166+K166</f>
        <v>6.2529935600000002</v>
      </c>
      <c r="N166" s="153">
        <v>7.3474490000000001</v>
      </c>
      <c r="O166" s="154">
        <v>0.25</v>
      </c>
      <c r="P166" s="154">
        <v>-1</v>
      </c>
      <c r="Q166" s="154">
        <f>P166+O166</f>
        <v>-0.75</v>
      </c>
      <c r="R166" s="154">
        <f>-(-5.021-0.674)</f>
        <v>5.6950000000000003</v>
      </c>
      <c r="S166" s="154">
        <v>13.555</v>
      </c>
      <c r="T166" s="154">
        <f>S166+R166</f>
        <v>19.25</v>
      </c>
      <c r="U166" s="360">
        <f>T166+Q166</f>
        <v>18.5</v>
      </c>
      <c r="V166" s="154">
        <v>-16</v>
      </c>
      <c r="W166" s="154">
        <v>-31.85</v>
      </c>
      <c r="X166" s="154">
        <v>15.842000000000001</v>
      </c>
      <c r="Y166" s="154">
        <v>39.208000000000126</v>
      </c>
      <c r="Z166" s="153">
        <f>SUM(V166:Y166)</f>
        <v>7.2000000000001236</v>
      </c>
      <c r="AA166" s="154">
        <v>-9.1999999999999993</v>
      </c>
      <c r="AB166" s="154">
        <v>46.1</v>
      </c>
      <c r="AC166" s="154">
        <v>-11.6</v>
      </c>
      <c r="AD166" s="154">
        <f>AE166-SUM(AA166:AC166)</f>
        <v>85.80000000000004</v>
      </c>
      <c r="AE166" s="153">
        <v>111.10000000000005</v>
      </c>
      <c r="AF166" s="154">
        <v>-77.3</v>
      </c>
      <c r="AG166" s="154">
        <v>4.5999999999999996</v>
      </c>
      <c r="AH166" s="154">
        <v>42.999999999999993</v>
      </c>
      <c r="AI166" s="154">
        <f>AJ166-SUM(AF166:AH166)</f>
        <v>-38.399999999999984</v>
      </c>
      <c r="AJ166" s="153">
        <v>-68.099999999999994</v>
      </c>
      <c r="AK166" s="154">
        <f>-(7.3-5.9-14.5)</f>
        <v>13.100000000000001</v>
      </c>
      <c r="AL166" s="154">
        <f>(-7.5+7.7+139.9)</f>
        <v>140.1</v>
      </c>
      <c r="AM166" s="154">
        <v>6.100000000000021</v>
      </c>
      <c r="AN166" s="154">
        <f>AO166-SUM(AK166:AM166)</f>
        <v>12.499999999999972</v>
      </c>
      <c r="AO166" s="153">
        <f>173.2+29.6-30.9-0.1</f>
        <v>171.79999999999998</v>
      </c>
      <c r="AP166" s="154">
        <v>1.3</v>
      </c>
      <c r="AQ166" s="154">
        <v>-6.2999999999999812</v>
      </c>
      <c r="AR166" s="154">
        <v>0</v>
      </c>
      <c r="AS166" s="154">
        <f>AT166-SUM(AP166:AR166)</f>
        <v>0.99999999999998135</v>
      </c>
      <c r="AT166" s="154">
        <v>-4</v>
      </c>
      <c r="AU166" s="154">
        <f>AT166-3</f>
        <v>-7</v>
      </c>
      <c r="AV166" s="154">
        <f>AU166-4</f>
        <v>-11</v>
      </c>
      <c r="AW166" s="154">
        <f>AV166-6</f>
        <v>-17</v>
      </c>
      <c r="AX166" s="154">
        <f>AW166-8</f>
        <v>-25</v>
      </c>
      <c r="AY166" s="154">
        <f>AX166-10</f>
        <v>-35</v>
      </c>
    </row>
    <row r="167" spans="2:53" s="110" customFormat="1" x14ac:dyDescent="0.35">
      <c r="B167" s="210" t="s">
        <v>175</v>
      </c>
      <c r="C167" s="211">
        <f>C163-C166</f>
        <v>4.4930460499999949</v>
      </c>
      <c r="D167" s="211">
        <f t="shared" ref="D167:U167" si="747">D163-D166</f>
        <v>5.3994429800000034</v>
      </c>
      <c r="E167" s="211">
        <f t="shared" si="747"/>
        <v>0.63891349000000197</v>
      </c>
      <c r="F167" s="211">
        <f t="shared" si="747"/>
        <v>-7.3848622199999934</v>
      </c>
      <c r="G167" s="527">
        <f t="shared" si="747"/>
        <v>3.1465403199999527</v>
      </c>
      <c r="H167" s="211">
        <f t="shared" si="747"/>
        <v>-33.446299399999994</v>
      </c>
      <c r="I167" s="211">
        <f t="shared" si="747"/>
        <v>3.0366210000000033</v>
      </c>
      <c r="J167" s="211">
        <f>I167+H167</f>
        <v>-30.40967839999999</v>
      </c>
      <c r="K167" s="211">
        <f t="shared" si="747"/>
        <v>13.252515279999995</v>
      </c>
      <c r="L167" s="211">
        <f t="shared" si="747"/>
        <v>-7.283883380000006</v>
      </c>
      <c r="M167" s="211">
        <f>L167+K167</f>
        <v>5.9686318999999894</v>
      </c>
      <c r="N167" s="212">
        <f t="shared" si="747"/>
        <v>-24.441046090000025</v>
      </c>
      <c r="O167" s="211">
        <f t="shared" si="747"/>
        <v>3.6949464991233176</v>
      </c>
      <c r="P167" s="211">
        <f t="shared" si="747"/>
        <v>10.0541154378939</v>
      </c>
      <c r="Q167" s="211">
        <f>P167+O167</f>
        <v>13.749061937017217</v>
      </c>
      <c r="R167" s="211">
        <f t="shared" si="747"/>
        <v>17.615000000000002</v>
      </c>
      <c r="S167" s="211">
        <f t="shared" si="747"/>
        <v>-190.98506193701721</v>
      </c>
      <c r="T167" s="211">
        <f>S167+R167</f>
        <v>-173.3700619370172</v>
      </c>
      <c r="U167" s="369">
        <f t="shared" si="747"/>
        <v>-159.62100000000004</v>
      </c>
      <c r="V167" s="211">
        <f t="shared" ref="V167" si="748">V163-V166</f>
        <v>19.360999999999979</v>
      </c>
      <c r="W167" s="211">
        <f>W163-W166</f>
        <v>58.191000000000017</v>
      </c>
      <c r="X167" s="211">
        <f t="shared" ref="X167" si="749">X163-X166</f>
        <v>24.846000000000011</v>
      </c>
      <c r="Y167" s="211">
        <f t="shared" ref="Y167" si="750">Y163-Y166</f>
        <v>-24.49800000000004</v>
      </c>
      <c r="Z167" s="212">
        <f t="shared" ref="Z167:AA167" si="751">Z163-Z166</f>
        <v>77.900000000000006</v>
      </c>
      <c r="AA167" s="211">
        <f t="shared" si="751"/>
        <v>51.5</v>
      </c>
      <c r="AB167" s="211">
        <f>AB163-AB166</f>
        <v>-6.7000000000000028</v>
      </c>
      <c r="AC167" s="211">
        <f t="shared" ref="AC167:AD167" si="752">AC163-AC166</f>
        <v>69.410901257378839</v>
      </c>
      <c r="AD167" s="211">
        <f t="shared" si="752"/>
        <v>-45.110901257378799</v>
      </c>
      <c r="AE167" s="212">
        <f t="shared" ref="AE167:AF167" si="753">AE163-AE166</f>
        <v>69.099999999999994</v>
      </c>
      <c r="AF167" s="211">
        <f t="shared" si="753"/>
        <v>115.80000000000007</v>
      </c>
      <c r="AG167" s="211">
        <f>AG163-AG166</f>
        <v>42.699999999999996</v>
      </c>
      <c r="AH167" s="211">
        <f t="shared" ref="AH167:AI167" si="754">AH163-AH166</f>
        <v>29.599999999999987</v>
      </c>
      <c r="AI167" s="211">
        <f t="shared" si="754"/>
        <v>91.526067474655008</v>
      </c>
      <c r="AJ167" s="212">
        <f t="shared" ref="AJ167:AK167" si="755">AJ163-AJ166</f>
        <v>279.62606747465509</v>
      </c>
      <c r="AK167" s="211">
        <f t="shared" si="755"/>
        <v>63.89999999999997</v>
      </c>
      <c r="AL167" s="211">
        <f>AL163-AL166</f>
        <v>-47.300000000000011</v>
      </c>
      <c r="AM167" s="211">
        <f t="shared" ref="AM167:AN167" si="756">AM163-AM166</f>
        <v>118.59999999999997</v>
      </c>
      <c r="AN167" s="211">
        <f t="shared" si="756"/>
        <v>70.000000000000028</v>
      </c>
      <c r="AO167" s="212">
        <f t="shared" ref="AO167:AP167" si="757">AO163-AO166</f>
        <v>205.20000000000002</v>
      </c>
      <c r="AP167" s="211">
        <f t="shared" si="757"/>
        <v>116.09999999999974</v>
      </c>
      <c r="AQ167" s="211">
        <f>AQ163-AQ166</f>
        <v>125.69999999999996</v>
      </c>
      <c r="AR167" s="211">
        <f t="shared" ref="AR167:AS167" si="758">AR163-AR166</f>
        <v>142.00986962623884</v>
      </c>
      <c r="AS167" s="211">
        <f t="shared" si="758"/>
        <v>102.10445914312292</v>
      </c>
      <c r="AT167" s="211">
        <f t="shared" ref="AT167" si="759">AT163-AT166</f>
        <v>485.91432876936142</v>
      </c>
      <c r="AU167" s="211">
        <f t="shared" ref="AU167" si="760">AU163-AU166</f>
        <v>607.20967582116498</v>
      </c>
      <c r="AV167" s="211">
        <f t="shared" ref="AV167" si="761">AV163-AV166</f>
        <v>749.16845999391558</v>
      </c>
      <c r="AW167" s="211">
        <f t="shared" ref="AW167" si="762">AW163-AW166</f>
        <v>912.18043384427438</v>
      </c>
      <c r="AX167" s="211">
        <f t="shared" ref="AX167:AY167" si="763">AX163-AX166</f>
        <v>1066.6870252479378</v>
      </c>
      <c r="AY167" s="211">
        <f t="shared" si="763"/>
        <v>1223.2954819688002</v>
      </c>
      <c r="AZ167" s="544"/>
      <c r="BA167" s="119"/>
    </row>
    <row r="168" spans="2:53" x14ac:dyDescent="0.35">
      <c r="B168" s="124" t="s">
        <v>177</v>
      </c>
      <c r="C168" s="128">
        <f>C169/C167</f>
        <v>0.20768020171972221</v>
      </c>
      <c r="D168" s="128">
        <f t="shared" ref="D168:U168" si="764">D169/D167</f>
        <v>0.14243434792231097</v>
      </c>
      <c r="E168" s="128">
        <f t="shared" si="764"/>
        <v>0.67642314141778204</v>
      </c>
      <c r="F168" s="128">
        <f t="shared" si="764"/>
        <v>-0.33655850115508351</v>
      </c>
      <c r="G168" s="513">
        <f t="shared" si="764"/>
        <v>1.4682147406902033</v>
      </c>
      <c r="H168" s="128">
        <f t="shared" si="764"/>
        <v>-1.7135287319708679E-2</v>
      </c>
      <c r="I168" s="128">
        <f t="shared" si="764"/>
        <v>0.67684629724947498</v>
      </c>
      <c r="J168" s="128">
        <f t="shared" si="764"/>
        <v>-8.6434246210246049E-2</v>
      </c>
      <c r="K168" s="128">
        <f t="shared" si="764"/>
        <v>-0.14999503550845938</v>
      </c>
      <c r="L168" s="128">
        <f t="shared" si="764"/>
        <v>-0.3353043524428308</v>
      </c>
      <c r="M168" s="128">
        <f t="shared" si="764"/>
        <v>7.6149159072785244E-2</v>
      </c>
      <c r="N168" s="129">
        <f t="shared" si="764"/>
        <v>-0.12613797251752562</v>
      </c>
      <c r="O168" s="128">
        <f t="shared" si="764"/>
        <v>0.99707412695621256</v>
      </c>
      <c r="P168" s="128">
        <f t="shared" si="764"/>
        <v>0.64650142920594877</v>
      </c>
      <c r="Q168" s="128">
        <f t="shared" ref="Q168" si="765">Q169/Q167</f>
        <v>0.7407149376019676</v>
      </c>
      <c r="R168" s="128">
        <f t="shared" si="764"/>
        <v>0.24978711325574793</v>
      </c>
      <c r="S168" s="128">
        <f t="shared" si="764"/>
        <v>2.0944046405677083E-2</v>
      </c>
      <c r="T168" s="128">
        <f t="shared" ref="T168" si="766">T169/T167</f>
        <v>-2.30720342099961E-3</v>
      </c>
      <c r="U168" s="346">
        <f t="shared" si="764"/>
        <v>-6.6307914088768363E-2</v>
      </c>
      <c r="V168" s="128">
        <f>V169/V167</f>
        <v>0.25969732968338438</v>
      </c>
      <c r="W168" s="128">
        <f>W169/W167</f>
        <v>0.15540203811585979</v>
      </c>
      <c r="X168" s="128">
        <f>X169/X167</f>
        <v>0.1656604684858729</v>
      </c>
      <c r="Y168" s="128">
        <f t="shared" ref="Y168:Z168" si="767">Y169/Y167</f>
        <v>-8.2169973059025306E-2</v>
      </c>
      <c r="Z168" s="129">
        <f t="shared" si="767"/>
        <v>0.25930680359435176</v>
      </c>
      <c r="AA168" s="128">
        <f>AA169/AA167</f>
        <v>0.13786407766990291</v>
      </c>
      <c r="AB168" s="128">
        <f>AB169/AB167</f>
        <v>1.4925373134328352</v>
      </c>
      <c r="AC168" s="128">
        <v>0.14021164021163962</v>
      </c>
      <c r="AD168" s="128">
        <f t="shared" ref="AD168" si="768">AD169/AD167</f>
        <v>0.40379485090023676</v>
      </c>
      <c r="AE168" s="129">
        <v>-0.10744985673352435</v>
      </c>
      <c r="AF168" s="128">
        <f>AF169/AF167</f>
        <v>0.21070811744386861</v>
      </c>
      <c r="AG168" s="128">
        <v>0.204432964874941</v>
      </c>
      <c r="AH168" s="128">
        <v>-1.924450355595652E-2</v>
      </c>
      <c r="AI168" s="128">
        <f t="shared" ref="AI168" si="769">AI169/AI167</f>
        <v>2.1237116548477458E-2</v>
      </c>
      <c r="AJ168" s="129">
        <v>0.10852375138089565</v>
      </c>
      <c r="AK168" s="128">
        <f>AK169/AK167</f>
        <v>0.11267605633802823</v>
      </c>
      <c r="AL168" s="128">
        <f>AL169/AL167</f>
        <v>0.13530655391120505</v>
      </c>
      <c r="AM168" s="128">
        <v>-2.1421104643526145E-3</v>
      </c>
      <c r="AN168" s="128">
        <f t="shared" ref="AN168" si="770">AN169/AN167</f>
        <v>1.4270996187062256E-2</v>
      </c>
      <c r="AO168" s="129">
        <v>5.7374541003672036E-3</v>
      </c>
      <c r="AP168" s="128">
        <v>9.4625563687440156E-2</v>
      </c>
      <c r="AQ168" s="128">
        <v>0.15144863915715548</v>
      </c>
      <c r="AR168" s="128">
        <v>0.19</v>
      </c>
      <c r="AS168" s="128">
        <f t="shared" ref="AS168" si="771">AS169/AS167</f>
        <v>0.39844270507045648</v>
      </c>
      <c r="AT168" s="127">
        <v>0.19</v>
      </c>
      <c r="AU168" s="127">
        <v>0.22500000000000001</v>
      </c>
      <c r="AV168" s="127">
        <f t="shared" ref="AV168:AY168" si="772">AU168</f>
        <v>0.22500000000000001</v>
      </c>
      <c r="AW168" s="127">
        <f t="shared" si="772"/>
        <v>0.22500000000000001</v>
      </c>
      <c r="AX168" s="127">
        <f t="shared" si="772"/>
        <v>0.22500000000000001</v>
      </c>
      <c r="AY168" s="127">
        <f t="shared" si="772"/>
        <v>0.22500000000000001</v>
      </c>
    </row>
    <row r="169" spans="2:53" x14ac:dyDescent="0.35">
      <c r="B169" s="124" t="s">
        <v>81</v>
      </c>
      <c r="C169" s="154">
        <v>0.93311670999999996</v>
      </c>
      <c r="D169" s="154">
        <v>0.76906614000000006</v>
      </c>
      <c r="E169" s="154">
        <v>0.43217587000000002</v>
      </c>
      <c r="F169" s="154">
        <v>2.4854381600000002</v>
      </c>
      <c r="G169" s="526">
        <v>4.61979688</v>
      </c>
      <c r="H169" s="154">
        <v>0.57311194999999993</v>
      </c>
      <c r="I169" s="154">
        <v>2.0553256800000002</v>
      </c>
      <c r="J169" s="154">
        <f>I169+H169</f>
        <v>2.6284376300000001</v>
      </c>
      <c r="K169" s="154">
        <v>-1.9878115000000001</v>
      </c>
      <c r="L169" s="154">
        <v>2.4423177999999997</v>
      </c>
      <c r="M169" s="154">
        <f>L169+K169</f>
        <v>0.45450629999999959</v>
      </c>
      <c r="N169" s="153">
        <v>3.0829439999999999</v>
      </c>
      <c r="O169" s="154">
        <f>(O153-O157-O160-O166)*0.27</f>
        <v>3.6841355547632961</v>
      </c>
      <c r="P169" s="154">
        <v>6.5</v>
      </c>
      <c r="Q169" s="154">
        <f>P169+O169</f>
        <v>10.184135554763296</v>
      </c>
      <c r="R169" s="154">
        <v>4.4000000000000004</v>
      </c>
      <c r="S169" s="154">
        <v>-4</v>
      </c>
      <c r="T169" s="154">
        <f>S169+R169</f>
        <v>0.40000000000000036</v>
      </c>
      <c r="U169" s="360">
        <f>T169+Q169</f>
        <v>10.584135554763296</v>
      </c>
      <c r="V169" s="154">
        <v>5.0279999999999996</v>
      </c>
      <c r="W169" s="154">
        <v>9.0429999999999993</v>
      </c>
      <c r="X169" s="154">
        <v>4.1159999999999997</v>
      </c>
      <c r="Y169" s="154">
        <v>2.0130000000000052</v>
      </c>
      <c r="Z169" s="153">
        <f>SUM(V169:Y169)</f>
        <v>20.200000000000003</v>
      </c>
      <c r="AA169" s="154">
        <v>7.1</v>
      </c>
      <c r="AB169" s="154">
        <v>-10</v>
      </c>
      <c r="AC169" s="154">
        <f t="shared" ref="AC169" si="773">AC168*(AC153-AC157-AC166-(AC161*0.1))</f>
        <v>10.615549647198575</v>
      </c>
      <c r="AD169" s="154">
        <f>AE169-SUM(AA169:AC169)</f>
        <v>-18.215549647198575</v>
      </c>
      <c r="AE169" s="153">
        <f>AE168*(AE153-AE157-AE166-(AE161*0.1))</f>
        <v>-10.5</v>
      </c>
      <c r="AF169" s="154">
        <v>24.4</v>
      </c>
      <c r="AG169" s="154">
        <f t="shared" ref="AG169:AH169" si="774">AG168*(AG153-AG157-AG166-(AG161*0.1))</f>
        <v>11.899999999999954</v>
      </c>
      <c r="AH169" s="154">
        <f t="shared" si="774"/>
        <v>-0.91430636394349385</v>
      </c>
      <c r="AI169" s="154">
        <f>AJ169-SUM(AF169:AH169)</f>
        <v>1.9437497621830602</v>
      </c>
      <c r="AJ169" s="153">
        <f>AJ168*(AJ153-AJ157-AJ166-(AJ161*0.1))</f>
        <v>37.329443398239519</v>
      </c>
      <c r="AK169" s="154">
        <v>7.2</v>
      </c>
      <c r="AL169" s="154">
        <v>-6.4</v>
      </c>
      <c r="AM169" s="154">
        <f t="shared" ref="AM169" si="775">AM168*(AM153-AM157-AM166-(AM161*0.1))</f>
        <v>-0.29839598768431913</v>
      </c>
      <c r="AN169" s="154">
        <f>AO169-SUM(AK169:AM169)</f>
        <v>0.99896973309435833</v>
      </c>
      <c r="AO169" s="153">
        <f t="shared" ref="AO169:AY169" si="776">AO168*(AO153-AO157-AO166-(AO161*0.1))</f>
        <v>1.500573745410039</v>
      </c>
      <c r="AP169" s="154">
        <f t="shared" ref="AP169:AR169" si="777">AP168*(AP153-AP157-AP166-(AP161*0.1))</f>
        <v>12.800000000000004</v>
      </c>
      <c r="AQ169" s="154">
        <f t="shared" si="777"/>
        <v>20.700000000000003</v>
      </c>
      <c r="AR169" s="154">
        <f t="shared" si="777"/>
        <v>30.1182157591122</v>
      </c>
      <c r="AS169" s="154">
        <f>AT169-SUM(AP169:AR169)</f>
        <v>40.6827769007418</v>
      </c>
      <c r="AT169" s="154">
        <f t="shared" si="776"/>
        <v>104.300992659854</v>
      </c>
      <c r="AU169" s="154">
        <f t="shared" si="776"/>
        <v>153.46420022674351</v>
      </c>
      <c r="AV169" s="154">
        <f t="shared" si="776"/>
        <v>188.17347789028247</v>
      </c>
      <c r="AW169" s="154">
        <f t="shared" si="776"/>
        <v>227.94148776862423</v>
      </c>
      <c r="AX169" s="154">
        <f t="shared" si="776"/>
        <v>265.96414396060675</v>
      </c>
      <c r="AY169" s="154">
        <f t="shared" si="776"/>
        <v>304.2512798682958</v>
      </c>
    </row>
    <row r="170" spans="2:53" s="110" customFormat="1" x14ac:dyDescent="0.35">
      <c r="B170" s="123" t="s">
        <v>178</v>
      </c>
      <c r="C170" s="125">
        <f>C167-C169</f>
        <v>3.5599293399999947</v>
      </c>
      <c r="D170" s="125">
        <f t="shared" ref="D170:U170" si="778">D167-D169</f>
        <v>4.6303768400000038</v>
      </c>
      <c r="E170" s="125">
        <f t="shared" si="778"/>
        <v>0.20673762000000195</v>
      </c>
      <c r="F170" s="125">
        <f t="shared" si="778"/>
        <v>-9.8703003799999927</v>
      </c>
      <c r="G170" s="515">
        <f t="shared" si="778"/>
        <v>-1.4732565600000473</v>
      </c>
      <c r="H170" s="125">
        <f t="shared" si="778"/>
        <v>-34.019411349999992</v>
      </c>
      <c r="I170" s="125">
        <f t="shared" si="778"/>
        <v>0.98129532000000319</v>
      </c>
      <c r="J170" s="125">
        <f>I170+H170</f>
        <v>-33.038116029999991</v>
      </c>
      <c r="K170" s="125">
        <f t="shared" si="778"/>
        <v>15.240326779999995</v>
      </c>
      <c r="L170" s="125">
        <f t="shared" si="778"/>
        <v>-9.7262011800000057</v>
      </c>
      <c r="M170" s="125">
        <f>L170+K170</f>
        <v>5.5141255999999892</v>
      </c>
      <c r="N170" s="126">
        <f t="shared" si="778"/>
        <v>-27.523990090000026</v>
      </c>
      <c r="O170" s="125">
        <f t="shared" si="778"/>
        <v>1.0810944360021502E-2</v>
      </c>
      <c r="P170" s="125">
        <f t="shared" si="778"/>
        <v>3.5541154378939002</v>
      </c>
      <c r="Q170" s="125">
        <f>P170+O170</f>
        <v>3.5649263822539217</v>
      </c>
      <c r="R170" s="125">
        <f t="shared" si="778"/>
        <v>13.215000000000002</v>
      </c>
      <c r="S170" s="125">
        <f t="shared" si="778"/>
        <v>-186.98506193701721</v>
      </c>
      <c r="T170" s="125">
        <f>S170+R170</f>
        <v>-173.7700619370172</v>
      </c>
      <c r="U170" s="350">
        <f t="shared" si="778"/>
        <v>-170.20513555476333</v>
      </c>
      <c r="V170" s="125">
        <f t="shared" ref="V170" si="779">V167-V169</f>
        <v>14.332999999999981</v>
      </c>
      <c r="W170" s="125">
        <f t="shared" ref="W170" si="780">W167-W169</f>
        <v>49.148000000000017</v>
      </c>
      <c r="X170" s="125">
        <f t="shared" ref="X170" si="781">X167-X169</f>
        <v>20.730000000000011</v>
      </c>
      <c r="Y170" s="125">
        <f t="shared" ref="Y170:AC170" si="782">Y167-Y169</f>
        <v>-26.511000000000045</v>
      </c>
      <c r="Z170" s="126">
        <f t="shared" si="782"/>
        <v>57.7</v>
      </c>
      <c r="AA170" s="125">
        <f t="shared" si="782"/>
        <v>44.4</v>
      </c>
      <c r="AB170" s="125">
        <f t="shared" si="782"/>
        <v>3.2999999999999972</v>
      </c>
      <c r="AC170" s="125">
        <f t="shared" si="782"/>
        <v>58.795351610180262</v>
      </c>
      <c r="AD170" s="125">
        <f t="shared" ref="AD170" si="783">AD167-AD169</f>
        <v>-26.895351610180224</v>
      </c>
      <c r="AE170" s="126">
        <f t="shared" ref="AE170:AI170" si="784">AE167-AE169</f>
        <v>79.599999999999994</v>
      </c>
      <c r="AF170" s="125">
        <f t="shared" si="784"/>
        <v>91.400000000000063</v>
      </c>
      <c r="AG170" s="125">
        <f t="shared" si="784"/>
        <v>30.80000000000004</v>
      </c>
      <c r="AH170" s="125">
        <f t="shared" si="784"/>
        <v>30.514306363943483</v>
      </c>
      <c r="AI170" s="125">
        <f t="shared" si="784"/>
        <v>89.582317712471948</v>
      </c>
      <c r="AJ170" s="126">
        <f t="shared" ref="AJ170:AN170" si="785">AJ167-AJ169</f>
        <v>242.29662407641558</v>
      </c>
      <c r="AK170" s="125">
        <f t="shared" si="785"/>
        <v>56.699999999999967</v>
      </c>
      <c r="AL170" s="125">
        <f t="shared" si="785"/>
        <v>-40.900000000000013</v>
      </c>
      <c r="AM170" s="125">
        <f t="shared" si="785"/>
        <v>118.89839598768428</v>
      </c>
      <c r="AN170" s="125">
        <f t="shared" si="785"/>
        <v>69.001030266905673</v>
      </c>
      <c r="AO170" s="126">
        <f t="shared" ref="AO170:AS170" si="786">AO167-AO169</f>
        <v>203.69942625458998</v>
      </c>
      <c r="AP170" s="125">
        <f t="shared" si="786"/>
        <v>103.29999999999973</v>
      </c>
      <c r="AQ170" s="125">
        <f t="shared" si="786"/>
        <v>104.99999999999996</v>
      </c>
      <c r="AR170" s="125">
        <f t="shared" si="786"/>
        <v>111.89165386712664</v>
      </c>
      <c r="AS170" s="125">
        <f t="shared" si="786"/>
        <v>61.421682242381124</v>
      </c>
      <c r="AT170" s="125">
        <f t="shared" ref="AT170" si="787">AT167-AT169</f>
        <v>381.61333610950743</v>
      </c>
      <c r="AU170" s="125">
        <f t="shared" ref="AU170" si="788">AU167-AU169</f>
        <v>453.74547559442146</v>
      </c>
      <c r="AV170" s="125">
        <f t="shared" ref="AV170" si="789">AV167-AV169</f>
        <v>560.99498210363311</v>
      </c>
      <c r="AW170" s="125">
        <f t="shared" ref="AW170" si="790">AW167-AW169</f>
        <v>684.23894607565012</v>
      </c>
      <c r="AX170" s="125">
        <f t="shared" ref="AX170:AY170" si="791">AX167-AX169</f>
        <v>800.72288128733101</v>
      </c>
      <c r="AY170" s="125">
        <f t="shared" si="791"/>
        <v>919.04420210050444</v>
      </c>
    </row>
    <row r="171" spans="2:53" x14ac:dyDescent="0.35">
      <c r="B171" s="124" t="s">
        <v>170</v>
      </c>
      <c r="H171" s="128"/>
      <c r="I171" s="128"/>
      <c r="J171" s="128"/>
      <c r="K171" s="128"/>
      <c r="L171" s="128"/>
      <c r="M171" s="128"/>
      <c r="N171" s="129"/>
      <c r="O171" s="128"/>
      <c r="P171" s="128"/>
      <c r="Q171" s="128"/>
      <c r="R171" s="128"/>
      <c r="S171" s="128"/>
      <c r="T171" s="128"/>
      <c r="U171" s="346"/>
      <c r="V171" s="128"/>
      <c r="W171" s="128"/>
      <c r="X171" s="128"/>
      <c r="Y171" s="128"/>
      <c r="Z171" s="129"/>
      <c r="AA171" s="128"/>
      <c r="AB171" s="128"/>
      <c r="AC171" s="128"/>
      <c r="AD171" s="128"/>
      <c r="AE171" s="129"/>
      <c r="AF171" s="128"/>
      <c r="AG171" s="128"/>
      <c r="AH171" s="128"/>
      <c r="AI171" s="128"/>
      <c r="AJ171" s="129">
        <f>AJ170/AE170-1</f>
        <v>2.0439274381459245</v>
      </c>
      <c r="AK171" s="128"/>
      <c r="AL171" s="128"/>
      <c r="AM171" s="128"/>
      <c r="AN171" s="128"/>
      <c r="AO171" s="129">
        <f>AO170/AJ170-1</f>
        <v>-0.15929729920484903</v>
      </c>
      <c r="AP171" s="128"/>
      <c r="AQ171" s="128"/>
      <c r="AR171" s="128"/>
      <c r="AS171" s="128"/>
      <c r="AT171" s="128">
        <f>AT170/AO170-1</f>
        <v>0.87341389775224521</v>
      </c>
      <c r="AU171" s="128">
        <f t="shared" ref="AU171:AY171" si="792">AU170/AT170-1</f>
        <v>0.18901891694952466</v>
      </c>
      <c r="AV171" s="128">
        <f t="shared" si="792"/>
        <v>0.23636490560861523</v>
      </c>
      <c r="AW171" s="128">
        <f t="shared" si="792"/>
        <v>0.21968817530216356</v>
      </c>
      <c r="AX171" s="128">
        <f t="shared" si="792"/>
        <v>0.17023868033200551</v>
      </c>
      <c r="AY171" s="128">
        <f t="shared" si="792"/>
        <v>0.14776812749867596</v>
      </c>
    </row>
    <row r="172" spans="2:53" x14ac:dyDescent="0.35">
      <c r="B172" s="124" t="s">
        <v>564</v>
      </c>
      <c r="H172" s="128"/>
      <c r="I172" s="128"/>
      <c r="J172" s="128"/>
      <c r="K172" s="128"/>
      <c r="L172" s="128"/>
      <c r="M172" s="128"/>
      <c r="N172" s="129"/>
      <c r="O172" s="128"/>
      <c r="P172" s="128"/>
      <c r="Q172" s="128"/>
      <c r="R172" s="128"/>
      <c r="S172" s="128"/>
      <c r="T172" s="128"/>
      <c r="U172" s="346"/>
      <c r="V172" s="128"/>
      <c r="W172" s="128"/>
      <c r="X172" s="128"/>
      <c r="Y172" s="128"/>
      <c r="Z172" s="129"/>
      <c r="AA172" s="128"/>
      <c r="AB172" s="128"/>
      <c r="AC172" s="128"/>
      <c r="AD172" s="128"/>
      <c r="AE172" s="129"/>
      <c r="AF172" s="128"/>
      <c r="AG172" s="128"/>
      <c r="AH172" s="128"/>
      <c r="AI172" s="128"/>
      <c r="AJ172" s="129"/>
      <c r="AK172" s="128"/>
      <c r="AL172" s="128"/>
      <c r="AM172" s="128"/>
      <c r="AN172" s="128"/>
      <c r="AO172" s="129"/>
      <c r="AP172" s="128"/>
      <c r="AQ172" s="128"/>
      <c r="AR172" s="128"/>
      <c r="AS172" s="128"/>
      <c r="AT172" s="128"/>
      <c r="AU172" s="159">
        <f>AT174*1.015</f>
        <v>304.48299874999998</v>
      </c>
      <c r="AV172" s="159">
        <f>AU173*1.015</f>
        <v>297.80708873124996</v>
      </c>
      <c r="AW172" s="159">
        <f t="shared" ref="AW172:AY172" si="793">AV173*1.015</f>
        <v>291.03104006221866</v>
      </c>
      <c r="AX172" s="159">
        <f t="shared" si="793"/>
        <v>284.15335066315191</v>
      </c>
      <c r="AY172" s="159">
        <f t="shared" si="793"/>
        <v>277.17249592309918</v>
      </c>
    </row>
    <row r="173" spans="2:53" x14ac:dyDescent="0.35">
      <c r="B173" s="124" t="s">
        <v>565</v>
      </c>
      <c r="H173" s="128"/>
      <c r="I173" s="128"/>
      <c r="J173" s="128"/>
      <c r="K173" s="128"/>
      <c r="L173" s="128"/>
      <c r="M173" s="128"/>
      <c r="N173" s="129"/>
      <c r="O173" s="128"/>
      <c r="P173" s="128"/>
      <c r="Q173" s="128"/>
      <c r="R173" s="128"/>
      <c r="S173" s="128"/>
      <c r="T173" s="128"/>
      <c r="U173" s="346"/>
      <c r="V173" s="128"/>
      <c r="W173" s="128"/>
      <c r="X173" s="128"/>
      <c r="Y173" s="128"/>
      <c r="Z173" s="129"/>
      <c r="AA173" s="128"/>
      <c r="AB173" s="128"/>
      <c r="AC173" s="128"/>
      <c r="AD173" s="128"/>
      <c r="AE173" s="129"/>
      <c r="AF173" s="128"/>
      <c r="AG173" s="128"/>
      <c r="AH173" s="128"/>
      <c r="AI173" s="128"/>
      <c r="AJ173" s="129"/>
      <c r="AK173" s="128"/>
      <c r="AL173" s="128"/>
      <c r="AM173" s="128"/>
      <c r="AN173" s="128"/>
      <c r="AO173" s="129"/>
      <c r="AP173" s="128"/>
      <c r="AQ173" s="128"/>
      <c r="AR173" s="128"/>
      <c r="AS173" s="128"/>
      <c r="AT173" s="128"/>
      <c r="AU173" s="159">
        <f>AU172+(AU205*FX!AQ5/30)</f>
        <v>293.40599874999998</v>
      </c>
      <c r="AV173" s="159">
        <f>AV172+(AV205*FX!AR5/30)</f>
        <v>286.73008873124996</v>
      </c>
      <c r="AW173" s="159">
        <f>AW172+(AW205*FX!AS5/30)</f>
        <v>279.95404006221867</v>
      </c>
      <c r="AX173" s="159">
        <f>AX172+(AX205*FX!AT5/30)</f>
        <v>273.07635066315191</v>
      </c>
      <c r="AY173" s="159">
        <f>AY172+(AY205*FX!AU5/30)</f>
        <v>266.09549592309918</v>
      </c>
    </row>
    <row r="174" spans="2:53" x14ac:dyDescent="0.35">
      <c r="B174" s="124" t="s">
        <v>563</v>
      </c>
      <c r="H174" s="128"/>
      <c r="I174" s="128"/>
      <c r="J174" s="128"/>
      <c r="K174" s="128"/>
      <c r="L174" s="128"/>
      <c r="M174" s="128"/>
      <c r="N174" s="129"/>
      <c r="O174" s="159">
        <f>U174</f>
        <v>264.17099999999999</v>
      </c>
      <c r="P174" s="159">
        <f t="shared" ref="P174:T175" si="794">O174</f>
        <v>264.17099999999999</v>
      </c>
      <c r="Q174" s="159">
        <f t="shared" si="794"/>
        <v>264.17099999999999</v>
      </c>
      <c r="R174" s="159">
        <f t="shared" si="794"/>
        <v>264.17099999999999</v>
      </c>
      <c r="S174" s="159">
        <f t="shared" si="794"/>
        <v>264.17099999999999</v>
      </c>
      <c r="T174" s="159">
        <f t="shared" si="794"/>
        <v>264.17099999999999</v>
      </c>
      <c r="U174" s="364">
        <v>264.17099999999999</v>
      </c>
      <c r="V174" s="159">
        <v>280.84899999999999</v>
      </c>
      <c r="W174" s="159">
        <v>282.18200000000002</v>
      </c>
      <c r="X174" s="159">
        <v>281.89069999999998</v>
      </c>
      <c r="Y174" s="159">
        <f>X174+X174-W174</f>
        <v>281.59939999999995</v>
      </c>
      <c r="Z174" s="161">
        <f>AVERAGE(V174:Y174)</f>
        <v>281.63027499999998</v>
      </c>
      <c r="AA174" s="159">
        <v>283.5</v>
      </c>
      <c r="AB174" s="159">
        <v>283.39999999999998</v>
      </c>
      <c r="AC174" s="159">
        <v>284.49200000000002</v>
      </c>
      <c r="AD174" s="159">
        <f>AE174</f>
        <v>284.26280000000003</v>
      </c>
      <c r="AE174" s="161">
        <v>284.26280000000003</v>
      </c>
      <c r="AF174" s="159">
        <v>287.65100000000001</v>
      </c>
      <c r="AG174" s="159">
        <f t="shared" ref="AG174:AG175" si="795">AE174+AB174-Z174</f>
        <v>286.03252500000008</v>
      </c>
      <c r="AH174" s="159">
        <v>288.654</v>
      </c>
      <c r="AI174" s="159">
        <f>AJ174</f>
        <v>288.46537999999998</v>
      </c>
      <c r="AJ174" s="161">
        <v>288.46537999999998</v>
      </c>
      <c r="AK174" s="159">
        <v>291.58</v>
      </c>
      <c r="AL174" s="159">
        <v>295.53120999999999</v>
      </c>
      <c r="AM174" s="159">
        <v>296.47199999999998</v>
      </c>
      <c r="AN174" s="159">
        <f>AO174</f>
        <v>295.55</v>
      </c>
      <c r="AO174" s="161">
        <v>295.55</v>
      </c>
      <c r="AP174" s="159">
        <v>299.2</v>
      </c>
      <c r="AQ174" s="159">
        <v>300.39999999999998</v>
      </c>
      <c r="AR174" s="159">
        <f>((AQ174+($AT$174-$AN$174)/4))</f>
        <v>301.50831249999999</v>
      </c>
      <c r="AS174" s="159">
        <f>((AR174+($AT$174-$AN$174)/4))</f>
        <v>302.616625</v>
      </c>
      <c r="AT174" s="159">
        <f>AO174*1.015</f>
        <v>299.98325</v>
      </c>
      <c r="AU174" s="159">
        <f>AVERAGE(AU172:AU173)</f>
        <v>298.94449874999998</v>
      </c>
      <c r="AV174" s="159">
        <f t="shared" ref="AV174:AW174" si="796">AVERAGE(AV172:AV173)</f>
        <v>292.26858873124996</v>
      </c>
      <c r="AW174" s="159">
        <f t="shared" si="796"/>
        <v>285.49254006221867</v>
      </c>
      <c r="AX174" s="159">
        <f t="shared" ref="AX174" si="797">AVERAGE(AX172:AX173)</f>
        <v>278.61485066315191</v>
      </c>
      <c r="AY174" s="159">
        <f t="shared" ref="AY174" si="798">AVERAGE(AY172:AY173)</f>
        <v>271.63399592309918</v>
      </c>
    </row>
    <row r="175" spans="2:53" x14ac:dyDescent="0.35">
      <c r="B175" s="124" t="s">
        <v>370</v>
      </c>
      <c r="H175" s="128"/>
      <c r="I175" s="128"/>
      <c r="J175" s="128"/>
      <c r="K175" s="128"/>
      <c r="L175" s="128"/>
      <c r="M175" s="128"/>
      <c r="N175" s="129"/>
      <c r="O175" s="159">
        <f>U175</f>
        <v>264.17099999999999</v>
      </c>
      <c r="P175" s="159">
        <f t="shared" si="794"/>
        <v>264.17099999999999</v>
      </c>
      <c r="Q175" s="159">
        <f t="shared" si="794"/>
        <v>264.17099999999999</v>
      </c>
      <c r="R175" s="159">
        <f t="shared" si="794"/>
        <v>264.17099999999999</v>
      </c>
      <c r="S175" s="159">
        <f t="shared" si="794"/>
        <v>264.17099999999999</v>
      </c>
      <c r="T175" s="159">
        <f t="shared" si="794"/>
        <v>264.17099999999999</v>
      </c>
      <c r="U175" s="364">
        <f>U174</f>
        <v>264.17099999999999</v>
      </c>
      <c r="V175" s="159">
        <v>284.351</v>
      </c>
      <c r="W175" s="159">
        <v>284.42399999999998</v>
      </c>
      <c r="X175" s="159">
        <v>284.42649999999998</v>
      </c>
      <c r="Y175" s="159">
        <f>X175+X175-W175</f>
        <v>284.42899999999997</v>
      </c>
      <c r="Z175" s="161">
        <f>AVERAGE(V175:Y175)</f>
        <v>284.40762499999994</v>
      </c>
      <c r="AA175" s="159">
        <f>AA174+3.29</f>
        <v>286.79000000000002</v>
      </c>
      <c r="AB175" s="159">
        <f>AB174+3.356</f>
        <v>286.75599999999997</v>
      </c>
      <c r="AC175" s="159">
        <v>288.03100000000001</v>
      </c>
      <c r="AD175" s="159">
        <f>AE175</f>
        <v>287.56889999999999</v>
      </c>
      <c r="AE175" s="161">
        <v>287.56889999999999</v>
      </c>
      <c r="AF175" s="159">
        <v>291.00700000000001</v>
      </c>
      <c r="AG175" s="159">
        <f t="shared" si="795"/>
        <v>289.91727500000002</v>
      </c>
      <c r="AH175" s="159">
        <v>292.37799999999999</v>
      </c>
      <c r="AI175" s="159">
        <f>AJ175</f>
        <v>292.252861</v>
      </c>
      <c r="AJ175" s="161">
        <v>292.252861</v>
      </c>
      <c r="AK175" s="159">
        <f>AK174+3.127</f>
        <v>294.70699999999999</v>
      </c>
      <c r="AL175" s="159">
        <v>298.83166199999999</v>
      </c>
      <c r="AM175" s="159">
        <v>299.399</v>
      </c>
      <c r="AN175" s="159">
        <f>AO175</f>
        <v>298.779</v>
      </c>
      <c r="AO175" s="161">
        <v>298.779</v>
      </c>
      <c r="AP175" s="159">
        <f>AP174+2.438</f>
        <v>301.63799999999998</v>
      </c>
      <c r="AQ175" s="159">
        <v>302.10000000000002</v>
      </c>
      <c r="AR175" s="159">
        <f>AQ175</f>
        <v>302.10000000000002</v>
      </c>
      <c r="AS175" s="159">
        <f t="shared" ref="AS175" si="799">AR175*(1+(0.015/4))</f>
        <v>303.23287499999998</v>
      </c>
      <c r="AT175" s="159">
        <f>AO175*1.015</f>
        <v>303.26068499999997</v>
      </c>
      <c r="AU175" s="159">
        <f t="shared" ref="AU175:AY175" si="800">AT175*1.015</f>
        <v>307.80959527499994</v>
      </c>
      <c r="AV175" s="159">
        <f t="shared" si="800"/>
        <v>312.42673920412489</v>
      </c>
      <c r="AW175" s="159">
        <f t="shared" si="800"/>
        <v>317.11314029218676</v>
      </c>
      <c r="AX175" s="159">
        <f t="shared" si="800"/>
        <v>321.86983739656955</v>
      </c>
      <c r="AY175" s="159">
        <f t="shared" si="800"/>
        <v>326.69788495751806</v>
      </c>
    </row>
    <row r="176" spans="2:53" x14ac:dyDescent="0.35">
      <c r="B176" s="124" t="s">
        <v>283</v>
      </c>
      <c r="H176" s="128"/>
      <c r="I176" s="128"/>
      <c r="J176" s="128"/>
      <c r="K176" s="128"/>
      <c r="L176" s="128"/>
      <c r="M176" s="128"/>
      <c r="N176" s="129"/>
      <c r="O176" s="172">
        <f t="shared" ref="O176:U176" si="801">O170*0.9/O174</f>
        <v>3.6831635281765792E-5</v>
      </c>
      <c r="P176" s="172">
        <f t="shared" si="801"/>
        <v>1.2108459649637962E-2</v>
      </c>
      <c r="Q176" s="172">
        <f t="shared" si="801"/>
        <v>1.2145291284919729E-2</v>
      </c>
      <c r="R176" s="172">
        <f t="shared" si="801"/>
        <v>4.5021974402943553E-2</v>
      </c>
      <c r="S176" s="172">
        <f t="shared" si="801"/>
        <v>-0.63703644890360978</v>
      </c>
      <c r="T176" s="172">
        <f t="shared" si="801"/>
        <v>-0.59201447450066624</v>
      </c>
      <c r="U176" s="467">
        <f t="shared" si="801"/>
        <v>-0.57986918321574665</v>
      </c>
      <c r="V176" s="172">
        <f>V170*0.891/V174</f>
        <v>4.5471776648661678E-2</v>
      </c>
      <c r="W176" s="172">
        <f t="shared" ref="W176:AY176" si="802">W170*0.891/W174</f>
        <v>0.15518661006017398</v>
      </c>
      <c r="X176" s="172">
        <f t="shared" si="802"/>
        <v>6.5523374839964607E-2</v>
      </c>
      <c r="Y176" s="172">
        <f t="shared" si="802"/>
        <v>-8.3882639664715361E-2</v>
      </c>
      <c r="Z176" s="467">
        <f>Z170*0.891/Z174</f>
        <v>0.18254678052634793</v>
      </c>
      <c r="AA176" s="172">
        <f>AA170*0.891/AA174</f>
        <v>0.13954285714285714</v>
      </c>
      <c r="AB176" s="172">
        <f t="shared" ref="AB176:AD176" si="803">AB170*0.891/AB174</f>
        <v>1.0375088214537748E-2</v>
      </c>
      <c r="AC176" s="172">
        <f t="shared" si="803"/>
        <v>0.18414105944866854</v>
      </c>
      <c r="AD176" s="172">
        <f t="shared" si="803"/>
        <v>-8.4301422080801908E-2</v>
      </c>
      <c r="AE176" s="467">
        <f t="shared" si="802"/>
        <v>0.24950011046116477</v>
      </c>
      <c r="AF176" s="172">
        <f>AF170*0.891/AF174</f>
        <v>0.28311182648417721</v>
      </c>
      <c r="AG176" s="172">
        <f t="shared" ref="AG176:AI176" si="804">AG170*0.891/AG174</f>
        <v>9.5942935160957768E-2</v>
      </c>
      <c r="AH176" s="172">
        <f t="shared" si="804"/>
        <v>9.4189746098351804E-2</v>
      </c>
      <c r="AI176" s="172">
        <f t="shared" si="804"/>
        <v>0.27669817806841329</v>
      </c>
      <c r="AJ176" s="467">
        <f t="shared" si="802"/>
        <v>0.74839584581028851</v>
      </c>
      <c r="AK176" s="172">
        <f>AK170*0.891/AK174</f>
        <v>0.1732618835311063</v>
      </c>
      <c r="AL176" s="172">
        <f t="shared" ref="AL176:AN176" si="805">AL170*0.891/AL174</f>
        <v>-0.12330981895279355</v>
      </c>
      <c r="AM176" s="172">
        <f t="shared" si="805"/>
        <v>0.3573304420823103</v>
      </c>
      <c r="AN176" s="172">
        <f t="shared" si="805"/>
        <v>0.20801867016685147</v>
      </c>
      <c r="AO176" s="467">
        <f t="shared" si="802"/>
        <v>0.61409639246435355</v>
      </c>
      <c r="AP176" s="172">
        <f>AP170*0.891/AP174</f>
        <v>0.30762132352941096</v>
      </c>
      <c r="AQ176" s="172">
        <f t="shared" ref="AQ176:AS176" si="806">AQ170*0.891/AQ174</f>
        <v>0.31143475366178419</v>
      </c>
      <c r="AR176" s="172">
        <f t="shared" si="806"/>
        <v>0.33065577120899392</v>
      </c>
      <c r="AS176" s="172">
        <f t="shared" si="806"/>
        <v>0.18084505065761533</v>
      </c>
      <c r="AT176" s="172">
        <f t="shared" si="802"/>
        <v>1.1334548928100856</v>
      </c>
      <c r="AU176" s="172">
        <f t="shared" si="802"/>
        <v>1.3523821995223437</v>
      </c>
      <c r="AV176" s="172">
        <f t="shared" si="802"/>
        <v>1.7102300703068762</v>
      </c>
      <c r="AW176" s="172">
        <f t="shared" si="802"/>
        <v>2.1354565020176675</v>
      </c>
      <c r="AX176" s="172">
        <f t="shared" si="802"/>
        <v>2.5606821945380536</v>
      </c>
      <c r="AY176" s="172">
        <f t="shared" si="802"/>
        <v>3.0146019878284118</v>
      </c>
    </row>
    <row r="177" spans="2:51" x14ac:dyDescent="0.35">
      <c r="B177" s="124" t="s">
        <v>284</v>
      </c>
      <c r="H177" s="128"/>
      <c r="I177" s="128"/>
      <c r="J177" s="128"/>
      <c r="K177" s="128"/>
      <c r="L177" s="128"/>
      <c r="M177" s="128"/>
      <c r="N177" s="129"/>
      <c r="O177" s="172">
        <f t="shared" ref="O177:V177" si="807">O170*0.9/O175</f>
        <v>3.6831635281765792E-5</v>
      </c>
      <c r="P177" s="172">
        <f t="shared" si="807"/>
        <v>1.2108459649637962E-2</v>
      </c>
      <c r="Q177" s="172">
        <f t="shared" si="807"/>
        <v>1.2145291284919729E-2</v>
      </c>
      <c r="R177" s="172">
        <f t="shared" si="807"/>
        <v>4.5021974402943553E-2</v>
      </c>
      <c r="S177" s="172">
        <f t="shared" si="807"/>
        <v>-0.63703644890360978</v>
      </c>
      <c r="T177" s="172">
        <f t="shared" si="807"/>
        <v>-0.59201447450066624</v>
      </c>
      <c r="U177" s="467">
        <f t="shared" si="807"/>
        <v>-0.57986918321574665</v>
      </c>
      <c r="V177" s="172">
        <f t="shared" si="807"/>
        <v>4.5365411058867329E-2</v>
      </c>
      <c r="W177" s="172">
        <f t="shared" ref="W177:AY177" si="808">W170*0.9/W175</f>
        <v>0.15551852164374322</v>
      </c>
      <c r="X177" s="172">
        <f t="shared" si="808"/>
        <v>6.5595153756770247E-2</v>
      </c>
      <c r="Y177" s="172">
        <f t="shared" si="808"/>
        <v>-8.3887015740307935E-2</v>
      </c>
      <c r="Z177" s="467">
        <f t="shared" si="808"/>
        <v>0.18259004131833673</v>
      </c>
      <c r="AA177" s="172">
        <f t="shared" si="808"/>
        <v>0.13933540221067681</v>
      </c>
      <c r="AB177" s="172">
        <f t="shared" ref="AB177:AD177" si="809">AB170*0.9/AB175</f>
        <v>1.0357237512031128E-2</v>
      </c>
      <c r="AC177" s="172">
        <f t="shared" si="809"/>
        <v>0.18371569882812</v>
      </c>
      <c r="AD177" s="172">
        <f t="shared" si="809"/>
        <v>-8.4173971695695196E-2</v>
      </c>
      <c r="AE177" s="467">
        <f t="shared" si="808"/>
        <v>0.24912290584969377</v>
      </c>
      <c r="AF177" s="172">
        <f t="shared" ref="AF177:AI177" si="810">AF170*0.9/AF175</f>
        <v>0.28267361266223856</v>
      </c>
      <c r="AG177" s="172">
        <f t="shared" si="810"/>
        <v>9.5613481466394284E-2</v>
      </c>
      <c r="AH177" s="172">
        <f t="shared" si="810"/>
        <v>9.3929350797765696E-2</v>
      </c>
      <c r="AI177" s="172">
        <f t="shared" si="810"/>
        <v>0.27587098947587291</v>
      </c>
      <c r="AJ177" s="467">
        <f t="shared" si="808"/>
        <v>0.74615851808127909</v>
      </c>
      <c r="AK177" s="172">
        <f t="shared" si="808"/>
        <v>0.17315503194698453</v>
      </c>
      <c r="AL177" s="172">
        <f t="shared" si="808"/>
        <v>-0.1231797184864568</v>
      </c>
      <c r="AM177" s="172">
        <f t="shared" si="808"/>
        <v>0.3574112017371997</v>
      </c>
      <c r="AN177" s="172">
        <f t="shared" si="808"/>
        <v>0.20784903637877866</v>
      </c>
      <c r="AO177" s="467">
        <f t="shared" si="808"/>
        <v>0.61359561290830678</v>
      </c>
      <c r="AP177" s="172">
        <f t="shared" ref="AP177:AS177" si="811">AP170*0.9/AP175</f>
        <v>0.30821713444592447</v>
      </c>
      <c r="AQ177" s="172">
        <f t="shared" si="811"/>
        <v>0.31281032770605743</v>
      </c>
      <c r="AR177" s="172">
        <f t="shared" si="811"/>
        <v>0.33334157060712999</v>
      </c>
      <c r="AS177" s="172">
        <f t="shared" si="811"/>
        <v>0.18230053063389981</v>
      </c>
      <c r="AT177" s="172">
        <f t="shared" si="808"/>
        <v>1.1325305899726392</v>
      </c>
      <c r="AU177" s="172">
        <f t="shared" si="808"/>
        <v>1.3266997985236197</v>
      </c>
      <c r="AV177" s="172">
        <f t="shared" si="808"/>
        <v>1.6160444050961813</v>
      </c>
      <c r="AW177" s="172">
        <f t="shared" si="808"/>
        <v>1.9419411346394402</v>
      </c>
      <c r="AX177" s="172">
        <f t="shared" si="808"/>
        <v>2.2389503750570401</v>
      </c>
      <c r="AY177" s="172">
        <f t="shared" si="808"/>
        <v>2.5318186005336725</v>
      </c>
    </row>
    <row r="178" spans="2:51" x14ac:dyDescent="0.35">
      <c r="B178" s="124" t="s">
        <v>170</v>
      </c>
      <c r="G178" s="526"/>
      <c r="H178" s="128"/>
      <c r="I178" s="128"/>
      <c r="J178" s="128"/>
      <c r="K178" s="128"/>
      <c r="L178" s="128"/>
      <c r="M178" s="128"/>
      <c r="N178" s="153"/>
      <c r="O178" s="172"/>
      <c r="P178" s="128"/>
      <c r="Q178" s="128"/>
      <c r="R178" s="128"/>
      <c r="S178" s="128"/>
      <c r="T178" s="128"/>
      <c r="U178" s="360"/>
      <c r="V178" s="128"/>
      <c r="W178" s="159"/>
      <c r="X178" s="128"/>
      <c r="Y178" s="128"/>
      <c r="Z178" s="153"/>
      <c r="AA178" s="131">
        <f t="shared" ref="AA178:AD178" si="812">AA177/V177-1</f>
        <v>2.0714017344595774</v>
      </c>
      <c r="AB178" s="128">
        <f t="shared" si="812"/>
        <v>-0.93340190349958996</v>
      </c>
      <c r="AC178" s="128">
        <f t="shared" si="812"/>
        <v>1.8007510967859912</v>
      </c>
      <c r="AD178" s="128">
        <f t="shared" si="812"/>
        <v>3.4207433993789227E-3</v>
      </c>
      <c r="AE178" s="129">
        <f>AE177/Z177-1</f>
        <v>0.36438386261910249</v>
      </c>
      <c r="AF178" s="131">
        <f t="shared" ref="AF178" si="813">AF177/AA177-1</f>
        <v>1.0287278622473321</v>
      </c>
      <c r="AG178" s="128">
        <f t="shared" ref="AG178" si="814">AG177/AB177-1</f>
        <v>8.2315621183088812</v>
      </c>
      <c r="AH178" s="128">
        <f t="shared" ref="AH178" si="815">AH177/AC177-1</f>
        <v>-0.48872441823470003</v>
      </c>
      <c r="AI178" s="128">
        <f t="shared" ref="AI178" si="816">AI177/AD177-1</f>
        <v>-4.2773906698046593</v>
      </c>
      <c r="AJ178" s="129">
        <f>AJ177/AE177-1</f>
        <v>1.9951421589930698</v>
      </c>
      <c r="AK178" s="128">
        <f t="shared" ref="AK178" si="817">AK177/AF177-1</f>
        <v>-0.38743828857529672</v>
      </c>
      <c r="AL178" s="128">
        <f t="shared" ref="AL178" si="818">AL177/AG177-1</f>
        <v>-2.2883091024119997</v>
      </c>
      <c r="AM178" s="128">
        <f t="shared" ref="AM178" si="819">AM177/AH177-1</f>
        <v>2.8051066966993394</v>
      </c>
      <c r="AN178" s="128">
        <f t="shared" ref="AN178" si="820">AN177/AI177-1</f>
        <v>-0.24657160662789912</v>
      </c>
      <c r="AO178" s="129">
        <f>AO177/AJ177-1</f>
        <v>-0.1776605130955996</v>
      </c>
      <c r="AP178" s="128">
        <f t="shared" ref="AP178" si="821">AP177/AK177-1</f>
        <v>0.78000680072810336</v>
      </c>
      <c r="AQ178" s="128">
        <f t="shared" ref="AQ178" si="822">AQ177/AL177-1</f>
        <v>-3.5394629209227322</v>
      </c>
      <c r="AR178" s="128">
        <f t="shared" ref="AR178" si="823">AR177/AM177-1</f>
        <v>-6.7344366973052572E-2</v>
      </c>
      <c r="AS178" s="128">
        <f t="shared" ref="AS178" si="824">AS177/AN177-1</f>
        <v>-0.12291856719662597</v>
      </c>
      <c r="AT178" s="128">
        <f>AT177/AO177-1</f>
        <v>0.84572797808102962</v>
      </c>
      <c r="AU178" s="128">
        <f t="shared" ref="AU178:AY178" si="825">AU177/AT177-1</f>
        <v>0.17144720881726605</v>
      </c>
      <c r="AV178" s="128">
        <f t="shared" si="825"/>
        <v>0.21809350306267516</v>
      </c>
      <c r="AW178" s="128">
        <f t="shared" si="825"/>
        <v>0.20166322689868332</v>
      </c>
      <c r="AX178" s="128">
        <f t="shared" si="825"/>
        <v>0.15294451264236986</v>
      </c>
      <c r="AY178" s="128">
        <f t="shared" si="825"/>
        <v>0.13080603694450854</v>
      </c>
    </row>
    <row r="179" spans="2:51" x14ac:dyDescent="0.35">
      <c r="B179" s="124" t="s">
        <v>444</v>
      </c>
      <c r="O179" s="172">
        <f>((O167+O161)-O169)/O174</f>
        <v>3.7705921332621753E-2</v>
      </c>
      <c r="P179" s="172">
        <f t="shared" ref="P179:Z179" si="826">((P167+P161)-P169)/P174</f>
        <v>5.1118841348573092E-2</v>
      </c>
      <c r="Q179" s="172">
        <f t="shared" si="826"/>
        <v>8.8824762681194838E-2</v>
      </c>
      <c r="R179" s="172">
        <f t="shared" si="826"/>
        <v>5.895802340150888E-2</v>
      </c>
      <c r="S179" s="172">
        <f t="shared" si="826"/>
        <v>-4.082606318262496E-2</v>
      </c>
      <c r="T179" s="172">
        <f t="shared" si="826"/>
        <v>1.8131960218883997E-2</v>
      </c>
      <c r="U179" s="467">
        <f t="shared" si="826"/>
        <v>0.10695672290007864</v>
      </c>
      <c r="V179" s="172">
        <f t="shared" si="826"/>
        <v>6.1826817969798643E-2</v>
      </c>
      <c r="W179" s="172">
        <f t="shared" si="826"/>
        <v>0.15444642110411017</v>
      </c>
      <c r="X179" s="172">
        <f t="shared" si="826"/>
        <v>8.0385766540010048E-2</v>
      </c>
      <c r="Y179" s="172">
        <f t="shared" si="826"/>
        <v>2.8032730183373794E-2</v>
      </c>
      <c r="Z179" s="467">
        <f t="shared" si="826"/>
        <v>0.3248940477013702</v>
      </c>
      <c r="AA179" s="172">
        <v>0.15</v>
      </c>
      <c r="AB179" s="172">
        <v>0.04</v>
      </c>
      <c r="AC179" s="172">
        <v>0.21</v>
      </c>
      <c r="AD179" s="172">
        <v>-0.06</v>
      </c>
      <c r="AE179" s="467">
        <v>0.35</v>
      </c>
      <c r="AF179" s="172">
        <v>0.33</v>
      </c>
      <c r="AG179" s="172">
        <v>0.15</v>
      </c>
      <c r="AH179" s="172">
        <v>0.16</v>
      </c>
      <c r="AI179" s="172">
        <v>0.33</v>
      </c>
      <c r="AJ179" s="467">
        <v>0.98</v>
      </c>
      <c r="AK179" s="172">
        <f>((AK167+AK161)-AK169)/AK174*0.891</f>
        <v>0.21787605459908077</v>
      </c>
      <c r="AL179" s="172">
        <f>((AL167+AL161)-AL169)/AL174*0.891</f>
        <v>-9.0447299965374248E-2</v>
      </c>
      <c r="AM179" s="172">
        <f>((AM167+AM161)-AM169)/AM174*0.891</f>
        <v>0.42645332721142881</v>
      </c>
      <c r="AN179" s="172">
        <f>((AN167+AN161)-AN169)/AN174*0.891</f>
        <v>0.25052619850385027</v>
      </c>
      <c r="AO179" s="467">
        <v>0.81</v>
      </c>
      <c r="AP179" s="172">
        <f>((AP167+AP161)-AP169)/AP174*0.891</f>
        <v>0.37105147058823457</v>
      </c>
      <c r="AQ179" s="172">
        <f>((AQ167+AQ161)-AQ169)/AQ174*0.891</f>
        <v>0.3476205059920105</v>
      </c>
      <c r="AR179" s="172">
        <f>((AR167+AR161)-AR169)/AR174*0.891</f>
        <v>0.38485654840150646</v>
      </c>
      <c r="AS179" s="172">
        <f>((AS167+AS161)-AS169)/AS174*0.891</f>
        <v>0.23443561815523156</v>
      </c>
      <c r="AT179" s="172">
        <f>((AT167+AT161)-AT169)/AT174*0.891</f>
        <v>1.3414927800436771</v>
      </c>
      <c r="AU179" s="172">
        <f t="shared" ref="AU179:AY179" si="827">((AU167+AU161)-AU169)/AU174*0.891</f>
        <v>1.6002706946931156</v>
      </c>
      <c r="AV179" s="172">
        <f t="shared" si="827"/>
        <v>2.0054603162181452</v>
      </c>
      <c r="AW179" s="172">
        <f t="shared" si="827"/>
        <v>2.4853217442210078</v>
      </c>
      <c r="AX179" s="172">
        <f t="shared" si="827"/>
        <v>2.9706462655821593</v>
      </c>
      <c r="AY179" s="172">
        <f t="shared" si="827"/>
        <v>3.4845104167701466</v>
      </c>
    </row>
    <row r="180" spans="2:51" x14ac:dyDescent="0.35">
      <c r="B180" s="120" t="s">
        <v>155</v>
      </c>
      <c r="C180" s="121" t="s">
        <v>8</v>
      </c>
      <c r="D180" s="121" t="s">
        <v>9</v>
      </c>
      <c r="E180" s="121" t="s">
        <v>10</v>
      </c>
      <c r="F180" s="121" t="s">
        <v>11</v>
      </c>
      <c r="G180" s="342">
        <f>G2</f>
        <v>2019</v>
      </c>
      <c r="H180" s="121" t="s">
        <v>12</v>
      </c>
      <c r="I180" s="121" t="s">
        <v>13</v>
      </c>
      <c r="J180" s="121" t="str">
        <f>J130</f>
        <v>1H20</v>
      </c>
      <c r="K180" s="121" t="s">
        <v>14</v>
      </c>
      <c r="L180" s="121" t="s">
        <v>15</v>
      </c>
      <c r="M180" s="121" t="str">
        <f>M130</f>
        <v>2H20</v>
      </c>
      <c r="N180" s="342">
        <f>N2</f>
        <v>2020</v>
      </c>
      <c r="O180" s="121" t="s">
        <v>181</v>
      </c>
      <c r="P180" s="121" t="s">
        <v>149</v>
      </c>
      <c r="Q180" s="121" t="str">
        <f>Q130</f>
        <v>1H21</v>
      </c>
      <c r="R180" s="121" t="s">
        <v>341</v>
      </c>
      <c r="S180" s="121" t="s">
        <v>365</v>
      </c>
      <c r="T180" s="121" t="str">
        <f>T130</f>
        <v>2H21</v>
      </c>
      <c r="U180" s="342">
        <f>U2</f>
        <v>2021</v>
      </c>
      <c r="V180" s="121" t="s">
        <v>367</v>
      </c>
      <c r="W180" s="121" t="s">
        <v>160</v>
      </c>
      <c r="X180" s="121" t="s">
        <v>436</v>
      </c>
      <c r="Y180" s="121" t="s">
        <v>464</v>
      </c>
      <c r="Z180" s="122">
        <f>Z2</f>
        <v>2022</v>
      </c>
      <c r="AA180" s="121" t="str">
        <f>AA2</f>
        <v>1Q23</v>
      </c>
      <c r="AB180" s="121" t="s">
        <v>473</v>
      </c>
      <c r="AC180" s="121" t="s">
        <v>475</v>
      </c>
      <c r="AD180" s="121" t="s">
        <v>479</v>
      </c>
      <c r="AE180" s="122">
        <f>AE2</f>
        <v>2023</v>
      </c>
      <c r="AF180" s="121" t="str">
        <f>AF2</f>
        <v>1Q24</v>
      </c>
      <c r="AG180" s="121" t="s">
        <v>485</v>
      </c>
      <c r="AH180" s="121" t="s">
        <v>537</v>
      </c>
      <c r="AI180" s="121" t="s">
        <v>481</v>
      </c>
      <c r="AJ180" s="122">
        <f>AJ2</f>
        <v>2024</v>
      </c>
      <c r="AK180" s="121"/>
      <c r="AL180" s="121"/>
      <c r="AM180" s="121"/>
      <c r="AN180" s="121"/>
      <c r="AO180" s="122">
        <f>AO2</f>
        <v>2025</v>
      </c>
      <c r="AP180" s="121"/>
      <c r="AQ180" s="121"/>
      <c r="AR180" s="121"/>
      <c r="AS180" s="121"/>
      <c r="AT180" s="121" t="str">
        <f t="shared" ref="AT180:AY180" si="828">AT2</f>
        <v>2026E</v>
      </c>
      <c r="AU180" s="121" t="str">
        <f t="shared" si="828"/>
        <v>2027E</v>
      </c>
      <c r="AV180" s="121" t="str">
        <f t="shared" si="828"/>
        <v>2028E</v>
      </c>
      <c r="AW180" s="121" t="str">
        <f t="shared" si="828"/>
        <v>2029E</v>
      </c>
      <c r="AX180" s="121" t="str">
        <f t="shared" si="828"/>
        <v>2030E</v>
      </c>
      <c r="AY180" s="121" t="str">
        <f t="shared" si="828"/>
        <v>2031E</v>
      </c>
    </row>
    <row r="181" spans="2:51" x14ac:dyDescent="0.35">
      <c r="B181" s="204" t="s">
        <v>182</v>
      </c>
      <c r="C181" s="205"/>
      <c r="D181" s="205"/>
      <c r="E181" s="205"/>
      <c r="F181" s="205"/>
      <c r="G181" s="510"/>
      <c r="H181" s="205"/>
      <c r="I181" s="205"/>
      <c r="J181" s="205"/>
      <c r="K181" s="205"/>
      <c r="L181" s="205"/>
      <c r="M181" s="205"/>
      <c r="N181" s="206"/>
      <c r="O181" s="205"/>
      <c r="P181" s="205"/>
      <c r="Q181" s="205"/>
      <c r="R181" s="205"/>
      <c r="S181" s="205"/>
      <c r="T181" s="205"/>
      <c r="U181" s="343"/>
      <c r="V181" s="205"/>
      <c r="W181" s="205"/>
      <c r="X181" s="205"/>
      <c r="Y181" s="205"/>
      <c r="Z181" s="206"/>
      <c r="AA181" s="205"/>
      <c r="AB181" s="205"/>
      <c r="AC181" s="205"/>
      <c r="AD181" s="205"/>
      <c r="AE181" s="206"/>
      <c r="AF181" s="205"/>
      <c r="AG181" s="205"/>
      <c r="AH181" s="205"/>
      <c r="AI181" s="205"/>
      <c r="AJ181" s="206"/>
      <c r="AK181" s="205"/>
      <c r="AL181" s="205"/>
      <c r="AM181" s="205"/>
      <c r="AN181" s="205"/>
      <c r="AO181" s="206"/>
      <c r="AP181" s="205"/>
      <c r="AQ181" s="205"/>
      <c r="AR181" s="205"/>
      <c r="AS181" s="205"/>
      <c r="AT181" s="205"/>
      <c r="AU181" s="205"/>
      <c r="AV181" s="205"/>
      <c r="AW181" s="205"/>
      <c r="AX181" s="205"/>
      <c r="AY181" s="205"/>
    </row>
    <row r="182" spans="2:51" s="110" customFormat="1" x14ac:dyDescent="0.35">
      <c r="B182" s="173" t="s">
        <v>17</v>
      </c>
      <c r="G182" s="515">
        <v>-1.4732565600000354</v>
      </c>
      <c r="N182" s="126">
        <v>-27.523990090000048</v>
      </c>
      <c r="U182" s="350">
        <f>U170</f>
        <v>-170.20513555476333</v>
      </c>
      <c r="Z182" s="126">
        <f t="shared" ref="Z182:AY182" si="829">Z170</f>
        <v>57.7</v>
      </c>
      <c r="AA182" s="125"/>
      <c r="AB182" s="125"/>
      <c r="AC182" s="125"/>
      <c r="AD182" s="125"/>
      <c r="AE182" s="126">
        <f t="shared" si="829"/>
        <v>79.599999999999994</v>
      </c>
      <c r="AF182" s="125"/>
      <c r="AG182" s="125"/>
      <c r="AH182" s="125"/>
      <c r="AI182" s="125"/>
      <c r="AJ182" s="126">
        <f t="shared" si="829"/>
        <v>242.29662407641558</v>
      </c>
      <c r="AK182" s="125"/>
      <c r="AL182" s="125"/>
      <c r="AM182" s="125"/>
      <c r="AN182" s="125"/>
      <c r="AO182" s="126">
        <f t="shared" si="829"/>
        <v>203.69942625458998</v>
      </c>
      <c r="AP182" s="125"/>
      <c r="AQ182" s="125"/>
      <c r="AR182" s="125"/>
      <c r="AS182" s="125"/>
      <c r="AT182" s="125">
        <f t="shared" si="829"/>
        <v>381.61333610950743</v>
      </c>
      <c r="AU182" s="125">
        <f t="shared" si="829"/>
        <v>453.74547559442146</v>
      </c>
      <c r="AV182" s="125">
        <f t="shared" si="829"/>
        <v>560.99498210363311</v>
      </c>
      <c r="AW182" s="125">
        <f t="shared" si="829"/>
        <v>684.23894607565012</v>
      </c>
      <c r="AX182" s="125">
        <f t="shared" si="829"/>
        <v>800.72288128733101</v>
      </c>
      <c r="AY182" s="125">
        <f t="shared" si="829"/>
        <v>919.04420210050444</v>
      </c>
    </row>
    <row r="183" spans="2:51" x14ac:dyDescent="0.35">
      <c r="B183" s="174" t="s">
        <v>16</v>
      </c>
      <c r="G183" s="526">
        <v>18.838000000000001</v>
      </c>
      <c r="N183" s="153">
        <v>48.631</v>
      </c>
      <c r="U183" s="360">
        <v>192.4</v>
      </c>
      <c r="Z183" s="153">
        <v>38.299999999999997</v>
      </c>
      <c r="AA183" s="154"/>
      <c r="AB183" s="154"/>
      <c r="AC183" s="154"/>
      <c r="AD183" s="154"/>
      <c r="AE183" s="153">
        <v>27.3</v>
      </c>
      <c r="AF183" s="154"/>
      <c r="AG183" s="154"/>
      <c r="AH183" s="154"/>
      <c r="AI183" s="154"/>
      <c r="AJ183" s="153">
        <v>57.5</v>
      </c>
      <c r="AK183" s="154"/>
      <c r="AL183" s="154"/>
      <c r="AM183" s="154"/>
      <c r="AN183" s="154"/>
      <c r="AO183" s="185">
        <v>66.599999999999994</v>
      </c>
      <c r="AP183" s="154"/>
      <c r="AQ183" s="154"/>
      <c r="AR183" s="154"/>
      <c r="AS183" s="154"/>
      <c r="AT183" s="175">
        <f>AT161*AO183/AO161</f>
        <v>74.518075864467363</v>
      </c>
      <c r="AU183" s="175">
        <f t="shared" ref="AU183:AY183" si="830">AU161*AT183/AT161</f>
        <v>88.48489274807406</v>
      </c>
      <c r="AV183" s="175">
        <f t="shared" si="830"/>
        <v>103.03035179142408</v>
      </c>
      <c r="AW183" s="175">
        <f t="shared" si="830"/>
        <v>119.26630254675351</v>
      </c>
      <c r="AX183" s="175">
        <f t="shared" si="830"/>
        <v>136.38677193516043</v>
      </c>
      <c r="AY183" s="175">
        <f t="shared" si="830"/>
        <v>152.41213599384889</v>
      </c>
    </row>
    <row r="184" spans="2:51" x14ac:dyDescent="0.35">
      <c r="B184" s="174" t="s">
        <v>47</v>
      </c>
      <c r="G184" s="526">
        <v>-0.14299999999999999</v>
      </c>
      <c r="N184" s="153">
        <v>0.95699999999999996</v>
      </c>
      <c r="U184" s="360">
        <v>1.1200000000000001</v>
      </c>
      <c r="Z184" s="153">
        <v>4.8</v>
      </c>
      <c r="AA184" s="154"/>
      <c r="AB184" s="154"/>
      <c r="AC184" s="154"/>
      <c r="AD184" s="154"/>
      <c r="AE184" s="153">
        <v>-7.5</v>
      </c>
      <c r="AF184" s="154"/>
      <c r="AG184" s="154"/>
      <c r="AH184" s="154"/>
      <c r="AI184" s="154"/>
      <c r="AJ184" s="153">
        <v>5.2</v>
      </c>
      <c r="AK184" s="154"/>
      <c r="AL184" s="154"/>
      <c r="AM184" s="154"/>
      <c r="AN184" s="154"/>
      <c r="AO184" s="153">
        <v>4</v>
      </c>
      <c r="AP184" s="154"/>
      <c r="AQ184" s="154"/>
      <c r="AR184" s="154"/>
      <c r="AS184" s="154"/>
      <c r="AT184" s="154">
        <v>0</v>
      </c>
      <c r="AU184" s="154">
        <v>0</v>
      </c>
      <c r="AV184" s="154">
        <v>0</v>
      </c>
      <c r="AW184" s="154">
        <v>0</v>
      </c>
      <c r="AX184" s="154">
        <v>0</v>
      </c>
      <c r="AY184" s="154">
        <v>0</v>
      </c>
    </row>
    <row r="185" spans="2:51" x14ac:dyDescent="0.35">
      <c r="B185" s="174" t="s">
        <v>185</v>
      </c>
      <c r="G185" s="526">
        <v>5.3419999999999996</v>
      </c>
      <c r="N185" s="153">
        <v>12.090999999999999</v>
      </c>
      <c r="U185" s="360">
        <f>U157</f>
        <v>31.4</v>
      </c>
      <c r="Z185" s="153">
        <f t="shared" ref="Z185:AY185" si="831">Z157</f>
        <v>46.400000000000006</v>
      </c>
      <c r="AA185" s="154"/>
      <c r="AB185" s="154"/>
      <c r="AC185" s="154"/>
      <c r="AD185" s="154"/>
      <c r="AE185" s="153">
        <f t="shared" si="831"/>
        <v>64.90000000000002</v>
      </c>
      <c r="AF185" s="154"/>
      <c r="AG185" s="154"/>
      <c r="AH185" s="154"/>
      <c r="AI185" s="154"/>
      <c r="AJ185" s="153">
        <f t="shared" si="831"/>
        <v>104.59805539568326</v>
      </c>
      <c r="AK185" s="154"/>
      <c r="AL185" s="154"/>
      <c r="AM185" s="154"/>
      <c r="AN185" s="154"/>
      <c r="AO185" s="153">
        <f>AO157+3.7</f>
        <v>131.1</v>
      </c>
      <c r="AP185" s="154"/>
      <c r="AQ185" s="154"/>
      <c r="AR185" s="154"/>
      <c r="AS185" s="154"/>
      <c r="AT185" s="154">
        <f t="shared" si="831"/>
        <v>148.03278876686934</v>
      </c>
      <c r="AU185" s="154">
        <f t="shared" si="831"/>
        <v>171.61983940361824</v>
      </c>
      <c r="AV185" s="154">
        <f t="shared" si="831"/>
        <v>194.9891973312624</v>
      </c>
      <c r="AW185" s="154">
        <f t="shared" si="831"/>
        <v>225.71640490307138</v>
      </c>
      <c r="AX185" s="154">
        <f t="shared" si="831"/>
        <v>258.1176005307251</v>
      </c>
      <c r="AY185" s="154">
        <f t="shared" si="831"/>
        <v>288.44626407902354</v>
      </c>
    </row>
    <row r="186" spans="2:51" x14ac:dyDescent="0.35">
      <c r="B186" s="174" t="s">
        <v>48</v>
      </c>
      <c r="G186" s="526">
        <v>0.502</v>
      </c>
      <c r="N186" s="153">
        <v>0.60199999999999998</v>
      </c>
      <c r="U186" s="360">
        <v>2.77</v>
      </c>
      <c r="Z186" s="475">
        <f>-0.8+0.9</f>
        <v>9.9999999999999978E-2</v>
      </c>
      <c r="AA186" s="154"/>
      <c r="AB186" s="154"/>
      <c r="AC186" s="154"/>
      <c r="AD186" s="154"/>
      <c r="AE186" s="475">
        <f>-4.5+0.6</f>
        <v>-3.9</v>
      </c>
      <c r="AF186" s="476"/>
      <c r="AG186" s="476"/>
      <c r="AH186" s="476"/>
      <c r="AI186" s="476"/>
      <c r="AJ186" s="475">
        <f>-7.2+0.7</f>
        <v>-6.5</v>
      </c>
      <c r="AK186" s="476"/>
      <c r="AL186" s="476"/>
      <c r="AM186" s="476"/>
      <c r="AN186" s="476"/>
      <c r="AO186" s="475">
        <v>-8.5</v>
      </c>
      <c r="AP186" s="476"/>
      <c r="AQ186" s="476"/>
      <c r="AR186" s="476" t="s">
        <v>562</v>
      </c>
      <c r="AT186" s="476">
        <v>53</v>
      </c>
      <c r="AU186" s="476">
        <v>0</v>
      </c>
      <c r="AV186" s="476">
        <v>0</v>
      </c>
      <c r="AW186" s="476">
        <v>0</v>
      </c>
      <c r="AX186" s="476">
        <v>0</v>
      </c>
      <c r="AY186" s="476">
        <v>0</v>
      </c>
    </row>
    <row r="187" spans="2:51" x14ac:dyDescent="0.35">
      <c r="B187" s="174" t="s">
        <v>49</v>
      </c>
      <c r="G187" s="526">
        <v>1.518</v>
      </c>
      <c r="N187" s="153">
        <v>6.6660000000000004</v>
      </c>
      <c r="U187" s="360">
        <v>15.18</v>
      </c>
      <c r="Z187" s="153">
        <v>-8.3000000000000007</v>
      </c>
      <c r="AA187" s="154"/>
      <c r="AB187" s="154"/>
      <c r="AC187" s="154"/>
      <c r="AD187" s="154"/>
      <c r="AE187" s="153">
        <v>102.9</v>
      </c>
      <c r="AF187" s="154"/>
      <c r="AG187" s="154"/>
      <c r="AH187" s="154"/>
      <c r="AI187" s="154"/>
      <c r="AJ187" s="153">
        <v>-70.900000000000006</v>
      </c>
      <c r="AK187" s="154"/>
      <c r="AL187" s="154"/>
      <c r="AM187" s="154"/>
      <c r="AN187" s="154"/>
      <c r="AO187" s="153">
        <v>165.6</v>
      </c>
      <c r="AP187" s="154"/>
      <c r="AQ187" s="154"/>
      <c r="AR187" s="154"/>
      <c r="AS187" s="154"/>
      <c r="AT187" s="154">
        <v>0</v>
      </c>
      <c r="AU187" s="154">
        <v>0</v>
      </c>
      <c r="AV187" s="154">
        <v>0</v>
      </c>
      <c r="AW187" s="154">
        <v>0</v>
      </c>
      <c r="AX187" s="154">
        <v>0</v>
      </c>
      <c r="AY187" s="154">
        <v>0</v>
      </c>
    </row>
    <row r="188" spans="2:51" x14ac:dyDescent="0.35">
      <c r="B188" s="174" t="s">
        <v>6</v>
      </c>
      <c r="G188" s="526">
        <v>4.62</v>
      </c>
      <c r="N188" s="153">
        <v>3.0830000000000002</v>
      </c>
      <c r="U188" s="360">
        <f>U169</f>
        <v>10.584135554763296</v>
      </c>
      <c r="Z188" s="153">
        <f t="shared" ref="Z188:AY188" si="832">Z169</f>
        <v>20.200000000000003</v>
      </c>
      <c r="AA188" s="154"/>
      <c r="AB188" s="154"/>
      <c r="AC188" s="154"/>
      <c r="AD188" s="154"/>
      <c r="AE188" s="153">
        <v>-10.5</v>
      </c>
      <c r="AF188" s="154"/>
      <c r="AG188" s="154"/>
      <c r="AH188" s="154"/>
      <c r="AI188" s="154"/>
      <c r="AJ188" s="153">
        <f t="shared" si="832"/>
        <v>37.329443398239519</v>
      </c>
      <c r="AK188" s="154"/>
      <c r="AL188" s="154"/>
      <c r="AM188" s="154"/>
      <c r="AN188" s="154"/>
      <c r="AO188" s="153">
        <f t="shared" si="832"/>
        <v>1.500573745410039</v>
      </c>
      <c r="AP188" s="154"/>
      <c r="AQ188" s="154"/>
      <c r="AR188" s="154"/>
      <c r="AS188" s="154"/>
      <c r="AT188" s="154">
        <f t="shared" si="832"/>
        <v>104.300992659854</v>
      </c>
      <c r="AU188" s="154">
        <f t="shared" si="832"/>
        <v>153.46420022674351</v>
      </c>
      <c r="AV188" s="154">
        <f t="shared" si="832"/>
        <v>188.17347789028247</v>
      </c>
      <c r="AW188" s="154">
        <f t="shared" si="832"/>
        <v>227.94148776862423</v>
      </c>
      <c r="AX188" s="154">
        <f t="shared" si="832"/>
        <v>265.96414396060675</v>
      </c>
      <c r="AY188" s="154">
        <f t="shared" si="832"/>
        <v>304.2512798682958</v>
      </c>
    </row>
    <row r="189" spans="2:51" x14ac:dyDescent="0.35">
      <c r="B189" s="174" t="s">
        <v>50</v>
      </c>
      <c r="G189" s="526">
        <v>1.099</v>
      </c>
      <c r="N189" s="153">
        <v>1.6739999999999999</v>
      </c>
      <c r="U189" s="360">
        <v>4.3680000000000003</v>
      </c>
      <c r="Z189" s="153">
        <v>-7.4</v>
      </c>
      <c r="AA189" s="154"/>
      <c r="AB189" s="154"/>
      <c r="AC189" s="154"/>
      <c r="AD189" s="154"/>
      <c r="AE189" s="153">
        <v>4.9000000000000004</v>
      </c>
      <c r="AF189" s="154"/>
      <c r="AG189" s="154"/>
      <c r="AH189" s="154"/>
      <c r="AI189" s="154"/>
      <c r="AJ189" s="153">
        <v>18</v>
      </c>
      <c r="AK189" s="154"/>
      <c r="AL189" s="154"/>
      <c r="AM189" s="154"/>
      <c r="AN189" s="154"/>
      <c r="AO189" s="153">
        <v>-7.8</v>
      </c>
      <c r="AP189" s="154"/>
      <c r="AQ189" s="154"/>
      <c r="AR189" s="154"/>
      <c r="AS189" s="154"/>
      <c r="AT189" s="154">
        <v>0</v>
      </c>
      <c r="AU189" s="154">
        <v>0</v>
      </c>
      <c r="AV189" s="154">
        <v>0</v>
      </c>
      <c r="AW189" s="154">
        <v>0</v>
      </c>
      <c r="AX189" s="154">
        <v>0</v>
      </c>
      <c r="AY189" s="154">
        <v>0</v>
      </c>
    </row>
    <row r="190" spans="2:51" x14ac:dyDescent="0.35">
      <c r="B190" s="174" t="s">
        <v>51</v>
      </c>
    </row>
    <row r="191" spans="2:51" x14ac:dyDescent="0.35">
      <c r="B191" s="176" t="s">
        <v>19</v>
      </c>
      <c r="G191" s="526">
        <v>-21.481000000000002</v>
      </c>
      <c r="N191" s="153">
        <v>-13.481999999999999</v>
      </c>
      <c r="U191" s="360">
        <v>-46.99</v>
      </c>
      <c r="V191" s="186"/>
      <c r="Z191" s="153">
        <v>-78.599999999999994</v>
      </c>
      <c r="AA191" s="154"/>
      <c r="AB191" s="154"/>
      <c r="AC191" s="154"/>
      <c r="AD191" s="154"/>
      <c r="AE191" s="153">
        <f>-46.9</f>
        <v>-46.9</v>
      </c>
      <c r="AF191" s="154"/>
      <c r="AG191" s="154"/>
      <c r="AH191" s="154"/>
      <c r="AI191" s="154"/>
      <c r="AJ191" s="153">
        <v>-30.1</v>
      </c>
      <c r="AK191" s="154"/>
      <c r="AL191" s="154"/>
      <c r="AM191" s="154"/>
      <c r="AN191" s="154"/>
      <c r="AO191" s="153">
        <v>-96.1</v>
      </c>
      <c r="AP191" s="154"/>
      <c r="AQ191" s="154"/>
      <c r="AR191" s="154"/>
      <c r="AS191" s="154"/>
      <c r="AT191" s="154">
        <f>AO219-AT219</f>
        <v>-66.369467426285098</v>
      </c>
      <c r="AU191" s="154">
        <f t="shared" ref="AU191:AX191" si="833">AT219-AU219</f>
        <v>-69.680222069915601</v>
      </c>
      <c r="AV191" s="154">
        <f t="shared" si="833"/>
        <v>-72.567058385300925</v>
      </c>
      <c r="AW191" s="154">
        <f t="shared" si="833"/>
        <v>-81.000894017264613</v>
      </c>
      <c r="AX191" s="154">
        <f t="shared" si="833"/>
        <v>-85.41374307882586</v>
      </c>
      <c r="AY191" s="154">
        <f t="shared" ref="AY191" si="834">AX219-AY219</f>
        <v>-79.950280415812244</v>
      </c>
    </row>
    <row r="192" spans="2:51" x14ac:dyDescent="0.35">
      <c r="B192" s="176" t="s">
        <v>7</v>
      </c>
      <c r="G192" s="526">
        <v>-12.353</v>
      </c>
      <c r="N192" s="153">
        <v>-61.305</v>
      </c>
      <c r="U192" s="360">
        <v>-31.77</v>
      </c>
      <c r="Z192" s="153">
        <v>-273</v>
      </c>
      <c r="AA192" s="154"/>
      <c r="AB192" s="154"/>
      <c r="AC192" s="154"/>
      <c r="AD192" s="154"/>
      <c r="AE192" s="153">
        <v>-10</v>
      </c>
      <c r="AF192" s="154"/>
      <c r="AG192" s="154"/>
      <c r="AH192" s="154"/>
      <c r="AI192" s="154"/>
      <c r="AJ192" s="153">
        <v>-27.8</v>
      </c>
      <c r="AK192" s="154"/>
      <c r="AL192" s="154"/>
      <c r="AM192" s="154"/>
      <c r="AN192" s="154"/>
      <c r="AO192" s="153">
        <v>-82.4</v>
      </c>
      <c r="AP192" s="154"/>
      <c r="AQ192" s="154"/>
      <c r="AR192" s="154"/>
      <c r="AS192" s="154"/>
      <c r="AT192" s="154">
        <f>AO220-AT220</f>
        <v>-143.22562120553749</v>
      </c>
      <c r="AU192" s="154">
        <f t="shared" ref="AU192:AX192" si="835">AT220-AU220</f>
        <v>-101.70678951069351</v>
      </c>
      <c r="AV192" s="154">
        <f t="shared" si="835"/>
        <v>-104.82276453165844</v>
      </c>
      <c r="AW192" s="154">
        <f t="shared" si="835"/>
        <v>-116.12042399971006</v>
      </c>
      <c r="AX192" s="154">
        <f t="shared" si="835"/>
        <v>-121.24873869519854</v>
      </c>
      <c r="AY192" s="154">
        <f t="shared" ref="AY192" si="836">AX220-AY220</f>
        <v>-111.73267159416946</v>
      </c>
    </row>
    <row r="193" spans="2:56" x14ac:dyDescent="0.35">
      <c r="B193" s="176" t="s">
        <v>29</v>
      </c>
      <c r="G193" s="526">
        <v>3.1539999999999999</v>
      </c>
      <c r="N193" s="153">
        <v>25.564</v>
      </c>
      <c r="U193" s="360">
        <v>4.327</v>
      </c>
      <c r="Z193" s="153">
        <v>65.8</v>
      </c>
      <c r="AA193" s="154"/>
      <c r="AB193" s="154"/>
      <c r="AC193" s="154"/>
      <c r="AD193" s="154"/>
      <c r="AE193" s="153">
        <v>-44.3</v>
      </c>
      <c r="AF193" s="154"/>
      <c r="AG193" s="154"/>
      <c r="AH193" s="154"/>
      <c r="AI193" s="154"/>
      <c r="AJ193" s="153">
        <v>104</v>
      </c>
      <c r="AK193" s="154"/>
      <c r="AL193" s="154"/>
      <c r="AM193" s="154"/>
      <c r="AN193" s="154"/>
      <c r="AO193" s="153">
        <v>-9.1999999999999993</v>
      </c>
      <c r="AP193" s="154"/>
      <c r="AQ193" s="154"/>
      <c r="AR193" s="154"/>
      <c r="AS193" s="154"/>
      <c r="AT193" s="154">
        <f>AT230-AO230</f>
        <v>68.825395827104046</v>
      </c>
      <c r="AU193" s="154">
        <f t="shared" ref="AU193:AX193" si="837">AU230-AT230</f>
        <v>40.396422837620378</v>
      </c>
      <c r="AV193" s="154">
        <f t="shared" si="837"/>
        <v>41.634041733113406</v>
      </c>
      <c r="AW193" s="154">
        <f t="shared" si="837"/>
        <v>46.121303902556576</v>
      </c>
      <c r="AX193" s="154">
        <f t="shared" si="837"/>
        <v>48.15819416209581</v>
      </c>
      <c r="AY193" s="154">
        <f t="shared" ref="AY193" si="838">AY230-AX230</f>
        <v>44.378553960947556</v>
      </c>
    </row>
    <row r="194" spans="2:56" x14ac:dyDescent="0.35">
      <c r="B194" s="174" t="s">
        <v>52</v>
      </c>
      <c r="G194" s="526">
        <v>-2.677</v>
      </c>
      <c r="N194" s="153">
        <v>-6.5110000000000001</v>
      </c>
      <c r="U194" s="360">
        <v>8.0950000000000006</v>
      </c>
      <c r="V194" s="167"/>
      <c r="Z194" s="153">
        <v>-67.599999999999994</v>
      </c>
      <c r="AA194" s="154"/>
      <c r="AB194" s="154"/>
      <c r="AC194" s="154"/>
      <c r="AD194" s="154"/>
      <c r="AE194" s="153">
        <v>93.4</v>
      </c>
      <c r="AF194" s="154"/>
      <c r="AG194" s="154"/>
      <c r="AH194" s="154"/>
      <c r="AI194" s="154"/>
      <c r="AJ194" s="153">
        <v>95.7</v>
      </c>
      <c r="AK194" s="154"/>
      <c r="AL194" s="154"/>
      <c r="AM194" s="154"/>
      <c r="AN194" s="154"/>
      <c r="AO194" s="153">
        <v>25</v>
      </c>
      <c r="AP194" s="154"/>
      <c r="AQ194" s="154"/>
      <c r="AR194" s="154"/>
      <c r="AS194" s="154"/>
      <c r="AT194" s="154">
        <v>0</v>
      </c>
      <c r="AU194" s="154">
        <v>0</v>
      </c>
      <c r="AV194" s="154">
        <v>0</v>
      </c>
      <c r="AW194" s="154">
        <v>0</v>
      </c>
      <c r="AX194" s="154">
        <v>0</v>
      </c>
      <c r="AY194" s="154">
        <v>0</v>
      </c>
    </row>
    <row r="195" spans="2:56" x14ac:dyDescent="0.35">
      <c r="B195" s="174" t="s">
        <v>53</v>
      </c>
      <c r="G195" s="526">
        <v>-2.1629999999999998</v>
      </c>
      <c r="N195" s="153">
        <v>-5.1740000000000004</v>
      </c>
      <c r="U195" s="360">
        <v>-4.4000000000000004</v>
      </c>
      <c r="Z195" s="153">
        <f>-31+5.6</f>
        <v>-25.4</v>
      </c>
      <c r="AA195" s="154"/>
      <c r="AB195" s="154"/>
      <c r="AC195" s="154"/>
      <c r="AD195" s="154"/>
      <c r="AE195" s="153">
        <f>11-28.6</f>
        <v>-17.600000000000001</v>
      </c>
      <c r="AF195" s="154"/>
      <c r="AG195" s="154"/>
      <c r="AH195" s="154"/>
      <c r="AI195" s="154"/>
      <c r="AJ195" s="153">
        <f>22.5-41.2</f>
        <v>-18.700000000000003</v>
      </c>
      <c r="AK195" s="154"/>
      <c r="AL195" s="154"/>
      <c r="AM195" s="154"/>
      <c r="AN195" s="154"/>
      <c r="AO195" s="153">
        <f>-64+30</f>
        <v>-34</v>
      </c>
      <c r="AP195" s="154"/>
      <c r="AQ195" s="154"/>
      <c r="AR195" s="154"/>
      <c r="AS195" s="154"/>
      <c r="AT195" s="154">
        <f t="shared" ref="AT195:AY195" si="839">-AT169*0.9</f>
        <v>-93.870893393868599</v>
      </c>
      <c r="AU195" s="154">
        <f t="shared" si="839"/>
        <v>-138.11778020406916</v>
      </c>
      <c r="AV195" s="154">
        <f t="shared" si="839"/>
        <v>-169.35613010125422</v>
      </c>
      <c r="AW195" s="154">
        <f t="shared" si="839"/>
        <v>-205.14733899176181</v>
      </c>
      <c r="AX195" s="154">
        <f t="shared" si="839"/>
        <v>-239.36772956454607</v>
      </c>
      <c r="AY195" s="154">
        <f t="shared" si="839"/>
        <v>-273.82615188146622</v>
      </c>
    </row>
    <row r="196" spans="2:56" s="110" customFormat="1" x14ac:dyDescent="0.35">
      <c r="B196" s="197" t="s">
        <v>54</v>
      </c>
      <c r="C196" s="198"/>
      <c r="D196" s="198"/>
      <c r="E196" s="198"/>
      <c r="F196" s="198"/>
      <c r="G196" s="528">
        <f>SUM(G182:G195)</f>
        <v>-5.2172565600000365</v>
      </c>
      <c r="H196" s="198"/>
      <c r="I196" s="198"/>
      <c r="J196" s="198"/>
      <c r="K196" s="198"/>
      <c r="L196" s="198"/>
      <c r="M196" s="198"/>
      <c r="N196" s="199">
        <f>SUM(N182:N195)</f>
        <v>-14.727990090000052</v>
      </c>
      <c r="O196" s="198"/>
      <c r="P196" s="198"/>
      <c r="Q196" s="198"/>
      <c r="R196" s="198"/>
      <c r="S196" s="198"/>
      <c r="T196" s="198"/>
      <c r="U196" s="371">
        <f>SUM(U182:U195)</f>
        <v>16.878999999999962</v>
      </c>
      <c r="V196" s="198"/>
      <c r="W196" s="198"/>
      <c r="X196" s="198"/>
      <c r="Y196" s="198"/>
      <c r="Z196" s="199">
        <f>SUM(Z182:Z195)</f>
        <v>-227</v>
      </c>
      <c r="AA196" s="200"/>
      <c r="AB196" s="200"/>
      <c r="AC196" s="200"/>
      <c r="AD196" s="200"/>
      <c r="AE196" s="199">
        <f>SUM(AE182:AE195)</f>
        <v>232.3</v>
      </c>
      <c r="AF196" s="200"/>
      <c r="AG196" s="200"/>
      <c r="AH196" s="200"/>
      <c r="AI196" s="200"/>
      <c r="AJ196" s="199">
        <f>SUM(AJ182:AJ195)</f>
        <v>510.62412287033834</v>
      </c>
      <c r="AK196" s="200"/>
      <c r="AL196" s="200"/>
      <c r="AM196" s="200"/>
      <c r="AN196" s="200"/>
      <c r="AO196" s="199">
        <f t="shared" ref="AO196:AY196" si="840">SUM(AO182:AO195)</f>
        <v>359.50000000000017</v>
      </c>
      <c r="AP196" s="200"/>
      <c r="AQ196" s="200"/>
      <c r="AR196" s="200"/>
      <c r="AS196" s="200"/>
      <c r="AT196" s="200">
        <f t="shared" si="840"/>
        <v>526.824607202111</v>
      </c>
      <c r="AU196" s="200">
        <f t="shared" si="840"/>
        <v>598.20603902579944</v>
      </c>
      <c r="AV196" s="200">
        <f t="shared" si="840"/>
        <v>742.07609783150201</v>
      </c>
      <c r="AW196" s="200">
        <f t="shared" si="840"/>
        <v>901.01578818791916</v>
      </c>
      <c r="AX196" s="200">
        <f t="shared" si="840"/>
        <v>1063.3193805373485</v>
      </c>
      <c r="AY196" s="200">
        <f t="shared" si="840"/>
        <v>1243.0233321111723</v>
      </c>
      <c r="AZ196" s="119"/>
      <c r="BD196" s="383"/>
    </row>
    <row r="197" spans="2:56" x14ac:dyDescent="0.35">
      <c r="B197" s="174" t="s">
        <v>55</v>
      </c>
      <c r="G197" s="526">
        <v>-7.4320000000000004</v>
      </c>
      <c r="N197" s="153">
        <v>-10.986000000000001</v>
      </c>
      <c r="U197" s="360">
        <v>-24.64</v>
      </c>
      <c r="Z197" s="153">
        <v>-60.3</v>
      </c>
      <c r="AA197" s="154"/>
      <c r="AB197" s="154"/>
      <c r="AC197" s="154"/>
      <c r="AD197" s="154"/>
      <c r="AE197" s="153">
        <v>-42.8</v>
      </c>
      <c r="AF197" s="154"/>
      <c r="AG197" s="154"/>
      <c r="AH197" s="154"/>
      <c r="AI197" s="154"/>
      <c r="AJ197" s="153">
        <v>-60.5</v>
      </c>
      <c r="AK197" s="154"/>
      <c r="AL197" s="154"/>
      <c r="AM197" s="154"/>
      <c r="AN197" s="154"/>
      <c r="AO197" s="153">
        <v>-72.900000000000006</v>
      </c>
      <c r="AP197" s="154"/>
      <c r="AQ197" s="154"/>
      <c r="AR197" s="154"/>
      <c r="AS197" s="154"/>
      <c r="AT197" s="154">
        <f t="shared" ref="AT197:AY197" si="841">-AT262*AT131</f>
        <v>-105.06377362873101</v>
      </c>
      <c r="AU197" s="154">
        <f t="shared" si="841"/>
        <v>-124.75572716282512</v>
      </c>
      <c r="AV197" s="154">
        <f t="shared" si="841"/>
        <v>-145.26351401223306</v>
      </c>
      <c r="AW197" s="154">
        <f t="shared" si="841"/>
        <v>-168.1547418789813</v>
      </c>
      <c r="AX197" s="154">
        <f t="shared" si="841"/>
        <v>-192.29306133200549</v>
      </c>
      <c r="AY197" s="154">
        <f t="shared" si="841"/>
        <v>-214.88738092826446</v>
      </c>
    </row>
    <row r="198" spans="2:56" x14ac:dyDescent="0.35">
      <c r="B198" s="174" t="s">
        <v>56</v>
      </c>
      <c r="G198" s="526">
        <v>-1.7849999999999999</v>
      </c>
      <c r="N198" s="153">
        <v>-7.6120000000000001</v>
      </c>
      <c r="U198" s="360">
        <v>-11.6</v>
      </c>
      <c r="Z198" s="153">
        <v>-22.6</v>
      </c>
      <c r="AA198" s="154"/>
      <c r="AB198" s="154"/>
      <c r="AC198" s="154"/>
      <c r="AD198" s="154"/>
      <c r="AE198" s="153">
        <v>-4.4000000000000004</v>
      </c>
      <c r="AF198" s="154"/>
      <c r="AG198" s="154"/>
      <c r="AH198" s="154"/>
      <c r="AI198" s="154"/>
      <c r="AJ198" s="153">
        <f>-4.5+0.1</f>
        <v>-4.4000000000000004</v>
      </c>
      <c r="AK198" s="154"/>
      <c r="AL198" s="154"/>
      <c r="AM198" s="154"/>
      <c r="AN198" s="154"/>
      <c r="AO198" s="153">
        <v>-5.7</v>
      </c>
      <c r="AP198" s="154"/>
      <c r="AQ198" s="154"/>
      <c r="AR198" s="154"/>
      <c r="AS198" s="154"/>
      <c r="AT198" s="154">
        <v>0</v>
      </c>
      <c r="AU198" s="154">
        <v>0</v>
      </c>
      <c r="AV198" s="154">
        <v>0</v>
      </c>
      <c r="AW198" s="154">
        <v>0</v>
      </c>
      <c r="AX198" s="154">
        <v>0</v>
      </c>
      <c r="AY198" s="154">
        <v>0</v>
      </c>
      <c r="AZ198" s="538"/>
      <c r="BA198" s="110"/>
      <c r="BB198" s="110"/>
    </row>
    <row r="199" spans="2:56" x14ac:dyDescent="0.35">
      <c r="B199" s="174" t="s">
        <v>57</v>
      </c>
      <c r="G199" s="526">
        <v>-0.32100000000000001</v>
      </c>
      <c r="N199" s="153">
        <v>0</v>
      </c>
      <c r="U199" s="360">
        <v>0</v>
      </c>
      <c r="Z199" s="153">
        <v>0</v>
      </c>
      <c r="AA199" s="154"/>
      <c r="AB199" s="154"/>
      <c r="AC199" s="154"/>
      <c r="AD199" s="154"/>
      <c r="AE199" s="153">
        <v>0</v>
      </c>
      <c r="AF199" s="154"/>
      <c r="AG199" s="154"/>
      <c r="AH199" s="154"/>
      <c r="AI199" s="154"/>
      <c r="AJ199" s="153"/>
      <c r="AK199" s="154"/>
      <c r="AL199" s="154"/>
      <c r="AM199" s="154"/>
      <c r="AN199" s="154"/>
      <c r="AO199" s="153">
        <v>0</v>
      </c>
      <c r="AP199" s="154"/>
      <c r="AQ199" s="154"/>
      <c r="AR199" s="154"/>
      <c r="AS199" s="154"/>
      <c r="AT199" s="154">
        <v>0</v>
      </c>
      <c r="AU199" s="154">
        <v>0</v>
      </c>
      <c r="AV199" s="154">
        <v>0</v>
      </c>
      <c r="AW199" s="154">
        <v>0</v>
      </c>
      <c r="AX199" s="154">
        <v>0</v>
      </c>
      <c r="AY199" s="154">
        <v>0</v>
      </c>
      <c r="BA199" s="196"/>
      <c r="BB199" s="539"/>
    </row>
    <row r="200" spans="2:56" x14ac:dyDescent="0.35">
      <c r="B200" s="174" t="s">
        <v>58</v>
      </c>
      <c r="G200" s="526">
        <v>0</v>
      </c>
      <c r="N200" s="153">
        <v>-2.5999999999999999E-2</v>
      </c>
      <c r="U200" s="360">
        <v>-0.2</v>
      </c>
      <c r="Z200" s="153">
        <v>0</v>
      </c>
      <c r="AA200" s="154"/>
      <c r="AB200" s="154"/>
      <c r="AC200" s="154"/>
      <c r="AD200" s="154"/>
      <c r="AE200" s="153">
        <v>0</v>
      </c>
      <c r="AF200" s="154"/>
      <c r="AG200" s="154"/>
      <c r="AH200" s="154"/>
      <c r="AI200" s="154"/>
      <c r="AJ200" s="153">
        <v>0</v>
      </c>
      <c r="AK200" s="154"/>
      <c r="AL200" s="154"/>
      <c r="AM200" s="154"/>
      <c r="AN200" s="154"/>
      <c r="AO200" s="153">
        <v>0</v>
      </c>
      <c r="AP200" s="154"/>
      <c r="AQ200" s="154"/>
      <c r="AR200" s="154"/>
      <c r="AS200" s="154"/>
      <c r="AT200" s="154">
        <v>0</v>
      </c>
      <c r="AU200" s="154">
        <v>0</v>
      </c>
      <c r="AV200" s="154">
        <v>0</v>
      </c>
      <c r="AW200" s="154">
        <v>0</v>
      </c>
      <c r="AX200" s="154">
        <v>0</v>
      </c>
      <c r="AY200" s="154">
        <v>0</v>
      </c>
    </row>
    <row r="201" spans="2:56" s="110" customFormat="1" x14ac:dyDescent="0.35">
      <c r="B201" s="197" t="s">
        <v>59</v>
      </c>
      <c r="C201" s="198"/>
      <c r="D201" s="198"/>
      <c r="E201" s="198"/>
      <c r="F201" s="198"/>
      <c r="G201" s="528">
        <f>SUM(G197:G200)</f>
        <v>-9.5380000000000003</v>
      </c>
      <c r="H201" s="198"/>
      <c r="I201" s="198"/>
      <c r="J201" s="198"/>
      <c r="K201" s="198"/>
      <c r="L201" s="198"/>
      <c r="M201" s="198"/>
      <c r="N201" s="199">
        <f>SUM(N197:N200)</f>
        <v>-18.623999999999999</v>
      </c>
      <c r="O201" s="198"/>
      <c r="P201" s="198"/>
      <c r="Q201" s="198"/>
      <c r="R201" s="198"/>
      <c r="S201" s="198"/>
      <c r="T201" s="198"/>
      <c r="U201" s="371">
        <f>SUM(U197:U200)</f>
        <v>-36.440000000000005</v>
      </c>
      <c r="V201" s="198"/>
      <c r="W201" s="198"/>
      <c r="X201" s="198"/>
      <c r="Y201" s="198"/>
      <c r="Z201" s="199">
        <f>SUM(Z197:Z200)</f>
        <v>-82.9</v>
      </c>
      <c r="AA201" s="200"/>
      <c r="AB201" s="200"/>
      <c r="AC201" s="200"/>
      <c r="AD201" s="200"/>
      <c r="AE201" s="199">
        <f>SUM(AE197:AE200)</f>
        <v>-47.199999999999996</v>
      </c>
      <c r="AF201" s="200"/>
      <c r="AG201" s="200"/>
      <c r="AH201" s="200"/>
      <c r="AI201" s="200"/>
      <c r="AJ201" s="199">
        <f>SUM(AJ197:AJ200)</f>
        <v>-64.900000000000006</v>
      </c>
      <c r="AK201" s="200"/>
      <c r="AL201" s="200"/>
      <c r="AM201" s="200"/>
      <c r="AN201" s="200"/>
      <c r="AO201" s="199">
        <f t="shared" ref="AO201:AY201" si="842">SUM(AO197:AO200)</f>
        <v>-78.600000000000009</v>
      </c>
      <c r="AP201" s="200"/>
      <c r="AQ201" s="200"/>
      <c r="AR201" s="200"/>
      <c r="AS201" s="200"/>
      <c r="AT201" s="200">
        <f t="shared" si="842"/>
        <v>-105.06377362873101</v>
      </c>
      <c r="AU201" s="200">
        <f t="shared" si="842"/>
        <v>-124.75572716282512</v>
      </c>
      <c r="AV201" s="200">
        <f t="shared" si="842"/>
        <v>-145.26351401223306</v>
      </c>
      <c r="AW201" s="200">
        <f t="shared" si="842"/>
        <v>-168.1547418789813</v>
      </c>
      <c r="AX201" s="200">
        <f t="shared" si="842"/>
        <v>-192.29306133200549</v>
      </c>
      <c r="AY201" s="200">
        <f t="shared" si="842"/>
        <v>-214.88738092826446</v>
      </c>
    </row>
    <row r="202" spans="2:56" x14ac:dyDescent="0.35">
      <c r="B202" s="174" t="s">
        <v>60</v>
      </c>
      <c r="G202" s="526">
        <v>3</v>
      </c>
      <c r="N202" s="153">
        <v>0</v>
      </c>
      <c r="U202" s="360">
        <v>0</v>
      </c>
      <c r="Z202" s="153">
        <v>0</v>
      </c>
      <c r="AA202" s="154"/>
      <c r="AB202" s="154"/>
      <c r="AC202" s="154"/>
      <c r="AD202" s="154"/>
      <c r="AE202" s="153">
        <v>0</v>
      </c>
      <c r="AF202" s="154"/>
      <c r="AG202" s="154"/>
      <c r="AH202" s="154"/>
      <c r="AI202" s="154"/>
      <c r="AJ202" s="153">
        <v>0</v>
      </c>
      <c r="AK202" s="154"/>
      <c r="AL202" s="154"/>
      <c r="AM202" s="154"/>
      <c r="AN202" s="154"/>
      <c r="AO202" s="153">
        <v>0</v>
      </c>
      <c r="AP202" s="154"/>
      <c r="AQ202" s="154"/>
      <c r="AR202" s="154"/>
      <c r="AS202" s="154"/>
      <c r="AT202" s="154">
        <v>0</v>
      </c>
      <c r="AU202" s="154">
        <v>0</v>
      </c>
      <c r="AV202" s="154">
        <v>0</v>
      </c>
      <c r="AW202" s="154">
        <v>0</v>
      </c>
      <c r="AX202" s="154">
        <v>0</v>
      </c>
      <c r="AY202" s="154">
        <v>0</v>
      </c>
    </row>
    <row r="203" spans="2:56" x14ac:dyDescent="0.35">
      <c r="B203" s="174" t="s">
        <v>61</v>
      </c>
      <c r="G203" s="526">
        <v>-1.2</v>
      </c>
      <c r="N203" s="153">
        <v>-3</v>
      </c>
      <c r="U203" s="360">
        <v>0</v>
      </c>
      <c r="Z203" s="153">
        <v>0</v>
      </c>
      <c r="AA203" s="154"/>
      <c r="AB203" s="154"/>
      <c r="AC203" s="154"/>
      <c r="AD203" s="154"/>
      <c r="AE203" s="153">
        <v>0</v>
      </c>
      <c r="AF203" s="154"/>
      <c r="AG203" s="154"/>
      <c r="AH203" s="154"/>
      <c r="AI203" s="154"/>
      <c r="AJ203" s="153">
        <v>0</v>
      </c>
      <c r="AK203" s="154"/>
      <c r="AL203" s="154"/>
      <c r="AM203" s="154"/>
      <c r="AN203" s="154"/>
      <c r="AO203" s="153">
        <v>0</v>
      </c>
      <c r="AP203" s="154"/>
      <c r="AQ203" s="154"/>
      <c r="AR203" s="154"/>
      <c r="AS203" s="154"/>
      <c r="AT203" s="154">
        <v>0</v>
      </c>
      <c r="AU203" s="154">
        <v>0</v>
      </c>
      <c r="AV203" s="154">
        <v>0</v>
      </c>
      <c r="AW203" s="154">
        <v>0</v>
      </c>
      <c r="AX203" s="154">
        <v>0</v>
      </c>
      <c r="AY203" s="154">
        <v>0</v>
      </c>
    </row>
    <row r="204" spans="2:56" x14ac:dyDescent="0.35">
      <c r="B204" s="174" t="s">
        <v>62</v>
      </c>
      <c r="G204" s="526">
        <v>-2</v>
      </c>
      <c r="N204" s="153">
        <v>-3.399</v>
      </c>
      <c r="U204" s="360">
        <v>-13.3</v>
      </c>
      <c r="Z204" s="153">
        <v>-15.4</v>
      </c>
      <c r="AA204" s="154"/>
      <c r="AB204" s="154"/>
      <c r="AC204" s="154"/>
      <c r="AD204" s="154"/>
      <c r="AE204" s="153">
        <v>-25.5</v>
      </c>
      <c r="AF204" s="154"/>
      <c r="AG204" s="154"/>
      <c r="AH204" s="154"/>
      <c r="AI204" s="154"/>
      <c r="AJ204" s="558">
        <v>-51.199999999999996</v>
      </c>
      <c r="AK204" s="180"/>
      <c r="AL204" s="180"/>
      <c r="AM204" s="180"/>
      <c r="AN204" s="180"/>
      <c r="AO204" s="558">
        <v>-69.900000000000006</v>
      </c>
      <c r="AP204" s="180"/>
      <c r="AQ204" s="180"/>
      <c r="AR204" s="180"/>
      <c r="AS204" s="180"/>
      <c r="AT204" s="180">
        <f t="shared" ref="AT204:AY204" si="843">-AT263*AT131</f>
        <v>-80.847094224137152</v>
      </c>
      <c r="AU204" s="180">
        <f t="shared" si="843"/>
        <v>-96.000150009607964</v>
      </c>
      <c r="AV204" s="180">
        <f t="shared" si="843"/>
        <v>-111.78099357231439</v>
      </c>
      <c r="AW204" s="180">
        <f t="shared" si="843"/>
        <v>-129.39590680386326</v>
      </c>
      <c r="AX204" s="180">
        <f t="shared" si="843"/>
        <v>-147.9704631883229</v>
      </c>
      <c r="AY204" s="180">
        <f t="shared" si="843"/>
        <v>-165.35690403504199</v>
      </c>
    </row>
    <row r="205" spans="2:56" x14ac:dyDescent="0.35">
      <c r="B205" s="174" t="s">
        <v>63</v>
      </c>
      <c r="G205" s="526">
        <v>0</v>
      </c>
      <c r="N205" s="153">
        <v>133.26599999999999</v>
      </c>
      <c r="U205" s="360">
        <v>618.84524665000015</v>
      </c>
      <c r="Y205" s="15" t="s">
        <v>466</v>
      </c>
      <c r="Z205" s="153">
        <v>26.4</v>
      </c>
      <c r="AA205" s="154"/>
      <c r="AB205" s="154"/>
      <c r="AC205" s="154"/>
      <c r="AD205" s="154"/>
      <c r="AE205" s="153">
        <v>10.1</v>
      </c>
      <c r="AF205" s="154"/>
      <c r="AG205" s="154"/>
      <c r="AH205" s="154"/>
      <c r="AI205" s="154"/>
      <c r="AJ205" s="153">
        <f>0.2+10.9</f>
        <v>11.1</v>
      </c>
      <c r="AK205" s="154"/>
      <c r="AL205" s="154"/>
      <c r="AM205" s="154"/>
      <c r="AN205" s="154"/>
      <c r="AO205" s="153">
        <f>4.3+8.6</f>
        <v>12.899999999999999</v>
      </c>
      <c r="AP205" s="154"/>
      <c r="AQ205" s="154"/>
      <c r="AR205" s="154"/>
      <c r="AS205" s="154"/>
      <c r="AT205" s="154">
        <v>0</v>
      </c>
      <c r="AU205" s="154">
        <v>-275</v>
      </c>
      <c r="AV205" s="154">
        <f>AU205</f>
        <v>-275</v>
      </c>
      <c r="AW205" s="154">
        <f>AV205</f>
        <v>-275</v>
      </c>
      <c r="AX205" s="154">
        <f t="shared" ref="AX205:AY205" si="844">AW205</f>
        <v>-275</v>
      </c>
      <c r="AY205" s="154">
        <f t="shared" si="844"/>
        <v>-275</v>
      </c>
    </row>
    <row r="206" spans="2:56" x14ac:dyDescent="0.35">
      <c r="B206" s="174" t="s">
        <v>64</v>
      </c>
      <c r="G206" s="526">
        <v>0</v>
      </c>
      <c r="N206" s="153">
        <v>-1.476</v>
      </c>
      <c r="U206" s="360">
        <v>-6.8</v>
      </c>
      <c r="Z206" s="153">
        <v>0</v>
      </c>
      <c r="AA206" s="154"/>
      <c r="AB206" s="154"/>
      <c r="AC206" s="154"/>
      <c r="AD206" s="154"/>
      <c r="AE206" s="153">
        <v>0</v>
      </c>
      <c r="AF206" s="154"/>
      <c r="AG206" s="154"/>
      <c r="AH206" s="154"/>
      <c r="AI206" s="154"/>
      <c r="AJ206" s="153">
        <v>0</v>
      </c>
      <c r="AK206" s="154"/>
      <c r="AL206" s="154"/>
      <c r="AM206" s="154"/>
      <c r="AN206" s="154"/>
      <c r="AO206" s="153">
        <v>0</v>
      </c>
      <c r="AP206" s="154"/>
      <c r="AQ206" s="154"/>
      <c r="AR206" s="154"/>
      <c r="AS206" s="154"/>
      <c r="AT206" s="154">
        <v>0</v>
      </c>
      <c r="AU206" s="154">
        <v>0</v>
      </c>
      <c r="AV206" s="154">
        <v>0</v>
      </c>
      <c r="AW206" s="154">
        <v>0</v>
      </c>
      <c r="AX206" s="154">
        <v>0</v>
      </c>
      <c r="AY206" s="154">
        <v>0</v>
      </c>
    </row>
    <row r="207" spans="2:56" x14ac:dyDescent="0.35">
      <c r="B207" s="174" t="s">
        <v>483</v>
      </c>
      <c r="G207" s="526">
        <v>-0.49099999999999999</v>
      </c>
      <c r="N207" s="153">
        <v>-0.59499999999999997</v>
      </c>
      <c r="U207" s="360">
        <v>-2.8</v>
      </c>
      <c r="Z207" s="153">
        <v>-4.7</v>
      </c>
      <c r="AA207" s="154"/>
      <c r="AB207" s="154"/>
      <c r="AC207" s="154"/>
      <c r="AD207" s="154"/>
      <c r="AE207" s="153">
        <v>-6.5</v>
      </c>
      <c r="AF207" s="154"/>
      <c r="AG207" s="154"/>
      <c r="AH207" s="154"/>
      <c r="AI207" s="154"/>
      <c r="AJ207" s="153">
        <v>-15.3</v>
      </c>
      <c r="AK207" s="154"/>
      <c r="AL207" s="154"/>
      <c r="AM207" s="154"/>
      <c r="AN207" s="154"/>
      <c r="AO207" s="153">
        <v>-21.5</v>
      </c>
      <c r="AP207" s="154"/>
      <c r="AQ207" s="154"/>
      <c r="AR207" s="154"/>
      <c r="AS207" s="154"/>
      <c r="AT207" s="154">
        <f>AO207-2</f>
        <v>-23.5</v>
      </c>
      <c r="AU207" s="154">
        <f t="shared" ref="AU207:AY207" si="845">AT207-2</f>
        <v>-25.5</v>
      </c>
      <c r="AV207" s="154">
        <f t="shared" si="845"/>
        <v>-27.5</v>
      </c>
      <c r="AW207" s="154">
        <f t="shared" si="845"/>
        <v>-29.5</v>
      </c>
      <c r="AX207" s="154">
        <f t="shared" si="845"/>
        <v>-31.5</v>
      </c>
      <c r="AY207" s="154">
        <f t="shared" si="845"/>
        <v>-33.5</v>
      </c>
    </row>
    <row r="208" spans="2:56" s="110" customFormat="1" x14ac:dyDescent="0.35">
      <c r="B208" s="197" t="s">
        <v>65</v>
      </c>
      <c r="C208" s="198"/>
      <c r="D208" s="198"/>
      <c r="E208" s="198"/>
      <c r="F208" s="198"/>
      <c r="G208" s="528">
        <f>SUM(G202:G207)</f>
        <v>-0.69099999999999995</v>
      </c>
      <c r="H208" s="198"/>
      <c r="I208" s="198"/>
      <c r="J208" s="198"/>
      <c r="K208" s="198"/>
      <c r="L208" s="198"/>
      <c r="M208" s="198"/>
      <c r="N208" s="199">
        <f>SUM(N202:N207)</f>
        <v>124.79599999999999</v>
      </c>
      <c r="O208" s="198"/>
      <c r="P208" s="198"/>
      <c r="Q208" s="198"/>
      <c r="R208" s="198"/>
      <c r="S208" s="198"/>
      <c r="T208" s="198"/>
      <c r="U208" s="371">
        <f>SUM(U202:U207)</f>
        <v>595.94524665000029</v>
      </c>
      <c r="V208" s="198"/>
      <c r="W208" s="198"/>
      <c r="X208" s="198"/>
      <c r="Y208" s="198"/>
      <c r="Z208" s="199">
        <f>SUM(Z202:Z207)</f>
        <v>6.299999999999998</v>
      </c>
      <c r="AA208" s="200"/>
      <c r="AB208" s="200"/>
      <c r="AC208" s="200"/>
      <c r="AD208" s="200"/>
      <c r="AE208" s="199">
        <f>SUM(AE202:AE207)</f>
        <v>-21.9</v>
      </c>
      <c r="AF208" s="200"/>
      <c r="AG208" s="200"/>
      <c r="AH208" s="200"/>
      <c r="AI208" s="200"/>
      <c r="AJ208" s="199">
        <f>SUM(AJ202:AJ207)</f>
        <v>-55.399999999999991</v>
      </c>
      <c r="AK208" s="200"/>
      <c r="AL208" s="200"/>
      <c r="AM208" s="200"/>
      <c r="AN208" s="200"/>
      <c r="AO208" s="199">
        <f t="shared" ref="AO208:AY208" si="846">SUM(AO202:AO207)</f>
        <v>-78.5</v>
      </c>
      <c r="AP208" s="200"/>
      <c r="AQ208" s="200"/>
      <c r="AR208" s="200"/>
      <c r="AS208" s="200"/>
      <c r="AT208" s="200">
        <f t="shared" si="846"/>
        <v>-104.34709422413715</v>
      </c>
      <c r="AU208" s="200">
        <f t="shared" si="846"/>
        <v>-396.50015000960798</v>
      </c>
      <c r="AV208" s="200">
        <f t="shared" si="846"/>
        <v>-414.2809935723144</v>
      </c>
      <c r="AW208" s="200">
        <f t="shared" si="846"/>
        <v>-433.89590680386323</v>
      </c>
      <c r="AX208" s="200">
        <f t="shared" si="846"/>
        <v>-454.47046318832292</v>
      </c>
      <c r="AY208" s="200">
        <f t="shared" si="846"/>
        <v>-473.85690403504202</v>
      </c>
    </row>
    <row r="209" spans="2:51" s="110" customFormat="1" x14ac:dyDescent="0.35">
      <c r="B209" s="173" t="s">
        <v>66</v>
      </c>
      <c r="G209" s="529">
        <f>SUM(G208,G201,G196)</f>
        <v>-15.446256560000037</v>
      </c>
      <c r="N209" s="181">
        <f>SUM(N208,N201,N196)</f>
        <v>91.444009909999949</v>
      </c>
      <c r="U209" s="372">
        <f>SUM(U208,U201,U196)</f>
        <v>576.38424665000025</v>
      </c>
      <c r="Z209" s="181">
        <f>SUM(Z208,Z201,Z196)</f>
        <v>-303.60000000000002</v>
      </c>
      <c r="AA209" s="182"/>
      <c r="AB209" s="182"/>
      <c r="AC209" s="182"/>
      <c r="AD209" s="182"/>
      <c r="AE209" s="181">
        <f>SUM(AE208,AE201,AE196)</f>
        <v>163.20000000000002</v>
      </c>
      <c r="AF209" s="182"/>
      <c r="AG209" s="182"/>
      <c r="AH209" s="182"/>
      <c r="AI209" s="182"/>
      <c r="AJ209" s="181">
        <f>SUM(AJ208,AJ201,AJ196)</f>
        <v>390.32412287033833</v>
      </c>
      <c r="AK209" s="182"/>
      <c r="AL209" s="182"/>
      <c r="AM209" s="182"/>
      <c r="AN209" s="182"/>
      <c r="AO209" s="181">
        <f t="shared" ref="AO209:AY209" si="847">SUM(AO208,AO201,AO196)</f>
        <v>202.40000000000015</v>
      </c>
      <c r="AP209" s="182"/>
      <c r="AQ209" s="182"/>
      <c r="AR209" s="182"/>
      <c r="AS209" s="182"/>
      <c r="AT209" s="182">
        <f t="shared" si="847"/>
        <v>317.41373934924286</v>
      </c>
      <c r="AU209" s="182">
        <f t="shared" si="847"/>
        <v>76.950161853366353</v>
      </c>
      <c r="AV209" s="182">
        <f t="shared" si="847"/>
        <v>182.53159024695458</v>
      </c>
      <c r="AW209" s="182">
        <f t="shared" si="847"/>
        <v>298.9651395050746</v>
      </c>
      <c r="AX209" s="182">
        <f t="shared" si="847"/>
        <v>416.55585601702001</v>
      </c>
      <c r="AY209" s="182">
        <f t="shared" si="847"/>
        <v>554.27904714786587</v>
      </c>
    </row>
    <row r="210" spans="2:51" x14ac:dyDescent="0.35">
      <c r="B210" s="183" t="s">
        <v>68</v>
      </c>
      <c r="G210" s="526">
        <v>15.762</v>
      </c>
      <c r="N210" s="153">
        <v>0.12074343999996409</v>
      </c>
      <c r="U210" s="360">
        <f>N212</f>
        <v>90.59575334999991</v>
      </c>
      <c r="Z210" s="153">
        <f>U212</f>
        <v>653.08000000000015</v>
      </c>
      <c r="AA210" s="154"/>
      <c r="AB210" s="154"/>
      <c r="AC210" s="154"/>
      <c r="AD210" s="154"/>
      <c r="AE210" s="153">
        <f>Z212</f>
        <v>370.98000000000013</v>
      </c>
      <c r="AF210" s="154"/>
      <c r="AG210" s="154"/>
      <c r="AH210" s="154"/>
      <c r="AI210" s="154"/>
      <c r="AJ210" s="153">
        <f>AE212</f>
        <v>494.58000000000015</v>
      </c>
      <c r="AK210" s="154"/>
      <c r="AL210" s="154"/>
      <c r="AM210" s="154"/>
      <c r="AN210" s="154"/>
      <c r="AO210" s="153">
        <f>AJ212</f>
        <v>924.30412287033846</v>
      </c>
      <c r="AP210" s="154"/>
      <c r="AQ210" s="154"/>
      <c r="AR210" s="154"/>
      <c r="AS210" s="154"/>
      <c r="AT210" s="154">
        <f>AO212</f>
        <v>1019.9041228703386</v>
      </c>
      <c r="AU210" s="154">
        <f t="shared" ref="AU210:AX210" si="848">AT212</f>
        <v>1337.3178622195815</v>
      </c>
      <c r="AV210" s="154">
        <f t="shared" si="848"/>
        <v>1414.2680240729478</v>
      </c>
      <c r="AW210" s="154">
        <f t="shared" si="848"/>
        <v>1596.7996143199025</v>
      </c>
      <c r="AX210" s="154">
        <f t="shared" si="848"/>
        <v>1895.7647538249771</v>
      </c>
      <c r="AY210" s="154">
        <f t="shared" ref="AY210" si="849">AX212</f>
        <v>2312.3206098419969</v>
      </c>
    </row>
    <row r="211" spans="2:51" x14ac:dyDescent="0.35">
      <c r="B211" s="174" t="s">
        <v>67</v>
      </c>
      <c r="G211" s="526">
        <v>-0.19500000000000001</v>
      </c>
      <c r="N211" s="153">
        <v>-0.96899999999999997</v>
      </c>
      <c r="U211" s="360">
        <v>-13.9</v>
      </c>
      <c r="Z211" s="153">
        <v>21.5</v>
      </c>
      <c r="AA211" s="154"/>
      <c r="AB211" s="154"/>
      <c r="AC211" s="154"/>
      <c r="AD211" s="154"/>
      <c r="AE211" s="153">
        <v>-39.6</v>
      </c>
      <c r="AF211" s="154"/>
      <c r="AG211" s="154"/>
      <c r="AH211" s="154"/>
      <c r="AI211" s="154"/>
      <c r="AJ211" s="153">
        <v>39.4</v>
      </c>
      <c r="AK211" s="154"/>
      <c r="AL211" s="154"/>
      <c r="AM211" s="154"/>
      <c r="AN211" s="154"/>
      <c r="AO211" s="153">
        <v>-106.8</v>
      </c>
      <c r="AP211" s="154"/>
      <c r="AQ211" s="154"/>
      <c r="AR211" s="154"/>
      <c r="AS211" s="154"/>
      <c r="AT211" s="154">
        <v>0</v>
      </c>
      <c r="AU211" s="154">
        <v>0</v>
      </c>
      <c r="AV211" s="154">
        <v>0</v>
      </c>
      <c r="AW211" s="154">
        <v>0</v>
      </c>
      <c r="AX211" s="154">
        <v>0</v>
      </c>
      <c r="AY211" s="154">
        <v>0</v>
      </c>
    </row>
    <row r="212" spans="2:51" s="110" customFormat="1" x14ac:dyDescent="0.35">
      <c r="B212" s="201" t="s">
        <v>69</v>
      </c>
      <c r="C212" s="202"/>
      <c r="D212" s="202"/>
      <c r="E212" s="202"/>
      <c r="F212" s="202"/>
      <c r="G212" s="530">
        <f>G210+G211+G209</f>
        <v>0.12074343999996273</v>
      </c>
      <c r="H212" s="202"/>
      <c r="I212" s="202"/>
      <c r="J212" s="202"/>
      <c r="K212" s="202"/>
      <c r="L212" s="202"/>
      <c r="M212" s="202"/>
      <c r="N212" s="203">
        <f>N210+N211+N209</f>
        <v>90.59575334999991</v>
      </c>
      <c r="O212" s="202"/>
      <c r="P212" s="202"/>
      <c r="Q212" s="202"/>
      <c r="R212" s="202"/>
      <c r="S212" s="202"/>
      <c r="T212" s="202"/>
      <c r="U212" s="373">
        <f>U210+U211+U209</f>
        <v>653.08000000000015</v>
      </c>
      <c r="V212" s="202"/>
      <c r="W212" s="202"/>
      <c r="X212" s="202"/>
      <c r="Y212" s="202"/>
      <c r="Z212" s="203">
        <f>Z210+Z211+Z209</f>
        <v>370.98000000000013</v>
      </c>
      <c r="AA212" s="202"/>
      <c r="AB212" s="202"/>
      <c r="AC212" s="202"/>
      <c r="AD212" s="202"/>
      <c r="AE212" s="203">
        <f>AE210+AE211+AE209</f>
        <v>494.58000000000015</v>
      </c>
      <c r="AF212" s="202"/>
      <c r="AG212" s="202"/>
      <c r="AH212" s="202"/>
      <c r="AI212" s="202"/>
      <c r="AJ212" s="203">
        <f>AJ210+AJ211+AJ209</f>
        <v>924.30412287033846</v>
      </c>
      <c r="AK212" s="202"/>
      <c r="AL212" s="202"/>
      <c r="AM212" s="202"/>
      <c r="AN212" s="202"/>
      <c r="AO212" s="203">
        <f t="shared" ref="AO212:AY212" si="850">AO210+AO211+AO209</f>
        <v>1019.9041228703386</v>
      </c>
      <c r="AP212" s="202"/>
      <c r="AQ212" s="202"/>
      <c r="AR212" s="202"/>
      <c r="AS212" s="202"/>
      <c r="AT212" s="202">
        <f t="shared" si="850"/>
        <v>1337.3178622195815</v>
      </c>
      <c r="AU212" s="202">
        <f t="shared" si="850"/>
        <v>1414.2680240729478</v>
      </c>
      <c r="AV212" s="202">
        <f t="shared" si="850"/>
        <v>1596.7996143199025</v>
      </c>
      <c r="AW212" s="202">
        <f t="shared" si="850"/>
        <v>1895.7647538249771</v>
      </c>
      <c r="AX212" s="202">
        <f t="shared" si="850"/>
        <v>2312.3206098419969</v>
      </c>
      <c r="AY212" s="202">
        <f t="shared" si="850"/>
        <v>2866.5996569898625</v>
      </c>
    </row>
    <row r="213" spans="2:51" x14ac:dyDescent="0.35">
      <c r="B213" s="184"/>
      <c r="G213" s="531"/>
      <c r="H213" s="175"/>
      <c r="I213" s="175"/>
      <c r="J213" s="175"/>
      <c r="K213" s="175"/>
      <c r="L213" s="175"/>
      <c r="M213" s="175"/>
      <c r="N213" s="242"/>
      <c r="U213" s="374"/>
      <c r="Z213" s="185"/>
      <c r="AA213" s="175"/>
      <c r="AB213" s="175"/>
      <c r="AC213" s="175"/>
      <c r="AD213" s="175"/>
      <c r="AO213" s="166"/>
      <c r="AT213" s="167"/>
      <c r="AU213" s="167"/>
      <c r="AV213" s="167"/>
      <c r="AW213" s="167"/>
      <c r="AX213" s="167"/>
      <c r="AY213" s="167"/>
    </row>
    <row r="214" spans="2:51" x14ac:dyDescent="0.35">
      <c r="B214" s="184"/>
      <c r="G214" s="531"/>
      <c r="H214" s="175"/>
      <c r="I214" s="175"/>
      <c r="J214" s="175"/>
      <c r="K214" s="175"/>
      <c r="L214" s="175"/>
      <c r="M214" s="175"/>
      <c r="N214" s="185"/>
      <c r="U214" s="370"/>
      <c r="Z214" s="469"/>
      <c r="AA214" s="175"/>
      <c r="AB214" s="175"/>
      <c r="AC214" s="175"/>
      <c r="AD214" s="175"/>
      <c r="AE214" s="469"/>
      <c r="AF214" s="195"/>
      <c r="AG214" s="195"/>
      <c r="AH214" s="195"/>
      <c r="AI214" s="195"/>
    </row>
    <row r="215" spans="2:51" x14ac:dyDescent="0.35">
      <c r="B215" s="176"/>
      <c r="G215" s="531"/>
      <c r="N215" s="242"/>
      <c r="U215" s="366"/>
      <c r="Z215" s="166"/>
      <c r="AA215" s="167"/>
      <c r="AB215" s="167"/>
      <c r="AC215" s="167"/>
      <c r="AD215" s="167"/>
    </row>
    <row r="216" spans="2:51" x14ac:dyDescent="0.35">
      <c r="B216" s="120" t="s">
        <v>155</v>
      </c>
      <c r="C216" s="121" t="s">
        <v>8</v>
      </c>
      <c r="D216" s="121" t="s">
        <v>9</v>
      </c>
      <c r="E216" s="121" t="s">
        <v>10</v>
      </c>
      <c r="F216" s="121" t="s">
        <v>11</v>
      </c>
      <c r="G216" s="509" t="s">
        <v>147</v>
      </c>
      <c r="H216" s="121" t="s">
        <v>12</v>
      </c>
      <c r="I216" s="121" t="s">
        <v>13</v>
      </c>
      <c r="J216" s="121" t="str">
        <f>J180</f>
        <v>1H20</v>
      </c>
      <c r="K216" s="121" t="s">
        <v>14</v>
      </c>
      <c r="L216" s="121" t="s">
        <v>15</v>
      </c>
      <c r="M216" s="121" t="str">
        <f>M180</f>
        <v>2H20</v>
      </c>
      <c r="N216" s="122" t="s">
        <v>148</v>
      </c>
      <c r="O216" s="121" t="s">
        <v>181</v>
      </c>
      <c r="P216" s="121" t="s">
        <v>149</v>
      </c>
      <c r="Q216" s="121" t="str">
        <f>Q180</f>
        <v>1H21</v>
      </c>
      <c r="R216" s="121" t="s">
        <v>150</v>
      </c>
      <c r="S216" s="121" t="s">
        <v>151</v>
      </c>
      <c r="T216" s="121" t="str">
        <f>T180</f>
        <v>2H21</v>
      </c>
      <c r="U216" s="342">
        <f>U2</f>
        <v>2021</v>
      </c>
      <c r="V216" s="121" t="s">
        <v>367</v>
      </c>
      <c r="W216" s="121" t="s">
        <v>160</v>
      </c>
      <c r="X216" s="121" t="s">
        <v>161</v>
      </c>
      <c r="Y216" s="121" t="s">
        <v>162</v>
      </c>
      <c r="Z216" s="122">
        <f>Z2</f>
        <v>2022</v>
      </c>
      <c r="AA216" s="121"/>
      <c r="AB216" s="121"/>
      <c r="AC216" s="121"/>
      <c r="AD216" s="121"/>
      <c r="AE216" s="122">
        <f>AE2</f>
        <v>2023</v>
      </c>
      <c r="AF216" s="121"/>
      <c r="AG216" s="121"/>
      <c r="AH216" s="121"/>
      <c r="AI216" s="121"/>
      <c r="AJ216" s="122">
        <f>AJ2</f>
        <v>2024</v>
      </c>
      <c r="AK216" s="121"/>
      <c r="AL216" s="121"/>
      <c r="AM216" s="121"/>
      <c r="AN216" s="121"/>
      <c r="AO216" s="122">
        <f>AO2</f>
        <v>2025</v>
      </c>
      <c r="AP216" s="121"/>
      <c r="AQ216" s="121"/>
      <c r="AR216" s="121"/>
      <c r="AS216" s="121"/>
      <c r="AT216" s="121" t="str">
        <f t="shared" ref="AT216:AY216" si="851">AT2</f>
        <v>2026E</v>
      </c>
      <c r="AU216" s="121" t="str">
        <f t="shared" si="851"/>
        <v>2027E</v>
      </c>
      <c r="AV216" s="121" t="str">
        <f t="shared" si="851"/>
        <v>2028E</v>
      </c>
      <c r="AW216" s="121" t="str">
        <f t="shared" si="851"/>
        <v>2029E</v>
      </c>
      <c r="AX216" s="121" t="str">
        <f t="shared" si="851"/>
        <v>2030E</v>
      </c>
      <c r="AY216" s="121" t="str">
        <f t="shared" si="851"/>
        <v>2031E</v>
      </c>
    </row>
    <row r="217" spans="2:51" x14ac:dyDescent="0.35">
      <c r="B217" s="204" t="s">
        <v>183</v>
      </c>
      <c r="C217" s="205"/>
      <c r="D217" s="205"/>
      <c r="E217" s="205"/>
      <c r="F217" s="205"/>
      <c r="G217" s="510"/>
      <c r="H217" s="205"/>
      <c r="I217" s="205"/>
      <c r="J217" s="205"/>
      <c r="K217" s="205"/>
      <c r="L217" s="205"/>
      <c r="M217" s="205"/>
      <c r="N217" s="206"/>
      <c r="O217" s="205"/>
      <c r="P217" s="205"/>
      <c r="Q217" s="205"/>
      <c r="R217" s="205"/>
      <c r="S217" s="205"/>
      <c r="T217" s="205"/>
      <c r="U217" s="343"/>
      <c r="V217" s="205"/>
      <c r="W217" s="205"/>
      <c r="X217" s="205"/>
      <c r="Y217" s="205"/>
      <c r="Z217" s="206"/>
      <c r="AA217" s="205"/>
      <c r="AB217" s="205"/>
      <c r="AC217" s="205"/>
      <c r="AD217" s="205"/>
      <c r="AE217" s="206"/>
      <c r="AF217" s="205"/>
      <c r="AG217" s="205"/>
      <c r="AH217" s="205"/>
      <c r="AI217" s="205"/>
      <c r="AJ217" s="206"/>
      <c r="AK217" s="205"/>
      <c r="AL217" s="205"/>
      <c r="AM217" s="205"/>
      <c r="AN217" s="205"/>
      <c r="AO217" s="206"/>
      <c r="AP217" s="205"/>
      <c r="AQ217" s="205"/>
      <c r="AR217" s="205"/>
      <c r="AS217" s="205"/>
      <c r="AT217" s="205"/>
      <c r="AU217" s="205"/>
      <c r="AV217" s="205"/>
      <c r="AW217" s="205"/>
      <c r="AX217" s="205"/>
      <c r="AY217" s="205"/>
    </row>
    <row r="218" spans="2:51" x14ac:dyDescent="0.35">
      <c r="B218" s="174" t="s">
        <v>18</v>
      </c>
      <c r="G218" s="526">
        <v>11.929</v>
      </c>
      <c r="N218" s="153">
        <v>90.641999999999996</v>
      </c>
      <c r="U218" s="360">
        <f>U212</f>
        <v>653.08000000000015</v>
      </c>
      <c r="Z218" s="153">
        <f>Z212</f>
        <v>370.98000000000013</v>
      </c>
      <c r="AA218" s="154"/>
      <c r="AB218" s="154"/>
      <c r="AC218" s="154"/>
      <c r="AD218" s="154"/>
      <c r="AE218" s="153">
        <f>AE212</f>
        <v>494.58000000000015</v>
      </c>
      <c r="AF218" s="154"/>
      <c r="AG218" s="154"/>
      <c r="AH218" s="154"/>
      <c r="AI218" s="154"/>
      <c r="AJ218" s="153">
        <f>AJ212</f>
        <v>924.30412287033846</v>
      </c>
      <c r="AK218" s="154"/>
      <c r="AL218" s="154"/>
      <c r="AM218" s="154"/>
      <c r="AN218" s="154"/>
      <c r="AO218" s="153">
        <f>AO212</f>
        <v>1019.9041228703386</v>
      </c>
      <c r="AP218" s="154"/>
      <c r="AQ218" s="154"/>
      <c r="AR218" s="154"/>
      <c r="AS218" s="154"/>
      <c r="AT218" s="154">
        <f>AT212</f>
        <v>1337.3178622195815</v>
      </c>
      <c r="AU218" s="154">
        <f t="shared" ref="AU218:AY218" si="852">AU212</f>
        <v>1414.2680240729478</v>
      </c>
      <c r="AV218" s="154">
        <f t="shared" si="852"/>
        <v>1596.7996143199025</v>
      </c>
      <c r="AW218" s="154">
        <f t="shared" si="852"/>
        <v>1895.7647538249771</v>
      </c>
      <c r="AX218" s="154">
        <f t="shared" si="852"/>
        <v>2312.3206098419969</v>
      </c>
      <c r="AY218" s="154">
        <f t="shared" si="852"/>
        <v>2866.5996569898625</v>
      </c>
    </row>
    <row r="219" spans="2:51" x14ac:dyDescent="0.35">
      <c r="B219" s="174" t="s">
        <v>19</v>
      </c>
      <c r="G219" s="526">
        <v>41.420999999999999</v>
      </c>
      <c r="N219" s="153">
        <v>51.631</v>
      </c>
      <c r="U219" s="360">
        <v>99.26</v>
      </c>
      <c r="Z219" s="153">
        <v>174.6</v>
      </c>
      <c r="AA219" s="154"/>
      <c r="AB219" s="154"/>
      <c r="AC219" s="154"/>
      <c r="AD219" s="154"/>
      <c r="AE219" s="153">
        <v>204.8</v>
      </c>
      <c r="AF219" s="154"/>
      <c r="AG219" s="154"/>
      <c r="AH219" s="154"/>
      <c r="AI219" s="154"/>
      <c r="AJ219" s="153">
        <v>246.1</v>
      </c>
      <c r="AK219" s="154"/>
      <c r="AL219" s="154"/>
      <c r="AM219" s="154"/>
      <c r="AN219" s="154"/>
      <c r="AO219" s="153">
        <v>305.39999999999998</v>
      </c>
      <c r="AP219" s="154"/>
      <c r="AQ219" s="154"/>
      <c r="AR219" s="154"/>
      <c r="AS219" s="154"/>
      <c r="AT219" s="154">
        <f t="shared" ref="AT219:AY219" si="853">AT254/365*AT131</f>
        <v>371.76946742628508</v>
      </c>
      <c r="AU219" s="154">
        <f t="shared" si="853"/>
        <v>441.44968949620068</v>
      </c>
      <c r="AV219" s="154">
        <f t="shared" si="853"/>
        <v>514.0167478815016</v>
      </c>
      <c r="AW219" s="154">
        <f t="shared" si="853"/>
        <v>595.01764189876621</v>
      </c>
      <c r="AX219" s="154">
        <f t="shared" si="853"/>
        <v>680.43138497759207</v>
      </c>
      <c r="AY219" s="154">
        <f t="shared" si="853"/>
        <v>760.38166539340432</v>
      </c>
    </row>
    <row r="220" spans="2:51" x14ac:dyDescent="0.35">
      <c r="B220" s="174" t="s">
        <v>7</v>
      </c>
      <c r="G220" s="526">
        <v>44.54</v>
      </c>
      <c r="N220" s="153">
        <v>102.878</v>
      </c>
      <c r="U220" s="360">
        <v>134.19999999999999</v>
      </c>
      <c r="Z220" s="153">
        <v>395.6</v>
      </c>
      <c r="AA220" s="154"/>
      <c r="AB220" s="154"/>
      <c r="AC220" s="154"/>
      <c r="AD220" s="154"/>
      <c r="AE220" s="153">
        <v>356.5</v>
      </c>
      <c r="AF220" s="154"/>
      <c r="AG220" s="154"/>
      <c r="AH220" s="154"/>
      <c r="AI220" s="154"/>
      <c r="AJ220" s="153">
        <v>419.2</v>
      </c>
      <c r="AK220" s="154"/>
      <c r="AL220" s="154"/>
      <c r="AM220" s="154"/>
      <c r="AN220" s="154"/>
      <c r="AO220" s="153">
        <v>419.8</v>
      </c>
      <c r="AP220" s="154"/>
      <c r="AQ220" s="154"/>
      <c r="AR220" s="154"/>
      <c r="AS220" s="154"/>
      <c r="AT220" s="154">
        <f t="shared" ref="AT220:AX220" si="854">AT253/365*AT251</f>
        <v>563.0256212055375</v>
      </c>
      <c r="AU220" s="154">
        <f t="shared" si="854"/>
        <v>664.73241071623102</v>
      </c>
      <c r="AV220" s="154">
        <f t="shared" si="854"/>
        <v>769.55517524788945</v>
      </c>
      <c r="AW220" s="154">
        <f>AW253/365*AW251</f>
        <v>885.67559924759951</v>
      </c>
      <c r="AX220" s="154">
        <f t="shared" si="854"/>
        <v>1006.924337942798</v>
      </c>
      <c r="AY220" s="154">
        <f t="shared" ref="AY220" si="855">AY253/365*AY251</f>
        <v>1118.6570095369675</v>
      </c>
    </row>
    <row r="221" spans="2:51" x14ac:dyDescent="0.35">
      <c r="B221" s="174" t="s">
        <v>20</v>
      </c>
      <c r="G221" s="526">
        <v>5.9370000000000003</v>
      </c>
      <c r="N221" s="153">
        <v>17.135000000000002</v>
      </c>
      <c r="U221" s="360">
        <v>30.05</v>
      </c>
      <c r="Z221" s="153">
        <v>33.200000000000003</v>
      </c>
      <c r="AA221" s="154"/>
      <c r="AB221" s="154"/>
      <c r="AC221" s="154"/>
      <c r="AD221" s="154"/>
      <c r="AE221" s="153">
        <v>34.200000000000003</v>
      </c>
      <c r="AF221" s="154"/>
      <c r="AG221" s="154"/>
      <c r="AH221" s="154"/>
      <c r="AI221" s="154"/>
      <c r="AJ221" s="153">
        <v>56.4</v>
      </c>
      <c r="AK221" s="154"/>
      <c r="AL221" s="154"/>
      <c r="AM221" s="154"/>
      <c r="AN221" s="154"/>
      <c r="AO221" s="153">
        <v>59.2</v>
      </c>
      <c r="AP221" s="154"/>
      <c r="AQ221" s="154"/>
      <c r="AR221" s="154"/>
      <c r="AS221" s="154"/>
      <c r="AT221" s="154">
        <f>AO221*(1+AT134)</f>
        <v>68.787606711135524</v>
      </c>
      <c r="AU221" s="154">
        <f>AT221*(1+AU134)</f>
        <v>81.680369918593726</v>
      </c>
      <c r="AV221" s="154">
        <f>AU221*(1+AV134)</f>
        <v>95.107277477595602</v>
      </c>
      <c r="AW221" s="154">
        <f>AV221*(1+AW134)</f>
        <v>110.09467727533388</v>
      </c>
      <c r="AX221" s="154">
        <f>AW221*(1+AX134)</f>
        <v>125.89857587762354</v>
      </c>
      <c r="AY221" s="154">
        <f>AX221*(1+AY134)</f>
        <v>140.69158317798332</v>
      </c>
    </row>
    <row r="222" spans="2:51" x14ac:dyDescent="0.35">
      <c r="B222" s="174" t="s">
        <v>21</v>
      </c>
      <c r="G222" s="526">
        <v>16.331</v>
      </c>
      <c r="N222" s="153">
        <v>19.978999999999999</v>
      </c>
      <c r="U222" s="360">
        <v>48.02</v>
      </c>
      <c r="Z222" s="153">
        <v>77.099999999999994</v>
      </c>
      <c r="AA222" s="154"/>
      <c r="AB222" s="154"/>
      <c r="AC222" s="154"/>
      <c r="AD222" s="154"/>
      <c r="AE222" s="153">
        <v>61.2</v>
      </c>
      <c r="AF222" s="154"/>
      <c r="AG222" s="154"/>
      <c r="AH222" s="154"/>
      <c r="AI222" s="154"/>
      <c r="AJ222" s="153">
        <v>113.7</v>
      </c>
      <c r="AK222" s="154"/>
      <c r="AL222" s="154"/>
      <c r="AM222" s="154"/>
      <c r="AN222" s="154"/>
      <c r="AO222" s="153">
        <v>158.1</v>
      </c>
      <c r="AP222" s="154"/>
      <c r="AQ222" s="154"/>
      <c r="AR222" s="154"/>
      <c r="AS222" s="154"/>
      <c r="AT222" s="154">
        <f>AO222*(1+AT134)</f>
        <v>183.70474022011024</v>
      </c>
      <c r="AU222" s="154">
        <f>AT222*(1+AU134)</f>
        <v>218.13625817786604</v>
      </c>
      <c r="AV222" s="154">
        <f>AU222*(1+AV134)</f>
        <v>253.99426637175449</v>
      </c>
      <c r="AW222" s="154">
        <f>AV222*(1+AW134)</f>
        <v>294.01973779105214</v>
      </c>
      <c r="AX222" s="154">
        <f>AW222*(1+AX134)</f>
        <v>336.22575753804529</v>
      </c>
      <c r="AY222" s="154">
        <f>AX222*(1+AY134)</f>
        <v>375.7320827776885</v>
      </c>
    </row>
    <row r="223" spans="2:51" s="110" customFormat="1" x14ac:dyDescent="0.35">
      <c r="B223" s="177" t="s">
        <v>22</v>
      </c>
      <c r="C223" s="132"/>
      <c r="D223" s="132"/>
      <c r="E223" s="132"/>
      <c r="F223" s="132"/>
      <c r="G223" s="532">
        <f>SUM(G218:G222)</f>
        <v>120.158</v>
      </c>
      <c r="H223" s="132"/>
      <c r="I223" s="132"/>
      <c r="J223" s="132"/>
      <c r="K223" s="132"/>
      <c r="L223" s="132"/>
      <c r="M223" s="132"/>
      <c r="N223" s="178">
        <f>SUM(N218:N222)</f>
        <v>282.26499999999999</v>
      </c>
      <c r="O223" s="132"/>
      <c r="P223" s="132"/>
      <c r="Q223" s="132"/>
      <c r="R223" s="132"/>
      <c r="S223" s="132"/>
      <c r="T223" s="132"/>
      <c r="U223" s="375">
        <f>SUM(U218:U222)</f>
        <v>964.61000000000013</v>
      </c>
      <c r="V223" s="132"/>
      <c r="W223" s="132"/>
      <c r="X223" s="132"/>
      <c r="Y223" s="132"/>
      <c r="Z223" s="178">
        <f>SUM(Z218:Z222)</f>
        <v>1051.4800000000002</v>
      </c>
      <c r="AA223" s="179"/>
      <c r="AB223" s="179"/>
      <c r="AC223" s="179"/>
      <c r="AD223" s="179"/>
      <c r="AE223" s="178">
        <f>SUM(AE218:AE222)</f>
        <v>1151.2800000000002</v>
      </c>
      <c r="AF223" s="179"/>
      <c r="AG223" s="179"/>
      <c r="AH223" s="179"/>
      <c r="AI223" s="179"/>
      <c r="AJ223" s="178">
        <f>SUM(AJ218:AJ222)</f>
        <v>1759.7041228703386</v>
      </c>
      <c r="AK223" s="179"/>
      <c r="AL223" s="179"/>
      <c r="AM223" s="179"/>
      <c r="AN223" s="179"/>
      <c r="AO223" s="178">
        <f t="shared" ref="AO223:AY223" si="856">SUM(AO218:AO222)</f>
        <v>1962.4041228703386</v>
      </c>
      <c r="AP223" s="179"/>
      <c r="AQ223" s="179"/>
      <c r="AR223" s="179"/>
      <c r="AS223" s="179"/>
      <c r="AT223" s="179">
        <f t="shared" si="856"/>
        <v>2524.6052977826498</v>
      </c>
      <c r="AU223" s="179">
        <f t="shared" si="856"/>
        <v>2820.2667523818395</v>
      </c>
      <c r="AV223" s="179">
        <f t="shared" si="856"/>
        <v>3229.4730812986436</v>
      </c>
      <c r="AW223" s="179">
        <f t="shared" si="856"/>
        <v>3780.5724100377288</v>
      </c>
      <c r="AX223" s="179">
        <f t="shared" si="856"/>
        <v>4461.8006661780564</v>
      </c>
      <c r="AY223" s="179">
        <f t="shared" si="856"/>
        <v>5262.0619978759059</v>
      </c>
    </row>
    <row r="224" spans="2:51" x14ac:dyDescent="0.35">
      <c r="B224" s="174" t="s">
        <v>23</v>
      </c>
      <c r="G224" s="526">
        <v>10.631</v>
      </c>
      <c r="N224" s="153">
        <v>17.004000000000001</v>
      </c>
      <c r="U224" s="360">
        <v>34.4</v>
      </c>
      <c r="V224" s="167"/>
      <c r="Z224" s="153">
        <v>77.2</v>
      </c>
      <c r="AA224" s="154"/>
      <c r="AB224" s="154"/>
      <c r="AC224" s="154"/>
      <c r="AD224" s="154"/>
      <c r="AE224" s="153">
        <v>93.6</v>
      </c>
      <c r="AF224" s="154"/>
      <c r="AG224" s="154"/>
      <c r="AH224" s="154"/>
      <c r="AI224" s="154"/>
      <c r="AJ224" s="153">
        <v>127.2</v>
      </c>
      <c r="AK224" s="154"/>
      <c r="AL224" s="154"/>
      <c r="AM224" s="154"/>
      <c r="AN224" s="154"/>
      <c r="AO224" s="153">
        <v>148.80000000000001</v>
      </c>
      <c r="AP224" s="154"/>
      <c r="AQ224" s="154"/>
      <c r="AR224" s="154"/>
      <c r="AS224" s="154"/>
      <c r="AT224" s="154">
        <f>AO224-AT197-AT258</f>
        <v>253.86377362873102</v>
      </c>
      <c r="AU224" s="154">
        <f t="shared" ref="AU224:AY224" si="857">AT224-AU197-AU258</f>
        <v>378.61950079155616</v>
      </c>
      <c r="AV224" s="154">
        <f t="shared" si="857"/>
        <v>523.88301480378925</v>
      </c>
      <c r="AW224" s="154">
        <f t="shared" si="857"/>
        <v>692.03775668277058</v>
      </c>
      <c r="AX224" s="154">
        <f t="shared" si="857"/>
        <v>884.33081801477601</v>
      </c>
      <c r="AY224" s="154">
        <f t="shared" si="857"/>
        <v>1099.2181989430405</v>
      </c>
    </row>
    <row r="225" spans="2:51" x14ac:dyDescent="0.35">
      <c r="B225" s="174" t="s">
        <v>24</v>
      </c>
      <c r="G225" s="526">
        <v>5.08</v>
      </c>
      <c r="N225" s="153">
        <v>22.719000000000001</v>
      </c>
      <c r="U225" s="360">
        <v>177.89</v>
      </c>
      <c r="Z225" s="153">
        <v>151.6</v>
      </c>
      <c r="AA225" s="154"/>
      <c r="AB225" s="154"/>
      <c r="AC225" s="154"/>
      <c r="AD225" s="154"/>
      <c r="AE225" s="153">
        <v>214</v>
      </c>
      <c r="AF225" s="154"/>
      <c r="AG225" s="154"/>
      <c r="AH225" s="154"/>
      <c r="AI225" s="154"/>
      <c r="AJ225" s="153">
        <v>323.60000000000002</v>
      </c>
      <c r="AK225" s="154"/>
      <c r="AL225" s="154"/>
      <c r="AM225" s="154"/>
      <c r="AN225" s="154"/>
      <c r="AO225" s="558">
        <v>494.1</v>
      </c>
      <c r="AP225" s="154"/>
      <c r="AQ225" s="154"/>
      <c r="AR225" s="154"/>
      <c r="AS225" s="154"/>
      <c r="AT225" s="180">
        <f>AO225</f>
        <v>494.1</v>
      </c>
      <c r="AU225" s="180">
        <f>AT225</f>
        <v>494.1</v>
      </c>
      <c r="AV225" s="180">
        <f t="shared" ref="AV225:AY225" si="858">AU225</f>
        <v>494.1</v>
      </c>
      <c r="AW225" s="180">
        <f t="shared" si="858"/>
        <v>494.1</v>
      </c>
      <c r="AX225" s="180">
        <f t="shared" si="858"/>
        <v>494.1</v>
      </c>
      <c r="AY225" s="180">
        <f t="shared" si="858"/>
        <v>494.1</v>
      </c>
    </row>
    <row r="226" spans="2:51" x14ac:dyDescent="0.35">
      <c r="B226" s="174" t="s">
        <v>25</v>
      </c>
      <c r="G226" s="526">
        <v>5.9109999999999996</v>
      </c>
      <c r="N226" s="153">
        <v>54.667000000000002</v>
      </c>
      <c r="U226" s="360">
        <v>57.46</v>
      </c>
      <c r="Z226" s="153">
        <v>70.3</v>
      </c>
      <c r="AA226" s="154"/>
      <c r="AB226" s="154"/>
      <c r="AC226" s="154"/>
      <c r="AD226" s="154"/>
      <c r="AE226" s="153">
        <v>64.599999999999994</v>
      </c>
      <c r="AF226" s="154"/>
      <c r="AG226" s="154"/>
      <c r="AH226" s="154"/>
      <c r="AI226" s="154"/>
      <c r="AJ226" s="153">
        <v>58.3</v>
      </c>
      <c r="AK226" s="154"/>
      <c r="AL226" s="154"/>
      <c r="AM226" s="154"/>
      <c r="AN226" s="154"/>
      <c r="AO226" s="189">
        <v>54.2</v>
      </c>
      <c r="AP226" s="154"/>
      <c r="AQ226" s="154"/>
      <c r="AR226" s="154"/>
      <c r="AS226" s="154"/>
      <c r="AT226" s="186">
        <f t="shared" ref="AT226:AT227" si="859">AO226</f>
        <v>54.2</v>
      </c>
      <c r="AU226" s="186">
        <f t="shared" ref="AU226:AU227" si="860">AT226</f>
        <v>54.2</v>
      </c>
      <c r="AV226" s="186">
        <f t="shared" ref="AV226:AV227" si="861">AU226</f>
        <v>54.2</v>
      </c>
      <c r="AW226" s="186">
        <f t="shared" ref="AW226:AW227" si="862">AV226</f>
        <v>54.2</v>
      </c>
      <c r="AX226" s="186">
        <f t="shared" ref="AX226:AX227" si="863">AW226</f>
        <v>54.2</v>
      </c>
      <c r="AY226" s="186">
        <f t="shared" ref="AY226:AY227" si="864">AX226</f>
        <v>54.2</v>
      </c>
    </row>
    <row r="227" spans="2:51" x14ac:dyDescent="0.35">
      <c r="B227" s="174" t="s">
        <v>26</v>
      </c>
      <c r="G227" s="526">
        <v>1.849</v>
      </c>
      <c r="N227" s="153">
        <v>5.915</v>
      </c>
      <c r="U227" s="360">
        <v>2.17</v>
      </c>
      <c r="Z227" s="153">
        <v>31.8</v>
      </c>
      <c r="AA227" s="154"/>
      <c r="AB227" s="154"/>
      <c r="AC227" s="154"/>
      <c r="AD227" s="154"/>
      <c r="AE227" s="153">
        <v>69.5</v>
      </c>
      <c r="AF227" s="154"/>
      <c r="AG227" s="154"/>
      <c r="AH227" s="154"/>
      <c r="AI227" s="154"/>
      <c r="AJ227" s="153">
        <v>107.9</v>
      </c>
      <c r="AK227" s="154"/>
      <c r="AL227" s="154"/>
      <c r="AM227" s="154"/>
      <c r="AN227" s="154"/>
      <c r="AO227" s="189">
        <v>175.9</v>
      </c>
      <c r="AP227" s="154"/>
      <c r="AQ227" s="154"/>
      <c r="AR227" s="154"/>
      <c r="AS227" s="154"/>
      <c r="AT227" s="186">
        <f t="shared" si="859"/>
        <v>175.9</v>
      </c>
      <c r="AU227" s="186">
        <f t="shared" si="860"/>
        <v>175.9</v>
      </c>
      <c r="AV227" s="186">
        <f t="shared" si="861"/>
        <v>175.9</v>
      </c>
      <c r="AW227" s="186">
        <f t="shared" si="862"/>
        <v>175.9</v>
      </c>
      <c r="AX227" s="186">
        <f t="shared" si="863"/>
        <v>175.9</v>
      </c>
      <c r="AY227" s="186">
        <f t="shared" si="864"/>
        <v>175.9</v>
      </c>
    </row>
    <row r="228" spans="2:51" s="110" customFormat="1" x14ac:dyDescent="0.35">
      <c r="B228" s="177" t="s">
        <v>27</v>
      </c>
      <c r="C228" s="132"/>
      <c r="D228" s="132"/>
      <c r="E228" s="132"/>
      <c r="F228" s="132"/>
      <c r="G228" s="532">
        <f>SUM(G224:G227)</f>
        <v>23.471</v>
      </c>
      <c r="H228" s="132"/>
      <c r="I228" s="132"/>
      <c r="J228" s="132"/>
      <c r="K228" s="132"/>
      <c r="L228" s="132"/>
      <c r="M228" s="132"/>
      <c r="N228" s="178">
        <f>SUM(N224:N227)</f>
        <v>100.30500000000001</v>
      </c>
      <c r="O228" s="132"/>
      <c r="P228" s="132"/>
      <c r="Q228" s="132"/>
      <c r="R228" s="132"/>
      <c r="S228" s="132"/>
      <c r="T228" s="132"/>
      <c r="U228" s="375">
        <f>SUM(U224:U227)</f>
        <v>271.92</v>
      </c>
      <c r="V228" s="132"/>
      <c r="W228" s="132"/>
      <c r="X228" s="132"/>
      <c r="Y228" s="132"/>
      <c r="Z228" s="178">
        <f>SUM(Z224:Z227)</f>
        <v>330.90000000000003</v>
      </c>
      <c r="AA228" s="179"/>
      <c r="AB228" s="179"/>
      <c r="AC228" s="179"/>
      <c r="AD228" s="179"/>
      <c r="AE228" s="178">
        <f>SUM(AE224:AE227)</f>
        <v>441.70000000000005</v>
      </c>
      <c r="AF228" s="179"/>
      <c r="AG228" s="179"/>
      <c r="AH228" s="179"/>
      <c r="AI228" s="179"/>
      <c r="AJ228" s="178">
        <f>SUM(AJ224:AJ227)</f>
        <v>617</v>
      </c>
      <c r="AK228" s="179"/>
      <c r="AL228" s="179"/>
      <c r="AM228" s="179"/>
      <c r="AN228" s="179"/>
      <c r="AO228" s="178">
        <f>SUM(AO224:AO227)</f>
        <v>873.00000000000011</v>
      </c>
      <c r="AP228" s="179"/>
      <c r="AQ228" s="179"/>
      <c r="AR228" s="179"/>
      <c r="AS228" s="179"/>
      <c r="AT228" s="179">
        <f>SUM(AT224:AT227)</f>
        <v>978.06377362873104</v>
      </c>
      <c r="AU228" s="179">
        <f t="shared" ref="AU228:AY228" si="865">SUM(AU224:AU227)</f>
        <v>1102.8195007915563</v>
      </c>
      <c r="AV228" s="179">
        <f t="shared" si="865"/>
        <v>1248.0830148037894</v>
      </c>
      <c r="AW228" s="179">
        <f t="shared" si="865"/>
        <v>1416.2377566827706</v>
      </c>
      <c r="AX228" s="179">
        <f t="shared" si="865"/>
        <v>1608.5308180147761</v>
      </c>
      <c r="AY228" s="179">
        <f t="shared" si="865"/>
        <v>1823.4181989430406</v>
      </c>
    </row>
    <row r="229" spans="2:51" s="110" customFormat="1" x14ac:dyDescent="0.35">
      <c r="B229" s="177" t="s">
        <v>28</v>
      </c>
      <c r="C229" s="132"/>
      <c r="D229" s="132"/>
      <c r="E229" s="132"/>
      <c r="F229" s="132"/>
      <c r="G229" s="516">
        <f>G228+G223</f>
        <v>143.62899999999999</v>
      </c>
      <c r="H229" s="132"/>
      <c r="I229" s="132"/>
      <c r="J229" s="132"/>
      <c r="K229" s="132"/>
      <c r="L229" s="132"/>
      <c r="M229" s="132"/>
      <c r="N229" s="136">
        <f>N228+N223</f>
        <v>382.57</v>
      </c>
      <c r="O229" s="132"/>
      <c r="P229" s="132"/>
      <c r="Q229" s="132"/>
      <c r="R229" s="132"/>
      <c r="S229" s="132"/>
      <c r="T229" s="132"/>
      <c r="U229" s="351">
        <f>U228+U223</f>
        <v>1236.5300000000002</v>
      </c>
      <c r="V229" s="132"/>
      <c r="W229" s="132"/>
      <c r="X229" s="132"/>
      <c r="Y229" s="132"/>
      <c r="Z229" s="136">
        <f>Z228+Z223</f>
        <v>1382.3800000000003</v>
      </c>
      <c r="AA229" s="134"/>
      <c r="AB229" s="134"/>
      <c r="AC229" s="134"/>
      <c r="AD229" s="134"/>
      <c r="AE229" s="136">
        <f>AE228+AE223</f>
        <v>1592.9800000000002</v>
      </c>
      <c r="AF229" s="134"/>
      <c r="AG229" s="134"/>
      <c r="AH229" s="134"/>
      <c r="AI229" s="134"/>
      <c r="AJ229" s="136">
        <f>AJ228+AJ223</f>
        <v>2376.7041228703383</v>
      </c>
      <c r="AK229" s="134"/>
      <c r="AL229" s="134"/>
      <c r="AM229" s="134"/>
      <c r="AN229" s="134"/>
      <c r="AO229" s="136">
        <f>AO228+AO223</f>
        <v>2835.4041228703386</v>
      </c>
      <c r="AP229" s="134"/>
      <c r="AQ229" s="134"/>
      <c r="AR229" s="134"/>
      <c r="AS229" s="134"/>
      <c r="AT229" s="134">
        <f>AT228+AT223</f>
        <v>3502.6690714113811</v>
      </c>
      <c r="AU229" s="134">
        <f t="shared" ref="AU229:AY229" si="866">AU228+AU223</f>
        <v>3923.0862531733956</v>
      </c>
      <c r="AV229" s="134">
        <f t="shared" si="866"/>
        <v>4477.556096102433</v>
      </c>
      <c r="AW229" s="134">
        <f t="shared" si="866"/>
        <v>5196.8101667204992</v>
      </c>
      <c r="AX229" s="134">
        <f t="shared" si="866"/>
        <v>6070.3314841928322</v>
      </c>
      <c r="AY229" s="134">
        <f t="shared" si="866"/>
        <v>7085.4801968189468</v>
      </c>
    </row>
    <row r="230" spans="2:51" x14ac:dyDescent="0.35">
      <c r="B230" s="174" t="s">
        <v>29</v>
      </c>
      <c r="G230" s="526">
        <v>16.414000000000001</v>
      </c>
      <c r="N230" s="153">
        <v>41.542999999999999</v>
      </c>
      <c r="U230" s="360">
        <v>45.9</v>
      </c>
      <c r="Z230" s="153">
        <v>111</v>
      </c>
      <c r="AA230" s="154"/>
      <c r="AB230" s="154"/>
      <c r="AC230" s="154"/>
      <c r="AD230" s="154"/>
      <c r="AE230" s="153">
        <v>65.099999999999994</v>
      </c>
      <c r="AF230" s="154"/>
      <c r="AG230" s="154"/>
      <c r="AH230" s="154"/>
      <c r="AI230" s="154"/>
      <c r="AJ230" s="153">
        <v>166.5</v>
      </c>
      <c r="AK230" s="154"/>
      <c r="AL230" s="154"/>
      <c r="AM230" s="154"/>
      <c r="AN230" s="154"/>
      <c r="AO230" s="153">
        <v>154.80000000000001</v>
      </c>
      <c r="AP230" s="154"/>
      <c r="AQ230" s="154"/>
      <c r="AR230" s="154"/>
      <c r="AS230" s="154"/>
      <c r="AT230" s="154">
        <f t="shared" ref="AT230:AX230" si="867">AT255/365*AT251</f>
        <v>223.62539582710406</v>
      </c>
      <c r="AU230" s="154">
        <f t="shared" si="867"/>
        <v>264.02181866472444</v>
      </c>
      <c r="AV230" s="154">
        <f t="shared" si="867"/>
        <v>305.65586039783784</v>
      </c>
      <c r="AW230" s="154">
        <f t="shared" si="867"/>
        <v>351.77716430039442</v>
      </c>
      <c r="AX230" s="154">
        <f t="shared" si="867"/>
        <v>399.93535846249023</v>
      </c>
      <c r="AY230" s="154">
        <f t="shared" ref="AY230" si="868">AY255/365*AY251</f>
        <v>444.31391242343778</v>
      </c>
    </row>
    <row r="231" spans="2:51" x14ac:dyDescent="0.35">
      <c r="B231" s="174" t="s">
        <v>30</v>
      </c>
      <c r="G231" s="526">
        <v>18.456</v>
      </c>
      <c r="N231" s="153">
        <v>7.2759999999999998</v>
      </c>
      <c r="U231" s="360">
        <v>20.100000000000001</v>
      </c>
      <c r="Z231" s="153">
        <v>31.2</v>
      </c>
      <c r="AA231" s="154"/>
      <c r="AB231" s="154"/>
      <c r="AC231" s="154"/>
      <c r="AD231" s="154"/>
      <c r="AE231" s="153">
        <v>53.4</v>
      </c>
      <c r="AF231" s="154"/>
      <c r="AG231" s="154"/>
      <c r="AH231" s="154"/>
      <c r="AI231" s="154"/>
      <c r="AJ231" s="153">
        <f>59.1+51.3</f>
        <v>110.4</v>
      </c>
      <c r="AK231" s="154"/>
      <c r="AL231" s="154"/>
      <c r="AM231" s="154"/>
      <c r="AN231" s="154"/>
      <c r="AO231" s="153">
        <f>81.2+56.7</f>
        <v>137.9</v>
      </c>
      <c r="AP231" s="154"/>
      <c r="AQ231" s="154"/>
      <c r="AR231" s="154"/>
      <c r="AS231" s="154"/>
      <c r="AT231" s="154">
        <f>AO231</f>
        <v>137.9</v>
      </c>
      <c r="AU231" s="154">
        <f t="shared" ref="AU231:AY231" si="869">AT231</f>
        <v>137.9</v>
      </c>
      <c r="AV231" s="154">
        <f t="shared" si="869"/>
        <v>137.9</v>
      </c>
      <c r="AW231" s="154">
        <f t="shared" si="869"/>
        <v>137.9</v>
      </c>
      <c r="AX231" s="154">
        <f t="shared" si="869"/>
        <v>137.9</v>
      </c>
      <c r="AY231" s="154">
        <f t="shared" si="869"/>
        <v>137.9</v>
      </c>
    </row>
    <row r="232" spans="2:51" x14ac:dyDescent="0.35">
      <c r="B232" s="174" t="s">
        <v>31</v>
      </c>
      <c r="G232" s="526">
        <v>28.084</v>
      </c>
      <c r="N232" s="153">
        <v>36.113</v>
      </c>
      <c r="U232" s="360">
        <v>121.7</v>
      </c>
      <c r="Z232" s="153">
        <v>81.7</v>
      </c>
      <c r="AA232" s="154"/>
      <c r="AB232" s="154"/>
      <c r="AC232" s="154"/>
      <c r="AD232" s="154"/>
      <c r="AE232" s="153">
        <v>156.4</v>
      </c>
      <c r="AF232" s="154"/>
      <c r="AG232" s="154"/>
      <c r="AH232" s="154"/>
      <c r="AI232" s="154"/>
      <c r="AJ232" s="153">
        <v>299.3</v>
      </c>
      <c r="AK232" s="154"/>
      <c r="AL232" s="154"/>
      <c r="AM232" s="154"/>
      <c r="AN232" s="154"/>
      <c r="AO232" s="153">
        <v>355.4</v>
      </c>
      <c r="AP232" s="154"/>
      <c r="AQ232" s="154"/>
      <c r="AR232" s="154"/>
      <c r="AS232" s="154"/>
      <c r="AT232" s="154">
        <f>AO232*(1+AT134)</f>
        <v>412.95803083002642</v>
      </c>
      <c r="AU232" s="154">
        <f>AT232*(1+AU134)</f>
        <v>490.35816670723329</v>
      </c>
      <c r="AV232" s="154">
        <f>AU232*(1+AV134)</f>
        <v>570.96497323543031</v>
      </c>
      <c r="AW232" s="154">
        <f>AV232*(1+AW134)</f>
        <v>660.94000512928471</v>
      </c>
      <c r="AX232" s="154">
        <f>AW232*(1+AX134)</f>
        <v>755.81678829235477</v>
      </c>
      <c r="AY232" s="154">
        <f>AX232*(1+AY134)</f>
        <v>844.62480847052814</v>
      </c>
    </row>
    <row r="233" spans="2:51" x14ac:dyDescent="0.35">
      <c r="B233" s="174" t="s">
        <v>32</v>
      </c>
      <c r="G233" s="526">
        <v>0.246</v>
      </c>
      <c r="N233" s="153">
        <v>0.376</v>
      </c>
      <c r="U233" s="360">
        <v>14.9</v>
      </c>
      <c r="Z233" s="153">
        <v>5</v>
      </c>
      <c r="AA233" s="154"/>
      <c r="AB233" s="154"/>
      <c r="AC233" s="154"/>
      <c r="AD233" s="154"/>
      <c r="AE233" s="153">
        <v>7.1</v>
      </c>
      <c r="AF233" s="154"/>
      <c r="AG233" s="154"/>
      <c r="AH233" s="154"/>
      <c r="AI233" s="154"/>
      <c r="AJ233" s="153">
        <v>21.7</v>
      </c>
      <c r="AK233" s="154"/>
      <c r="AL233" s="154"/>
      <c r="AM233" s="154"/>
      <c r="AN233" s="154"/>
      <c r="AO233" s="153">
        <v>13</v>
      </c>
      <c r="AP233" s="154"/>
      <c r="AQ233" s="154"/>
      <c r="AR233" s="154"/>
      <c r="AS233" s="154"/>
      <c r="AT233" s="154">
        <f>AO233</f>
        <v>13</v>
      </c>
      <c r="AU233" s="154">
        <f>AT233</f>
        <v>13</v>
      </c>
      <c r="AV233" s="154">
        <f t="shared" ref="AV233:AY233" si="870">AU233</f>
        <v>13</v>
      </c>
      <c r="AW233" s="154">
        <f t="shared" si="870"/>
        <v>13</v>
      </c>
      <c r="AX233" s="154">
        <f t="shared" si="870"/>
        <v>13</v>
      </c>
      <c r="AY233" s="154">
        <f t="shared" si="870"/>
        <v>13</v>
      </c>
    </row>
    <row r="234" spans="2:51" x14ac:dyDescent="0.35">
      <c r="B234" s="174" t="s">
        <v>33</v>
      </c>
      <c r="G234" s="526">
        <v>2.105</v>
      </c>
      <c r="N234" s="153">
        <v>1.054</v>
      </c>
      <c r="U234" s="360">
        <v>2.4</v>
      </c>
      <c r="Z234" s="153">
        <v>13.8</v>
      </c>
      <c r="AA234" s="154"/>
      <c r="AB234" s="154"/>
      <c r="AC234" s="154"/>
      <c r="AD234" s="154"/>
      <c r="AE234" s="153">
        <v>23.5</v>
      </c>
      <c r="AF234" s="154"/>
      <c r="AG234" s="154"/>
      <c r="AH234" s="154"/>
      <c r="AI234" s="154"/>
      <c r="AJ234" s="153">
        <v>62.5</v>
      </c>
      <c r="AK234" s="154"/>
      <c r="AL234" s="154"/>
      <c r="AM234" s="154"/>
      <c r="AN234" s="154"/>
      <c r="AO234" s="153">
        <v>63.2</v>
      </c>
      <c r="AP234" s="154"/>
      <c r="AQ234" s="154"/>
      <c r="AR234" s="154"/>
      <c r="AS234" s="154"/>
      <c r="AT234" s="154">
        <f>AO234+4</f>
        <v>67.2</v>
      </c>
      <c r="AU234" s="154">
        <f t="shared" ref="AU234:AY234" si="871">AT234+4</f>
        <v>71.2</v>
      </c>
      <c r="AV234" s="154">
        <f t="shared" si="871"/>
        <v>75.2</v>
      </c>
      <c r="AW234" s="154">
        <f t="shared" si="871"/>
        <v>79.2</v>
      </c>
      <c r="AX234" s="154">
        <f t="shared" si="871"/>
        <v>83.2</v>
      </c>
      <c r="AY234" s="154">
        <f t="shared" si="871"/>
        <v>87.2</v>
      </c>
    </row>
    <row r="235" spans="2:51" s="110" customFormat="1" x14ac:dyDescent="0.35">
      <c r="B235" s="177" t="s">
        <v>34</v>
      </c>
      <c r="C235" s="132"/>
      <c r="D235" s="132"/>
      <c r="E235" s="132"/>
      <c r="F235" s="132"/>
      <c r="G235" s="532">
        <f>SUM(G230:G234)</f>
        <v>65.305000000000007</v>
      </c>
      <c r="H235" s="132"/>
      <c r="I235" s="132"/>
      <c r="J235" s="132"/>
      <c r="K235" s="132"/>
      <c r="L235" s="132"/>
      <c r="M235" s="132"/>
      <c r="N235" s="178">
        <f>SUM(N230:N234)</f>
        <v>86.362000000000009</v>
      </c>
      <c r="O235" s="132"/>
      <c r="P235" s="132"/>
      <c r="Q235" s="132"/>
      <c r="R235" s="132"/>
      <c r="S235" s="132"/>
      <c r="T235" s="132"/>
      <c r="U235" s="375">
        <f>SUM(U230:U234)</f>
        <v>205</v>
      </c>
      <c r="V235" s="132"/>
      <c r="W235" s="132"/>
      <c r="X235" s="132"/>
      <c r="Y235" s="132"/>
      <c r="Z235" s="178">
        <f>SUM(Z230:Z234)</f>
        <v>242.7</v>
      </c>
      <c r="AA235" s="179"/>
      <c r="AB235" s="179"/>
      <c r="AC235" s="179"/>
      <c r="AD235" s="179"/>
      <c r="AE235" s="178">
        <f>SUM(AE230:AE234)</f>
        <v>305.5</v>
      </c>
      <c r="AF235" s="179"/>
      <c r="AG235" s="179"/>
      <c r="AH235" s="179"/>
      <c r="AI235" s="179"/>
      <c r="AJ235" s="178">
        <f>SUM(AJ230:AJ234)</f>
        <v>660.40000000000009</v>
      </c>
      <c r="AK235" s="179"/>
      <c r="AL235" s="179"/>
      <c r="AM235" s="179"/>
      <c r="AN235" s="179"/>
      <c r="AO235" s="178">
        <f>SUM(AO230:AO234)</f>
        <v>724.30000000000007</v>
      </c>
      <c r="AP235" s="179"/>
      <c r="AQ235" s="179"/>
      <c r="AR235" s="179"/>
      <c r="AS235" s="179"/>
      <c r="AT235" s="179">
        <f>SUM(AT230:AT234)</f>
        <v>854.68342665713044</v>
      </c>
      <c r="AU235" s="179">
        <f t="shared" ref="AU235:AY235" si="872">SUM(AU230:AU234)</f>
        <v>976.47998537195781</v>
      </c>
      <c r="AV235" s="179">
        <f t="shared" si="872"/>
        <v>1102.7208336332681</v>
      </c>
      <c r="AW235" s="179">
        <f t="shared" si="872"/>
        <v>1242.8171694296791</v>
      </c>
      <c r="AX235" s="179">
        <f t="shared" si="872"/>
        <v>1389.8521467548451</v>
      </c>
      <c r="AY235" s="179">
        <f t="shared" si="872"/>
        <v>1527.038720893966</v>
      </c>
    </row>
    <row r="236" spans="2:51" x14ac:dyDescent="0.35">
      <c r="B236" s="174" t="s">
        <v>35</v>
      </c>
      <c r="G236" s="526">
        <v>3.0459999999999998</v>
      </c>
      <c r="N236" s="153">
        <v>5.63</v>
      </c>
      <c r="U236" s="360">
        <v>5.85</v>
      </c>
      <c r="Z236" s="153">
        <v>6.3</v>
      </c>
      <c r="AA236" s="154"/>
      <c r="AB236" s="154"/>
      <c r="AC236" s="154"/>
      <c r="AD236" s="154"/>
      <c r="AE236" s="153">
        <v>2.2000000000000002</v>
      </c>
      <c r="AF236" s="154"/>
      <c r="AG236" s="154"/>
      <c r="AH236" s="154"/>
      <c r="AI236" s="154"/>
      <c r="AJ236" s="153">
        <v>8.6</v>
      </c>
      <c r="AK236" s="154"/>
      <c r="AL236" s="154"/>
      <c r="AM236" s="154"/>
      <c r="AN236" s="154"/>
      <c r="AO236" s="153">
        <v>5.5</v>
      </c>
      <c r="AP236" s="154"/>
      <c r="AQ236" s="154"/>
      <c r="AR236" s="154"/>
      <c r="AS236" s="154"/>
      <c r="AT236" s="154">
        <f t="shared" ref="AT236:AT237" si="873">AO236</f>
        <v>5.5</v>
      </c>
      <c r="AU236" s="154">
        <f t="shared" ref="AU236:AU237" si="874">AT236</f>
        <v>5.5</v>
      </c>
      <c r="AV236" s="154">
        <f t="shared" ref="AV236:AV237" si="875">AU236</f>
        <v>5.5</v>
      </c>
      <c r="AW236" s="154">
        <f t="shared" ref="AW236:AW237" si="876">AV236</f>
        <v>5.5</v>
      </c>
      <c r="AX236" s="154">
        <f t="shared" ref="AX236:AX237" si="877">AW236</f>
        <v>5.5</v>
      </c>
      <c r="AY236" s="154">
        <f t="shared" ref="AY236:AY237" si="878">AX236</f>
        <v>5.5</v>
      </c>
    </row>
    <row r="237" spans="2:51" x14ac:dyDescent="0.35">
      <c r="B237" s="174" t="s">
        <v>36</v>
      </c>
      <c r="G237" s="526">
        <v>4.7009999999999996</v>
      </c>
      <c r="N237" s="153">
        <v>20.645</v>
      </c>
      <c r="U237" s="360">
        <v>4.4400000000000004</v>
      </c>
      <c r="Z237" s="153">
        <v>7.2</v>
      </c>
      <c r="AA237" s="154"/>
      <c r="AB237" s="154"/>
      <c r="AC237" s="154"/>
      <c r="AD237" s="154"/>
      <c r="AE237" s="153">
        <v>10</v>
      </c>
      <c r="AF237" s="154"/>
      <c r="AG237" s="154"/>
      <c r="AH237" s="154"/>
      <c r="AI237" s="154"/>
      <c r="AJ237" s="153">
        <v>14.9</v>
      </c>
      <c r="AK237" s="154"/>
      <c r="AL237" s="154"/>
      <c r="AM237" s="154"/>
      <c r="AN237" s="154"/>
      <c r="AO237" s="153">
        <v>20.7</v>
      </c>
      <c r="AP237" s="154"/>
      <c r="AQ237" s="154"/>
      <c r="AR237" s="154"/>
      <c r="AS237" s="154"/>
      <c r="AT237" s="154">
        <f t="shared" si="873"/>
        <v>20.7</v>
      </c>
      <c r="AU237" s="154">
        <f t="shared" si="874"/>
        <v>20.7</v>
      </c>
      <c r="AV237" s="154">
        <f t="shared" si="875"/>
        <v>20.7</v>
      </c>
      <c r="AW237" s="154">
        <f t="shared" si="876"/>
        <v>20.7</v>
      </c>
      <c r="AX237" s="154">
        <f t="shared" si="877"/>
        <v>20.7</v>
      </c>
      <c r="AY237" s="154">
        <f t="shared" si="878"/>
        <v>20.7</v>
      </c>
    </row>
    <row r="238" spans="2:51" x14ac:dyDescent="0.35">
      <c r="B238" s="174" t="s">
        <v>37</v>
      </c>
      <c r="G238" s="526">
        <v>3.3130000000000002</v>
      </c>
      <c r="N238" s="153">
        <v>19.173999999999999</v>
      </c>
      <c r="U238" s="360">
        <v>167.2</v>
      </c>
      <c r="Z238" s="153">
        <v>138.80000000000001</v>
      </c>
      <c r="AA238" s="154"/>
      <c r="AB238" s="154"/>
      <c r="AC238" s="154"/>
      <c r="AD238" s="154"/>
      <c r="AE238" s="153">
        <v>190.3</v>
      </c>
      <c r="AF238" s="154"/>
      <c r="AG238" s="154"/>
      <c r="AH238" s="154"/>
      <c r="AI238" s="154"/>
      <c r="AJ238" s="153">
        <f>288.5+1.7</f>
        <v>290.2</v>
      </c>
      <c r="AK238" s="154"/>
      <c r="AL238" s="154"/>
      <c r="AM238" s="154"/>
      <c r="AN238" s="154"/>
      <c r="AO238" s="153">
        <f>440.3+2.8</f>
        <v>443.1</v>
      </c>
      <c r="AP238" s="154"/>
      <c r="AQ238" s="154"/>
      <c r="AR238" s="154"/>
      <c r="AS238" s="154"/>
      <c r="AT238" s="154">
        <f>AT225-AT231</f>
        <v>356.20000000000005</v>
      </c>
      <c r="AU238" s="154">
        <f t="shared" ref="AU238:AY238" si="879">AU225-AU231</f>
        <v>356.20000000000005</v>
      </c>
      <c r="AV238" s="154">
        <f t="shared" si="879"/>
        <v>356.20000000000005</v>
      </c>
      <c r="AW238" s="154">
        <f t="shared" si="879"/>
        <v>356.20000000000005</v>
      </c>
      <c r="AX238" s="154">
        <f t="shared" si="879"/>
        <v>356.20000000000005</v>
      </c>
      <c r="AY238" s="154">
        <f t="shared" si="879"/>
        <v>356.20000000000005</v>
      </c>
    </row>
    <row r="239" spans="2:51" x14ac:dyDescent="0.35">
      <c r="B239" s="174" t="s">
        <v>38</v>
      </c>
      <c r="G239" s="526">
        <v>2.8490000000000002</v>
      </c>
      <c r="N239" s="153">
        <v>5.6639999999999997</v>
      </c>
      <c r="U239" s="360">
        <v>5.6</v>
      </c>
      <c r="Z239" s="153">
        <v>17.899999999999999</v>
      </c>
      <c r="AA239" s="154"/>
      <c r="AB239" s="154"/>
      <c r="AC239" s="154"/>
      <c r="AD239" s="154"/>
      <c r="AE239" s="153">
        <v>10.5</v>
      </c>
      <c r="AF239" s="154"/>
      <c r="AG239" s="154"/>
      <c r="AH239" s="154"/>
      <c r="AI239" s="154"/>
      <c r="AJ239" s="153">
        <v>10.8</v>
      </c>
      <c r="AK239" s="154"/>
      <c r="AL239" s="154"/>
      <c r="AM239" s="154"/>
      <c r="AN239" s="154"/>
      <c r="AO239" s="153">
        <v>9.3000000000000007</v>
      </c>
      <c r="AP239" s="154"/>
      <c r="AQ239" s="154"/>
      <c r="AR239" s="154"/>
      <c r="AS239" s="154"/>
      <c r="AT239" s="154">
        <f>AO239</f>
        <v>9.3000000000000007</v>
      </c>
      <c r="AU239" s="154">
        <f t="shared" ref="AU239:AY239" si="880">AT239</f>
        <v>9.3000000000000007</v>
      </c>
      <c r="AV239" s="154">
        <f t="shared" si="880"/>
        <v>9.3000000000000007</v>
      </c>
      <c r="AW239" s="154">
        <f t="shared" si="880"/>
        <v>9.3000000000000007</v>
      </c>
      <c r="AX239" s="154">
        <f t="shared" si="880"/>
        <v>9.3000000000000007</v>
      </c>
      <c r="AY239" s="154">
        <f t="shared" si="880"/>
        <v>9.3000000000000007</v>
      </c>
    </row>
    <row r="240" spans="2:51" s="110" customFormat="1" x14ac:dyDescent="0.35">
      <c r="B240" s="177" t="s">
        <v>39</v>
      </c>
      <c r="C240" s="132"/>
      <c r="D240" s="132"/>
      <c r="E240" s="132"/>
      <c r="F240" s="132"/>
      <c r="G240" s="532">
        <f>SUM(G236:G239)</f>
        <v>13.909000000000001</v>
      </c>
      <c r="H240" s="132"/>
      <c r="I240" s="132"/>
      <c r="J240" s="132"/>
      <c r="K240" s="132"/>
      <c r="L240" s="132"/>
      <c r="M240" s="132"/>
      <c r="N240" s="178">
        <f>SUM(N236:N239)</f>
        <v>51.113</v>
      </c>
      <c r="O240" s="132"/>
      <c r="P240" s="132"/>
      <c r="Q240" s="132"/>
      <c r="R240" s="132"/>
      <c r="S240" s="132"/>
      <c r="T240" s="132"/>
      <c r="U240" s="375">
        <f>SUM(U236:U239)</f>
        <v>183.08999999999997</v>
      </c>
      <c r="V240" s="132"/>
      <c r="W240" s="132"/>
      <c r="X240" s="132"/>
      <c r="Y240" s="132"/>
      <c r="Z240" s="178">
        <f>SUM(Z236:Z239)</f>
        <v>170.20000000000002</v>
      </c>
      <c r="AA240" s="179"/>
      <c r="AB240" s="179"/>
      <c r="AC240" s="179"/>
      <c r="AD240" s="179"/>
      <c r="AE240" s="178">
        <f>SUM(AE236:AE239)</f>
        <v>213</v>
      </c>
      <c r="AF240" s="179"/>
      <c r="AG240" s="179"/>
      <c r="AH240" s="179"/>
      <c r="AI240" s="179"/>
      <c r="AJ240" s="178">
        <f>SUM(AJ236:AJ239)</f>
        <v>324.5</v>
      </c>
      <c r="AK240" s="179"/>
      <c r="AL240" s="179"/>
      <c r="AM240" s="179"/>
      <c r="AN240" s="179"/>
      <c r="AO240" s="178">
        <f>SUM(AO236:AO239)</f>
        <v>478.6</v>
      </c>
      <c r="AP240" s="179"/>
      <c r="AQ240" s="179"/>
      <c r="AR240" s="179"/>
      <c r="AS240" s="179"/>
      <c r="AT240" s="179">
        <f>SUM(AT236:AT239)</f>
        <v>391.70000000000005</v>
      </c>
      <c r="AU240" s="179">
        <f t="shared" ref="AU240:AY240" si="881">SUM(AU236:AU239)</f>
        <v>391.70000000000005</v>
      </c>
      <c r="AV240" s="179">
        <f t="shared" si="881"/>
        <v>391.70000000000005</v>
      </c>
      <c r="AW240" s="179">
        <f t="shared" si="881"/>
        <v>391.70000000000005</v>
      </c>
      <c r="AX240" s="179">
        <f t="shared" si="881"/>
        <v>391.70000000000005</v>
      </c>
      <c r="AY240" s="179">
        <f t="shared" si="881"/>
        <v>391.70000000000005</v>
      </c>
    </row>
    <row r="241" spans="2:51" s="110" customFormat="1" x14ac:dyDescent="0.35">
      <c r="B241" s="177" t="s">
        <v>40</v>
      </c>
      <c r="C241" s="132"/>
      <c r="D241" s="132"/>
      <c r="E241" s="132"/>
      <c r="F241" s="132"/>
      <c r="G241" s="516">
        <f>G240+G235</f>
        <v>79.214000000000013</v>
      </c>
      <c r="H241" s="132"/>
      <c r="I241" s="132"/>
      <c r="J241" s="132"/>
      <c r="K241" s="132"/>
      <c r="L241" s="132"/>
      <c r="M241" s="132"/>
      <c r="N241" s="136">
        <f>N240+N235</f>
        <v>137.47500000000002</v>
      </c>
      <c r="O241" s="132"/>
      <c r="P241" s="132"/>
      <c r="Q241" s="132"/>
      <c r="R241" s="132"/>
      <c r="S241" s="132"/>
      <c r="T241" s="132"/>
      <c r="U241" s="351">
        <f>U240+U235</f>
        <v>388.09</v>
      </c>
      <c r="V241" s="132"/>
      <c r="W241" s="132"/>
      <c r="X241" s="132"/>
      <c r="Y241" s="132"/>
      <c r="Z241" s="136">
        <f>Z240+Z235</f>
        <v>412.9</v>
      </c>
      <c r="AA241" s="134"/>
      <c r="AB241" s="134"/>
      <c r="AC241" s="134"/>
      <c r="AD241" s="134"/>
      <c r="AE241" s="136">
        <f>AE240+AE235</f>
        <v>518.5</v>
      </c>
      <c r="AF241" s="134"/>
      <c r="AG241" s="134"/>
      <c r="AH241" s="134"/>
      <c r="AI241" s="134"/>
      <c r="AJ241" s="136">
        <f>AJ240+AJ235</f>
        <v>984.90000000000009</v>
      </c>
      <c r="AK241" s="134"/>
      <c r="AL241" s="134"/>
      <c r="AM241" s="134"/>
      <c r="AN241" s="134"/>
      <c r="AO241" s="136">
        <f>AO240+AO235</f>
        <v>1202.9000000000001</v>
      </c>
      <c r="AP241" s="134"/>
      <c r="AQ241" s="134"/>
      <c r="AR241" s="134"/>
      <c r="AS241" s="134"/>
      <c r="AT241" s="134">
        <f>AT240+AT235</f>
        <v>1246.3834266571305</v>
      </c>
      <c r="AU241" s="134">
        <f t="shared" ref="AU241:AY241" si="882">AU240+AU235</f>
        <v>1368.1799853719579</v>
      </c>
      <c r="AV241" s="134">
        <f t="shared" si="882"/>
        <v>1494.4208336332681</v>
      </c>
      <c r="AW241" s="134">
        <f t="shared" si="882"/>
        <v>1634.5171694296791</v>
      </c>
      <c r="AX241" s="134">
        <f t="shared" si="882"/>
        <v>1781.5521467548451</v>
      </c>
      <c r="AY241" s="134">
        <f t="shared" si="882"/>
        <v>1918.738720893966</v>
      </c>
    </row>
    <row r="242" spans="2:51" x14ac:dyDescent="0.35">
      <c r="B242" s="174" t="s">
        <v>41</v>
      </c>
      <c r="G242" s="526">
        <v>1.8740000000000001</v>
      </c>
      <c r="N242" s="153">
        <v>2.1720000000000002</v>
      </c>
      <c r="U242" s="360">
        <v>33.450000000000003</v>
      </c>
      <c r="Z242" s="153">
        <f>U242</f>
        <v>33.450000000000003</v>
      </c>
      <c r="AA242" s="154"/>
      <c r="AB242" s="154"/>
      <c r="AC242" s="154"/>
      <c r="AD242" s="154"/>
      <c r="AE242" s="153">
        <f>Z242</f>
        <v>33.450000000000003</v>
      </c>
      <c r="AF242" s="154"/>
      <c r="AG242" s="154"/>
      <c r="AH242" s="154"/>
      <c r="AI242" s="154"/>
      <c r="AJ242" s="153">
        <v>33.700000000000003</v>
      </c>
      <c r="AK242" s="154"/>
      <c r="AL242" s="154"/>
      <c r="AM242" s="154"/>
      <c r="AN242" s="154"/>
      <c r="AO242" s="153">
        <v>34.1</v>
      </c>
      <c r="AP242" s="154"/>
      <c r="AQ242" s="154"/>
      <c r="AR242" s="154"/>
      <c r="AS242" s="154"/>
      <c r="AT242" s="154">
        <f>AO242</f>
        <v>34.1</v>
      </c>
      <c r="AU242" s="154">
        <f t="shared" ref="AU242:AY242" si="883">AT242</f>
        <v>34.1</v>
      </c>
      <c r="AV242" s="154">
        <f t="shared" si="883"/>
        <v>34.1</v>
      </c>
      <c r="AW242" s="154">
        <f t="shared" si="883"/>
        <v>34.1</v>
      </c>
      <c r="AX242" s="154">
        <f t="shared" si="883"/>
        <v>34.1</v>
      </c>
      <c r="AY242" s="154">
        <f t="shared" si="883"/>
        <v>34.1</v>
      </c>
    </row>
    <row r="243" spans="2:51" x14ac:dyDescent="0.35">
      <c r="B243" s="174" t="s">
        <v>42</v>
      </c>
      <c r="G243" s="526">
        <v>67.239000000000004</v>
      </c>
      <c r="N243" s="153">
        <v>276.40800000000002</v>
      </c>
      <c r="U243" s="360">
        <f>U246-U242-U244-U245</f>
        <v>1018.9701355547636</v>
      </c>
      <c r="Z243" s="153">
        <f>Z246-Z242-Z244-Z245</f>
        <v>1078.9101355547637</v>
      </c>
      <c r="AA243" s="154"/>
      <c r="AB243" s="154"/>
      <c r="AC243" s="154"/>
      <c r="AD243" s="154"/>
      <c r="AE243" s="153">
        <f>AE246-AE242-AE244-AE245</f>
        <v>1114.1101355547635</v>
      </c>
      <c r="AF243" s="154"/>
      <c r="AG243" s="154"/>
      <c r="AH243" s="154"/>
      <c r="AI243" s="154"/>
      <c r="AJ243" s="153">
        <f>AJ246-AJ242-AJ244-AJ245</f>
        <v>1183.2041228703381</v>
      </c>
      <c r="AK243" s="154"/>
      <c r="AL243" s="154"/>
      <c r="AM243" s="154"/>
      <c r="AN243" s="154"/>
      <c r="AO243" s="153">
        <f>AO246-AO242-AO244-AO245</f>
        <v>1262.4046966157484</v>
      </c>
      <c r="AP243" s="154"/>
      <c r="AQ243" s="154"/>
      <c r="AR243" s="154"/>
      <c r="AS243" s="154"/>
      <c r="AT243" s="154">
        <f>AT246-AT242-AT244-AT245</f>
        <v>1504.5728823901534</v>
      </c>
      <c r="AU243" s="154">
        <f t="shared" ref="AU243:AY243" si="884">AU246-AU242-AU244-AU245</f>
        <v>1349.4480298429189</v>
      </c>
      <c r="AV243" s="154">
        <f t="shared" si="884"/>
        <v>1216.6820424070129</v>
      </c>
      <c r="AW243" s="154">
        <f t="shared" si="884"/>
        <v>1111.6008311530181</v>
      </c>
      <c r="AX243" s="154">
        <f t="shared" si="884"/>
        <v>1037.3642900128543</v>
      </c>
      <c r="AY243" s="154">
        <f t="shared" si="884"/>
        <v>996.28222639934302</v>
      </c>
    </row>
    <row r="244" spans="2:51" x14ac:dyDescent="0.35">
      <c r="B244" s="174" t="s">
        <v>43</v>
      </c>
      <c r="G244" s="526">
        <v>-1.8460000000000001</v>
      </c>
      <c r="N244" s="153">
        <v>-3.11</v>
      </c>
      <c r="U244" s="360">
        <v>-3.4</v>
      </c>
      <c r="Z244" s="153">
        <v>0</v>
      </c>
      <c r="AA244" s="154"/>
      <c r="AB244" s="154"/>
      <c r="AC244" s="154"/>
      <c r="AD244" s="154"/>
      <c r="AE244" s="153">
        <v>-9.8000000000000007</v>
      </c>
      <c r="AF244" s="154"/>
      <c r="AG244" s="154"/>
      <c r="AH244" s="154"/>
      <c r="AI244" s="154"/>
      <c r="AJ244" s="153">
        <v>-4</v>
      </c>
      <c r="AK244" s="154"/>
      <c r="AL244" s="154"/>
      <c r="AM244" s="154"/>
      <c r="AN244" s="154"/>
      <c r="AO244" s="153">
        <v>-46.6</v>
      </c>
      <c r="AP244" s="154"/>
      <c r="AQ244" s="154"/>
      <c r="AR244" s="154"/>
      <c r="AS244" s="154"/>
      <c r="AT244" s="154">
        <f>AO244</f>
        <v>-46.6</v>
      </c>
      <c r="AU244" s="154">
        <f t="shared" ref="AU244:AY244" si="885">AT244</f>
        <v>-46.6</v>
      </c>
      <c r="AV244" s="154">
        <f t="shared" si="885"/>
        <v>-46.6</v>
      </c>
      <c r="AW244" s="154">
        <f t="shared" si="885"/>
        <v>-46.6</v>
      </c>
      <c r="AX244" s="154">
        <f t="shared" si="885"/>
        <v>-46.6</v>
      </c>
      <c r="AY244" s="154">
        <f t="shared" si="885"/>
        <v>-46.6</v>
      </c>
    </row>
    <row r="245" spans="2:51" x14ac:dyDescent="0.35">
      <c r="B245" s="174" t="s">
        <v>44</v>
      </c>
      <c r="G245" s="526">
        <v>-2.8530000000000002</v>
      </c>
      <c r="N245" s="153">
        <v>-30.375</v>
      </c>
      <c r="S245" s="167"/>
      <c r="T245" s="167"/>
      <c r="U245" s="360">
        <f>N245+U170</f>
        <v>-200.58013555476333</v>
      </c>
      <c r="Z245" s="153">
        <f>U245+Z170</f>
        <v>-142.88013555476334</v>
      </c>
      <c r="AA245" s="154"/>
      <c r="AB245" s="154"/>
      <c r="AC245" s="154"/>
      <c r="AD245" s="154"/>
      <c r="AE245" s="153">
        <f>Z245+AE170</f>
        <v>-63.280135554763348</v>
      </c>
      <c r="AF245" s="154"/>
      <c r="AG245" s="154"/>
      <c r="AH245" s="154"/>
      <c r="AI245" s="154"/>
      <c r="AJ245" s="153">
        <v>178.9</v>
      </c>
      <c r="AK245" s="154"/>
      <c r="AL245" s="154"/>
      <c r="AM245" s="154"/>
      <c r="AN245" s="154"/>
      <c r="AO245" s="153">
        <f>AJ245+AO170</f>
        <v>382.59942625458996</v>
      </c>
      <c r="AP245" s="154"/>
      <c r="AQ245" s="154"/>
      <c r="AR245" s="154"/>
      <c r="AS245" s="154"/>
      <c r="AT245" s="154">
        <f>AO245+AT170</f>
        <v>764.21276236409744</v>
      </c>
      <c r="AU245" s="154">
        <f t="shared" ref="AU245:AY245" si="886">AT245+AU170</f>
        <v>1217.958237958519</v>
      </c>
      <c r="AV245" s="154">
        <f t="shared" si="886"/>
        <v>1778.953220062152</v>
      </c>
      <c r="AW245" s="154">
        <f t="shared" si="886"/>
        <v>2463.1921661378019</v>
      </c>
      <c r="AX245" s="154">
        <f t="shared" si="886"/>
        <v>3263.9150474251328</v>
      </c>
      <c r="AY245" s="154">
        <f t="shared" si="886"/>
        <v>4182.9592495256375</v>
      </c>
    </row>
    <row r="246" spans="2:51" s="110" customFormat="1" x14ac:dyDescent="0.35">
      <c r="B246" s="177" t="s">
        <v>45</v>
      </c>
      <c r="C246" s="132"/>
      <c r="D246" s="132"/>
      <c r="E246" s="132"/>
      <c r="F246" s="132"/>
      <c r="G246" s="532">
        <f>SUM(G242:G245)</f>
        <v>64.414000000000001</v>
      </c>
      <c r="H246" s="132"/>
      <c r="I246" s="132"/>
      <c r="J246" s="132"/>
      <c r="K246" s="132"/>
      <c r="L246" s="132"/>
      <c r="M246" s="132"/>
      <c r="N246" s="178">
        <f>SUM(N242:N245)</f>
        <v>245.09500000000003</v>
      </c>
      <c r="O246" s="132"/>
      <c r="P246" s="132"/>
      <c r="Q246" s="132"/>
      <c r="R246" s="132"/>
      <c r="S246" s="132"/>
      <c r="T246" s="132"/>
      <c r="U246" s="375">
        <f>U229-U241</f>
        <v>848.44000000000028</v>
      </c>
      <c r="V246" s="132"/>
      <c r="W246" s="132"/>
      <c r="X246" s="132"/>
      <c r="Y246" s="132"/>
      <c r="Z246" s="178">
        <f>Z229-Z241</f>
        <v>969.48000000000036</v>
      </c>
      <c r="AA246" s="179"/>
      <c r="AB246" s="179"/>
      <c r="AC246" s="179"/>
      <c r="AD246" s="179"/>
      <c r="AE246" s="178">
        <f t="shared" ref="AE246:AO246" si="887">AE229-AE241</f>
        <v>1074.4800000000002</v>
      </c>
      <c r="AF246" s="179"/>
      <c r="AG246" s="179"/>
      <c r="AH246" s="179"/>
      <c r="AI246" s="179"/>
      <c r="AJ246" s="178">
        <f t="shared" si="887"/>
        <v>1391.8041228703382</v>
      </c>
      <c r="AK246" s="179"/>
      <c r="AL246" s="179"/>
      <c r="AM246" s="179"/>
      <c r="AN246" s="179"/>
      <c r="AO246" s="178">
        <f t="shared" si="887"/>
        <v>1632.5041228703385</v>
      </c>
      <c r="AP246" s="179"/>
      <c r="AQ246" s="179"/>
      <c r="AR246" s="179"/>
      <c r="AS246" s="179"/>
      <c r="AT246" s="179">
        <f t="shared" ref="AT246:AY246" si="888">AT229-AT241</f>
        <v>2256.2856447542508</v>
      </c>
      <c r="AU246" s="179">
        <f t="shared" si="888"/>
        <v>2554.9062678014379</v>
      </c>
      <c r="AV246" s="179">
        <f t="shared" si="888"/>
        <v>2983.1352624691649</v>
      </c>
      <c r="AW246" s="179">
        <f t="shared" si="888"/>
        <v>3562.29299729082</v>
      </c>
      <c r="AX246" s="179">
        <f t="shared" si="888"/>
        <v>4288.7793374379871</v>
      </c>
      <c r="AY246" s="179">
        <f t="shared" si="888"/>
        <v>5166.7414759249805</v>
      </c>
    </row>
    <row r="247" spans="2:51" s="110" customFormat="1" x14ac:dyDescent="0.35">
      <c r="B247" s="177" t="s">
        <v>46</v>
      </c>
      <c r="C247" s="132"/>
      <c r="D247" s="132"/>
      <c r="E247" s="132"/>
      <c r="F247" s="132"/>
      <c r="G247" s="511">
        <f>G246+G241</f>
        <v>143.62800000000001</v>
      </c>
      <c r="H247" s="132"/>
      <c r="I247" s="132"/>
      <c r="J247" s="132"/>
      <c r="K247" s="132"/>
      <c r="L247" s="132"/>
      <c r="M247" s="132"/>
      <c r="N247" s="169">
        <f>N246+N241</f>
        <v>382.57000000000005</v>
      </c>
      <c r="O247" s="132"/>
      <c r="P247" s="132"/>
      <c r="Q247" s="132"/>
      <c r="R247" s="132"/>
      <c r="S247" s="132"/>
      <c r="T247" s="132"/>
      <c r="U247" s="344">
        <f>U246+U241</f>
        <v>1236.5300000000002</v>
      </c>
      <c r="V247" s="132"/>
      <c r="W247" s="132"/>
      <c r="X247" s="132"/>
      <c r="Y247" s="132"/>
      <c r="Z247" s="169">
        <f>Z246+Z241</f>
        <v>1382.3800000000003</v>
      </c>
      <c r="AA247" s="135"/>
      <c r="AB247" s="135"/>
      <c r="AC247" s="135"/>
      <c r="AD247" s="135"/>
      <c r="AE247" s="169">
        <f>AE246+AE241</f>
        <v>1592.9800000000002</v>
      </c>
      <c r="AF247" s="135"/>
      <c r="AG247" s="135"/>
      <c r="AH247" s="135"/>
      <c r="AI247" s="135"/>
      <c r="AJ247" s="169">
        <f>AJ246+AJ241</f>
        <v>2376.7041228703383</v>
      </c>
      <c r="AK247" s="135"/>
      <c r="AL247" s="135"/>
      <c r="AM247" s="135"/>
      <c r="AN247" s="135"/>
      <c r="AO247" s="169">
        <f>AO246+AO241</f>
        <v>2835.4041228703386</v>
      </c>
      <c r="AP247" s="135"/>
      <c r="AQ247" s="135"/>
      <c r="AR247" s="135"/>
      <c r="AS247" s="135"/>
      <c r="AT247" s="135">
        <f>AT246+AT241</f>
        <v>3502.6690714113811</v>
      </c>
      <c r="AU247" s="135">
        <f t="shared" ref="AU247:AY247" si="889">AU246+AU241</f>
        <v>3923.0862531733956</v>
      </c>
      <c r="AV247" s="135">
        <f t="shared" si="889"/>
        <v>4477.556096102433</v>
      </c>
      <c r="AW247" s="135">
        <f t="shared" si="889"/>
        <v>5196.8101667204992</v>
      </c>
      <c r="AX247" s="135">
        <f t="shared" si="889"/>
        <v>6070.3314841928322</v>
      </c>
      <c r="AY247" s="135">
        <f t="shared" si="889"/>
        <v>7085.4801968189468</v>
      </c>
    </row>
    <row r="248" spans="2:51" x14ac:dyDescent="0.35">
      <c r="B248" s="187" t="s">
        <v>184</v>
      </c>
      <c r="G248" s="533">
        <f>G247-G229</f>
        <v>-9.9999999997635314E-4</v>
      </c>
      <c r="N248" s="166">
        <f>N247-N229</f>
        <v>0</v>
      </c>
      <c r="U248" s="366">
        <f>U247-U229</f>
        <v>0</v>
      </c>
      <c r="Z248" s="166">
        <f>Z247-Z229</f>
        <v>0</v>
      </c>
      <c r="AA248" s="167"/>
      <c r="AB248" s="167"/>
      <c r="AC248" s="167"/>
      <c r="AD248" s="167"/>
      <c r="AE248" s="166">
        <f>AE247-AE229</f>
        <v>0</v>
      </c>
      <c r="AF248" s="167"/>
      <c r="AG248" s="167"/>
      <c r="AH248" s="167"/>
      <c r="AI248" s="167"/>
      <c r="AJ248" s="166">
        <f>AJ247-AJ229</f>
        <v>0</v>
      </c>
      <c r="AK248" s="167"/>
      <c r="AL248" s="167"/>
      <c r="AM248" s="167"/>
      <c r="AN248" s="167"/>
      <c r="AO248" s="166">
        <f>AO247-AO229</f>
        <v>0</v>
      </c>
      <c r="AP248" s="167"/>
      <c r="AQ248" s="167"/>
      <c r="AR248" s="167"/>
      <c r="AS248" s="167"/>
      <c r="AT248" s="167">
        <f>AT247-AT229</f>
        <v>0</v>
      </c>
      <c r="AU248" s="167">
        <f t="shared" ref="AU248:AY248" si="890">AU247-AU229</f>
        <v>0</v>
      </c>
      <c r="AV248" s="167">
        <f t="shared" si="890"/>
        <v>0</v>
      </c>
      <c r="AW248" s="167">
        <f t="shared" si="890"/>
        <v>0</v>
      </c>
      <c r="AX248" s="167">
        <f t="shared" si="890"/>
        <v>0</v>
      </c>
      <c r="AY248" s="167">
        <f t="shared" si="890"/>
        <v>0</v>
      </c>
    </row>
    <row r="251" spans="2:51" x14ac:dyDescent="0.35">
      <c r="B251" s="124" t="s">
        <v>103</v>
      </c>
      <c r="G251" s="526">
        <f>G131-G135</f>
        <v>124.00271448000009</v>
      </c>
      <c r="N251" s="153">
        <f>N131-N135</f>
        <v>194.18994574000001</v>
      </c>
      <c r="U251" s="153">
        <f>U131-U135</f>
        <v>294.30000000000018</v>
      </c>
      <c r="Z251" s="153">
        <f>Z131-Z135</f>
        <v>537.19999999999982</v>
      </c>
      <c r="AA251" s="154"/>
      <c r="AB251" s="154"/>
      <c r="AC251" s="154"/>
      <c r="AD251" s="154"/>
      <c r="AE251" s="153">
        <f>AE131-AE135</f>
        <v>724.89999999999986</v>
      </c>
      <c r="AF251" s="154"/>
      <c r="AG251" s="154"/>
      <c r="AH251" s="154"/>
      <c r="AI251" s="154"/>
      <c r="AJ251" s="153">
        <f>AJ131-AJ135</f>
        <v>912.62613317674959</v>
      </c>
      <c r="AK251" s="154"/>
      <c r="AL251" s="154"/>
      <c r="AM251" s="154"/>
      <c r="AN251" s="154"/>
      <c r="AO251" s="153">
        <f>AO131-AO135</f>
        <v>1120.400000000001</v>
      </c>
      <c r="AP251" s="154"/>
      <c r="AQ251" s="154"/>
      <c r="AR251" s="154"/>
      <c r="AS251" s="154"/>
      <c r="AT251" s="154">
        <f t="shared" ref="AT251:AY251" si="891">AT131-AT135</f>
        <v>1225.7440256685286</v>
      </c>
      <c r="AU251" s="154">
        <f t="shared" si="891"/>
        <v>1447.1664350887713</v>
      </c>
      <c r="AV251" s="154">
        <f t="shared" si="891"/>
        <v>1675.3725282744213</v>
      </c>
      <c r="AW251" s="154">
        <f t="shared" si="891"/>
        <v>1928.1743735456521</v>
      </c>
      <c r="AX251" s="154">
        <f t="shared" si="891"/>
        <v>2192.140899184863</v>
      </c>
      <c r="AY251" s="154">
        <f t="shared" si="891"/>
        <v>2435.390317186997</v>
      </c>
    </row>
    <row r="252" spans="2:51" x14ac:dyDescent="0.35">
      <c r="B252" s="124" t="s">
        <v>167</v>
      </c>
      <c r="N252" s="129">
        <f>N251/G251-1</f>
        <v>0.56601366796143915</v>
      </c>
      <c r="U252" s="129">
        <f>U251/N251-1</f>
        <v>0.51552645467050606</v>
      </c>
      <c r="Z252" s="129">
        <f>Z251/U251-1</f>
        <v>0.82534828406387861</v>
      </c>
      <c r="AA252" s="128"/>
      <c r="AB252" s="128"/>
      <c r="AC252" s="128"/>
      <c r="AD252" s="128"/>
      <c r="AE252" s="129">
        <f>AE251/Z251-1</f>
        <v>0.34940431868950128</v>
      </c>
      <c r="AF252" s="128"/>
      <c r="AG252" s="128"/>
      <c r="AH252" s="128"/>
      <c r="AI252" s="128"/>
      <c r="AJ252" s="129">
        <f>AJ251/AE251-1</f>
        <v>0.25896831725306901</v>
      </c>
      <c r="AK252" s="128"/>
      <c r="AL252" s="128"/>
      <c r="AM252" s="128"/>
      <c r="AN252" s="128"/>
      <c r="AO252" s="129">
        <f>AO251/AJ251-1</f>
        <v>0.22766591846325257</v>
      </c>
      <c r="AP252" s="128"/>
      <c r="AQ252" s="128"/>
      <c r="AR252" s="128"/>
      <c r="AS252" s="128"/>
      <c r="AT252" s="128">
        <f>AT251/AO251-1</f>
        <v>9.4023585923355579E-2</v>
      </c>
      <c r="AU252" s="128">
        <f t="shared" ref="AU252:AY252" si="892">AU251/AT251-1</f>
        <v>0.18064327035938654</v>
      </c>
      <c r="AV252" s="128">
        <f t="shared" si="892"/>
        <v>0.15769167087657854</v>
      </c>
      <c r="AW252" s="128">
        <f t="shared" si="892"/>
        <v>0.15089291545899264</v>
      </c>
      <c r="AX252" s="128">
        <f t="shared" si="892"/>
        <v>0.13689971677914792</v>
      </c>
      <c r="AY252" s="128">
        <f t="shared" si="892"/>
        <v>0.11096431716254429</v>
      </c>
    </row>
    <row r="253" spans="2:51" x14ac:dyDescent="0.35">
      <c r="B253" s="124" t="s">
        <v>195</v>
      </c>
      <c r="G253" s="523">
        <f>G220/G251*365</f>
        <v>131.10277519466757</v>
      </c>
      <c r="N253" s="161">
        <f>N220/N251*365</f>
        <v>193.36979500615413</v>
      </c>
      <c r="U253" s="161">
        <f>U220/U251*365</f>
        <v>166.4390078151545</v>
      </c>
      <c r="Z253" s="161">
        <f>Z220/Z251*365</f>
        <v>268.79002233804925</v>
      </c>
      <c r="AA253" s="188"/>
      <c r="AB253" s="188"/>
      <c r="AC253" s="188"/>
      <c r="AD253" s="188"/>
      <c r="AE253" s="161">
        <f>AE220/AE251*365</f>
        <v>179.50406952683133</v>
      </c>
      <c r="AF253" s="188"/>
      <c r="AG253" s="188"/>
      <c r="AH253" s="188"/>
      <c r="AI253" s="188"/>
      <c r="AJ253" s="161">
        <f>AJ220/AJ251*365</f>
        <v>167.65682510909065</v>
      </c>
      <c r="AK253" s="159"/>
      <c r="AL253" s="159"/>
      <c r="AM253" s="159"/>
      <c r="AN253" s="159"/>
      <c r="AO253" s="565">
        <f>AJ253</f>
        <v>167.65682510909065</v>
      </c>
      <c r="AP253" s="159"/>
      <c r="AQ253" s="159"/>
      <c r="AR253" s="159"/>
      <c r="AS253" s="159"/>
      <c r="AT253" s="188">
        <f>AO253</f>
        <v>167.65682510909065</v>
      </c>
      <c r="AU253" s="188">
        <f t="shared" ref="AU253:AY253" si="893">AT253</f>
        <v>167.65682510909065</v>
      </c>
      <c r="AV253" s="188">
        <f t="shared" si="893"/>
        <v>167.65682510909065</v>
      </c>
      <c r="AW253" s="188">
        <f t="shared" si="893"/>
        <v>167.65682510909065</v>
      </c>
      <c r="AX253" s="188">
        <f t="shared" si="893"/>
        <v>167.65682510909065</v>
      </c>
      <c r="AY253" s="188">
        <f t="shared" si="893"/>
        <v>167.65682510909065</v>
      </c>
    </row>
    <row r="254" spans="2:51" x14ac:dyDescent="0.35">
      <c r="B254" s="124" t="s">
        <v>196</v>
      </c>
      <c r="G254" s="526">
        <f>G219/G131*365</f>
        <v>56.598788631075244</v>
      </c>
      <c r="N254" s="153">
        <f>N219/N131*365</f>
        <v>44.311134975798872</v>
      </c>
      <c r="U254" s="153">
        <f>U219/U131*365</f>
        <v>49.999861992823625</v>
      </c>
      <c r="Z254" s="153">
        <f>Z219/Z131*365</f>
        <v>52.147123803289425</v>
      </c>
      <c r="AA254" s="154"/>
      <c r="AB254" s="154"/>
      <c r="AC254" s="154"/>
      <c r="AD254" s="154"/>
      <c r="AE254" s="153">
        <f>AE219/AE131*365</f>
        <v>41.711958038055911</v>
      </c>
      <c r="AF254" s="154"/>
      <c r="AG254" s="154"/>
      <c r="AH254" s="154"/>
      <c r="AI254" s="154"/>
      <c r="AJ254" s="153">
        <f>AJ219/AJ131*365</f>
        <v>38.746710951990678</v>
      </c>
      <c r="AK254" s="154"/>
      <c r="AL254" s="154"/>
      <c r="AM254" s="154"/>
      <c r="AN254" s="154"/>
      <c r="AO254" s="189">
        <f>AJ254</f>
        <v>38.746710951990678</v>
      </c>
      <c r="AP254" s="154"/>
      <c r="AQ254" s="154"/>
      <c r="AR254" s="154"/>
      <c r="AS254" s="154"/>
      <c r="AT254" s="186">
        <f>AO254</f>
        <v>38.746710951990678</v>
      </c>
      <c r="AU254" s="186">
        <f t="shared" ref="AU254:AX254" si="894">AT254</f>
        <v>38.746710951990678</v>
      </c>
      <c r="AV254" s="186">
        <f t="shared" si="894"/>
        <v>38.746710951990678</v>
      </c>
      <c r="AW254" s="186">
        <f t="shared" si="894"/>
        <v>38.746710951990678</v>
      </c>
      <c r="AX254" s="186">
        <f t="shared" si="894"/>
        <v>38.746710951990678</v>
      </c>
      <c r="AY254" s="186">
        <f t="shared" ref="AY254" si="895">AX254</f>
        <v>38.746710951990678</v>
      </c>
    </row>
    <row r="255" spans="2:51" x14ac:dyDescent="0.35">
      <c r="B255" s="124" t="s">
        <v>197</v>
      </c>
      <c r="G255" s="526">
        <f>G230/G251*365</f>
        <v>48.314345578025893</v>
      </c>
      <c r="H255" s="154"/>
      <c r="I255" s="154"/>
      <c r="J255" s="154"/>
      <c r="K255" s="154"/>
      <c r="L255" s="154"/>
      <c r="M255" s="154"/>
      <c r="N255" s="153">
        <f>N230/N251*365</f>
        <v>78.084346448615463</v>
      </c>
      <c r="U255" s="153">
        <f>U230/U251*365</f>
        <v>56.926605504587116</v>
      </c>
      <c r="V255" s="188"/>
      <c r="W255" s="188"/>
      <c r="X255" s="188"/>
      <c r="Y255" s="188"/>
      <c r="Z255" s="153">
        <f>Z230/Z251*365</f>
        <v>75.418838421444548</v>
      </c>
      <c r="AA255" s="188"/>
      <c r="AB255" s="188"/>
      <c r="AC255" s="188"/>
      <c r="AD255" s="188"/>
      <c r="AE255" s="153">
        <f>AE230/AE251*365</f>
        <v>32.779004000551808</v>
      </c>
      <c r="AJ255" s="153">
        <f>AJ230/AJ251*365</f>
        <v>66.590795278300561</v>
      </c>
      <c r="AK255" s="154"/>
      <c r="AL255" s="154"/>
      <c r="AM255" s="154"/>
      <c r="AN255" s="154"/>
      <c r="AO255" s="189">
        <f>AJ255</f>
        <v>66.590795278300561</v>
      </c>
      <c r="AP255" s="154"/>
      <c r="AQ255" s="154"/>
      <c r="AR255" s="154"/>
      <c r="AS255" s="154"/>
      <c r="AT255" s="186">
        <f>AO255</f>
        <v>66.590795278300561</v>
      </c>
      <c r="AU255" s="186">
        <f t="shared" ref="AU255:AX255" si="896">AT255</f>
        <v>66.590795278300561</v>
      </c>
      <c r="AV255" s="186">
        <f t="shared" si="896"/>
        <v>66.590795278300561</v>
      </c>
      <c r="AW255" s="186">
        <f t="shared" si="896"/>
        <v>66.590795278300561</v>
      </c>
      <c r="AX255" s="186">
        <f t="shared" si="896"/>
        <v>66.590795278300561</v>
      </c>
      <c r="AY255" s="186">
        <f t="shared" ref="AY255" si="897">AX255</f>
        <v>66.590795278300561</v>
      </c>
    </row>
    <row r="256" spans="2:51" x14ac:dyDescent="0.35">
      <c r="B256" s="124" t="s">
        <v>467</v>
      </c>
      <c r="G256" s="526"/>
      <c r="H256" s="154"/>
      <c r="I256" s="154"/>
      <c r="J256" s="154"/>
      <c r="K256" s="154"/>
      <c r="L256" s="154"/>
      <c r="M256" s="154"/>
      <c r="N256" s="129">
        <f>(N220+N219-N230)/N131</f>
        <v>0.26561782987846555</v>
      </c>
      <c r="U256" s="129">
        <f>(U220+U219-U230)/U131</f>
        <v>0.25884626000552019</v>
      </c>
      <c r="V256" s="188"/>
      <c r="W256" s="188"/>
      <c r="X256" s="188"/>
      <c r="Y256" s="188"/>
      <c r="Z256" s="129">
        <f>(Z220+Z219-Z230)/Z131</f>
        <v>0.37574666557564856</v>
      </c>
      <c r="AA256" s="188"/>
      <c r="AB256" s="188"/>
      <c r="AC256" s="188"/>
      <c r="AD256" s="188"/>
      <c r="AE256" s="129">
        <f>(AE220+AE219-AE230)/AE131</f>
        <v>0.2768818704313375</v>
      </c>
      <c r="AF256" s="128"/>
      <c r="AG256" s="128"/>
      <c r="AH256" s="128"/>
      <c r="AI256" s="128"/>
      <c r="AJ256" s="129">
        <f>(AJ220+AJ219-AJ230)/AJ131</f>
        <v>0.21515765862916789</v>
      </c>
      <c r="AK256" s="128"/>
      <c r="AL256" s="128"/>
      <c r="AM256" s="128"/>
      <c r="AN256" s="128"/>
      <c r="AO256" s="129">
        <f>(AO220+AO219-AO230)/AO131</f>
        <v>0.18925016589250163</v>
      </c>
      <c r="AP256" s="128"/>
      <c r="AQ256" s="128"/>
      <c r="AR256" s="128"/>
      <c r="AS256" s="128"/>
      <c r="AT256" s="128">
        <f t="shared" ref="AT256:AY256" si="898">(AT220+AT219-AT230)/AT131</f>
        <v>0.20306800381580056</v>
      </c>
      <c r="AU256" s="128">
        <f t="shared" si="898"/>
        <v>0.2025142173509743</v>
      </c>
      <c r="AV256" s="128">
        <f t="shared" si="898"/>
        <v>0.20196043088614804</v>
      </c>
      <c r="AW256" s="128">
        <f t="shared" si="898"/>
        <v>0.20140664442132183</v>
      </c>
      <c r="AX256" s="128">
        <f t="shared" si="898"/>
        <v>0.2008528579564956</v>
      </c>
      <c r="AY256" s="128">
        <f t="shared" si="898"/>
        <v>0.20029907149166931</v>
      </c>
    </row>
    <row r="258" spans="2:51" x14ac:dyDescent="0.35">
      <c r="B258" s="124" t="s">
        <v>82</v>
      </c>
      <c r="N258" s="166">
        <f>G224-N197-N224</f>
        <v>4.6129999999999995</v>
      </c>
      <c r="U258" s="366">
        <f t="shared" ref="U258" si="899">U260-U259</f>
        <v>20.399999999999999</v>
      </c>
      <c r="Z258" s="166">
        <f t="shared" ref="Z258:AE258" si="900">Z260-Z259</f>
        <v>31.900000000000006</v>
      </c>
      <c r="AA258" s="167"/>
      <c r="AB258" s="167"/>
      <c r="AC258" s="167"/>
      <c r="AD258" s="167"/>
      <c r="AE258" s="166">
        <f t="shared" si="900"/>
        <v>43.90000000000002</v>
      </c>
      <c r="AF258" s="167"/>
      <c r="AG258" s="167"/>
      <c r="AH258" s="167"/>
      <c r="AI258" s="167"/>
      <c r="AJ258" s="166">
        <f t="shared" ref="AJ258" si="901">AJ260-AJ259</f>
        <v>83.598055395683261</v>
      </c>
      <c r="AK258" s="167"/>
      <c r="AL258" s="167"/>
      <c r="AM258" s="167"/>
      <c r="AN258" s="167"/>
      <c r="AP258" s="167"/>
      <c r="AQ258" s="167"/>
      <c r="AR258" s="167"/>
      <c r="AS258" s="167"/>
    </row>
    <row r="259" spans="2:51" x14ac:dyDescent="0.35">
      <c r="B259" s="124" t="s">
        <v>198</v>
      </c>
      <c r="N259" s="166">
        <f>N260-N258</f>
        <v>7.4779999999999998</v>
      </c>
      <c r="U259" s="366">
        <v>11</v>
      </c>
      <c r="Z259" s="166">
        <v>14.5</v>
      </c>
      <c r="AA259" s="167"/>
      <c r="AB259" s="167"/>
      <c r="AC259" s="167"/>
      <c r="AD259" s="167"/>
      <c r="AE259" s="166">
        <v>21</v>
      </c>
      <c r="AF259" s="167"/>
      <c r="AG259" s="167"/>
      <c r="AH259" s="167"/>
      <c r="AI259" s="167"/>
      <c r="AJ259" s="166">
        <v>21</v>
      </c>
      <c r="AK259" s="167"/>
      <c r="AL259" s="167"/>
      <c r="AM259" s="167"/>
      <c r="AN259" s="167"/>
      <c r="AP259" s="167"/>
      <c r="AQ259" s="167"/>
      <c r="AR259" s="167"/>
      <c r="AS259" s="167"/>
    </row>
    <row r="260" spans="2:51" x14ac:dyDescent="0.35">
      <c r="B260" s="124" t="s">
        <v>199</v>
      </c>
      <c r="N260" s="189">
        <f>N185</f>
        <v>12.090999999999999</v>
      </c>
      <c r="U260" s="376">
        <f>U185</f>
        <v>31.4</v>
      </c>
      <c r="Z260" s="189">
        <f>Z185</f>
        <v>46.400000000000006</v>
      </c>
      <c r="AA260" s="186"/>
      <c r="AB260" s="186"/>
      <c r="AC260" s="186"/>
      <c r="AD260" s="186"/>
      <c r="AE260" s="189">
        <f t="shared" ref="AE260" si="902">AE185</f>
        <v>64.90000000000002</v>
      </c>
      <c r="AF260" s="186"/>
      <c r="AG260" s="186"/>
      <c r="AH260" s="186"/>
      <c r="AI260" s="186"/>
      <c r="AJ260" s="189">
        <f t="shared" ref="AJ260" si="903">AJ185</f>
        <v>104.59805539568326</v>
      </c>
      <c r="AK260" s="186"/>
      <c r="AL260" s="186"/>
      <c r="AM260" s="186"/>
      <c r="AN260" s="186"/>
      <c r="AP260" s="186"/>
      <c r="AQ260" s="186"/>
      <c r="AR260" s="186"/>
      <c r="AS260" s="186"/>
    </row>
    <row r="262" spans="2:51" x14ac:dyDescent="0.35">
      <c r="B262" s="124" t="s">
        <v>426</v>
      </c>
      <c r="G262" s="513">
        <f>-G197/G131</f>
        <v>2.7822707699796986E-2</v>
      </c>
      <c r="H262" s="128"/>
      <c r="I262" s="128"/>
      <c r="J262" s="128"/>
      <c r="K262" s="128"/>
      <c r="L262" s="128"/>
      <c r="M262" s="128"/>
      <c r="N262" s="129">
        <f>-N197/N131</f>
        <v>2.5831466804567948E-2</v>
      </c>
      <c r="U262" s="346">
        <f>-U197/U131</f>
        <v>3.4004968258349429E-2</v>
      </c>
      <c r="Z262" s="129">
        <f>-Z197/Z131</f>
        <v>4.9341297766140255E-2</v>
      </c>
      <c r="AA262" s="128"/>
      <c r="AB262" s="128"/>
      <c r="AC262" s="128"/>
      <c r="AD262" s="128"/>
      <c r="AE262" s="129">
        <f>-AE197/AE131</f>
        <v>2.3882595837285865E-2</v>
      </c>
      <c r="AF262" s="128"/>
      <c r="AG262" s="128"/>
      <c r="AH262" s="128"/>
      <c r="AI262" s="128"/>
      <c r="AJ262" s="129">
        <f>-AJ197/AJ131</f>
        <v>2.6096708795237889E-2</v>
      </c>
      <c r="AK262" s="128"/>
      <c r="AL262" s="128"/>
      <c r="AM262" s="128"/>
      <c r="AN262" s="128"/>
      <c r="AO262" s="129">
        <f>-AO197/AO131</f>
        <v>2.4187126741871262E-2</v>
      </c>
      <c r="AP262" s="128"/>
      <c r="AQ262" s="128"/>
      <c r="AR262" s="128"/>
      <c r="AS262" s="128"/>
      <c r="AT262" s="128">
        <v>0.03</v>
      </c>
      <c r="AU262" s="128">
        <f>AT262</f>
        <v>0.03</v>
      </c>
      <c r="AV262" s="128">
        <f t="shared" ref="AV262:AY262" si="904">AU262</f>
        <v>0.03</v>
      </c>
      <c r="AW262" s="128">
        <f t="shared" si="904"/>
        <v>0.03</v>
      </c>
      <c r="AX262" s="128">
        <f t="shared" si="904"/>
        <v>0.03</v>
      </c>
      <c r="AY262" s="128">
        <f t="shared" si="904"/>
        <v>0.03</v>
      </c>
    </row>
    <row r="263" spans="2:51" x14ac:dyDescent="0.35">
      <c r="B263" s="124" t="s">
        <v>200</v>
      </c>
      <c r="Z263" s="129">
        <f>-Z204/Z131</f>
        <v>1.2601260126012603E-2</v>
      </c>
      <c r="AA263" s="128"/>
      <c r="AB263" s="128"/>
      <c r="AC263" s="128"/>
      <c r="AD263" s="128"/>
      <c r="AE263" s="129">
        <f>-AE204/AE131</f>
        <v>1.4229116678756766E-2</v>
      </c>
      <c r="AF263" s="128"/>
      <c r="AG263" s="128"/>
      <c r="AH263" s="128"/>
      <c r="AI263" s="128"/>
      <c r="AJ263" s="129">
        <f>-AJ204/AJ131</f>
        <v>2.2085148600267435E-2</v>
      </c>
      <c r="AK263" s="128"/>
      <c r="AL263" s="128"/>
      <c r="AM263" s="128"/>
      <c r="AN263" s="128"/>
      <c r="AO263" s="129">
        <f>AJ263+0.001</f>
        <v>2.3085148600267436E-2</v>
      </c>
      <c r="AP263" s="128"/>
      <c r="AQ263" s="128"/>
      <c r="AR263" s="128"/>
      <c r="AS263" s="128"/>
      <c r="AT263" s="128">
        <f>AO263</f>
        <v>2.3085148600267436E-2</v>
      </c>
      <c r="AU263" s="128">
        <f>AT263</f>
        <v>2.3085148600267436E-2</v>
      </c>
      <c r="AV263" s="128">
        <f t="shared" ref="AV263:AX263" si="905">AU263</f>
        <v>2.3085148600267436E-2</v>
      </c>
      <c r="AW263" s="128">
        <f t="shared" si="905"/>
        <v>2.3085148600267436E-2</v>
      </c>
      <c r="AX263" s="128">
        <f t="shared" si="905"/>
        <v>2.3085148600267436E-2</v>
      </c>
      <c r="AY263" s="128">
        <f t="shared" ref="AY263" si="906">AX263</f>
        <v>2.3085148600267436E-2</v>
      </c>
    </row>
    <row r="265" spans="2:51" x14ac:dyDescent="0.35">
      <c r="B265" s="124" t="s">
        <v>269</v>
      </c>
      <c r="N265" s="166">
        <f>N229-N235</f>
        <v>296.20799999999997</v>
      </c>
      <c r="U265" s="377">
        <f>U229-U235</f>
        <v>1031.5300000000002</v>
      </c>
      <c r="Z265" s="185">
        <f>Z229-Z235</f>
        <v>1139.6800000000003</v>
      </c>
      <c r="AA265" s="175"/>
      <c r="AB265" s="175"/>
      <c r="AC265" s="175"/>
      <c r="AD265" s="175"/>
      <c r="AE265" s="185">
        <f t="shared" ref="AE265:AO265" si="907">AE229-AE235</f>
        <v>1287.4800000000002</v>
      </c>
      <c r="AF265" s="175"/>
      <c r="AG265" s="175"/>
      <c r="AH265" s="175"/>
      <c r="AI265" s="175"/>
      <c r="AJ265" s="185">
        <f t="shared" ref="AJ265" si="908">AJ229-AJ235</f>
        <v>1716.3041228703382</v>
      </c>
      <c r="AK265" s="175"/>
      <c r="AL265" s="175"/>
      <c r="AM265" s="175"/>
      <c r="AN265" s="175"/>
      <c r="AO265" s="185">
        <f t="shared" si="907"/>
        <v>2111.1041228703384</v>
      </c>
      <c r="AP265" s="175"/>
      <c r="AQ265" s="175"/>
      <c r="AR265" s="175"/>
      <c r="AS265" s="175"/>
    </row>
    <row r="266" spans="2:51" x14ac:dyDescent="0.35">
      <c r="B266" s="124" t="s">
        <v>270</v>
      </c>
      <c r="N266" s="129">
        <f>(N153-N157)/N265</f>
        <v>0.1271783836358234</v>
      </c>
      <c r="U266" s="346">
        <f>(U153-U157)/U265</f>
        <v>6.2999621920836024E-2</v>
      </c>
      <c r="Z266" s="129">
        <f>(Z153-Z157)/Z265</f>
        <v>0.10432753053488707</v>
      </c>
      <c r="AA266" s="128"/>
      <c r="AB266" s="128"/>
      <c r="AC266" s="128"/>
      <c r="AD266" s="128"/>
      <c r="AE266" s="129">
        <f>(AE153-AE157)/AE265</f>
        <v>0.16466275204275019</v>
      </c>
      <c r="AF266" s="128"/>
      <c r="AG266" s="128"/>
      <c r="AH266" s="128"/>
      <c r="AI266" s="128"/>
      <c r="AJ266" s="129">
        <f>(AJ153-AJ157)/AJ265</f>
        <v>0.16490360563522352</v>
      </c>
      <c r="AK266" s="128"/>
      <c r="AL266" s="128"/>
      <c r="AM266" s="128"/>
      <c r="AN266" s="128"/>
      <c r="AO266" s="129">
        <f>(AO153-AO157)/AO265</f>
        <v>0.20823226824184443</v>
      </c>
      <c r="AP266" s="128"/>
      <c r="AQ266" s="128"/>
      <c r="AR266" s="128"/>
      <c r="AS266" s="128"/>
    </row>
    <row r="268" spans="2:51" x14ac:dyDescent="0.35">
      <c r="B268" s="124" t="s">
        <v>425</v>
      </c>
      <c r="N268" s="346"/>
      <c r="U268" s="128">
        <f>(U196+U201+U204+U207)/U131</f>
        <v>-4.9214739166436705E-2</v>
      </c>
      <c r="Z268" s="128">
        <f>(Z196+Z201+Z204+Z207)/Z131</f>
        <v>-0.27002700270027002</v>
      </c>
      <c r="AA268" s="128"/>
      <c r="AB268" s="128"/>
      <c r="AC268" s="128"/>
      <c r="AD268" s="128"/>
      <c r="AE268" s="128">
        <f>(AE196+AE201+AE204+AE207)/AE131</f>
        <v>8.543050053010437E-2</v>
      </c>
      <c r="AF268" s="128"/>
      <c r="AG268" s="128"/>
      <c r="AH268" s="128"/>
      <c r="AI268" s="128"/>
      <c r="AJ268" s="129">
        <f>(AJ196+AJ201+AJ204+AJ207)/AJ131</f>
        <v>0.16357853723432614</v>
      </c>
      <c r="AK268" s="128"/>
      <c r="AL268" s="128"/>
      <c r="AM268" s="128"/>
      <c r="AN268" s="128"/>
      <c r="AO268" s="129">
        <f>(AO196+AO201+AO204+AO207)/AO131</f>
        <v>6.2873258128732609E-2</v>
      </c>
      <c r="AP268" s="128"/>
      <c r="AQ268" s="128"/>
      <c r="AR268" s="128"/>
      <c r="AS268" s="128"/>
      <c r="AT268" s="128">
        <f t="shared" ref="AT268:AY268" si="909">(AT196+AT201+AT204+AT207)/AT131</f>
        <v>9.0634591273364096E-2</v>
      </c>
      <c r="AU268" s="128">
        <f t="shared" si="909"/>
        <v>8.4633428025476867E-2</v>
      </c>
      <c r="AV268" s="128">
        <f t="shared" si="909"/>
        <v>9.4489988079544424E-2</v>
      </c>
      <c r="AW268" s="128">
        <f t="shared" si="909"/>
        <v>0.10239945655261085</v>
      </c>
      <c r="AX268" s="128">
        <f t="shared" si="909"/>
        <v>0.10789092199582918</v>
      </c>
      <c r="AY268" s="128">
        <f t="shared" si="909"/>
        <v>0.1157739989522283</v>
      </c>
    </row>
    <row r="269" spans="2:51" x14ac:dyDescent="0.35">
      <c r="B269" s="124" t="s">
        <v>424</v>
      </c>
      <c r="U269" s="345">
        <f>U268+U262</f>
        <v>-1.5209770908087276E-2</v>
      </c>
      <c r="Z269" s="129">
        <f t="shared" ref="Z269:AU269" si="910">Z268+Z262</f>
        <v>-0.22068570493412976</v>
      </c>
      <c r="AA269" s="128"/>
      <c r="AB269" s="128"/>
      <c r="AC269" s="128"/>
      <c r="AD269" s="128"/>
      <c r="AE269" s="129">
        <f t="shared" si="910"/>
        <v>0.10931309636739023</v>
      </c>
      <c r="AF269" s="128"/>
      <c r="AG269" s="128"/>
      <c r="AH269" s="128"/>
      <c r="AI269" s="128"/>
      <c r="AJ269" s="129">
        <f t="shared" ref="AJ269" si="911">AJ268+AJ262</f>
        <v>0.18967524602956404</v>
      </c>
      <c r="AK269" s="128"/>
      <c r="AL269" s="128"/>
      <c r="AM269" s="128"/>
      <c r="AN269" s="128"/>
      <c r="AO269" s="129">
        <f t="shared" si="910"/>
        <v>8.7060384870603871E-2</v>
      </c>
      <c r="AP269" s="128"/>
      <c r="AQ269" s="128"/>
      <c r="AR269" s="128"/>
      <c r="AS269" s="128"/>
      <c r="AT269" s="128">
        <f t="shared" si="910"/>
        <v>0.12063459127336409</v>
      </c>
      <c r="AU269" s="128">
        <f t="shared" si="910"/>
        <v>0.11463342802547687</v>
      </c>
      <c r="AV269" s="128">
        <f t="shared" ref="AV269" si="912">AV268+AV262</f>
        <v>0.12448998807954442</v>
      </c>
      <c r="AW269" s="128">
        <f>AW268+AW262</f>
        <v>0.13239945655261084</v>
      </c>
      <c r="AX269" s="128">
        <f t="shared" ref="AX269:AY269" si="913">AX268+AX262</f>
        <v>0.1378909219958292</v>
      </c>
      <c r="AY269" s="128">
        <f t="shared" si="913"/>
        <v>0.14577399895222831</v>
      </c>
    </row>
    <row r="270" spans="2:51" x14ac:dyDescent="0.35">
      <c r="AJ270" s="559"/>
      <c r="AK270" s="508"/>
      <c r="AL270" s="508"/>
      <c r="AM270" s="508"/>
      <c r="AN270" s="508"/>
    </row>
  </sheetData>
  <printOptions horizontalCentered="1" verticalCentered="1"/>
  <pageMargins left="0.7" right="0.7" top="0.75" bottom="0.75" header="0.3" footer="0.3"/>
  <pageSetup paperSize="9" scale="20" orientation="landscape" r:id="rId1"/>
  <customProperties>
    <customPr name="Qube.Worksheet.Visibility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F132-C551-4D5B-BBD6-DAF9401C7FB6}">
  <sheetPr>
    <pageSetUpPr fitToPage="1"/>
  </sheetPr>
  <dimension ref="A2:R57"/>
  <sheetViews>
    <sheetView showGridLines="0" zoomScaleNormal="100" workbookViewId="0">
      <selection activeCell="D30" sqref="D30"/>
    </sheetView>
  </sheetViews>
  <sheetFormatPr defaultColWidth="8.625" defaultRowHeight="14.25" x14ac:dyDescent="0.45"/>
  <cols>
    <col min="1" max="1" width="8.875" style="453" bestFit="1" customWidth="1"/>
    <col min="2" max="2" width="33" style="453" bestFit="1" customWidth="1"/>
    <col min="3" max="3" width="52.375" style="453" hidden="1" customWidth="1"/>
    <col min="4" max="18" width="9.625" style="453" customWidth="1"/>
    <col min="19" max="16384" width="8.625" style="453"/>
  </cols>
  <sheetData>
    <row r="2" spans="2:6" hidden="1" x14ac:dyDescent="0.45">
      <c r="B2" s="452" t="s">
        <v>455</v>
      </c>
    </row>
    <row r="3" spans="2:6" hidden="1" x14ac:dyDescent="0.45">
      <c r="B3" s="432" t="s">
        <v>289</v>
      </c>
      <c r="C3" s="433" t="s">
        <v>447</v>
      </c>
      <c r="D3" s="602" t="s">
        <v>544</v>
      </c>
      <c r="E3" s="603"/>
      <c r="F3" s="609" t="s">
        <v>448</v>
      </c>
    </row>
    <row r="4" spans="2:6" ht="14.65" hidden="1" thickBot="1" x14ac:dyDescent="0.5">
      <c r="B4" s="434" t="s">
        <v>454</v>
      </c>
      <c r="C4" s="435"/>
      <c r="D4" s="436" t="s">
        <v>239</v>
      </c>
      <c r="E4" s="437" t="s">
        <v>449</v>
      </c>
      <c r="F4" s="609"/>
    </row>
    <row r="5" spans="2:6" hidden="1" x14ac:dyDescent="0.45">
      <c r="B5" s="439" t="s">
        <v>459</v>
      </c>
      <c r="D5" s="498">
        <f>MODEL!$AL$131</f>
        <v>749.22</v>
      </c>
      <c r="E5" s="499">
        <v>703.1</v>
      </c>
      <c r="F5" s="497">
        <f>D5/E5-1</f>
        <v>6.5595221163419204E-2</v>
      </c>
    </row>
    <row r="6" spans="2:6" s="439" customFormat="1" hidden="1" x14ac:dyDescent="0.45">
      <c r="B6" s="496" t="s">
        <v>463</v>
      </c>
      <c r="D6" s="560">
        <f>MODEL!$AL$134</f>
        <v>0.3197463449004756</v>
      </c>
      <c r="E6" s="561">
        <f>E5/MODEL!AG131-1</f>
        <v>0.23850625330280062</v>
      </c>
      <c r="F6" s="444">
        <f t="shared" ref="F6:F10" si="0">(D6-E6)*10000</f>
        <v>812.40091597674984</v>
      </c>
    </row>
    <row r="7" spans="2:6" s="439" customFormat="1" hidden="1" x14ac:dyDescent="0.45">
      <c r="B7" s="503" t="s">
        <v>487</v>
      </c>
      <c r="D7" s="560">
        <f>MODEL!$AL$132</f>
        <v>0.38204002442171814</v>
      </c>
      <c r="E7" s="561"/>
      <c r="F7" s="444"/>
    </row>
    <row r="8" spans="2:6" hidden="1" x14ac:dyDescent="0.45">
      <c r="B8" s="440" t="s">
        <v>478</v>
      </c>
      <c r="D8" s="457"/>
      <c r="E8" s="455"/>
      <c r="F8" s="451"/>
    </row>
    <row r="9" spans="2:6" s="439" customFormat="1" hidden="1" x14ac:dyDescent="0.45">
      <c r="B9" s="496" t="s">
        <v>456</v>
      </c>
      <c r="D9" s="560">
        <f>MODEL!$AL$118</f>
        <v>0.23058889198995236</v>
      </c>
      <c r="E9" s="561">
        <f>428.5/MODEL!AG115-1</f>
        <v>0.1959252023444038</v>
      </c>
      <c r="F9" s="444">
        <f t="shared" si="0"/>
        <v>346.63689645548556</v>
      </c>
    </row>
    <row r="10" spans="2:6" s="439" customFormat="1" hidden="1" x14ac:dyDescent="0.45">
      <c r="B10" s="496" t="s">
        <v>457</v>
      </c>
      <c r="D10" s="560">
        <f>MODEL!$AL$81</f>
        <v>0.47230181470869198</v>
      </c>
      <c r="E10" s="561">
        <f>278.5/MODEL!AG78-1</f>
        <v>0.3299904489016241</v>
      </c>
      <c r="F10" s="444">
        <f t="shared" si="0"/>
        <v>1423.1136580706789</v>
      </c>
    </row>
    <row r="11" spans="2:6" hidden="1" x14ac:dyDescent="0.45">
      <c r="B11" s="440" t="s">
        <v>477</v>
      </c>
      <c r="D11" s="457"/>
      <c r="E11" s="455"/>
      <c r="F11" s="451"/>
    </row>
    <row r="12" spans="2:6" hidden="1" x14ac:dyDescent="0.45">
      <c r="B12" s="454" t="s">
        <v>489</v>
      </c>
      <c r="D12" s="457">
        <f>MODEL!$AL$5</f>
        <v>0.46139824807488616</v>
      </c>
      <c r="E12" s="455"/>
      <c r="F12" s="445"/>
    </row>
    <row r="13" spans="2:6" hidden="1" x14ac:dyDescent="0.45">
      <c r="B13" s="454" t="s">
        <v>490</v>
      </c>
      <c r="D13" s="457">
        <f>MODEL!$AL$12</f>
        <v>0.23583672649178777</v>
      </c>
      <c r="E13" s="455"/>
      <c r="F13" s="445"/>
    </row>
    <row r="14" spans="2:6" hidden="1" x14ac:dyDescent="0.45">
      <c r="B14" s="454" t="s">
        <v>491</v>
      </c>
      <c r="D14" s="457">
        <f>MODEL!$AL$19</f>
        <v>1.1088607268489592</v>
      </c>
      <c r="E14" s="455"/>
      <c r="F14" s="445"/>
    </row>
    <row r="15" spans="2:6" s="439" customFormat="1" hidden="1" x14ac:dyDescent="0.45">
      <c r="B15" s="439" t="s">
        <v>450</v>
      </c>
      <c r="D15" s="441">
        <f>MODEL!$AL$136</f>
        <v>0.61503964122687593</v>
      </c>
      <c r="E15" s="442">
        <v>0.59899999999999998</v>
      </c>
      <c r="F15" s="444">
        <f t="shared" ref="F15" si="1">(D15-E15)*10000</f>
        <v>160.39641226875955</v>
      </c>
    </row>
    <row r="16" spans="2:6" hidden="1" x14ac:dyDescent="0.45">
      <c r="B16" s="496" t="s">
        <v>480</v>
      </c>
      <c r="D16" s="443">
        <f>MODEL!$AL$137</f>
        <v>157.21162721361591</v>
      </c>
      <c r="E16" s="448">
        <f>(E15-MODEL!AG136)*10000</f>
        <v>-3.1847850551436352</v>
      </c>
      <c r="F16" s="451" t="s">
        <v>296</v>
      </c>
    </row>
    <row r="17" spans="1:18" s="439" customFormat="1" hidden="1" x14ac:dyDescent="0.45">
      <c r="B17" s="440" t="s">
        <v>434</v>
      </c>
      <c r="D17" s="500">
        <f>MODEL!$AL$153</f>
        <v>136.09999999999997</v>
      </c>
      <c r="E17" s="501">
        <v>114.6</v>
      </c>
      <c r="F17" s="446">
        <f t="shared" ref="F17" si="2">D17/E17-1</f>
        <v>0.18760907504362967</v>
      </c>
    </row>
    <row r="18" spans="1:18" ht="14.65" hidden="1" thickBot="1" x14ac:dyDescent="0.5">
      <c r="B18" s="456" t="s">
        <v>435</v>
      </c>
      <c r="D18" s="459">
        <f>MODEL!$AL$155</f>
        <v>0.18165558847868446</v>
      </c>
      <c r="E18" s="460">
        <f>E17/E5</f>
        <v>0.16299246195420281</v>
      </c>
      <c r="F18" s="447">
        <f t="shared" ref="F18" si="3">(D18-E18)*10000</f>
        <v>186.63126524481655</v>
      </c>
    </row>
    <row r="19" spans="1:18" hidden="1" x14ac:dyDescent="0.45"/>
    <row r="20" spans="1:18" x14ac:dyDescent="0.45">
      <c r="A20" s="577"/>
      <c r="B20" s="576" t="s">
        <v>453</v>
      </c>
      <c r="C20" s="577"/>
      <c r="D20" s="438"/>
      <c r="E20" s="438"/>
      <c r="F20" s="438"/>
      <c r="G20" s="438"/>
      <c r="H20" s="438"/>
      <c r="J20" s="438"/>
      <c r="K20" s="438"/>
    </row>
    <row r="21" spans="1:18" ht="15" customHeight="1" x14ac:dyDescent="0.45">
      <c r="A21" s="579" t="s">
        <v>288</v>
      </c>
      <c r="B21" s="578" t="s">
        <v>289</v>
      </c>
      <c r="C21" s="571" t="s">
        <v>447</v>
      </c>
      <c r="D21" s="602" t="s">
        <v>553</v>
      </c>
      <c r="E21" s="603"/>
      <c r="F21" s="570" t="s">
        <v>572</v>
      </c>
      <c r="G21" s="602" t="s">
        <v>549</v>
      </c>
      <c r="H21" s="603"/>
      <c r="I21" s="570" t="s">
        <v>572</v>
      </c>
      <c r="J21" s="602" t="s">
        <v>558</v>
      </c>
      <c r="K21" s="603"/>
      <c r="L21" s="570" t="s">
        <v>572</v>
      </c>
      <c r="M21" s="602" t="s">
        <v>570</v>
      </c>
      <c r="N21" s="603"/>
      <c r="O21" s="570" t="s">
        <v>572</v>
      </c>
      <c r="P21" s="602" t="s">
        <v>571</v>
      </c>
      <c r="Q21" s="603"/>
      <c r="R21" s="570" t="s">
        <v>572</v>
      </c>
    </row>
    <row r="22" spans="1:18" ht="14.65" thickBot="1" x14ac:dyDescent="0.5">
      <c r="A22" s="593"/>
      <c r="B22" s="594" t="s">
        <v>454</v>
      </c>
      <c r="C22" s="595"/>
      <c r="D22" s="436" t="s">
        <v>239</v>
      </c>
      <c r="E22" s="437" t="s">
        <v>449</v>
      </c>
      <c r="F22" s="570" t="s">
        <v>449</v>
      </c>
      <c r="G22" s="436" t="s">
        <v>239</v>
      </c>
      <c r="H22" s="437" t="s">
        <v>449</v>
      </c>
      <c r="I22" s="570" t="s">
        <v>449</v>
      </c>
      <c r="J22" s="436" t="s">
        <v>239</v>
      </c>
      <c r="K22" s="437" t="s">
        <v>449</v>
      </c>
      <c r="L22" s="570" t="s">
        <v>449</v>
      </c>
      <c r="M22" s="436" t="s">
        <v>239</v>
      </c>
      <c r="N22" s="437" t="s">
        <v>449</v>
      </c>
      <c r="O22" s="570" t="s">
        <v>449</v>
      </c>
      <c r="P22" s="436" t="s">
        <v>239</v>
      </c>
      <c r="Q22" s="437" t="s">
        <v>449</v>
      </c>
      <c r="R22" s="570" t="s">
        <v>449</v>
      </c>
    </row>
    <row r="23" spans="1:18" s="439" customFormat="1" x14ac:dyDescent="0.45">
      <c r="A23" s="580" t="s">
        <v>458</v>
      </c>
      <c r="B23" s="596" t="str">
        <f>B5</f>
        <v>Net Sales</v>
      </c>
      <c r="C23" s="439" t="s">
        <v>460</v>
      </c>
      <c r="D23" s="585">
        <f>MODEL!$AR$131</f>
        <v>917.05863454000666</v>
      </c>
      <c r="E23" s="499" t="e">
        <f ca="1">_xll.VisibleAlpha.UDF.VAData($A23,D$21,$C23,E$22,"CD")</f>
        <v>#NAME?</v>
      </c>
      <c r="F23" s="497" t="e">
        <f ca="1">D23/E23-1</f>
        <v>#NAME?</v>
      </c>
      <c r="G23" s="585">
        <f>MODEL!$AT$131</f>
        <v>3502.1257876243671</v>
      </c>
      <c r="H23" s="499" t="e">
        <f ca="1">_xll.VisibleAlpha.UDF.VAData($A23,G$21,$C23,H$22,"CD")</f>
        <v>#NAME?</v>
      </c>
      <c r="I23" s="497" t="e">
        <f ca="1">G23/H23-1</f>
        <v>#NAME?</v>
      </c>
      <c r="J23" s="585">
        <f>MODEL!$AU$131</f>
        <v>4158.5242387608378</v>
      </c>
      <c r="K23" s="499" t="e">
        <f ca="1">_xll.VisibleAlpha.UDF.VAData($A23,J$21,$C23,K$22,"CD")</f>
        <v>#NAME?</v>
      </c>
      <c r="L23" s="497" t="e">
        <f ca="1">J23/K23-1</f>
        <v>#NAME?</v>
      </c>
      <c r="M23" s="585">
        <f>MODEL!$AV$131</f>
        <v>4842.1171337411024</v>
      </c>
      <c r="N23" s="499" t="e">
        <f ca="1">_xll.VisibleAlpha.UDF.VAData($A23,M$21,$C23,N$22,"CD")</f>
        <v>#NAME?</v>
      </c>
      <c r="O23" s="497" t="e">
        <f ca="1">M23/N23-1</f>
        <v>#NAME?</v>
      </c>
      <c r="P23" s="585">
        <f>MODEL!$AW$131</f>
        <v>5605.1580626327104</v>
      </c>
      <c r="Q23" s="499">
        <f>_xll.VisibleAlpha.UDF.VAData($A23,P$21,$C23,Q$22,"CD")</f>
        <v>5736.8116362393848</v>
      </c>
      <c r="R23" s="497">
        <f>P23/Q23-1</f>
        <v>-2.2948909944161322E-2</v>
      </c>
    </row>
    <row r="24" spans="1:18" x14ac:dyDescent="0.45">
      <c r="A24" s="580" t="s">
        <v>458</v>
      </c>
      <c r="B24" s="597" t="str">
        <f t="shared" ref="B24:B25" si="4">B6</f>
        <v>-∆ yoy %</v>
      </c>
      <c r="C24" s="439" t="s">
        <v>460</v>
      </c>
      <c r="D24" s="586">
        <f>MODEL!$AR$134</f>
        <v>0.15440412202921228</v>
      </c>
      <c r="E24" s="442" t="e">
        <f ca="1">_xll.VisibleAlpha.UDF.VAData($A24,D$21,$C24,E$22,"CD",,,"YoY%")</f>
        <v>#NAME?</v>
      </c>
      <c r="F24" s="444" t="e">
        <f ca="1">(D24-E24)*10000</f>
        <v>#NAME?</v>
      </c>
      <c r="G24" s="586">
        <f>MODEL!$AT$134</f>
        <v>0.16195281606647849</v>
      </c>
      <c r="H24" s="442" t="e">
        <f ca="1">_xll.VisibleAlpha.UDF.VAData($A24,G$21,$C24,H$22,"CD",,,"YoY%")</f>
        <v>#NAME?</v>
      </c>
      <c r="I24" s="444" t="e">
        <f ca="1">(G24-H24)*10000</f>
        <v>#NAME?</v>
      </c>
      <c r="J24" s="586">
        <f>MODEL!$AU$134</f>
        <v>0.18742857651087741</v>
      </c>
      <c r="K24" s="442" t="e">
        <f ca="1">_xll.VisibleAlpha.UDF.VAData($A24,J$21,$C24,K$22,"CD",,,"YoY%")</f>
        <v>#NAME?</v>
      </c>
      <c r="L24" s="444" t="e">
        <f ca="1">(J24-K24)*10000</f>
        <v>#NAME?</v>
      </c>
      <c r="M24" s="586">
        <f>MODEL!$AV$134</f>
        <v>0.16438353024580721</v>
      </c>
      <c r="N24" s="442" t="e">
        <f ca="1">_xll.VisibleAlpha.UDF.VAData($A24,M$21,$C24,N$22,"CD",,,"YoY%")</f>
        <v>#NAME?</v>
      </c>
      <c r="O24" s="444" t="e">
        <f ca="1">(M24-N24)*10000</f>
        <v>#NAME?</v>
      </c>
      <c r="P24" s="586">
        <f>MODEL!$AW$134</f>
        <v>0.1575841533395681</v>
      </c>
      <c r="Q24" s="442">
        <f>_xll.VisibleAlpha.UDF.VAData($A24,P$21,$C24,Q$22,"CD",,,"YoY%")</f>
        <v>0.151504719022276</v>
      </c>
      <c r="R24" s="444">
        <f>(P24-Q24)*10000</f>
        <v>60.794343172921039</v>
      </c>
    </row>
    <row r="25" spans="1:18" x14ac:dyDescent="0.45">
      <c r="A25" s="580" t="s">
        <v>458</v>
      </c>
      <c r="B25" s="597" t="str">
        <f t="shared" si="4"/>
        <v>-∆ cFX yoy %</v>
      </c>
      <c r="C25" s="439" t="s">
        <v>488</v>
      </c>
      <c r="D25" s="586">
        <f>MODEL!$AR$132</f>
        <v>0.17003398791540783</v>
      </c>
      <c r="E25" s="442" t="e">
        <f ca="1">_xll.VisibleAlpha.UDF.VAData($A25,D$21,$C25,E$22,"CD")/100</f>
        <v>#NAME?</v>
      </c>
      <c r="F25" s="444" t="e">
        <f ca="1">(D25-E25)*10000</f>
        <v>#NAME?</v>
      </c>
      <c r="G25" s="586">
        <f>MODEL!$AT$132</f>
        <v>0.2031615792966158</v>
      </c>
      <c r="H25" s="442" t="e">
        <f ca="1">_xll.VisibleAlpha.UDF.VAData($A25,G$21,$C25,H$22,"CD")/100</f>
        <v>#NAME?</v>
      </c>
      <c r="I25" s="444" t="e">
        <f ca="1">(G25-H25)*10000</f>
        <v>#NAME?</v>
      </c>
      <c r="J25" s="586">
        <f>MODEL!$AU$132</f>
        <v>0.17779812836569664</v>
      </c>
      <c r="K25" s="442" t="e">
        <f ca="1">_xll.VisibleAlpha.UDF.VAData($A25,J$21,$C25,K$22,"CD")/100</f>
        <v>#NAME?</v>
      </c>
      <c r="L25" s="444" t="e">
        <f ca="1">(J25-K25)*10000</f>
        <v>#NAME?</v>
      </c>
      <c r="M25" s="586">
        <f>MODEL!$AV$132</f>
        <v>0.17330606641839186</v>
      </c>
      <c r="N25" s="442" t="e">
        <f ca="1">_xll.VisibleAlpha.UDF.VAData($A25,M$21,$C25,N$22,"CD")/100</f>
        <v>#NAME?</v>
      </c>
      <c r="O25" s="444" t="e">
        <f ca="1">(M25-N25)*10000</f>
        <v>#NAME?</v>
      </c>
      <c r="P25" s="586">
        <f>MODEL!$AW$132</f>
        <v>0.16619070073605102</v>
      </c>
      <c r="Q25" s="442">
        <f>_xll.VisibleAlpha.UDF.VAData($A25,P$21,$C25,Q$22,"CD")/100</f>
        <v>0.14635192064468933</v>
      </c>
      <c r="R25" s="444">
        <f>(P25-Q25)*10000</f>
        <v>198.38780091361696</v>
      </c>
    </row>
    <row r="26" spans="1:18" s="439" customFormat="1" x14ac:dyDescent="0.45">
      <c r="A26" s="580" t="s">
        <v>458</v>
      </c>
      <c r="B26" s="598" t="str">
        <f t="shared" ref="B26:B36" si="5">B8</f>
        <v>By Channel</v>
      </c>
      <c r="D26" s="586"/>
      <c r="E26" s="442"/>
      <c r="F26" s="444"/>
      <c r="G26" s="586"/>
      <c r="H26" s="442"/>
      <c r="I26" s="444"/>
      <c r="J26" s="586"/>
      <c r="K26" s="574"/>
      <c r="L26" s="444"/>
      <c r="M26" s="586"/>
      <c r="N26" s="574"/>
      <c r="O26" s="444"/>
      <c r="P26" s="586"/>
      <c r="Q26" s="574"/>
      <c r="R26" s="444"/>
    </row>
    <row r="27" spans="1:18" s="573" customFormat="1" x14ac:dyDescent="0.45">
      <c r="A27" s="581" t="s">
        <v>458</v>
      </c>
      <c r="B27" s="599" t="str">
        <f t="shared" si="5"/>
        <v>-Wholesale</v>
      </c>
      <c r="C27" s="573" t="s">
        <v>462</v>
      </c>
      <c r="D27" s="587">
        <f>MODEL!$AR$118</f>
        <v>8.2262566884286015E-2</v>
      </c>
      <c r="E27" s="575" t="e">
        <f ca="1">_xll.VisibleAlpha.UDF.VAData($A27,D$21,$C27,E$22,"CD",,,"YoY%")</f>
        <v>#NAME?</v>
      </c>
      <c r="F27" s="445" t="e">
        <f ca="1">(D27-E27)*10000</f>
        <v>#NAME?</v>
      </c>
      <c r="G27" s="587">
        <f>MODEL!$AT$118</f>
        <v>9.2340709253466935E-2</v>
      </c>
      <c r="H27" s="575" t="e">
        <f ca="1">_xll.VisibleAlpha.UDF.VAData($A27,G$21,$C27,H$22,"CD",,,"YoY%")</f>
        <v>#NAME?</v>
      </c>
      <c r="I27" s="445" t="e">
        <f ca="1">(G27-H27)*10000</f>
        <v>#NAME?</v>
      </c>
      <c r="J27" s="587">
        <f>MODEL!$AU$118</f>
        <v>0.14387915322544198</v>
      </c>
      <c r="K27" s="575" t="e">
        <f ca="1">_xll.VisibleAlpha.UDF.VAData($A27,J$21,$C27,K$22,"CD",,,"YoY%")</f>
        <v>#NAME?</v>
      </c>
      <c r="L27" s="445" t="e">
        <f ca="1">(J27-K27)*10000</f>
        <v>#NAME?</v>
      </c>
      <c r="M27" s="587">
        <f>MODEL!$AV$118</f>
        <v>0.12342014086554376</v>
      </c>
      <c r="N27" s="575" t="e">
        <f ca="1">_xll.VisibleAlpha.UDF.VAData($A27,M$21,$C27,N$22,"CD",,,"YoY%")</f>
        <v>#NAME?</v>
      </c>
      <c r="O27" s="445" t="e">
        <f ca="1">(M27-N27)*10000</f>
        <v>#NAME?</v>
      </c>
      <c r="P27" s="587">
        <f>MODEL!$AW$118</f>
        <v>0.12623146789356166</v>
      </c>
      <c r="Q27" s="575">
        <f>_xll.VisibleAlpha.UDF.VAData($A27,P$21,$C27,Q$22,"CD",,,"YoY%")</f>
        <v>0.12521792485743599</v>
      </c>
      <c r="R27" s="445">
        <f>(P27-Q27)*10000</f>
        <v>10.135430361256637</v>
      </c>
    </row>
    <row r="28" spans="1:18" s="573" customFormat="1" x14ac:dyDescent="0.45">
      <c r="A28" s="581" t="s">
        <v>458</v>
      </c>
      <c r="B28" s="599" t="str">
        <f t="shared" si="5"/>
        <v>-DTC</v>
      </c>
      <c r="C28" s="573" t="s">
        <v>461</v>
      </c>
      <c r="D28" s="587">
        <f>MODEL!$AR$81</f>
        <v>0.2643701341138045</v>
      </c>
      <c r="E28" s="575" t="e">
        <f ca="1">_xll.VisibleAlpha.UDF.VAData($A28,D$21,$C28,E$22,"CD",,,"YoY%")</f>
        <v>#NAME?</v>
      </c>
      <c r="F28" s="445" t="e">
        <f t="shared" ref="F28" ca="1" si="6">(D28-E28)*10000</f>
        <v>#NAME?</v>
      </c>
      <c r="G28" s="587">
        <f>MODEL!$AT$81</f>
        <v>0.25879123676986271</v>
      </c>
      <c r="H28" s="575" t="e">
        <f ca="1">_xll.VisibleAlpha.UDF.VAData($A28,G$21,$C28,H$22,"CD",,,"YoY%")</f>
        <v>#NAME?</v>
      </c>
      <c r="I28" s="445" t="e">
        <f t="shared" ref="I28" ca="1" si="7">(G28-H28)*10000</f>
        <v>#NAME?</v>
      </c>
      <c r="J28" s="587">
        <f>MODEL!$AU$81</f>
        <v>0.24</v>
      </c>
      <c r="K28" s="575" t="e">
        <f ca="1">_xll.VisibleAlpha.UDF.VAData($A28,J$21,$C28,K$22,"CD",,,"YoY%")</f>
        <v>#NAME?</v>
      </c>
      <c r="L28" s="445" t="e">
        <f t="shared" ref="L28" ca="1" si="8">(J28-K28)*10000</f>
        <v>#NAME?</v>
      </c>
      <c r="M28" s="587">
        <f>MODEL!$AV$81</f>
        <v>0.21</v>
      </c>
      <c r="N28" s="575" t="e">
        <f ca="1">_xll.VisibleAlpha.UDF.VAData($A28,M$21,$C28,N$22,"CD",,,"YoY%")</f>
        <v>#NAME?</v>
      </c>
      <c r="O28" s="445" t="e">
        <f t="shared" ref="O28" ca="1" si="9">(M28-N28)*10000</f>
        <v>#NAME?</v>
      </c>
      <c r="P28" s="587">
        <f>MODEL!$AW$81</f>
        <v>0.19</v>
      </c>
      <c r="Q28" s="575">
        <f>_xll.VisibleAlpha.UDF.VAData($A28,P$21,$C28,Q$22,"CD",,,"YoY%")</f>
        <v>0.179936331156136</v>
      </c>
      <c r="R28" s="445">
        <f t="shared" ref="R28" si="10">(P28-Q28)*10000</f>
        <v>100.63668843864005</v>
      </c>
    </row>
    <row r="29" spans="1:18" x14ac:dyDescent="0.45">
      <c r="A29" s="580" t="s">
        <v>458</v>
      </c>
      <c r="B29" s="598" t="str">
        <f t="shared" si="5"/>
        <v>By Region</v>
      </c>
      <c r="D29" s="588"/>
      <c r="E29" s="455"/>
      <c r="F29" s="445"/>
      <c r="G29" s="588"/>
      <c r="H29" s="455"/>
      <c r="I29" s="445"/>
      <c r="J29" s="588"/>
      <c r="K29" s="455"/>
      <c r="L29" s="445"/>
      <c r="M29" s="588"/>
      <c r="N29" s="455"/>
      <c r="O29" s="445"/>
      <c r="P29" s="588"/>
      <c r="Q29" s="455"/>
      <c r="R29" s="445"/>
    </row>
    <row r="30" spans="1:18" s="573" customFormat="1" x14ac:dyDescent="0.45">
      <c r="A30" s="581" t="s">
        <v>458</v>
      </c>
      <c r="B30" s="599" t="str">
        <f t="shared" si="5"/>
        <v>-EMEA cFX</v>
      </c>
      <c r="C30" s="573" t="s">
        <v>492</v>
      </c>
      <c r="D30" s="587">
        <f>MODEL!$AR$5</f>
        <v>0.13</v>
      </c>
      <c r="E30" s="575" t="e">
        <f ca="1">_xll.VisibleAlpha.UDF.VAData($A30,D$21,$C30,E$22,"CD")/100</f>
        <v>#NAME?</v>
      </c>
      <c r="F30" s="445" t="e">
        <f t="shared" ref="F30:F33" ca="1" si="11">(D30-E30)*10000</f>
        <v>#NAME?</v>
      </c>
      <c r="G30" s="587">
        <f>MODEL!$AT$5</f>
        <v>0.19</v>
      </c>
      <c r="H30" s="575" t="e">
        <f ca="1">_xll.VisibleAlpha.UDF.VAData($A30,G$21,$C30,H$22,"CD")/100</f>
        <v>#NAME?</v>
      </c>
      <c r="I30" s="445" t="e">
        <f t="shared" ref="I30:I33" ca="1" si="12">(G30-H30)*10000</f>
        <v>#NAME?</v>
      </c>
      <c r="J30" s="587">
        <f>MODEL!$AU$5</f>
        <v>0.17</v>
      </c>
      <c r="K30" s="575" t="e">
        <f ca="1">_xll.VisibleAlpha.UDF.VAData($A30,J$21,$C30,K$22,"CD")/100</f>
        <v>#NAME?</v>
      </c>
      <c r="L30" s="445" t="e">
        <f t="shared" ref="L30:L33" ca="1" si="13">(J30-K30)*10000</f>
        <v>#NAME?</v>
      </c>
      <c r="M30" s="587">
        <f>MODEL!$AV$5</f>
        <v>0.16</v>
      </c>
      <c r="N30" s="575" t="e">
        <f ca="1">_xll.VisibleAlpha.UDF.VAData($A30,M$21,$C30,N$22,"CD")/100</f>
        <v>#NAME?</v>
      </c>
      <c r="O30" s="445" t="e">
        <f t="shared" ref="O30:O33" ca="1" si="14">(M30-N30)*10000</f>
        <v>#NAME?</v>
      </c>
      <c r="P30" s="587">
        <f>MODEL!$AW$5</f>
        <v>0.15</v>
      </c>
      <c r="Q30" s="575">
        <f>_xll.VisibleAlpha.UDF.VAData($A30,P$21,$C30,Q$22,"CD")/100</f>
        <v>0.14099101282984128</v>
      </c>
      <c r="R30" s="445">
        <f t="shared" ref="R30:R33" si="15">(P30-Q30)*10000</f>
        <v>90.089871701587171</v>
      </c>
    </row>
    <row r="31" spans="1:18" s="573" customFormat="1" x14ac:dyDescent="0.45">
      <c r="A31" s="581" t="s">
        <v>458</v>
      </c>
      <c r="B31" s="599" t="str">
        <f t="shared" si="5"/>
        <v>-Americas cFX</v>
      </c>
      <c r="C31" s="573" t="s">
        <v>493</v>
      </c>
      <c r="D31" s="587">
        <f>MODEL!$AR$12</f>
        <v>0.08</v>
      </c>
      <c r="E31" s="575" t="e">
        <f ca="1">_xll.VisibleAlpha.UDF.VAData($A31,D$21,$C31,E$22,"CD")/100</f>
        <v>#NAME?</v>
      </c>
      <c r="F31" s="445" t="e">
        <f t="shared" ca="1" si="11"/>
        <v>#NAME?</v>
      </c>
      <c r="G31" s="587">
        <f>MODEL!$AT$12</f>
        <v>0.11</v>
      </c>
      <c r="H31" s="575" t="e">
        <f ca="1">_xll.VisibleAlpha.UDF.VAData($A31,G$21,$C31,H$22,"CD")/100</f>
        <v>#NAME?</v>
      </c>
      <c r="I31" s="445" t="e">
        <f t="shared" ca="1" si="12"/>
        <v>#NAME?</v>
      </c>
      <c r="J31" s="587">
        <f>MODEL!$AU$12</f>
        <v>0.09</v>
      </c>
      <c r="K31" s="575" t="e">
        <f ca="1">_xll.VisibleAlpha.UDF.VAData($A31,J$21,$C31,K$22,"CD")/100</f>
        <v>#NAME?</v>
      </c>
      <c r="L31" s="445" t="e">
        <f t="shared" ca="1" si="13"/>
        <v>#NAME?</v>
      </c>
      <c r="M31" s="587">
        <f>MODEL!$AV$12</f>
        <v>8.0000000000000071E-2</v>
      </c>
      <c r="N31" s="575" t="e">
        <f ca="1">_xll.VisibleAlpha.UDF.VAData($A31,M$21,$C31,N$22,"CD")/100</f>
        <v>#NAME?</v>
      </c>
      <c r="O31" s="445" t="e">
        <f t="shared" ca="1" si="14"/>
        <v>#NAME?</v>
      </c>
      <c r="P31" s="587">
        <f>MODEL!$AW$12</f>
        <v>8.0000000000000071E-2</v>
      </c>
      <c r="Q31" s="575">
        <f>_xll.VisibleAlpha.UDF.VAData($A31,P$21,$C31,Q$22,"CD")/100</f>
        <v>0.10711495366944129</v>
      </c>
      <c r="R31" s="445">
        <f t="shared" si="15"/>
        <v>-271.14953669441223</v>
      </c>
    </row>
    <row r="32" spans="1:18" s="573" customFormat="1" x14ac:dyDescent="0.45">
      <c r="A32" s="581" t="s">
        <v>458</v>
      </c>
      <c r="B32" s="599" t="str">
        <f t="shared" si="5"/>
        <v>-APAC cFX</v>
      </c>
      <c r="C32" s="573" t="s">
        <v>494</v>
      </c>
      <c r="D32" s="587">
        <f>MODEL!$AR$19</f>
        <v>0.5</v>
      </c>
      <c r="E32" s="575" t="e">
        <f ca="1">_xll.VisibleAlpha.UDF.VAData($A32,D$21,$C32,E$22,"CD")/100</f>
        <v>#NAME?</v>
      </c>
      <c r="F32" s="445" t="e">
        <f t="shared" ca="1" si="11"/>
        <v>#NAME?</v>
      </c>
      <c r="G32" s="587">
        <f>MODEL!$AT$19</f>
        <v>0.54</v>
      </c>
      <c r="H32" s="575" t="e">
        <f ca="1">_xll.VisibleAlpha.UDF.VAData($A32,G$21,$C32,H$22,"CD")/100</f>
        <v>#NAME?</v>
      </c>
      <c r="I32" s="445" t="e">
        <f t="shared" ca="1" si="12"/>
        <v>#NAME?</v>
      </c>
      <c r="J32" s="587">
        <f>MODEL!$AU$19</f>
        <v>0.4</v>
      </c>
      <c r="K32" s="575" t="e">
        <f ca="1">_xll.VisibleAlpha.UDF.VAData($A32,J$21,$C32,K$22,"CD")/100</f>
        <v>#NAME?</v>
      </c>
      <c r="L32" s="445" t="e">
        <f t="shared" ca="1" si="13"/>
        <v>#NAME?</v>
      </c>
      <c r="M32" s="587">
        <f>MODEL!$AV$19</f>
        <v>0.35</v>
      </c>
      <c r="N32" s="575" t="e">
        <f ca="1">_xll.VisibleAlpha.UDF.VAData($A32,M$21,$C32,N$22,"CD")/100</f>
        <v>#NAME?</v>
      </c>
      <c r="O32" s="445" t="e">
        <f t="shared" ca="1" si="14"/>
        <v>#NAME?</v>
      </c>
      <c r="P32" s="587">
        <f>MODEL!$AW$19</f>
        <v>0.3</v>
      </c>
      <c r="Q32" s="575">
        <f>_xll.VisibleAlpha.UDF.VAData($A32,P$21,$C32,Q$22,"CD")/100</f>
        <v>0.22503711327177287</v>
      </c>
      <c r="R32" s="445">
        <f t="shared" si="15"/>
        <v>749.62886728227124</v>
      </c>
    </row>
    <row r="33" spans="1:18" s="439" customFormat="1" x14ac:dyDescent="0.45">
      <c r="A33" s="580" t="s">
        <v>458</v>
      </c>
      <c r="B33" s="600" t="str">
        <f t="shared" si="5"/>
        <v>Gross Margin</v>
      </c>
      <c r="C33" s="439" t="s">
        <v>451</v>
      </c>
      <c r="D33" s="586">
        <f>MODEL!$AR$136</f>
        <v>0.65</v>
      </c>
      <c r="E33" s="442" t="e">
        <f ca="1">_xll.VisibleAlpha.UDF.VAData($A33,D$21,$C33,E$22,"CD")/E23</f>
        <v>#NAME?</v>
      </c>
      <c r="F33" s="444" t="e">
        <f t="shared" ca="1" si="11"/>
        <v>#NAME?</v>
      </c>
      <c r="G33" s="586">
        <f>MODEL!$AT$136</f>
        <v>0.65</v>
      </c>
      <c r="H33" s="442" t="e">
        <f ca="1">_xll.VisibleAlpha.UDF.VAData($A33,G$21,$C33,H$22,"CD")/H23</f>
        <v>#NAME?</v>
      </c>
      <c r="I33" s="444" t="e">
        <f t="shared" ca="1" si="12"/>
        <v>#NAME?</v>
      </c>
      <c r="J33" s="586">
        <f>MODEL!$AU$136</f>
        <v>0.65200000000000002</v>
      </c>
      <c r="K33" s="442" t="e">
        <f ca="1">_xll.VisibleAlpha.UDF.VAData($A33,J$21,$C33,K$22,"CD")/K23</f>
        <v>#NAME?</v>
      </c>
      <c r="L33" s="444" t="e">
        <f t="shared" ca="1" si="13"/>
        <v>#NAME?</v>
      </c>
      <c r="M33" s="586">
        <f>MODEL!$AV$136</f>
        <v>0.65400000000000003</v>
      </c>
      <c r="N33" s="442" t="e">
        <f ca="1">_xll.VisibleAlpha.UDF.VAData($A33,M$21,$C33,N$22,"CD")/N23</f>
        <v>#NAME?</v>
      </c>
      <c r="O33" s="444" t="e">
        <f t="shared" ca="1" si="14"/>
        <v>#NAME?</v>
      </c>
      <c r="P33" s="586">
        <f>MODEL!$AW$136</f>
        <v>0.65600000000000003</v>
      </c>
      <c r="Q33" s="442">
        <f>_xll.VisibleAlpha.UDF.VAData($A33,P$21,$C33,Q$22,"CD")/Q23</f>
        <v>0.65675047277290188</v>
      </c>
      <c r="R33" s="444">
        <f t="shared" si="15"/>
        <v>-7.5047277290185566</v>
      </c>
    </row>
    <row r="34" spans="1:18" s="573" customFormat="1" x14ac:dyDescent="0.45">
      <c r="A34" s="581" t="s">
        <v>458</v>
      </c>
      <c r="B34" s="599" t="str">
        <f t="shared" si="5"/>
        <v>-∆ bps</v>
      </c>
      <c r="D34" s="589">
        <f>MODEL!$AR$137</f>
        <v>-73.514602215506429</v>
      </c>
      <c r="E34" s="448" t="e">
        <f ca="1">(E33-MODEL!$AM$136)*10000</f>
        <v>#NAME?</v>
      </c>
      <c r="F34" s="451" t="s">
        <v>296</v>
      </c>
      <c r="G34" s="589">
        <f>(G33-MODEL!$AO$136)*10000</f>
        <v>217.31917717319416</v>
      </c>
      <c r="H34" s="448" t="e">
        <f ca="1">(H33-MODEL!$AO$136)*10000</f>
        <v>#NAME?</v>
      </c>
      <c r="I34" s="451" t="s">
        <v>296</v>
      </c>
      <c r="J34" s="589">
        <f>(J33-G33)*10000</f>
        <v>20.000000000000018</v>
      </c>
      <c r="K34" s="448" t="e">
        <f ca="1">(K33-H33)*10000</f>
        <v>#NAME?</v>
      </c>
      <c r="L34" s="451" t="s">
        <v>296</v>
      </c>
      <c r="M34" s="589">
        <f>(M33-J33)*10000</f>
        <v>20.000000000000018</v>
      </c>
      <c r="N34" s="448" t="e">
        <f ca="1">(N33-K33)*10000</f>
        <v>#NAME?</v>
      </c>
      <c r="O34" s="451" t="s">
        <v>296</v>
      </c>
      <c r="P34" s="589">
        <f>(P33-M33)*10000</f>
        <v>20.000000000000018</v>
      </c>
      <c r="Q34" s="448" t="e">
        <f ca="1">(Q33-N33)*10000</f>
        <v>#NAME?</v>
      </c>
      <c r="R34" s="451" t="s">
        <v>296</v>
      </c>
    </row>
    <row r="35" spans="1:18" s="439" customFormat="1" x14ac:dyDescent="0.45">
      <c r="A35" s="580" t="s">
        <v>458</v>
      </c>
      <c r="B35" s="598" t="str">
        <f t="shared" si="5"/>
        <v>adj. EBITDA</v>
      </c>
      <c r="C35" s="439" t="s">
        <v>452</v>
      </c>
      <c r="D35" s="592">
        <f>MODEL!$AR$153</f>
        <v>197.52285504637962</v>
      </c>
      <c r="E35" s="572" t="e">
        <f ca="1">_xll.VisibleAlpha.UDF.VAData($A35,D$21,$C35,E$22,"CD")</f>
        <v>#NAME?</v>
      </c>
      <c r="F35" s="446" t="e">
        <f ca="1">D35/E35-1</f>
        <v>#NAME?</v>
      </c>
      <c r="G35" s="590">
        <f>MODEL!$AT$153</f>
        <v>699.9896332887181</v>
      </c>
      <c r="H35" s="501" t="e">
        <f ca="1">_xll.VisibleAlpha.UDF.VAData($A35,G$21,$C35,H$22,"CD")</f>
        <v>#NAME?</v>
      </c>
      <c r="I35" s="446" t="e">
        <f ca="1">G35/H35-1</f>
        <v>#NAME?</v>
      </c>
      <c r="J35" s="590">
        <f>MODEL!$AU$153</f>
        <v>855</v>
      </c>
      <c r="K35" s="501" t="e">
        <f ca="1">_xll.VisibleAlpha.UDF.VAData($A35,J$21,$C35,K$22,"CD")</f>
        <v>#NAME?</v>
      </c>
      <c r="L35" s="446" t="e">
        <f ca="1">J35/K35-1</f>
        <v>#NAME?</v>
      </c>
      <c r="M35" s="590">
        <f>MODEL!$AV$153</f>
        <v>1030</v>
      </c>
      <c r="N35" s="501" t="e">
        <f ca="1">_xll.VisibleAlpha.UDF.VAData($A35,M$21,$C35,N$22,"CD")</f>
        <v>#NAME?</v>
      </c>
      <c r="O35" s="446" t="e">
        <f ca="1">M35/N35-1</f>
        <v>#NAME?</v>
      </c>
      <c r="P35" s="590">
        <f>MODEL!$AW$153</f>
        <v>1233</v>
      </c>
      <c r="Q35" s="501">
        <f>_xll.VisibleAlpha.UDF.VAData($A35,P$21,$C35,Q$22,"CD")</f>
        <v>1239.7722631962972</v>
      </c>
      <c r="R35" s="446">
        <f>P35/Q35-1</f>
        <v>-5.4625058144448513E-3</v>
      </c>
    </row>
    <row r="36" spans="1:18" s="573" customFormat="1" x14ac:dyDescent="0.45">
      <c r="A36" s="581" t="s">
        <v>458</v>
      </c>
      <c r="B36" s="601" t="str">
        <f t="shared" si="5"/>
        <v>adj. EBITDA margin</v>
      </c>
      <c r="C36" s="582"/>
      <c r="D36" s="591">
        <f>MODEL!$AR$155</f>
        <v>0.21538737830592083</v>
      </c>
      <c r="E36" s="583" t="e">
        <f ca="1">E35/E23</f>
        <v>#NAME?</v>
      </c>
      <c r="F36" s="584" t="e">
        <f t="shared" ref="F36" ca="1" si="16">(D36-E36)*10000</f>
        <v>#NAME?</v>
      </c>
      <c r="G36" s="591">
        <f>MODEL!$AT$155</f>
        <v>0.19987564003620475</v>
      </c>
      <c r="H36" s="583" t="e">
        <f ca="1">H35/H23</f>
        <v>#NAME?</v>
      </c>
      <c r="I36" s="584" t="e">
        <f t="shared" ref="I36" ca="1" si="17">(G36-H36)*10000</f>
        <v>#NAME?</v>
      </c>
      <c r="J36" s="591">
        <f>MODEL!$AU$155</f>
        <v>0.205601783447768</v>
      </c>
      <c r="K36" s="583" t="e">
        <f ca="1">K35/K23</f>
        <v>#NAME?</v>
      </c>
      <c r="L36" s="584" t="e">
        <f t="shared" ref="L36" ca="1" si="18">(J36-K36)*10000</f>
        <v>#NAME?</v>
      </c>
      <c r="M36" s="591">
        <f>MODEL!$AV$155</f>
        <v>0.21271686982181787</v>
      </c>
      <c r="N36" s="583" t="e">
        <f ca="1">N35/N23</f>
        <v>#NAME?</v>
      </c>
      <c r="O36" s="584" t="e">
        <f t="shared" ref="O36" ca="1" si="19">(M36-N36)*10000</f>
        <v>#NAME?</v>
      </c>
      <c r="P36" s="591">
        <f>MODEL!$AW$155</f>
        <v>0.21997595540077722</v>
      </c>
      <c r="Q36" s="583">
        <f>Q35/Q23</f>
        <v>0.21610823952536068</v>
      </c>
      <c r="R36" s="584">
        <f t="shared" ref="R36" si="20">(P36-Q36)*10000</f>
        <v>38.677158754165383</v>
      </c>
    </row>
    <row r="37" spans="1:18" x14ac:dyDescent="0.45">
      <c r="A37" s="580"/>
      <c r="P37" s="453">
        <f>P36*P34</f>
        <v>4.3995191080155482</v>
      </c>
    </row>
    <row r="38" spans="1:18" x14ac:dyDescent="0.45">
      <c r="P38" s="552" t="e">
        <f ca="1">P37/H35-1</f>
        <v>#NAME?</v>
      </c>
    </row>
    <row r="42" spans="1:18" ht="15.75" customHeight="1" x14ac:dyDescent="0.45">
      <c r="B42" s="432" t="s">
        <v>289</v>
      </c>
      <c r="C42" s="479" t="s">
        <v>447</v>
      </c>
      <c r="D42" s="604" t="s">
        <v>476</v>
      </c>
      <c r="E42" s="606" t="s">
        <v>559</v>
      </c>
      <c r="F42" s="607"/>
      <c r="G42" s="608"/>
      <c r="H42" s="486"/>
    </row>
    <row r="43" spans="1:18" x14ac:dyDescent="0.45">
      <c r="B43" s="434" t="s">
        <v>454</v>
      </c>
      <c r="C43" s="478"/>
      <c r="D43" s="605"/>
      <c r="E43" s="491" t="s">
        <v>291</v>
      </c>
      <c r="F43" s="491" t="s">
        <v>239</v>
      </c>
      <c r="G43" s="492" t="s">
        <v>449</v>
      </c>
    </row>
    <row r="44" spans="1:18" x14ac:dyDescent="0.45">
      <c r="B44" s="439" t="str">
        <f t="shared" ref="B44:B57" si="21">B23</f>
        <v>Net Sales</v>
      </c>
      <c r="D44" s="490" t="e">
        <f ca="1">IF(E44&gt;G44,"Beat", "Miss")</f>
        <v>#NAME?</v>
      </c>
      <c r="E44" s="493"/>
      <c r="F44" s="449">
        <f>D23</f>
        <v>917.05863454000666</v>
      </c>
      <c r="G44" s="490" t="e">
        <f ca="1">E23</f>
        <v>#NAME?</v>
      </c>
    </row>
    <row r="45" spans="1:18" x14ac:dyDescent="0.45">
      <c r="B45" s="477" t="str">
        <f t="shared" si="21"/>
        <v>-∆ yoy %</v>
      </c>
      <c r="C45" s="439"/>
      <c r="D45" s="490" t="e">
        <f ca="1">IF(E45&gt;G45,"Beat", "Miss")</f>
        <v>#NAME?</v>
      </c>
      <c r="E45" s="480"/>
      <c r="F45" s="450">
        <f t="shared" ref="F45:F46" si="22">D24</f>
        <v>0.15440412202921228</v>
      </c>
      <c r="G45" s="484" t="e">
        <f ca="1">E24</f>
        <v>#NAME?</v>
      </c>
    </row>
    <row r="46" spans="1:18" x14ac:dyDescent="0.45">
      <c r="B46" s="477" t="str">
        <f t="shared" si="21"/>
        <v>-∆ cFX yoy %</v>
      </c>
      <c r="C46" s="439"/>
      <c r="D46" s="490" t="e">
        <f ca="1">IF(E46&gt;G46,"Beat", "Miss")</f>
        <v>#NAME?</v>
      </c>
      <c r="E46" s="480"/>
      <c r="F46" s="450">
        <f t="shared" si="22"/>
        <v>0.17003398791540783</v>
      </c>
      <c r="G46" s="484" t="e">
        <f ca="1">E25</f>
        <v>#NAME?</v>
      </c>
    </row>
    <row r="47" spans="1:18" x14ac:dyDescent="0.45">
      <c r="B47" s="439" t="str">
        <f t="shared" si="21"/>
        <v>By Channel</v>
      </c>
      <c r="C47" s="439"/>
      <c r="D47" s="490"/>
      <c r="E47" s="480"/>
      <c r="F47" s="450"/>
      <c r="G47" s="484"/>
    </row>
    <row r="48" spans="1:18" x14ac:dyDescent="0.45">
      <c r="B48" s="477" t="str">
        <f t="shared" si="21"/>
        <v>-Wholesale</v>
      </c>
      <c r="C48" s="439"/>
      <c r="D48" s="490" t="e">
        <f ca="1">IF(E48&gt;G48,"Beat", "Miss")</f>
        <v>#NAME?</v>
      </c>
      <c r="E48" s="504"/>
      <c r="F48" s="494">
        <f>D27</f>
        <v>8.2262566884286015E-2</v>
      </c>
      <c r="G48" s="495" t="e">
        <f ca="1">E27</f>
        <v>#NAME?</v>
      </c>
    </row>
    <row r="49" spans="2:10" x14ac:dyDescent="0.45">
      <c r="B49" s="477" t="str">
        <f t="shared" si="21"/>
        <v>-DTC</v>
      </c>
      <c r="C49" s="439"/>
      <c r="D49" s="490" t="e">
        <f ca="1">IF(E49&gt;G49,"Beat", "Miss")</f>
        <v>#NAME?</v>
      </c>
      <c r="E49" s="504"/>
      <c r="F49" s="494">
        <f>D28</f>
        <v>0.2643701341138045</v>
      </c>
      <c r="G49" s="495" t="e">
        <f ca="1">E28</f>
        <v>#NAME?</v>
      </c>
    </row>
    <row r="50" spans="2:10" x14ac:dyDescent="0.45">
      <c r="B50" s="440" t="str">
        <f t="shared" si="21"/>
        <v>By Region</v>
      </c>
      <c r="D50" s="484"/>
      <c r="E50" s="481"/>
      <c r="F50" s="458"/>
      <c r="G50" s="485"/>
    </row>
    <row r="51" spans="2:10" x14ac:dyDescent="0.45">
      <c r="B51" s="454" t="str">
        <f t="shared" si="21"/>
        <v>-EMEA cFX</v>
      </c>
      <c r="D51" s="490" t="e">
        <f t="shared" ref="D51:D57" ca="1" si="23">IF(E51&gt;G51,"Beat", "Miss")</f>
        <v>#NAME?</v>
      </c>
      <c r="E51" s="481"/>
      <c r="F51" s="458">
        <f t="shared" ref="F51:F57" si="24">D30</f>
        <v>0.13</v>
      </c>
      <c r="G51" s="485" t="e">
        <f t="shared" ref="G51:G57" ca="1" si="25">E30</f>
        <v>#NAME?</v>
      </c>
      <c r="J51" s="483"/>
    </row>
    <row r="52" spans="2:10" x14ac:dyDescent="0.45">
      <c r="B52" s="454" t="str">
        <f t="shared" si="21"/>
        <v>-Americas cFX</v>
      </c>
      <c r="D52" s="490" t="e">
        <f t="shared" ca="1" si="23"/>
        <v>#NAME?</v>
      </c>
      <c r="E52" s="481"/>
      <c r="F52" s="458">
        <f t="shared" si="24"/>
        <v>0.08</v>
      </c>
      <c r="G52" s="485" t="e">
        <f t="shared" ca="1" si="25"/>
        <v>#NAME?</v>
      </c>
    </row>
    <row r="53" spans="2:10" x14ac:dyDescent="0.45">
      <c r="B53" s="454" t="str">
        <f t="shared" si="21"/>
        <v>-APAC cFX</v>
      </c>
      <c r="D53" s="490" t="e">
        <f t="shared" ca="1" si="23"/>
        <v>#NAME?</v>
      </c>
      <c r="E53" s="481"/>
      <c r="F53" s="458">
        <f t="shared" si="24"/>
        <v>0.5</v>
      </c>
      <c r="G53" s="485" t="e">
        <f t="shared" ca="1" si="25"/>
        <v>#NAME?</v>
      </c>
    </row>
    <row r="54" spans="2:10" x14ac:dyDescent="0.45">
      <c r="B54" s="439" t="str">
        <f t="shared" si="21"/>
        <v>Gross Margin</v>
      </c>
      <c r="C54" s="439"/>
      <c r="D54" s="490" t="e">
        <f t="shared" ca="1" si="23"/>
        <v>#NAME?</v>
      </c>
      <c r="E54" s="480"/>
      <c r="F54" s="450">
        <f t="shared" si="24"/>
        <v>0.65</v>
      </c>
      <c r="G54" s="484" t="e">
        <f t="shared" ca="1" si="25"/>
        <v>#NAME?</v>
      </c>
    </row>
    <row r="55" spans="2:10" x14ac:dyDescent="0.45">
      <c r="B55" s="454" t="str">
        <f t="shared" si="21"/>
        <v>-∆ bps</v>
      </c>
      <c r="C55" s="439"/>
      <c r="D55" s="490" t="e">
        <f t="shared" ca="1" si="23"/>
        <v>#NAME?</v>
      </c>
      <c r="E55" s="448"/>
      <c r="F55" s="548">
        <f t="shared" si="24"/>
        <v>-73.514602215506429</v>
      </c>
      <c r="G55" s="549" t="e">
        <f ca="1">E34</f>
        <v>#NAME?</v>
      </c>
    </row>
    <row r="56" spans="2:10" x14ac:dyDescent="0.45">
      <c r="B56" s="440" t="str">
        <f t="shared" si="21"/>
        <v>adj. EBITDA</v>
      </c>
      <c r="D56" s="490" t="e">
        <f t="shared" ca="1" si="23"/>
        <v>#NAME?</v>
      </c>
      <c r="E56" s="482"/>
      <c r="F56" s="550">
        <f t="shared" si="24"/>
        <v>197.52285504637962</v>
      </c>
      <c r="G56" s="551" t="e">
        <f t="shared" ca="1" si="25"/>
        <v>#NAME?</v>
      </c>
    </row>
    <row r="57" spans="2:10" x14ac:dyDescent="0.45">
      <c r="B57" s="440" t="str">
        <f t="shared" si="21"/>
        <v>adj. EBITDA margin</v>
      </c>
      <c r="D57" s="490" t="e">
        <f t="shared" ca="1" si="23"/>
        <v>#NAME?</v>
      </c>
      <c r="E57" s="489"/>
      <c r="F57" s="487">
        <f t="shared" si="24"/>
        <v>0.21538737830592083</v>
      </c>
      <c r="G57" s="488" t="e">
        <f t="shared" ca="1" si="25"/>
        <v>#NAME?</v>
      </c>
    </row>
  </sheetData>
  <mergeCells count="9">
    <mergeCell ref="D3:E3"/>
    <mergeCell ref="F3:F4"/>
    <mergeCell ref="G21:H21"/>
    <mergeCell ref="M21:N21"/>
    <mergeCell ref="P21:Q21"/>
    <mergeCell ref="J21:K21"/>
    <mergeCell ref="D21:E21"/>
    <mergeCell ref="D42:D43"/>
    <mergeCell ref="E42:G42"/>
  </mergeCells>
  <printOptions horizontalCentered="1" verticalCentered="1"/>
  <pageMargins left="0.7" right="0.7" top="0.75" bottom="0.75" header="0.3" footer="0.3"/>
  <pageSetup paperSize="9" scale="44" orientation="portrait" r:id="rId1"/>
  <customProperties>
    <customPr name="Qube.Worksheet.Visibility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U10"/>
  <sheetViews>
    <sheetView workbookViewId="0">
      <pane xSplit="6" ySplit="2" topLeftCell="AI3" activePane="bottomRight" state="frozen"/>
      <selection pane="topRight" activeCell="G1" sqref="G1"/>
      <selection pane="bottomLeft" activeCell="A3" sqref="A3"/>
      <selection pane="bottomRight" activeCell="AM10" sqref="AM10"/>
    </sheetView>
  </sheetViews>
  <sheetFormatPr defaultColWidth="9" defaultRowHeight="13.15" x14ac:dyDescent="0.4"/>
  <cols>
    <col min="1" max="1" width="9" style="7"/>
    <col min="2" max="2" width="18.25" style="7" bestFit="1" customWidth="1"/>
    <col min="3" max="6" width="0" style="7" hidden="1" customWidth="1"/>
    <col min="7" max="16384" width="9" style="7"/>
  </cols>
  <sheetData>
    <row r="2" spans="2:47" x14ac:dyDescent="0.4">
      <c r="B2" s="4" t="s">
        <v>155</v>
      </c>
      <c r="C2" s="5" t="s">
        <v>8</v>
      </c>
      <c r="D2" s="5" t="s">
        <v>9</v>
      </c>
      <c r="E2" s="5" t="s">
        <v>10</v>
      </c>
      <c r="F2" s="5" t="s">
        <v>11</v>
      </c>
      <c r="G2" s="6" t="s">
        <v>147</v>
      </c>
      <c r="H2" s="5" t="s">
        <v>12</v>
      </c>
      <c r="I2" s="5" t="s">
        <v>13</v>
      </c>
      <c r="J2" s="5" t="s">
        <v>14</v>
      </c>
      <c r="K2" s="5" t="s">
        <v>15</v>
      </c>
      <c r="L2" s="6" t="s">
        <v>148</v>
      </c>
      <c r="M2" s="5" t="s">
        <v>342</v>
      </c>
      <c r="N2" s="5" t="s">
        <v>343</v>
      </c>
      <c r="O2" s="5" t="s">
        <v>341</v>
      </c>
      <c r="P2" s="5" t="s">
        <v>365</v>
      </c>
      <c r="Q2" s="6">
        <f>Valuation!C48</f>
        <v>2021</v>
      </c>
      <c r="R2" s="5" t="s">
        <v>367</v>
      </c>
      <c r="S2" s="5" t="s">
        <v>368</v>
      </c>
      <c r="T2" s="5" t="s">
        <v>436</v>
      </c>
      <c r="U2" s="5" t="s">
        <v>162</v>
      </c>
      <c r="V2" s="6">
        <f>Valuation!D48</f>
        <v>2022</v>
      </c>
      <c r="W2" s="5" t="s">
        <v>471</v>
      </c>
      <c r="X2" s="5" t="s">
        <v>473</v>
      </c>
      <c r="Y2" s="5" t="s">
        <v>475</v>
      </c>
      <c r="Z2" s="5" t="s">
        <v>465</v>
      </c>
      <c r="AA2" s="5">
        <f>Valuation!E48</f>
        <v>2023</v>
      </c>
      <c r="AB2" s="5" t="s">
        <v>486</v>
      </c>
      <c r="AC2" s="5" t="s">
        <v>485</v>
      </c>
      <c r="AD2" s="5" t="s">
        <v>537</v>
      </c>
      <c r="AE2" s="5" t="s">
        <v>538</v>
      </c>
      <c r="AF2" s="5">
        <f>Valuation!F48</f>
        <v>2024</v>
      </c>
      <c r="AG2" s="5" t="s">
        <v>550</v>
      </c>
      <c r="AH2" s="5" t="s">
        <v>551</v>
      </c>
      <c r="AI2" s="5" t="s">
        <v>552</v>
      </c>
      <c r="AJ2" s="5" t="s">
        <v>545</v>
      </c>
      <c r="AK2" s="5">
        <f>Valuation!G48</f>
        <v>2025</v>
      </c>
      <c r="AL2" s="5" t="s">
        <v>559</v>
      </c>
      <c r="AM2" s="5" t="s">
        <v>560</v>
      </c>
      <c r="AN2" s="5" t="s">
        <v>553</v>
      </c>
      <c r="AO2" s="5" t="s">
        <v>554</v>
      </c>
      <c r="AP2" s="5" t="str">
        <f>Valuation!H48</f>
        <v>2026E</v>
      </c>
      <c r="AQ2" s="5" t="str">
        <f>Valuation!I48</f>
        <v>2027E</v>
      </c>
      <c r="AR2" s="5" t="str">
        <f>Valuation!J48</f>
        <v>2028E</v>
      </c>
      <c r="AS2" s="5" t="str">
        <f>Valuation!K48</f>
        <v>2029E</v>
      </c>
      <c r="AT2" s="5" t="str">
        <f>Valuation!L48</f>
        <v>2030E</v>
      </c>
      <c r="AU2" s="5" t="str">
        <f>Valuation!M48</f>
        <v>2031E</v>
      </c>
    </row>
    <row r="3" spans="2:47" x14ac:dyDescent="0.4">
      <c r="B3" s="7" t="s">
        <v>179</v>
      </c>
    </row>
    <row r="4" spans="2:47" x14ac:dyDescent="0.4">
      <c r="B4" s="7" t="s">
        <v>180</v>
      </c>
      <c r="G4" s="7">
        <v>1.0065</v>
      </c>
      <c r="H4" s="7">
        <v>1.0331999999999999</v>
      </c>
      <c r="I4" s="7">
        <v>1.038</v>
      </c>
      <c r="J4" s="7">
        <v>1.0872999999999999</v>
      </c>
      <c r="K4" s="7">
        <v>1.1071</v>
      </c>
      <c r="L4" s="7">
        <v>1.0137</v>
      </c>
      <c r="M4" s="7">
        <v>1.1040000000000001</v>
      </c>
      <c r="N4" s="7">
        <v>1.0976999999999999</v>
      </c>
      <c r="O4" s="7">
        <v>1.1062000000000001</v>
      </c>
      <c r="P4" s="7">
        <v>1.0538000000000001</v>
      </c>
      <c r="Q4" s="7">
        <f>AVERAGE(M4:P4)</f>
        <v>1.090425</v>
      </c>
      <c r="R4" s="7">
        <v>1.038</v>
      </c>
      <c r="S4" s="7">
        <v>1.0269999999999999</v>
      </c>
      <c r="T4" s="7">
        <v>1.0278</v>
      </c>
      <c r="U4" s="7">
        <v>1.0169999999999999</v>
      </c>
      <c r="V4" s="7">
        <f>AVERAGE(R4:U4)</f>
        <v>1.02745</v>
      </c>
      <c r="W4" s="7">
        <v>1</v>
      </c>
      <c r="X4" s="7">
        <v>1.022</v>
      </c>
      <c r="Y4" s="7">
        <v>1.0449999999999999</v>
      </c>
      <c r="Z4" s="7">
        <v>1.03</v>
      </c>
      <c r="AA4" s="7">
        <f>AVERAGE(W4:Z4)</f>
        <v>1.0242500000000001</v>
      </c>
      <c r="AB4" s="7">
        <v>1.0269999999999999</v>
      </c>
      <c r="AC4" s="7">
        <v>1.0549999999999999</v>
      </c>
      <c r="AD4" s="7">
        <v>1.0509999999999999</v>
      </c>
      <c r="AE4" s="7">
        <v>1.0684</v>
      </c>
      <c r="AF4" s="7">
        <f>AVERAGE(AB4:AE4)</f>
        <v>1.0503499999999999</v>
      </c>
      <c r="AG4" s="7">
        <v>1.0609999999999999</v>
      </c>
      <c r="AH4" s="7">
        <v>1.0680000000000001</v>
      </c>
      <c r="AI4" s="7">
        <v>1.0693999999999999</v>
      </c>
      <c r="AJ4" s="7">
        <v>1.075</v>
      </c>
      <c r="AK4" s="7">
        <f>AVERAGE(AG4:AJ4)</f>
        <v>1.0683499999999999</v>
      </c>
      <c r="AL4" s="7">
        <v>1.0905</v>
      </c>
      <c r="AM4" s="7">
        <v>1.0882000000000001</v>
      </c>
      <c r="AN4" s="7">
        <v>1.0708</v>
      </c>
      <c r="AO4" s="7">
        <v>1.0627</v>
      </c>
      <c r="AP4" s="7">
        <f>AVERAGE(AL4:AO4)</f>
        <v>1.0780500000000002</v>
      </c>
      <c r="AQ4" s="7">
        <f>AO4</f>
        <v>1.0627</v>
      </c>
      <c r="AR4" s="7">
        <f t="shared" ref="AR4:AU4" si="0">AQ4</f>
        <v>1.0627</v>
      </c>
      <c r="AS4" s="7">
        <f t="shared" si="0"/>
        <v>1.0627</v>
      </c>
      <c r="AT4" s="7">
        <f t="shared" si="0"/>
        <v>1.0627</v>
      </c>
      <c r="AU4" s="7">
        <f t="shared" si="0"/>
        <v>1.0627</v>
      </c>
    </row>
    <row r="5" spans="2:47" x14ac:dyDescent="0.4">
      <c r="B5" s="7" t="s">
        <v>437</v>
      </c>
      <c r="G5" s="7">
        <v>1.0065</v>
      </c>
      <c r="H5" s="7">
        <v>1.0331999999999999</v>
      </c>
      <c r="I5" s="7">
        <v>1.038</v>
      </c>
      <c r="J5" s="7">
        <v>1.0872999999999999</v>
      </c>
      <c r="K5" s="7">
        <v>1.1071</v>
      </c>
      <c r="L5" s="7">
        <f>AVERAGE(H5:K5)</f>
        <v>1.0664</v>
      </c>
      <c r="M5" s="7">
        <v>1.1052999999999999</v>
      </c>
      <c r="N5" s="7">
        <v>1.0980000000000001</v>
      </c>
      <c r="O5" s="7">
        <v>1.0891</v>
      </c>
      <c r="P5" s="7">
        <v>1.0847</v>
      </c>
      <c r="Q5" s="7">
        <f>AVERAGE(M5:P5)</f>
        <v>1.0942749999999999</v>
      </c>
      <c r="R5" s="7">
        <v>1.0824</v>
      </c>
      <c r="S5" s="7">
        <v>1.0364</v>
      </c>
      <c r="T5" s="7">
        <v>1.0344</v>
      </c>
      <c r="U5" s="7">
        <v>1.0389999999999999</v>
      </c>
      <c r="V5" s="7">
        <f t="shared" ref="V5:V6" si="1">AVERAGE(R5:U5)</f>
        <v>1.0480499999999999</v>
      </c>
      <c r="W5" s="7">
        <v>1.0826</v>
      </c>
      <c r="X5" s="7">
        <v>1.113</v>
      </c>
      <c r="Y5" s="7">
        <v>1.137</v>
      </c>
      <c r="Z5" s="7">
        <v>1.1200000000000001</v>
      </c>
      <c r="AA5" s="7">
        <f t="shared" ref="AA5:AA6" si="2">AVERAGE(W5:Z5)</f>
        <v>1.1131500000000001</v>
      </c>
      <c r="AB5" s="7">
        <v>1.1057999999999999</v>
      </c>
      <c r="AC5" s="7">
        <v>1.1499999999999999</v>
      </c>
      <c r="AD5" s="7">
        <v>1.1553</v>
      </c>
      <c r="AE5" s="7">
        <v>1.139</v>
      </c>
      <c r="AF5" s="7">
        <f>AVERAGE(AB5:AE5)</f>
        <v>1.1375249999999999</v>
      </c>
      <c r="AG5" s="7">
        <v>1.115</v>
      </c>
      <c r="AH5" s="7">
        <v>1.212</v>
      </c>
      <c r="AI5" s="7">
        <v>1.25</v>
      </c>
      <c r="AJ5" s="7">
        <v>1.2509999999999999</v>
      </c>
      <c r="AK5" s="7">
        <f t="shared" ref="AK5:AK6" si="3">AVERAGE(AG5:AJ5)</f>
        <v>1.2069999999999999</v>
      </c>
      <c r="AL5" s="7">
        <v>1.2769999999999999</v>
      </c>
      <c r="AM5" s="7">
        <v>1.2652000000000001</v>
      </c>
      <c r="AN5" s="7">
        <v>1.2639</v>
      </c>
      <c r="AO5" s="7">
        <v>1.2083999999999999</v>
      </c>
      <c r="AP5" s="7">
        <f t="shared" ref="AP5:AP6" si="4">AVERAGE(AL5:AO5)</f>
        <v>1.253625</v>
      </c>
      <c r="AQ5" s="7">
        <f t="shared" ref="AQ5:AQ6" si="5">AO5</f>
        <v>1.2083999999999999</v>
      </c>
      <c r="AR5" s="7">
        <f t="shared" ref="AR5:AU6" si="6">AQ5</f>
        <v>1.2083999999999999</v>
      </c>
      <c r="AS5" s="7">
        <f t="shared" si="6"/>
        <v>1.2083999999999999</v>
      </c>
      <c r="AT5" s="7">
        <f t="shared" si="6"/>
        <v>1.2083999999999999</v>
      </c>
      <c r="AU5" s="7">
        <f t="shared" si="6"/>
        <v>1.2083999999999999</v>
      </c>
    </row>
    <row r="6" spans="2:47" x14ac:dyDescent="0.4">
      <c r="B6" s="7" t="s">
        <v>438</v>
      </c>
      <c r="G6" s="7">
        <v>6.76</v>
      </c>
      <c r="H6" s="7">
        <v>7.2220000000000004</v>
      </c>
      <c r="I6" s="7">
        <v>7.36</v>
      </c>
      <c r="J6" s="7">
        <v>7.52</v>
      </c>
      <c r="K6" s="7">
        <v>7.3150000000000004</v>
      </c>
      <c r="L6" s="7">
        <f>AVERAGE(H6:K6)</f>
        <v>7.3542500000000004</v>
      </c>
      <c r="M6" s="7">
        <v>7.1559999999999997</v>
      </c>
      <c r="N6" s="7">
        <v>7.0880000000000001</v>
      </c>
      <c r="O6" s="7">
        <v>7.0449999999999999</v>
      </c>
      <c r="P6" s="7">
        <v>6.9356</v>
      </c>
      <c r="Q6" s="7">
        <f>AVERAGE(M6:P6)</f>
        <v>7.0561500000000006</v>
      </c>
      <c r="R6" s="7">
        <v>6.8784999999999998</v>
      </c>
      <c r="S6" s="7">
        <v>6.8672000000000004</v>
      </c>
      <c r="T6" s="7">
        <v>7.0978000000000003</v>
      </c>
      <c r="U6" s="7">
        <v>7.39</v>
      </c>
      <c r="V6" s="7">
        <f t="shared" si="1"/>
        <v>7.0583749999999998</v>
      </c>
      <c r="W6" s="7">
        <v>7.44</v>
      </c>
      <c r="X6" s="7">
        <v>7.8150000000000004</v>
      </c>
      <c r="Y6" s="7">
        <v>8.3379999999999992</v>
      </c>
      <c r="Z6" s="7">
        <v>8.1300000000000008</v>
      </c>
      <c r="AA6" s="7">
        <f t="shared" si="2"/>
        <v>7.9307499999999997</v>
      </c>
      <c r="AB6" s="7">
        <v>8.0229999999999997</v>
      </c>
      <c r="AC6" s="7">
        <v>8.27</v>
      </c>
      <c r="AD6" s="7">
        <v>8.2727000000000004</v>
      </c>
      <c r="AE6" s="7">
        <v>8.1880000000000006</v>
      </c>
      <c r="AF6" s="7">
        <f>AVERAGE(AB6:AE6)</f>
        <v>8.1884250000000005</v>
      </c>
      <c r="AG6" s="553">
        <v>8.1236999999999995</v>
      </c>
      <c r="AH6" s="7">
        <v>8.7639999999999993</v>
      </c>
      <c r="AI6" s="7">
        <v>8.9459999999999997</v>
      </c>
      <c r="AJ6" s="7">
        <v>8.8699999999999992</v>
      </c>
      <c r="AK6" s="553">
        <f t="shared" si="3"/>
        <v>8.6759249999999994</v>
      </c>
      <c r="AL6" s="7">
        <v>8.8390000000000004</v>
      </c>
      <c r="AM6" s="7">
        <v>8.6137999999999995</v>
      </c>
      <c r="AN6" s="7">
        <v>8.3170000000000002</v>
      </c>
      <c r="AO6" s="7">
        <v>8.1156000000000006</v>
      </c>
      <c r="AP6" s="553">
        <f t="shared" si="4"/>
        <v>8.471350000000001</v>
      </c>
      <c r="AQ6" s="7">
        <f t="shared" si="5"/>
        <v>8.1156000000000006</v>
      </c>
      <c r="AR6" s="7">
        <f t="shared" si="6"/>
        <v>8.1156000000000006</v>
      </c>
      <c r="AS6" s="7">
        <f t="shared" si="6"/>
        <v>8.1156000000000006</v>
      </c>
      <c r="AT6" s="7">
        <f t="shared" si="6"/>
        <v>8.1156000000000006</v>
      </c>
      <c r="AU6" s="7">
        <f t="shared" si="6"/>
        <v>8.1156000000000006</v>
      </c>
    </row>
    <row r="7" spans="2:47" x14ac:dyDescent="0.4">
      <c r="AN7" s="7" t="s">
        <v>561</v>
      </c>
    </row>
    <row r="8" spans="2:47" x14ac:dyDescent="0.4">
      <c r="B8" s="7" t="s">
        <v>233</v>
      </c>
      <c r="L8" s="8">
        <f>G4/L4-1</f>
        <v>-7.1026931044688713E-3</v>
      </c>
      <c r="M8" s="8">
        <f t="shared" ref="M8:V8" si="7">H4/M4-1</f>
        <v>-6.4130434782608825E-2</v>
      </c>
      <c r="N8" s="8">
        <f t="shared" si="7"/>
        <v>-5.4386444383711319E-2</v>
      </c>
      <c r="O8" s="8">
        <f t="shared" si="7"/>
        <v>-1.7085517989513743E-2</v>
      </c>
      <c r="P8" s="8">
        <f t="shared" si="7"/>
        <v>5.0578857468210225E-2</v>
      </c>
      <c r="Q8" s="8">
        <f t="shared" si="7"/>
        <v>-7.036247334754786E-2</v>
      </c>
      <c r="R8" s="8">
        <f t="shared" si="7"/>
        <v>6.3583815028901869E-2</v>
      </c>
      <c r="S8" s="8">
        <f t="shared" si="7"/>
        <v>6.8841285296981525E-2</v>
      </c>
      <c r="T8" s="8">
        <f t="shared" si="7"/>
        <v>7.627943179606933E-2</v>
      </c>
      <c r="U8" s="8">
        <f t="shared" si="7"/>
        <v>3.6184857423795735E-2</v>
      </c>
      <c r="V8" s="8">
        <f t="shared" si="7"/>
        <v>6.1292520317290489E-2</v>
      </c>
      <c r="W8" s="8">
        <f t="shared" ref="W8:W10" si="8">R4/W4-1</f>
        <v>3.8000000000000034E-2</v>
      </c>
      <c r="X8" s="8">
        <f t="shared" ref="X8:X10" si="9">S4/X4-1</f>
        <v>4.8923679060663972E-3</v>
      </c>
      <c r="Y8" s="8">
        <f t="shared" ref="Y8:Y10" si="10">T4/Y4-1</f>
        <v>-1.6459330143540507E-2</v>
      </c>
      <c r="Z8" s="8">
        <f t="shared" ref="Z8:Z10" si="11">U4/Z4-1</f>
        <v>-1.2621359223301098E-2</v>
      </c>
      <c r="AA8" s="8">
        <f>V4/AA4-1</f>
        <v>3.1242372467656931E-3</v>
      </c>
      <c r="AB8" s="8">
        <f t="shared" ref="AB8:AB10" si="12">W4/AB4-1</f>
        <v>-2.6290165530671761E-2</v>
      </c>
      <c r="AC8" s="8">
        <f t="shared" ref="AC8:AC10" si="13">X4/AC4-1</f>
        <v>-3.1279620853080448E-2</v>
      </c>
      <c r="AD8" s="8">
        <f t="shared" ref="AD8:AD10" si="14">Y4/AD4-1</f>
        <v>-5.7088487155090295E-3</v>
      </c>
      <c r="AE8" s="8">
        <f t="shared" ref="AE8:AE10" si="15">Z4/AE4-1</f>
        <v>-3.5941594908274088E-2</v>
      </c>
      <c r="AF8" s="8">
        <f>AA4/AF4-1</f>
        <v>-2.4848859903841336E-2</v>
      </c>
      <c r="AG8" s="8">
        <f t="shared" ref="AG8:AJ8" si="16">AB4/AG4-1</f>
        <v>-3.2045240339302561E-2</v>
      </c>
      <c r="AH8" s="8">
        <f t="shared" si="16"/>
        <v>-1.2172284644194842E-2</v>
      </c>
      <c r="AI8" s="8">
        <f t="shared" si="16"/>
        <v>-1.7205909855994017E-2</v>
      </c>
      <c r="AJ8" s="8">
        <f t="shared" si="16"/>
        <v>-6.1395348837208763E-3</v>
      </c>
      <c r="AK8" s="8">
        <f>AF4/AK4-1</f>
        <v>-1.684841110123092E-2</v>
      </c>
      <c r="AL8" s="8">
        <f t="shared" ref="AL8:AN8" si="17">AG4/AL4-1</f>
        <v>-2.705181109582766E-2</v>
      </c>
      <c r="AM8" s="8">
        <f t="shared" si="17"/>
        <v>-1.8562764197757708E-2</v>
      </c>
      <c r="AN8" s="8">
        <f t="shared" si="17"/>
        <v>-1.3074336944340903E-3</v>
      </c>
      <c r="AO8" s="8">
        <f>AJ4/AO4-1</f>
        <v>1.1574291897995748E-2</v>
      </c>
      <c r="AP8" s="8">
        <f>AK4/AP4-1</f>
        <v>-8.997727378136644E-3</v>
      </c>
      <c r="AQ8" s="8">
        <f t="shared" ref="AQ8:AU8" si="18">AP4/AQ4-1</f>
        <v>1.444433988896221E-2</v>
      </c>
      <c r="AR8" s="8">
        <f t="shared" si="18"/>
        <v>0</v>
      </c>
      <c r="AS8" s="8">
        <f t="shared" si="18"/>
        <v>0</v>
      </c>
      <c r="AT8" s="8">
        <f t="shared" si="18"/>
        <v>0</v>
      </c>
      <c r="AU8" s="8">
        <f t="shared" si="18"/>
        <v>0</v>
      </c>
    </row>
    <row r="9" spans="2:47" x14ac:dyDescent="0.4">
      <c r="B9" s="7" t="s">
        <v>439</v>
      </c>
      <c r="L9" s="8">
        <f>G5/L5-1</f>
        <v>-5.6170292573143321E-2</v>
      </c>
      <c r="M9" s="8">
        <f t="shared" ref="M9:Q9" si="19">H5/M5-1</f>
        <v>-6.5231158961367997E-2</v>
      </c>
      <c r="N9" s="8">
        <f t="shared" si="19"/>
        <v>-5.464480874316946E-2</v>
      </c>
      <c r="O9" s="8">
        <f t="shared" si="19"/>
        <v>-1.6527407951519857E-3</v>
      </c>
      <c r="P9" s="8">
        <f t="shared" si="19"/>
        <v>2.0650871208629074E-2</v>
      </c>
      <c r="Q9" s="8">
        <f t="shared" si="19"/>
        <v>-2.5473487011948404E-2</v>
      </c>
      <c r="R9" s="8">
        <f t="shared" ref="R9:R10" si="20">M5/R5-1</f>
        <v>2.1156688839615523E-2</v>
      </c>
      <c r="S9" s="8">
        <f t="shared" ref="S9:S10" si="21">N5/S5-1</f>
        <v>5.9436510999614223E-2</v>
      </c>
      <c r="T9" s="8">
        <f t="shared" ref="T9:T10" si="22">O5/T5-1</f>
        <v>5.2880897138437799E-2</v>
      </c>
      <c r="U9" s="8">
        <f t="shared" ref="U9:U10" si="23">P5/U5-1</f>
        <v>4.3984600577478439E-2</v>
      </c>
      <c r="V9" s="8">
        <f>Q5/V5-1</f>
        <v>4.4105720146939476E-2</v>
      </c>
      <c r="W9" s="8">
        <f t="shared" si="8"/>
        <v>-1.8474043968219611E-4</v>
      </c>
      <c r="X9" s="8">
        <f t="shared" si="9"/>
        <v>-6.8823000898472597E-2</v>
      </c>
      <c r="Y9" s="8">
        <f t="shared" si="10"/>
        <v>-9.0237467018469686E-2</v>
      </c>
      <c r="Z9" s="8">
        <f t="shared" si="11"/>
        <v>-7.2321428571428759E-2</v>
      </c>
      <c r="AA9" s="8">
        <f>V5/AA5-1</f>
        <v>-5.8482684274356656E-2</v>
      </c>
      <c r="AB9" s="8">
        <f t="shared" si="12"/>
        <v>-2.0980285765961226E-2</v>
      </c>
      <c r="AC9" s="8">
        <f t="shared" si="13"/>
        <v>-3.2173913043478164E-2</v>
      </c>
      <c r="AD9" s="8">
        <f t="shared" si="14"/>
        <v>-1.5840041547649952E-2</v>
      </c>
      <c r="AE9" s="8">
        <f t="shared" si="15"/>
        <v>-1.668129938542573E-2</v>
      </c>
      <c r="AF9" s="8">
        <f>AA5/AF5-1</f>
        <v>-2.1428100481307943E-2</v>
      </c>
      <c r="AG9" s="8">
        <f t="shared" ref="AG9:AJ9" si="24">AB5/AG5-1</f>
        <v>-8.2511210762332698E-3</v>
      </c>
      <c r="AH9" s="8">
        <f t="shared" si="24"/>
        <v>-5.1155115511551164E-2</v>
      </c>
      <c r="AI9" s="8">
        <f t="shared" si="24"/>
        <v>-7.576000000000005E-2</v>
      </c>
      <c r="AJ9" s="8">
        <f t="shared" si="24"/>
        <v>-8.9528377298161432E-2</v>
      </c>
      <c r="AK9" s="8">
        <f>AF5/AK5-1</f>
        <v>-5.7560066280033073E-2</v>
      </c>
      <c r="AL9" s="8">
        <f t="shared" ref="AL9:AO9" si="25">AG5/AL5-1</f>
        <v>-0.12685982772122151</v>
      </c>
      <c r="AM9" s="8">
        <f t="shared" si="25"/>
        <v>-4.2048687954473696E-2</v>
      </c>
      <c r="AN9" s="8">
        <f t="shared" si="25"/>
        <v>-1.0997705514676825E-2</v>
      </c>
      <c r="AO9" s="8">
        <f t="shared" si="25"/>
        <v>3.5253227408142962E-2</v>
      </c>
      <c r="AP9" s="8">
        <f>AK5/AP5-1</f>
        <v>-3.7192142785920979E-2</v>
      </c>
      <c r="AQ9" s="8">
        <f t="shared" ref="AQ9:AU9" si="26">AP5/AQ5-1</f>
        <v>3.7425521350546331E-2</v>
      </c>
      <c r="AR9" s="8">
        <f t="shared" si="26"/>
        <v>0</v>
      </c>
      <c r="AS9" s="8">
        <f t="shared" si="26"/>
        <v>0</v>
      </c>
      <c r="AT9" s="8">
        <f t="shared" si="26"/>
        <v>0</v>
      </c>
      <c r="AU9" s="8">
        <f t="shared" si="26"/>
        <v>0</v>
      </c>
    </row>
    <row r="10" spans="2:47" x14ac:dyDescent="0.4">
      <c r="B10" s="7" t="s">
        <v>440</v>
      </c>
      <c r="L10" s="8">
        <f>G6/L6-1</f>
        <v>-8.0803616956181878E-2</v>
      </c>
      <c r="M10" s="8">
        <f t="shared" ref="M10:Q10" si="27">H6/M6-1</f>
        <v>9.2230296254891542E-3</v>
      </c>
      <c r="N10" s="8">
        <f t="shared" si="27"/>
        <v>3.8374717832957206E-2</v>
      </c>
      <c r="O10" s="8">
        <f t="shared" si="27"/>
        <v>6.7423704755145364E-2</v>
      </c>
      <c r="P10" s="8">
        <f t="shared" si="27"/>
        <v>5.4703270084780042E-2</v>
      </c>
      <c r="Q10" s="8">
        <f t="shared" si="27"/>
        <v>4.2246834321832738E-2</v>
      </c>
      <c r="R10" s="8">
        <f t="shared" si="20"/>
        <v>4.0343098059169913E-2</v>
      </c>
      <c r="S10" s="8">
        <f t="shared" si="21"/>
        <v>3.2152842497670031E-2</v>
      </c>
      <c r="T10" s="8">
        <f t="shared" si="22"/>
        <v>-7.4389247372426137E-3</v>
      </c>
      <c r="U10" s="8">
        <f t="shared" si="23"/>
        <v>-6.1488497970230038E-2</v>
      </c>
      <c r="V10" s="8">
        <f>Q6/V6-1</f>
        <v>-3.1522836346886685E-4</v>
      </c>
      <c r="W10" s="8">
        <f t="shared" si="8"/>
        <v>-7.5470430107526965E-2</v>
      </c>
      <c r="X10" s="8">
        <f t="shared" si="9"/>
        <v>-0.1212795905310301</v>
      </c>
      <c r="Y10" s="8">
        <f t="shared" si="10"/>
        <v>-0.14874070520508498</v>
      </c>
      <c r="Z10" s="8">
        <f t="shared" si="11"/>
        <v>-9.102091020910219E-2</v>
      </c>
      <c r="AA10" s="8">
        <f>V6/AA6-1</f>
        <v>-0.10999905431390478</v>
      </c>
      <c r="AB10" s="8">
        <f t="shared" si="12"/>
        <v>-7.2666085005608783E-2</v>
      </c>
      <c r="AC10" s="8">
        <f t="shared" si="13"/>
        <v>-5.5018137847641979E-2</v>
      </c>
      <c r="AD10" s="8">
        <f t="shared" si="14"/>
        <v>7.8934326157118484E-3</v>
      </c>
      <c r="AE10" s="8">
        <f t="shared" si="15"/>
        <v>-7.0835368832437018E-3</v>
      </c>
      <c r="AF10" s="8">
        <f>AA6/AF6-1</f>
        <v>-3.1468200539175872E-2</v>
      </c>
      <c r="AG10" s="8">
        <f t="shared" ref="AG10:AJ10" si="28">AB6/AG6-1</f>
        <v>-1.2395829486563925E-2</v>
      </c>
      <c r="AH10" s="8">
        <f t="shared" si="28"/>
        <v>-5.6366955727978119E-2</v>
      </c>
      <c r="AI10" s="8">
        <f t="shared" si="28"/>
        <v>-7.5262687234518122E-2</v>
      </c>
      <c r="AJ10" s="8">
        <f t="shared" si="28"/>
        <v>-7.6888387824126103E-2</v>
      </c>
      <c r="AK10" s="8">
        <f>AF6/AK6-1</f>
        <v>-5.6189973979719587E-2</v>
      </c>
      <c r="AL10" s="8">
        <f t="shared" ref="AL10:AO10" si="29">AG6/AL6-1</f>
        <v>-8.0925444054757434E-2</v>
      </c>
      <c r="AM10" s="8">
        <f t="shared" si="29"/>
        <v>1.7437135758898492E-2</v>
      </c>
      <c r="AN10" s="8">
        <f t="shared" si="29"/>
        <v>7.5628231333413343E-2</v>
      </c>
      <c r="AO10" s="8">
        <f t="shared" si="29"/>
        <v>9.2956774606929748E-2</v>
      </c>
      <c r="AP10" s="8">
        <f>AK6/AP6-1</f>
        <v>2.414904354087577E-2</v>
      </c>
      <c r="AQ10" s="8">
        <f t="shared" ref="AQ10:AU10" si="30">AP6/AQ6-1</f>
        <v>4.3835329488885577E-2</v>
      </c>
      <c r="AR10" s="8">
        <f t="shared" si="30"/>
        <v>0</v>
      </c>
      <c r="AS10" s="8">
        <f t="shared" si="30"/>
        <v>0</v>
      </c>
      <c r="AT10" s="8">
        <f t="shared" si="30"/>
        <v>0</v>
      </c>
      <c r="AU10" s="8">
        <f t="shared" si="30"/>
        <v>0</v>
      </c>
    </row>
  </sheetData>
  <pageMargins left="0.7" right="0.7" top="0.75" bottom="0.75" header="0.3" footer="0.3"/>
  <pageSetup paperSize="9" orientation="portrait" r:id="rId1"/>
  <customProperties>
    <customPr name="Qube.Worksheet.Visibility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C929-5B55-4AA5-A286-F570FBE2B8A2}">
  <dimension ref="B5:Q254"/>
  <sheetViews>
    <sheetView topLeftCell="A204" zoomScale="85" zoomScaleNormal="85" workbookViewId="0">
      <selection activeCell="L229" sqref="L229"/>
    </sheetView>
  </sheetViews>
  <sheetFormatPr defaultRowHeight="15.75" x14ac:dyDescent="0.5"/>
  <cols>
    <col min="2" max="2" width="18.375" customWidth="1"/>
    <col min="3" max="3" width="9.875" customWidth="1"/>
    <col min="4" max="4" width="9.5" bestFit="1" customWidth="1"/>
  </cols>
  <sheetData>
    <row r="5" spans="2:4" x14ac:dyDescent="0.5">
      <c r="C5" t="s">
        <v>378</v>
      </c>
      <c r="D5" t="s">
        <v>379</v>
      </c>
    </row>
    <row r="6" spans="2:4" x14ac:dyDescent="0.5">
      <c r="B6" t="s">
        <v>380</v>
      </c>
      <c r="C6" s="387">
        <v>140</v>
      </c>
      <c r="D6" s="387">
        <v>140</v>
      </c>
    </row>
    <row r="7" spans="2:4" x14ac:dyDescent="0.5">
      <c r="B7" t="s">
        <v>383</v>
      </c>
      <c r="D7" s="387">
        <v>70</v>
      </c>
    </row>
    <row r="8" spans="2:4" x14ac:dyDescent="0.5">
      <c r="B8" t="s">
        <v>103</v>
      </c>
      <c r="C8" s="387">
        <f>C6-C9</f>
        <v>56.629652363149376</v>
      </c>
      <c r="D8" s="387">
        <f>C8</f>
        <v>56.629652363149376</v>
      </c>
    </row>
    <row r="9" spans="2:4" x14ac:dyDescent="0.5">
      <c r="B9" t="s">
        <v>381</v>
      </c>
      <c r="C9" s="387">
        <f>C6*C10</f>
        <v>83.370347636850624</v>
      </c>
      <c r="D9" s="387">
        <f>D7*D10</f>
        <v>0</v>
      </c>
    </row>
    <row r="10" spans="2:4" x14ac:dyDescent="0.5">
      <c r="B10" t="s">
        <v>382</v>
      </c>
      <c r="C10" s="385">
        <f>MODEL!AE136</f>
        <v>0.59550248312036158</v>
      </c>
      <c r="D10" s="385">
        <f>MODEL!$AE$122</f>
        <v>0</v>
      </c>
    </row>
    <row r="11" spans="2:4" x14ac:dyDescent="0.5">
      <c r="B11" t="s">
        <v>384</v>
      </c>
      <c r="C11" s="385">
        <f>MODEL!$AE$87</f>
        <v>0</v>
      </c>
      <c r="D11" s="385">
        <f>MODEL!$AE$124</f>
        <v>0</v>
      </c>
    </row>
    <row r="12" spans="2:4" x14ac:dyDescent="0.5">
      <c r="B12" t="s">
        <v>387</v>
      </c>
      <c r="C12" s="385">
        <f>MODEL!$AE$152+MODEL!$AE$159</f>
        <v>0.15992411137771331</v>
      </c>
      <c r="D12" s="385">
        <f>MODEL!$AE$152+MODEL!$AE$159</f>
        <v>0.15992411137771331</v>
      </c>
    </row>
    <row r="13" spans="2:4" x14ac:dyDescent="0.5">
      <c r="C13" s="388">
        <f>C10-SUM(C11:C12)</f>
        <v>0.43557837174264824</v>
      </c>
      <c r="D13" s="388">
        <f>D10-SUM(D11:D12)</f>
        <v>-0.15992411137771331</v>
      </c>
    </row>
    <row r="16" spans="2:4" x14ac:dyDescent="0.5">
      <c r="C16" t="s">
        <v>378</v>
      </c>
      <c r="D16" t="s">
        <v>379</v>
      </c>
    </row>
    <row r="17" spans="2:13" x14ac:dyDescent="0.5">
      <c r="B17" t="str">
        <f>B6</f>
        <v>Retail Price</v>
      </c>
      <c r="C17" s="387">
        <f>C6</f>
        <v>140</v>
      </c>
      <c r="D17" s="387">
        <f>D6</f>
        <v>140</v>
      </c>
    </row>
    <row r="18" spans="2:13" x14ac:dyDescent="0.5">
      <c r="B18" t="s">
        <v>385</v>
      </c>
      <c r="D18" s="387">
        <f>D6-D7</f>
        <v>70</v>
      </c>
    </row>
    <row r="19" spans="2:13" x14ac:dyDescent="0.5">
      <c r="B19" t="s">
        <v>103</v>
      </c>
      <c r="C19" s="387">
        <f>C8</f>
        <v>56.629652363149376</v>
      </c>
      <c r="D19" s="387">
        <f>D8</f>
        <v>56.629652363149376</v>
      </c>
    </row>
    <row r="20" spans="2:13" x14ac:dyDescent="0.5">
      <c r="B20" t="s">
        <v>386</v>
      </c>
      <c r="C20" s="387">
        <f>C11*C6</f>
        <v>0</v>
      </c>
      <c r="D20" s="387">
        <f>D11*D7</f>
        <v>0</v>
      </c>
    </row>
    <row r="21" spans="2:13" x14ac:dyDescent="0.5">
      <c r="B21" t="s">
        <v>387</v>
      </c>
      <c r="C21" s="387">
        <f>C12*C6</f>
        <v>22.389375592879865</v>
      </c>
      <c r="D21" s="387">
        <f>D12*D7</f>
        <v>11.194687796439933</v>
      </c>
    </row>
    <row r="22" spans="2:13" x14ac:dyDescent="0.5">
      <c r="B22" t="s">
        <v>174</v>
      </c>
      <c r="C22" s="387">
        <f>C17-SUM(C18:C21)</f>
        <v>60.980972043970752</v>
      </c>
      <c r="D22" s="387">
        <f>D17-SUM(D18:D21)</f>
        <v>2.1756598404107024</v>
      </c>
    </row>
    <row r="25" spans="2:13" x14ac:dyDescent="0.5">
      <c r="C25" s="387"/>
      <c r="E25" s="387"/>
      <c r="F25" s="386"/>
      <c r="G25" s="386"/>
      <c r="H25" s="386"/>
    </row>
    <row r="26" spans="2:13" x14ac:dyDescent="0.5">
      <c r="C26" s="386"/>
      <c r="D26" s="387"/>
      <c r="E26" s="387"/>
      <c r="F26" s="386"/>
      <c r="G26" s="386"/>
      <c r="H26" s="386"/>
    </row>
    <row r="27" spans="2:13" x14ac:dyDescent="0.5">
      <c r="D27" s="387"/>
      <c r="E27" s="387"/>
    </row>
    <row r="31" spans="2:13" x14ac:dyDescent="0.5">
      <c r="B31" s="78" t="s">
        <v>352</v>
      </c>
      <c r="C31">
        <v>2019</v>
      </c>
      <c r="D31">
        <v>2020</v>
      </c>
      <c r="E31">
        <v>2021</v>
      </c>
      <c r="F31" t="s">
        <v>71</v>
      </c>
      <c r="G31" t="s">
        <v>72</v>
      </c>
      <c r="H31" t="s">
        <v>73</v>
      </c>
      <c r="I31" t="s">
        <v>74</v>
      </c>
      <c r="J31" t="s">
        <v>75</v>
      </c>
      <c r="K31" t="s">
        <v>76</v>
      </c>
      <c r="L31" t="s">
        <v>77</v>
      </c>
    </row>
    <row r="32" spans="2:13" x14ac:dyDescent="0.5">
      <c r="B32" t="s">
        <v>389</v>
      </c>
      <c r="C32" s="388">
        <f>MODEL!G136</f>
        <v>0.53577889142109447</v>
      </c>
      <c r="D32" s="388">
        <f>MODEL!N136</f>
        <v>0.54339967802988709</v>
      </c>
      <c r="E32" s="388">
        <f>MODEL!U136</f>
        <v>0.59384487993375634</v>
      </c>
      <c r="F32" s="388">
        <f>MODEL!Z136</f>
        <v>0.56042877014974235</v>
      </c>
      <c r="G32" s="388">
        <f>MODEL!AE136</f>
        <v>0.59550248312036158</v>
      </c>
      <c r="H32" s="388">
        <f>MODEL!AJ136</f>
        <v>0.60633820766218804</v>
      </c>
      <c r="I32" s="388">
        <f>MODEL!AO136</f>
        <v>0.62826808228268061</v>
      </c>
      <c r="J32" s="388">
        <f>MODEL!AT136</f>
        <v>0.65</v>
      </c>
      <c r="K32" s="388">
        <f>MODEL!AU136</f>
        <v>0.65200000000000002</v>
      </c>
      <c r="L32" s="388">
        <f>MODEL!AV136</f>
        <v>0.65400000000000003</v>
      </c>
      <c r="M32" s="388"/>
    </row>
    <row r="33" spans="2:12" x14ac:dyDescent="0.5">
      <c r="B33" t="s">
        <v>257</v>
      </c>
      <c r="C33" s="388" t="e">
        <f>Comps!BA7</f>
        <v>#DIV/0!</v>
      </c>
      <c r="D33" s="388" t="e">
        <f>Comps!BB7</f>
        <v>#DIV/0!</v>
      </c>
      <c r="E33" s="388" t="e">
        <f>Comps!BC7</f>
        <v>#DIV/0!</v>
      </c>
      <c r="F33" s="388" t="e">
        <f>Comps!BD7</f>
        <v>#DIV/0!</v>
      </c>
      <c r="G33" s="388" t="e">
        <f>Comps!BE7</f>
        <v>#DIV/0!</v>
      </c>
      <c r="H33" s="388" t="e">
        <f>Comps!BF7</f>
        <v>#DIV/0!</v>
      </c>
      <c r="I33" s="388" t="e">
        <f>Comps!BG7</f>
        <v>#DIV/0!</v>
      </c>
      <c r="J33" s="388" t="e">
        <f>Comps!BH7</f>
        <v>#DIV/0!</v>
      </c>
      <c r="K33" s="388" t="e">
        <f>Comps!BI7</f>
        <v>#DIV/0!</v>
      </c>
      <c r="L33" s="388"/>
    </row>
    <row r="34" spans="2:12" x14ac:dyDescent="0.5">
      <c r="B34" t="s">
        <v>388</v>
      </c>
      <c r="C34" s="388" t="e">
        <f>Comps!BA6</f>
        <v>#DIV/0!</v>
      </c>
      <c r="D34" s="388" t="e">
        <f>Comps!BB6</f>
        <v>#DIV/0!</v>
      </c>
      <c r="E34" s="388" t="e">
        <f>Comps!BC6</f>
        <v>#DIV/0!</v>
      </c>
      <c r="F34" s="388" t="e">
        <f>Comps!BD6</f>
        <v>#DIV/0!</v>
      </c>
      <c r="G34" s="388" t="e">
        <f>Comps!BE6</f>
        <v>#DIV/0!</v>
      </c>
      <c r="H34" s="388" t="e">
        <f>Comps!BF6</f>
        <v>#DIV/0!</v>
      </c>
      <c r="I34" s="388" t="e">
        <f>Comps!BG6</f>
        <v>#DIV/0!</v>
      </c>
      <c r="J34" s="388" t="e">
        <f>Comps!BH6</f>
        <v>#DIV/0!</v>
      </c>
      <c r="K34" s="388" t="e">
        <f>Comps!BI6</f>
        <v>#DIV/0!</v>
      </c>
    </row>
    <row r="35" spans="2:12" x14ac:dyDescent="0.5">
      <c r="B35" t="s">
        <v>252</v>
      </c>
      <c r="C35" s="388" t="e">
        <f>Comps!BA4</f>
        <v>#DIV/0!</v>
      </c>
      <c r="D35" s="388" t="e">
        <f>Comps!BB4</f>
        <v>#DIV/0!</v>
      </c>
      <c r="E35" s="388" t="e">
        <f>Comps!BC4</f>
        <v>#DIV/0!</v>
      </c>
      <c r="F35" s="388" t="e">
        <f>Comps!BD4</f>
        <v>#DIV/0!</v>
      </c>
      <c r="G35" s="388" t="e">
        <f>Comps!BE4</f>
        <v>#DIV/0!</v>
      </c>
      <c r="H35" s="388" t="e">
        <f>Comps!BF4</f>
        <v>#DIV/0!</v>
      </c>
      <c r="I35" s="388" t="e">
        <f>Comps!BG4</f>
        <v>#DIV/0!</v>
      </c>
      <c r="J35" s="388"/>
    </row>
    <row r="36" spans="2:12" x14ac:dyDescent="0.5">
      <c r="B36" t="s">
        <v>391</v>
      </c>
      <c r="C36" s="388" t="e">
        <f>Comps!BA5</f>
        <v>#DIV/0!</v>
      </c>
      <c r="D36" s="388" t="e">
        <f>Comps!BB5</f>
        <v>#DIV/0!</v>
      </c>
      <c r="E36" s="388" t="e">
        <f>Comps!BC5</f>
        <v>#DIV/0!</v>
      </c>
      <c r="F36" s="388" t="e">
        <f>Comps!BD5</f>
        <v>#DIV/0!</v>
      </c>
      <c r="G36" s="388" t="e">
        <f>Comps!BE5</f>
        <v>#DIV/0!</v>
      </c>
      <c r="H36" s="388" t="e">
        <f>Comps!BF5</f>
        <v>#DIV/0!</v>
      </c>
      <c r="I36" s="388" t="e">
        <f>Comps!BG5</f>
        <v>#DIV/0!</v>
      </c>
      <c r="J36" s="388"/>
    </row>
    <row r="46" spans="2:12" x14ac:dyDescent="0.5">
      <c r="D46" t="s">
        <v>417</v>
      </c>
      <c r="E46" t="s">
        <v>418</v>
      </c>
      <c r="F46" t="s">
        <v>419</v>
      </c>
      <c r="G46" t="s">
        <v>420</v>
      </c>
    </row>
    <row r="47" spans="2:12" x14ac:dyDescent="0.5">
      <c r="D47">
        <v>2020</v>
      </c>
      <c r="E47">
        <v>2021</v>
      </c>
      <c r="F47" t="s">
        <v>71</v>
      </c>
      <c r="G47" t="s">
        <v>72</v>
      </c>
      <c r="H47" t="s">
        <v>73</v>
      </c>
      <c r="I47" t="s">
        <v>74</v>
      </c>
      <c r="J47" t="s">
        <v>75</v>
      </c>
      <c r="K47" t="s">
        <v>76</v>
      </c>
      <c r="L47" t="s">
        <v>77</v>
      </c>
    </row>
    <row r="48" spans="2:12" x14ac:dyDescent="0.5">
      <c r="B48" t="s">
        <v>421</v>
      </c>
      <c r="D48" s="388">
        <f>MODEL!N127</f>
        <v>0.19500000000000001</v>
      </c>
      <c r="E48" s="388">
        <f>MODEL!U127</f>
        <v>0.14473391226898238</v>
      </c>
      <c r="F48" s="388">
        <f>MODEL!Z127</f>
        <v>0.22600000000000001</v>
      </c>
      <c r="G48" s="388">
        <f>MODEL!AE127</f>
        <v>0</v>
      </c>
      <c r="H48" s="388">
        <f>MODEL!AJ127</f>
        <v>0</v>
      </c>
      <c r="I48" s="388">
        <f>MODEL!AO127</f>
        <v>0</v>
      </c>
      <c r="J48" s="388">
        <f>MODEL!AT127</f>
        <v>0</v>
      </c>
      <c r="K48" s="388">
        <f>MODEL!AU127</f>
        <v>0</v>
      </c>
      <c r="L48" s="388">
        <f>MODEL!AV127</f>
        <v>0</v>
      </c>
    </row>
    <row r="49" spans="2:12" x14ac:dyDescent="0.5">
      <c r="B49" t="s">
        <v>422</v>
      </c>
      <c r="D49" s="388">
        <f>MODEL!N90</f>
        <v>0.29372723591284661</v>
      </c>
      <c r="E49" s="388">
        <f>MODEL!U90</f>
        <v>0.42032667876587987</v>
      </c>
      <c r="F49" s="388">
        <f>MODEL!Z90</f>
        <v>0.32037294989889925</v>
      </c>
      <c r="G49" s="388">
        <f>MODEL!AE90</f>
        <v>0</v>
      </c>
      <c r="H49" s="388">
        <f>MODEL!AJ90</f>
        <v>0</v>
      </c>
      <c r="I49" s="388">
        <f>MODEL!AO90</f>
        <v>0</v>
      </c>
      <c r="J49" s="388">
        <f>MODEL!AT90</f>
        <v>0</v>
      </c>
      <c r="K49" s="388">
        <f>MODEL!AU90</f>
        <v>0</v>
      </c>
      <c r="L49" s="388">
        <f>MODEL!AV90</f>
        <v>0</v>
      </c>
    </row>
    <row r="50" spans="2:12" x14ac:dyDescent="0.5">
      <c r="B50" t="s">
        <v>423</v>
      </c>
    </row>
    <row r="64" spans="2:12" x14ac:dyDescent="0.5">
      <c r="C64" t="s">
        <v>431</v>
      </c>
      <c r="D64" t="s">
        <v>417</v>
      </c>
      <c r="E64" t="s">
        <v>418</v>
      </c>
      <c r="F64" t="s">
        <v>419</v>
      </c>
    </row>
    <row r="65" spans="2:12" x14ac:dyDescent="0.5">
      <c r="B65" t="s">
        <v>427</v>
      </c>
      <c r="C65">
        <f t="shared" ref="C65:L65" si="0">C31</f>
        <v>2019</v>
      </c>
      <c r="D65">
        <f t="shared" si="0"/>
        <v>2020</v>
      </c>
      <c r="E65">
        <f t="shared" si="0"/>
        <v>2021</v>
      </c>
      <c r="F65" t="str">
        <f t="shared" si="0"/>
        <v>2022E</v>
      </c>
      <c r="G65" t="str">
        <f t="shared" si="0"/>
        <v>2023E</v>
      </c>
      <c r="H65" t="str">
        <f t="shared" si="0"/>
        <v>2024E</v>
      </c>
      <c r="I65" t="str">
        <f t="shared" si="0"/>
        <v>2025E</v>
      </c>
      <c r="J65" t="str">
        <f t="shared" si="0"/>
        <v>2026E</v>
      </c>
      <c r="K65" t="str">
        <f t="shared" si="0"/>
        <v>2027E</v>
      </c>
      <c r="L65" t="str">
        <f t="shared" si="0"/>
        <v>2028E</v>
      </c>
    </row>
    <row r="66" spans="2:12" x14ac:dyDescent="0.5">
      <c r="B66" t="s">
        <v>428</v>
      </c>
      <c r="C66" s="388">
        <f>MODEL!G152</f>
        <v>0.12220892416382564</v>
      </c>
      <c r="D66" s="388">
        <f>MODEL!N152</f>
        <v>0.1152426076971106</v>
      </c>
      <c r="E66" s="388">
        <f>MODEL!U152</f>
        <v>0.11649737786364879</v>
      </c>
      <c r="F66" s="388">
        <f>MODEL!Z152</f>
        <v>0.1251125112511251</v>
      </c>
      <c r="G66" s="388">
        <f>MODEL!AE152</f>
        <v>0.12370961441883824</v>
      </c>
      <c r="H66" s="388">
        <f>MODEL!AJ152</f>
        <v>0.12290242975683799</v>
      </c>
      <c r="I66" s="388">
        <f>MODEL!AO152</f>
        <v>0.12179827471798266</v>
      </c>
      <c r="J66" s="388">
        <f>MODEL!AT152</f>
        <v>0.12012435996379521</v>
      </c>
      <c r="K66" s="388">
        <f>MODEL!AU152</f>
        <v>0.11839821655223198</v>
      </c>
      <c r="L66" s="388">
        <f>MODEL!AV152</f>
        <v>0.11528313017818216</v>
      </c>
    </row>
    <row r="67" spans="2:12" x14ac:dyDescent="0.5">
      <c r="B67" t="s">
        <v>429</v>
      </c>
      <c r="C67" s="388">
        <f>MODEL!G146</f>
        <v>0.1068921315788921</v>
      </c>
      <c r="D67" s="388">
        <f>MODEL!N146</f>
        <v>0.10727959994931605</v>
      </c>
      <c r="E67" s="388">
        <f>MODEL!U146</f>
        <v>0.13869721225503728</v>
      </c>
      <c r="F67" s="388">
        <f>MODEL!Z146</f>
        <v>0.10653792651992472</v>
      </c>
      <c r="G67" s="388">
        <f>MODEL!AE146</f>
        <v>0.10925729590982647</v>
      </c>
      <c r="H67" s="388">
        <f>MODEL!AJ146</f>
        <v>0.11932660010504917</v>
      </c>
      <c r="I67" s="388">
        <f>MODEL!AO146</f>
        <v>0.12491705374917049</v>
      </c>
      <c r="J67" s="388">
        <f>MODEL!AT146</f>
        <v>0.13500000000000001</v>
      </c>
      <c r="K67" s="388">
        <f>MODEL!AU146</f>
        <v>0.13400000000000001</v>
      </c>
      <c r="L67" s="388">
        <f>MODEL!AV146</f>
        <v>0.13300000000000001</v>
      </c>
    </row>
    <row r="68" spans="2:12" x14ac:dyDescent="0.5">
      <c r="B68" t="s">
        <v>430</v>
      </c>
      <c r="C68" s="388">
        <f>MODEL!G143</f>
        <v>8.7926236304372296E-2</v>
      </c>
      <c r="D68" s="388">
        <f>MODEL!N143</f>
        <v>8.3740698937008556E-2</v>
      </c>
      <c r="E68" s="388">
        <f>MODEL!U143</f>
        <v>7.2591774772288148E-2</v>
      </c>
      <c r="F68" s="388">
        <f>MODEL!Z143</f>
        <v>6.9961541608706324E-2</v>
      </c>
      <c r="G68" s="388">
        <f>MODEL!AE143</f>
        <v>7.4382009932481452E-2</v>
      </c>
      <c r="H68" s="388">
        <f>MODEL!AJ143</f>
        <v>7.2551815130383432E-2</v>
      </c>
      <c r="I68" s="388">
        <f>MODEL!AO143</f>
        <v>8.6297279362972781E-2</v>
      </c>
      <c r="J68" s="388">
        <f>MODEL!AT143</f>
        <v>9.5000000000000001E-2</v>
      </c>
      <c r="K68" s="388">
        <f>MODEL!AU143</f>
        <v>9.7000000000000003E-2</v>
      </c>
      <c r="L68" s="388">
        <f>MODEL!AV143</f>
        <v>9.9000000000000005E-2</v>
      </c>
    </row>
    <row r="69" spans="2:12" x14ac:dyDescent="0.5">
      <c r="B69" t="s">
        <v>442</v>
      </c>
      <c r="C69" s="388">
        <f>MODEL!G140</f>
        <v>0.10693217014739591</v>
      </c>
      <c r="D69" s="388">
        <f>MODEL!N140</f>
        <v>0.12012678320825451</v>
      </c>
      <c r="E69" s="388">
        <f>MODEL!U140</f>
        <v>0.13303891802373721</v>
      </c>
      <c r="F69" s="388">
        <f>MODEL!Z155</f>
        <v>0.13525898044349902</v>
      </c>
      <c r="G69" s="388">
        <f>MODEL!AE155</f>
        <v>0.1545114669940294</v>
      </c>
      <c r="H69" s="388">
        <f>MODEL!AJ155</f>
        <v>0.16720130855523518</v>
      </c>
      <c r="I69" s="388">
        <f>MODEL!AO155</f>
        <v>0.18812209688122092</v>
      </c>
      <c r="J69" s="388">
        <f>MODEL!AT155</f>
        <v>0.19987564003620475</v>
      </c>
      <c r="K69" s="388">
        <f>MODEL!AU155</f>
        <v>0.205601783447768</v>
      </c>
      <c r="L69" s="388">
        <f>MODEL!AV155</f>
        <v>0.21271686982181787</v>
      </c>
    </row>
    <row r="70" spans="2:12" x14ac:dyDescent="0.5">
      <c r="C70" s="388">
        <f>SUM(C66:C69)</f>
        <v>0.42395946219448594</v>
      </c>
      <c r="D70" s="388">
        <f t="shared" ref="D70:L70" si="1">SUM(D66:D69)</f>
        <v>0.42638968979168979</v>
      </c>
      <c r="E70" s="388">
        <f t="shared" si="1"/>
        <v>0.46082528291471148</v>
      </c>
      <c r="F70" s="388">
        <f t="shared" si="1"/>
        <v>0.43687095982325519</v>
      </c>
      <c r="G70" s="388">
        <f t="shared" si="1"/>
        <v>0.46186038725517553</v>
      </c>
      <c r="H70" s="388">
        <f t="shared" si="1"/>
        <v>0.48198215354750579</v>
      </c>
      <c r="I70" s="388">
        <f t="shared" si="1"/>
        <v>0.52113470471134682</v>
      </c>
      <c r="J70" s="388">
        <f t="shared" si="1"/>
        <v>0.54999999999999993</v>
      </c>
      <c r="K70" s="388">
        <f t="shared" si="1"/>
        <v>0.55500000000000005</v>
      </c>
      <c r="L70" s="388">
        <f t="shared" si="1"/>
        <v>0.56000000000000005</v>
      </c>
    </row>
    <row r="89" spans="2:6" x14ac:dyDescent="0.5">
      <c r="B89" s="409"/>
      <c r="C89" s="409">
        <v>2021</v>
      </c>
      <c r="D89" s="409">
        <v>2022</v>
      </c>
      <c r="E89" s="409">
        <v>2023</v>
      </c>
      <c r="F89" s="409" t="s">
        <v>73</v>
      </c>
    </row>
    <row r="90" spans="2:6" x14ac:dyDescent="0.5">
      <c r="B90" s="409" t="s">
        <v>378</v>
      </c>
      <c r="C90" s="410">
        <f>MODEL!$U$82</f>
        <v>0.38020977090808722</v>
      </c>
      <c r="D90" s="410">
        <f>MODEL!Z82</f>
        <v>0.36420914818754607</v>
      </c>
      <c r="E90" s="410">
        <f>MODEL!AE82</f>
        <v>0.37486747391328595</v>
      </c>
      <c r="F90" s="410">
        <f>MODEL!AJ82</f>
        <v>0.40667730664711199</v>
      </c>
    </row>
    <row r="91" spans="2:6" x14ac:dyDescent="0.5">
      <c r="B91" s="409" t="s">
        <v>379</v>
      </c>
      <c r="C91" s="410">
        <f>1-C90</f>
        <v>0.61979022909191284</v>
      </c>
      <c r="D91" s="410">
        <f t="shared" ref="D91:F91" si="2">1-D90</f>
        <v>0.63579085181245398</v>
      </c>
      <c r="E91" s="410">
        <f t="shared" si="2"/>
        <v>0.62513252608671399</v>
      </c>
      <c r="F91" s="410">
        <f t="shared" si="2"/>
        <v>0.59332269335288801</v>
      </c>
    </row>
    <row r="92" spans="2:6" x14ac:dyDescent="0.5">
      <c r="B92" s="409"/>
      <c r="C92" s="409"/>
      <c r="D92" s="409"/>
    </row>
    <row r="93" spans="2:6" x14ac:dyDescent="0.5">
      <c r="B93" s="409"/>
      <c r="C93" s="409">
        <f>C89</f>
        <v>2021</v>
      </c>
      <c r="D93" s="409">
        <f t="shared" ref="D93:F93" si="3">D89</f>
        <v>2022</v>
      </c>
      <c r="E93" s="409">
        <f t="shared" si="3"/>
        <v>2023</v>
      </c>
      <c r="F93" s="409" t="str">
        <f t="shared" si="3"/>
        <v>2024E</v>
      </c>
    </row>
    <row r="94" spans="2:6" x14ac:dyDescent="0.5">
      <c r="B94" s="409" t="s">
        <v>1</v>
      </c>
      <c r="C94" s="410">
        <f>MODEL!U8</f>
        <v>0.35937068727573823</v>
      </c>
      <c r="D94" s="409"/>
    </row>
    <row r="95" spans="2:6" x14ac:dyDescent="0.5">
      <c r="B95" s="409" t="s">
        <v>2</v>
      </c>
      <c r="C95" s="410">
        <f>MODEL!U15</f>
        <v>0.56513938724813684</v>
      </c>
      <c r="D95" s="409"/>
    </row>
    <row r="96" spans="2:6" x14ac:dyDescent="0.5">
      <c r="B96" s="409" t="s">
        <v>432</v>
      </c>
      <c r="C96" s="410">
        <f>MODEL!U29</f>
        <v>1.6560861164780696E-2</v>
      </c>
      <c r="D96" s="409"/>
    </row>
    <row r="97" spans="2:17" x14ac:dyDescent="0.5">
      <c r="B97" s="409" t="s">
        <v>3</v>
      </c>
      <c r="C97" s="410">
        <f>MODEL!U22</f>
        <v>5.8929064311344176E-2</v>
      </c>
      <c r="D97" s="409"/>
    </row>
    <row r="98" spans="2:17" x14ac:dyDescent="0.5">
      <c r="B98" s="409"/>
      <c r="C98" s="409"/>
      <c r="D98" s="409"/>
    </row>
    <row r="99" spans="2:17" x14ac:dyDescent="0.5">
      <c r="B99" s="409"/>
      <c r="C99" s="409"/>
      <c r="D99" s="409"/>
    </row>
    <row r="100" spans="2:17" x14ac:dyDescent="0.5">
      <c r="B100" s="409" t="s">
        <v>4</v>
      </c>
      <c r="C100" s="410">
        <v>0.97</v>
      </c>
      <c r="D100" s="410"/>
    </row>
    <row r="101" spans="2:17" x14ac:dyDescent="0.5">
      <c r="B101" s="409" t="s">
        <v>0</v>
      </c>
      <c r="C101" s="410">
        <v>0.02</v>
      </c>
      <c r="D101" s="410"/>
    </row>
    <row r="102" spans="2:17" x14ac:dyDescent="0.5">
      <c r="B102" s="409" t="s">
        <v>5</v>
      </c>
      <c r="C102" s="410">
        <v>0</v>
      </c>
      <c r="D102" s="410"/>
    </row>
    <row r="107" spans="2:17" x14ac:dyDescent="0.5">
      <c r="B107" t="s">
        <v>495</v>
      </c>
    </row>
    <row r="108" spans="2:17" x14ac:dyDescent="0.5">
      <c r="B108" t="s">
        <v>496</v>
      </c>
      <c r="C108" t="s">
        <v>342</v>
      </c>
      <c r="D108" t="s">
        <v>343</v>
      </c>
      <c r="E108" t="s">
        <v>341</v>
      </c>
      <c r="F108" t="s">
        <v>365</v>
      </c>
      <c r="G108" t="s">
        <v>367</v>
      </c>
      <c r="H108" t="s">
        <v>368</v>
      </c>
      <c r="I108" t="s">
        <v>436</v>
      </c>
      <c r="J108" t="s">
        <v>464</v>
      </c>
      <c r="K108" t="s">
        <v>471</v>
      </c>
      <c r="L108" t="s">
        <v>473</v>
      </c>
      <c r="M108" t="s">
        <v>475</v>
      </c>
      <c r="N108" t="s">
        <v>479</v>
      </c>
      <c r="O108" t="s">
        <v>486</v>
      </c>
      <c r="P108" t="s">
        <v>485</v>
      </c>
      <c r="Q108" t="s">
        <v>537</v>
      </c>
    </row>
    <row r="109" spans="2:17" x14ac:dyDescent="0.5">
      <c r="B109" t="s">
        <v>378</v>
      </c>
      <c r="C109" s="101">
        <f>MODEL!O79</f>
        <v>1.4613035865777317</v>
      </c>
      <c r="D109" s="101">
        <f>MODEL!P79</f>
        <v>0.33369397275616475</v>
      </c>
      <c r="E109" s="101">
        <f>MODEL!R79</f>
        <v>0.92412554203700781</v>
      </c>
      <c r="F109" s="101">
        <f>MODEL!S79</f>
        <v>0.70778734105760344</v>
      </c>
      <c r="G109" s="101">
        <f>MODEL!V79</f>
        <v>0.61815349648246887</v>
      </c>
      <c r="H109" s="101">
        <f>MODEL!W79</f>
        <v>0.5258611919770888</v>
      </c>
      <c r="I109" s="101">
        <f>MODEL!X79</f>
        <v>0.33359096093423535</v>
      </c>
      <c r="J109" s="101">
        <f>MODEL!Y79</f>
        <v>0.7045745935561234</v>
      </c>
      <c r="K109" s="101">
        <f>MODEL!AA79</f>
        <v>0.63345334213141768</v>
      </c>
      <c r="L109" s="101">
        <f>MODEL!AB79</f>
        <v>0.63015471790212962</v>
      </c>
      <c r="M109" s="101">
        <f>MODEL!AC79</f>
        <v>0.74507504435686234</v>
      </c>
      <c r="N109" s="101">
        <f>MODEL!AD79</f>
        <v>0.48506565744073882</v>
      </c>
      <c r="O109" s="101">
        <f>MODEL!AF79</f>
        <v>0.48664457740725697</v>
      </c>
      <c r="P109" s="101">
        <f>MODEL!AG79</f>
        <v>0.30401750652344206</v>
      </c>
      <c r="Q109" s="101">
        <f>MODEL!AH79</f>
        <v>0.50696356368474516</v>
      </c>
    </row>
    <row r="110" spans="2:17" x14ac:dyDescent="0.5">
      <c r="B110" t="s">
        <v>379</v>
      </c>
      <c r="C110" s="101">
        <f>MODEL!O116</f>
        <v>0.93152810025423571</v>
      </c>
      <c r="D110" s="101">
        <f>MODEL!P116</f>
        <v>1.3946207855260599</v>
      </c>
      <c r="E110" s="101">
        <f>MODEL!R116</f>
        <v>0.57697588088940388</v>
      </c>
      <c r="F110" s="101">
        <f>MODEL!S116</f>
        <v>0.35128313943489164</v>
      </c>
      <c r="G110" s="101">
        <f>MODEL!V116</f>
        <v>0.61920810991247266</v>
      </c>
      <c r="H110" s="101">
        <f>MODEL!W116</f>
        <v>0.60182703550916838</v>
      </c>
      <c r="I110" s="101">
        <f>MODEL!X116</f>
        <v>0.47402345896601616</v>
      </c>
      <c r="J110" s="101">
        <f>MODEL!Y116</f>
        <v>0.97201303194534816</v>
      </c>
      <c r="K110" s="101">
        <f>MODEL!AA116</f>
        <v>0.84903683535669083</v>
      </c>
      <c r="L110" s="101">
        <f>MODEL!AB116</f>
        <v>0.58993255010765822</v>
      </c>
      <c r="M110" s="101">
        <f>MODEL!AC116</f>
        <v>0.61043003489621972</v>
      </c>
      <c r="N110" s="101">
        <f>MODEL!AD116</f>
        <v>0.1895383044198915</v>
      </c>
      <c r="O110" s="101">
        <f>MODEL!AF116</f>
        <v>0.19788791660256888</v>
      </c>
      <c r="P110" s="101">
        <f>MODEL!AG116</f>
        <v>0.28841191472486316</v>
      </c>
      <c r="Q110" s="101">
        <f>MODEL!AH116</f>
        <v>0.2401064381544411</v>
      </c>
    </row>
    <row r="111" spans="2:17" x14ac:dyDescent="0.5">
      <c r="B111" t="s">
        <v>536</v>
      </c>
      <c r="C111" s="101">
        <f>MODEL!O82</f>
        <v>0.35398860398860393</v>
      </c>
      <c r="D111" s="101">
        <f>MODEL!P82</f>
        <v>0.37350085665334115</v>
      </c>
      <c r="E111" s="101">
        <f>MODEL!R82</f>
        <v>0.34724770642201835</v>
      </c>
      <c r="F111" s="101">
        <f>MODEL!S82</f>
        <v>0.44322344322344309</v>
      </c>
      <c r="G111" s="101">
        <f>MODEL!V82</f>
        <v>0.35383962664403906</v>
      </c>
      <c r="H111" s="101">
        <f>MODEL!W82</f>
        <v>0.36220350954186692</v>
      </c>
      <c r="I111" s="101">
        <f>MODEL!X82</f>
        <v>0.3249139515811873</v>
      </c>
      <c r="J111" s="101">
        <f>MODEL!Y82</f>
        <v>0.40761606108119203</v>
      </c>
      <c r="K111" s="101">
        <f>MODEL!AA82</f>
        <v>0.32603522132317952</v>
      </c>
      <c r="L111" s="101">
        <f>MODEL!AB82</f>
        <v>0.36799459824442948</v>
      </c>
      <c r="M111" s="101">
        <f>MODEL!AC82</f>
        <v>0.34276795005202909</v>
      </c>
      <c r="N111" s="101">
        <f>MODEL!AD82</f>
        <v>0.46208901811675168</v>
      </c>
      <c r="O111" s="101">
        <f>MODEL!AF82</f>
        <v>0.37485242030696569</v>
      </c>
      <c r="P111" s="101">
        <f>MODEL!AG82</f>
        <v>0.36885679055839338</v>
      </c>
      <c r="Q111" s="101">
        <f>MODEL!AH82</f>
        <v>0.38801509908776344</v>
      </c>
    </row>
    <row r="112" spans="2:17" x14ac:dyDescent="0.5">
      <c r="B112" t="s">
        <v>497</v>
      </c>
      <c r="C112" s="388">
        <f>AVERAGE(C109:P110)</f>
        <v>0.62643637963163423</v>
      </c>
      <c r="D112" s="388">
        <f>C112</f>
        <v>0.62643637963163423</v>
      </c>
      <c r="E112" s="388">
        <f>D112</f>
        <v>0.62643637963163423</v>
      </c>
      <c r="F112" s="388">
        <f t="shared" ref="F112:Q112" si="4">E112</f>
        <v>0.62643637963163423</v>
      </c>
      <c r="G112" s="388">
        <f t="shared" si="4"/>
        <v>0.62643637963163423</v>
      </c>
      <c r="H112" s="388">
        <f t="shared" si="4"/>
        <v>0.62643637963163423</v>
      </c>
      <c r="I112" s="388">
        <f t="shared" si="4"/>
        <v>0.62643637963163423</v>
      </c>
      <c r="J112" s="388">
        <f t="shared" si="4"/>
        <v>0.62643637963163423</v>
      </c>
      <c r="K112" s="388">
        <f t="shared" si="4"/>
        <v>0.62643637963163423</v>
      </c>
      <c r="L112" s="388">
        <f t="shared" si="4"/>
        <v>0.62643637963163423</v>
      </c>
      <c r="M112" s="388">
        <f t="shared" si="4"/>
        <v>0.62643637963163423</v>
      </c>
      <c r="N112" s="388">
        <f t="shared" si="4"/>
        <v>0.62643637963163423</v>
      </c>
      <c r="O112" s="388">
        <f t="shared" si="4"/>
        <v>0.62643637963163423</v>
      </c>
      <c r="P112" s="388">
        <f t="shared" si="4"/>
        <v>0.62643637963163423</v>
      </c>
      <c r="Q112" s="388">
        <f t="shared" si="4"/>
        <v>0.62643637963163423</v>
      </c>
    </row>
    <row r="136" spans="2:10" x14ac:dyDescent="0.5">
      <c r="B136" t="s">
        <v>501</v>
      </c>
    </row>
    <row r="138" spans="2:10" x14ac:dyDescent="0.5">
      <c r="B138" t="s">
        <v>502</v>
      </c>
      <c r="C138" s="535" t="s">
        <v>73</v>
      </c>
      <c r="D138" s="535" t="s">
        <v>74</v>
      </c>
      <c r="E138" s="535" t="s">
        <v>75</v>
      </c>
      <c r="F138" s="535" t="s">
        <v>76</v>
      </c>
      <c r="G138" s="535" t="s">
        <v>77</v>
      </c>
      <c r="H138" s="535" t="s">
        <v>78</v>
      </c>
      <c r="I138" s="535" t="s">
        <v>79</v>
      </c>
      <c r="J138" s="535" t="s">
        <v>80</v>
      </c>
    </row>
    <row r="139" spans="2:10" x14ac:dyDescent="0.5">
      <c r="B139" t="s">
        <v>378</v>
      </c>
      <c r="C139" s="101">
        <f>MODEL!AJ82</f>
        <v>0.40667730664711199</v>
      </c>
      <c r="D139" s="101">
        <f>MODEL!AO82</f>
        <v>0.41821499668214945</v>
      </c>
      <c r="E139" s="101">
        <f>MODEL!AT82</f>
        <v>0.45306949269367547</v>
      </c>
      <c r="F139" s="101">
        <f>MODEL!AU82</f>
        <v>0.47312839024891962</v>
      </c>
      <c r="G139" s="101">
        <f>MODEL!AV82</f>
        <v>0.49166390397186238</v>
      </c>
      <c r="H139" s="101">
        <f>MODEL!AW82</f>
        <v>0.50543197575622623</v>
      </c>
      <c r="I139" s="101">
        <f>MODEL!AX82</f>
        <v>0.51049348411687745</v>
      </c>
      <c r="J139" s="101">
        <f>MODEL!AY82</f>
        <v>0.51620397857852762</v>
      </c>
    </row>
    <row r="140" spans="2:10" x14ac:dyDescent="0.5">
      <c r="B140" t="s">
        <v>379</v>
      </c>
      <c r="C140" s="101">
        <f>1-C139</f>
        <v>0.59332269335288801</v>
      </c>
      <c r="D140" s="101">
        <f t="shared" ref="D140:J140" si="5">1-D139</f>
        <v>0.58178500331785055</v>
      </c>
      <c r="E140" s="101">
        <f t="shared" si="5"/>
        <v>0.54693050730632453</v>
      </c>
      <c r="F140" s="101">
        <f t="shared" si="5"/>
        <v>0.52687160975108038</v>
      </c>
      <c r="G140" s="101">
        <f t="shared" si="5"/>
        <v>0.50833609602813756</v>
      </c>
      <c r="H140" s="101">
        <f t="shared" si="5"/>
        <v>0.49456802424377377</v>
      </c>
      <c r="I140" s="101">
        <f t="shared" si="5"/>
        <v>0.48950651588312255</v>
      </c>
      <c r="J140" s="101">
        <f t="shared" si="5"/>
        <v>0.48379602142147238</v>
      </c>
    </row>
    <row r="142" spans="2:10" x14ac:dyDescent="0.5">
      <c r="B142" t="s">
        <v>111</v>
      </c>
    </row>
    <row r="143" spans="2:10" x14ac:dyDescent="0.5">
      <c r="B143" t="s">
        <v>378</v>
      </c>
      <c r="C143" s="408">
        <v>0.76</v>
      </c>
      <c r="D143" s="408">
        <v>0.76</v>
      </c>
      <c r="E143" s="408">
        <v>0.76</v>
      </c>
      <c r="F143" s="408">
        <v>0.76</v>
      </c>
      <c r="G143" s="408">
        <v>0.76</v>
      </c>
      <c r="H143" s="408">
        <v>0.76</v>
      </c>
      <c r="I143" s="408">
        <v>0.76</v>
      </c>
      <c r="J143" s="408">
        <v>0.76</v>
      </c>
    </row>
    <row r="144" spans="2:10" x14ac:dyDescent="0.5">
      <c r="B144" t="s">
        <v>379</v>
      </c>
      <c r="C144" s="408">
        <v>0.5</v>
      </c>
      <c r="D144" s="408">
        <v>0.5</v>
      </c>
      <c r="E144" s="408">
        <v>0.5</v>
      </c>
      <c r="F144" s="408">
        <v>0.5</v>
      </c>
      <c r="G144" s="408">
        <v>0.5</v>
      </c>
      <c r="H144" s="408">
        <v>0.5</v>
      </c>
      <c r="I144" s="408">
        <v>0.5</v>
      </c>
      <c r="J144" s="408">
        <v>0.5</v>
      </c>
    </row>
    <row r="145" spans="2:10" x14ac:dyDescent="0.5">
      <c r="B145" t="s">
        <v>165</v>
      </c>
      <c r="C145" s="388">
        <f>(C143*C139)+(C144*C140)</f>
        <v>0.60573609972824904</v>
      </c>
      <c r="D145" s="388">
        <f t="shared" ref="D145:J145" si="6">(D143*D139)+(D144*D140)</f>
        <v>0.60873589913735882</v>
      </c>
      <c r="E145" s="388">
        <f t="shared" si="6"/>
        <v>0.61779806810035565</v>
      </c>
      <c r="F145" s="388">
        <f t="shared" si="6"/>
        <v>0.62301338146471918</v>
      </c>
      <c r="G145" s="388">
        <f t="shared" si="6"/>
        <v>0.62783261503268417</v>
      </c>
      <c r="H145" s="388">
        <f t="shared" si="6"/>
        <v>0.63141231369661877</v>
      </c>
      <c r="I145" s="388">
        <f t="shared" si="6"/>
        <v>0.63272830587038809</v>
      </c>
      <c r="J145" s="388">
        <f t="shared" si="6"/>
        <v>0.63421303443041721</v>
      </c>
    </row>
    <row r="146" spans="2:10" x14ac:dyDescent="0.5">
      <c r="D146" s="534">
        <f>D145-C145</f>
        <v>2.9997994091097713E-3</v>
      </c>
      <c r="E146" s="534">
        <f t="shared" ref="E146:J146" si="7">E145-D145</f>
        <v>9.0621689629968305E-3</v>
      </c>
      <c r="F146" s="534">
        <f t="shared" si="7"/>
        <v>5.2153133643635385E-3</v>
      </c>
      <c r="G146" s="534">
        <f t="shared" si="7"/>
        <v>4.8192335679649867E-3</v>
      </c>
      <c r="H146" s="534">
        <f t="shared" si="7"/>
        <v>3.579698663934594E-3</v>
      </c>
      <c r="I146" s="534">
        <f t="shared" si="7"/>
        <v>1.3159921737693203E-3</v>
      </c>
      <c r="J146" s="534">
        <f t="shared" si="7"/>
        <v>1.4847285600291249E-3</v>
      </c>
    </row>
    <row r="149" spans="2:10" x14ac:dyDescent="0.5">
      <c r="B149" t="s">
        <v>503</v>
      </c>
    </row>
    <row r="150" spans="2:10" x14ac:dyDescent="0.5">
      <c r="C150" s="535" t="s">
        <v>73</v>
      </c>
      <c r="D150" s="535" t="s">
        <v>74</v>
      </c>
      <c r="E150" s="535" t="s">
        <v>75</v>
      </c>
      <c r="F150" s="535" t="s">
        <v>76</v>
      </c>
      <c r="G150" s="535" t="s">
        <v>77</v>
      </c>
      <c r="H150" s="535" t="s">
        <v>78</v>
      </c>
      <c r="I150" s="535" t="s">
        <v>79</v>
      </c>
      <c r="J150" s="535" t="s">
        <v>80</v>
      </c>
    </row>
    <row r="151" spans="2:10" x14ac:dyDescent="0.5">
      <c r="B151" t="s">
        <v>504</v>
      </c>
      <c r="C151" s="388">
        <f>C139</f>
        <v>0.40667730664711199</v>
      </c>
      <c r="D151" s="388">
        <f t="shared" ref="D151:J151" si="8">D139</f>
        <v>0.41821499668214945</v>
      </c>
      <c r="E151" s="388">
        <f t="shared" si="8"/>
        <v>0.45306949269367547</v>
      </c>
      <c r="F151" s="388">
        <f t="shared" si="8"/>
        <v>0.47312839024891962</v>
      </c>
      <c r="G151" s="388">
        <f t="shared" si="8"/>
        <v>0.49166390397186238</v>
      </c>
      <c r="H151" s="388">
        <f t="shared" si="8"/>
        <v>0.50543197575622623</v>
      </c>
      <c r="I151" s="388">
        <f t="shared" si="8"/>
        <v>0.51049348411687745</v>
      </c>
      <c r="J151" s="388">
        <f t="shared" si="8"/>
        <v>0.51620397857852762</v>
      </c>
    </row>
    <row r="152" spans="2:10" x14ac:dyDescent="0.5">
      <c r="B152" t="s">
        <v>505</v>
      </c>
      <c r="C152" s="388">
        <f>C145</f>
        <v>0.60573609972824904</v>
      </c>
      <c r="D152" s="388">
        <f t="shared" ref="D152:J152" si="9">D145</f>
        <v>0.60873589913735882</v>
      </c>
      <c r="E152" s="388">
        <f t="shared" si="9"/>
        <v>0.61779806810035565</v>
      </c>
      <c r="F152" s="388">
        <f t="shared" si="9"/>
        <v>0.62301338146471918</v>
      </c>
      <c r="G152" s="388">
        <f t="shared" si="9"/>
        <v>0.62783261503268417</v>
      </c>
      <c r="H152" s="388">
        <f t="shared" si="9"/>
        <v>0.63141231369661877</v>
      </c>
      <c r="I152" s="388">
        <f t="shared" si="9"/>
        <v>0.63272830587038809</v>
      </c>
      <c r="J152" s="388">
        <f t="shared" si="9"/>
        <v>0.63421303443041721</v>
      </c>
    </row>
    <row r="172" spans="2:10" x14ac:dyDescent="0.5">
      <c r="C172" s="535" t="s">
        <v>73</v>
      </c>
      <c r="D172" s="535" t="s">
        <v>74</v>
      </c>
      <c r="E172" s="535" t="s">
        <v>75</v>
      </c>
      <c r="F172" s="535" t="s">
        <v>76</v>
      </c>
      <c r="G172" s="535" t="s">
        <v>77</v>
      </c>
      <c r="H172" s="535" t="s">
        <v>78</v>
      </c>
      <c r="I172" s="535" t="s">
        <v>79</v>
      </c>
      <c r="J172" s="535" t="s">
        <v>80</v>
      </c>
    </row>
    <row r="173" spans="2:10" x14ac:dyDescent="0.5">
      <c r="B173" t="s">
        <v>506</v>
      </c>
      <c r="C173" s="101">
        <f>MODEL!AJ82-MODEL!AE82</f>
        <v>3.1809832733826038E-2</v>
      </c>
      <c r="D173" s="388">
        <f>D151-C151</f>
        <v>1.1537690035037462E-2</v>
      </c>
      <c r="E173" s="388">
        <f t="shared" ref="E173:J174" si="10">E151-D151</f>
        <v>3.4854496011526015E-2</v>
      </c>
      <c r="F173" s="388">
        <f t="shared" si="10"/>
        <v>2.0058897555244148E-2</v>
      </c>
      <c r="G173" s="388">
        <f t="shared" si="10"/>
        <v>1.8535513722942765E-2</v>
      </c>
      <c r="H173" s="388">
        <f t="shared" si="10"/>
        <v>1.3768071784363844E-2</v>
      </c>
      <c r="I173" s="388">
        <f t="shared" si="10"/>
        <v>5.0615083606512234E-3</v>
      </c>
      <c r="J173" s="388">
        <f t="shared" si="10"/>
        <v>5.7104944616501729E-3</v>
      </c>
    </row>
    <row r="174" spans="2:10" x14ac:dyDescent="0.5">
      <c r="B174" t="s">
        <v>507</v>
      </c>
      <c r="C174" s="536">
        <f>MODEL!AJ136-MODEL!AE136</f>
        <v>1.0835724541826464E-2</v>
      </c>
      <c r="D174" s="534">
        <f>D152-C152</f>
        <v>2.9997994091097713E-3</v>
      </c>
      <c r="E174" s="534">
        <f t="shared" si="10"/>
        <v>9.0621689629968305E-3</v>
      </c>
      <c r="F174" s="534">
        <f t="shared" si="10"/>
        <v>5.2153133643635385E-3</v>
      </c>
      <c r="G174" s="534">
        <f t="shared" si="10"/>
        <v>4.8192335679649867E-3</v>
      </c>
      <c r="H174" s="534">
        <f t="shared" si="10"/>
        <v>3.579698663934594E-3</v>
      </c>
      <c r="I174" s="534">
        <f t="shared" si="10"/>
        <v>1.3159921737693203E-3</v>
      </c>
      <c r="J174" s="534">
        <f t="shared" si="10"/>
        <v>1.4847285600291249E-3</v>
      </c>
    </row>
    <row r="194" spans="2:12" x14ac:dyDescent="0.5">
      <c r="C194" s="535" t="s">
        <v>73</v>
      </c>
      <c r="D194" s="535" t="s">
        <v>74</v>
      </c>
      <c r="E194" s="535" t="s">
        <v>75</v>
      </c>
      <c r="F194" s="535" t="s">
        <v>76</v>
      </c>
      <c r="G194" s="535" t="s">
        <v>77</v>
      </c>
      <c r="H194" s="535" t="s">
        <v>78</v>
      </c>
      <c r="I194" s="535" t="s">
        <v>79</v>
      </c>
      <c r="J194" s="535" t="s">
        <v>80</v>
      </c>
    </row>
    <row r="195" spans="2:12" x14ac:dyDescent="0.5">
      <c r="B195" t="s">
        <v>511</v>
      </c>
      <c r="C195" s="408">
        <f>E227-E229</f>
        <v>0.51449421236481241</v>
      </c>
      <c r="D195" s="408">
        <f t="shared" ref="D195:J195" si="11">F227-F229</f>
        <v>0.48365295288652932</v>
      </c>
      <c r="E195" s="408">
        <f t="shared" si="11"/>
        <v>0.48019183748684502</v>
      </c>
      <c r="F195" s="408">
        <f t="shared" si="11"/>
        <v>0.47868100743964526</v>
      </c>
      <c r="G195" s="408">
        <f t="shared" si="11"/>
        <v>0.47538515463356035</v>
      </c>
      <c r="H195" s="408">
        <f t="shared" si="11"/>
        <v>0.47170576771853556</v>
      </c>
      <c r="I195" s="408">
        <f t="shared" si="11"/>
        <v>0.47021276557493208</v>
      </c>
      <c r="J195" s="408">
        <f t="shared" si="11"/>
        <v>0.46831746482987091</v>
      </c>
    </row>
    <row r="196" spans="2:12" x14ac:dyDescent="0.5">
      <c r="B196" t="s">
        <v>510</v>
      </c>
      <c r="C196" s="408">
        <f>'[4]2. Consolidated'!CY38-'[4]2. Consolidated'!CY53</f>
        <v>0.35188685670910513</v>
      </c>
      <c r="D196" s="408">
        <f>'[4]2. Consolidated'!DD38-'[4]2. Consolidated'!DD53</f>
        <v>0.35228017936405931</v>
      </c>
      <c r="E196" s="408">
        <f>'[4]2. Consolidated'!DI38-'[4]2. Consolidated'!DI53</f>
        <v>0.35078610376797487</v>
      </c>
    </row>
    <row r="197" spans="2:12" x14ac:dyDescent="0.5">
      <c r="B197" t="s">
        <v>512</v>
      </c>
      <c r="C197" s="408">
        <f>'[5]Income Statement'!CO61-'[5]Income Statement'!CO78</f>
        <v>0.33385574787904998</v>
      </c>
      <c r="D197" s="408">
        <f>'[5]Income Statement'!CT61-'[5]Income Statement'!CT78</f>
        <v>0.33062816509683057</v>
      </c>
      <c r="E197" s="408">
        <f>'[5]Income Statement'!CY61-'[5]Income Statement'!CY78</f>
        <v>0.32972818984341667</v>
      </c>
    </row>
    <row r="198" spans="2:12" x14ac:dyDescent="0.5">
      <c r="B198" t="s">
        <v>513</v>
      </c>
      <c r="C198" s="408">
        <f>'[6]P&amp;L'!AF126-'[6]P&amp;L'!AF162</f>
        <v>0.40329129428843608</v>
      </c>
      <c r="D198" s="408">
        <f>'[6]P&amp;L'!AG126-'[6]P&amp;L'!AG162</f>
        <v>0.47220470930073172</v>
      </c>
      <c r="E198" s="408">
        <f>'[6]P&amp;L'!AH126-'[6]P&amp;L'!AH162</f>
        <v>0.47574136197737105</v>
      </c>
      <c r="F198" s="408">
        <f>'[6]P&amp;L'!AI126-'[6]P&amp;L'!AI162</f>
        <v>0.44492619916615189</v>
      </c>
      <c r="G198" s="408">
        <f>'[6]P&amp;L'!AJ126-'[6]P&amp;L'!AJ162</f>
        <v>0.42662225826026967</v>
      </c>
    </row>
    <row r="199" spans="2:12" x14ac:dyDescent="0.5">
      <c r="B199" t="s">
        <v>514</v>
      </c>
      <c r="C199" s="408">
        <f>'[7]Profit and Loss'!AE335-'[7]Profit and Loss'!AE370</f>
        <v>0.45563604393696033</v>
      </c>
      <c r="D199" s="408">
        <f>'[7]Profit and Loss'!AF335-'[7]Profit and Loss'!AF370</f>
        <v>0.43618546239941819</v>
      </c>
      <c r="E199" s="408">
        <f>'[7]Profit and Loss'!AG335-'[7]Profit and Loss'!AG370</f>
        <v>0.41531100776334179</v>
      </c>
      <c r="F199" s="408">
        <f>'[7]Profit and Loss'!AH335-'[7]Profit and Loss'!AH370</f>
        <v>0.4093018213018082</v>
      </c>
      <c r="G199" s="408">
        <f>'[7]Profit and Loss'!AI335-'[7]Profit and Loss'!AI370</f>
        <v>0.40525654123030586</v>
      </c>
    </row>
    <row r="201" spans="2:12" x14ac:dyDescent="0.5">
      <c r="E201" s="388"/>
    </row>
    <row r="202" spans="2:12" x14ac:dyDescent="0.5">
      <c r="B202" t="s">
        <v>502</v>
      </c>
    </row>
    <row r="203" spans="2:12" x14ac:dyDescent="0.5">
      <c r="C203">
        <v>2022</v>
      </c>
      <c r="D203">
        <v>2023</v>
      </c>
      <c r="E203" s="535" t="s">
        <v>73</v>
      </c>
      <c r="F203" s="535" t="s">
        <v>74</v>
      </c>
      <c r="G203" s="535" t="s">
        <v>75</v>
      </c>
      <c r="H203" s="535" t="s">
        <v>76</v>
      </c>
      <c r="I203" s="535" t="s">
        <v>77</v>
      </c>
      <c r="J203" s="535" t="s">
        <v>78</v>
      </c>
      <c r="K203" s="535" t="s">
        <v>79</v>
      </c>
      <c r="L203" s="535" t="s">
        <v>80</v>
      </c>
    </row>
    <row r="204" spans="2:12" x14ac:dyDescent="0.5">
      <c r="B204" t="s">
        <v>378</v>
      </c>
      <c r="C204" s="101">
        <f>1-C205</f>
        <v>0.36420914818754613</v>
      </c>
      <c r="D204" s="101">
        <f t="shared" ref="D204:L204" si="12">1-D205</f>
        <v>0.37486747391328601</v>
      </c>
      <c r="E204" s="101">
        <f t="shared" si="12"/>
        <v>0.40667730664711199</v>
      </c>
      <c r="F204" s="101">
        <f t="shared" si="12"/>
        <v>0.41821499668214945</v>
      </c>
      <c r="G204" s="101">
        <f t="shared" si="12"/>
        <v>0.45306949269367547</v>
      </c>
      <c r="H204" s="101">
        <f t="shared" si="12"/>
        <v>0.47312839024891962</v>
      </c>
      <c r="I204" s="101">
        <f t="shared" si="12"/>
        <v>0.49166390397186244</v>
      </c>
      <c r="J204" s="101">
        <f t="shared" si="12"/>
        <v>0.50543197575622623</v>
      </c>
      <c r="K204" s="101">
        <f t="shared" si="12"/>
        <v>0.51049348411687734</v>
      </c>
      <c r="L204" s="101">
        <f t="shared" si="12"/>
        <v>0.51620397857852762</v>
      </c>
    </row>
    <row r="205" spans="2:12" x14ac:dyDescent="0.5">
      <c r="B205" t="s">
        <v>379</v>
      </c>
      <c r="C205" s="101">
        <f>MODEL!Z119</f>
        <v>0.63579085181245387</v>
      </c>
      <c r="D205" s="101">
        <f>MODEL!AE119</f>
        <v>0.62513252608671399</v>
      </c>
      <c r="E205" s="101">
        <f>MODEL!AJ119</f>
        <v>0.59332269335288801</v>
      </c>
      <c r="F205" s="101">
        <f>MODEL!AO119</f>
        <v>0.58178500331785055</v>
      </c>
      <c r="G205" s="101">
        <f>MODEL!AT119</f>
        <v>0.54693050730632453</v>
      </c>
      <c r="H205" s="101">
        <f>MODEL!AU119</f>
        <v>0.52687160975108038</v>
      </c>
      <c r="I205" s="101">
        <f>MODEL!AV119</f>
        <v>0.50833609602813756</v>
      </c>
      <c r="J205" s="101">
        <f>MODEL!AW119</f>
        <v>0.49456802424377377</v>
      </c>
      <c r="K205" s="101">
        <f>MODEL!AX119</f>
        <v>0.48950651588312261</v>
      </c>
      <c r="L205" s="101">
        <f>MODEL!AY119</f>
        <v>0.48379602142147238</v>
      </c>
    </row>
    <row r="207" spans="2:12" x14ac:dyDescent="0.5">
      <c r="B207" t="s">
        <v>515</v>
      </c>
    </row>
    <row r="208" spans="2:12" x14ac:dyDescent="0.5">
      <c r="C208">
        <v>2022</v>
      </c>
      <c r="D208">
        <v>2023</v>
      </c>
      <c r="E208" s="535" t="s">
        <v>73</v>
      </c>
      <c r="F208" s="535" t="s">
        <v>74</v>
      </c>
      <c r="G208" s="535" t="s">
        <v>75</v>
      </c>
      <c r="H208" s="535" t="s">
        <v>76</v>
      </c>
      <c r="I208" s="535" t="s">
        <v>77</v>
      </c>
      <c r="J208" s="535" t="s">
        <v>78</v>
      </c>
      <c r="K208" s="535" t="s">
        <v>79</v>
      </c>
      <c r="L208" s="535" t="s">
        <v>80</v>
      </c>
    </row>
    <row r="209" spans="2:13" x14ac:dyDescent="0.5">
      <c r="B209" t="s">
        <v>378</v>
      </c>
      <c r="C209" s="101">
        <f>MODEL!Z90</f>
        <v>0.32037294989889925</v>
      </c>
      <c r="D209" s="388">
        <f>C209+(MODEL!AE137/10000)</f>
        <v>0.35544666286951848</v>
      </c>
      <c r="E209" s="388">
        <f t="shared" ref="E209:G209" si="13">D209</f>
        <v>0.35544666286951848</v>
      </c>
      <c r="F209" s="388">
        <f t="shared" si="13"/>
        <v>0.35544666286951848</v>
      </c>
      <c r="G209" s="388">
        <f t="shared" si="13"/>
        <v>0.35544666286951848</v>
      </c>
      <c r="H209" s="388">
        <f>G209+0.002</f>
        <v>0.35744666286951848</v>
      </c>
      <c r="I209" s="388">
        <f t="shared" ref="I209:L209" si="14">H209+0.002</f>
        <v>0.35944666286951849</v>
      </c>
      <c r="J209" s="388">
        <f t="shared" si="14"/>
        <v>0.36144666286951849</v>
      </c>
      <c r="K209" s="388">
        <f t="shared" si="14"/>
        <v>0.36344666286951849</v>
      </c>
      <c r="L209" s="388">
        <f t="shared" si="14"/>
        <v>0.36544666286951849</v>
      </c>
      <c r="M209" s="388">
        <f t="shared" ref="M209:M211" si="15">L209-G209</f>
        <v>1.0000000000000009E-2</v>
      </c>
    </row>
    <row r="210" spans="2:13" x14ac:dyDescent="0.5">
      <c r="B210" t="s">
        <v>379</v>
      </c>
      <c r="C210" s="101">
        <f>MODEL!Z127</f>
        <v>0.22600000000000001</v>
      </c>
      <c r="D210" s="388">
        <f t="shared" ref="D210:L210" si="16">(D211-(D209*D204))/D205</f>
        <v>0.2319119270590535</v>
      </c>
      <c r="E210" s="388">
        <f t="shared" si="16"/>
        <v>0.24531616341366572</v>
      </c>
      <c r="F210" s="388">
        <f t="shared" si="16"/>
        <v>0.27719388734130129</v>
      </c>
      <c r="G210" s="388">
        <f t="shared" si="16"/>
        <v>0.29063648608107029</v>
      </c>
      <c r="H210" s="388">
        <f t="shared" si="16"/>
        <v>0.29396504372264443</v>
      </c>
      <c r="I210" s="388">
        <f t="shared" si="16"/>
        <v>0.29758471146526916</v>
      </c>
      <c r="J210" s="388">
        <f t="shared" si="16"/>
        <v>0.30190649564066396</v>
      </c>
      <c r="K210" s="388">
        <f t="shared" si="16"/>
        <v>0.30329084897520575</v>
      </c>
      <c r="L210" s="388">
        <f t="shared" si="16"/>
        <v>0.304580798815905</v>
      </c>
      <c r="M210" s="388">
        <f t="shared" si="15"/>
        <v>1.3944312734834707E-2</v>
      </c>
    </row>
    <row r="211" spans="2:13" x14ac:dyDescent="0.5">
      <c r="B211" t="s">
        <v>165</v>
      </c>
      <c r="C211" s="101">
        <f>MODEL!Z149</f>
        <v>0.26037149169462409</v>
      </c>
      <c r="D211" s="101">
        <f>MODEL!AE149</f>
        <v>0.27822108141286767</v>
      </c>
      <c r="E211" s="101">
        <f>MODEL!AJ149</f>
        <v>0.29010373831207314</v>
      </c>
      <c r="F211" s="101">
        <f>MODEL!AO149</f>
        <v>0.3099203715992036</v>
      </c>
      <c r="G211" s="101">
        <f>MODEL!AT149</f>
        <v>0.31999999999999995</v>
      </c>
      <c r="H211" s="101">
        <f>MODEL!AU149</f>
        <v>0.32399999999999995</v>
      </c>
      <c r="I211" s="101">
        <f>MODEL!AV149</f>
        <v>0.32800000000000001</v>
      </c>
      <c r="J211" s="101">
        <f>MODEL!AW149</f>
        <v>0.33200000000000002</v>
      </c>
      <c r="K211" s="101">
        <f>MODEL!AX149</f>
        <v>0.33399999999999991</v>
      </c>
      <c r="L211" s="101">
        <f>MODEL!AY149</f>
        <v>0.33600000000000008</v>
      </c>
      <c r="M211" s="388">
        <f t="shared" si="15"/>
        <v>1.6000000000000125E-2</v>
      </c>
    </row>
    <row r="213" spans="2:13" x14ac:dyDescent="0.5">
      <c r="B213" t="s">
        <v>516</v>
      </c>
    </row>
    <row r="214" spans="2:13" x14ac:dyDescent="0.5">
      <c r="B214" t="s">
        <v>528</v>
      </c>
      <c r="C214" s="101">
        <f>MODEL!Z152</f>
        <v>0.1251125112511251</v>
      </c>
      <c r="D214" s="101">
        <f>MODEL!AE152</f>
        <v>0.12370961441883824</v>
      </c>
      <c r="E214" s="101">
        <f>MODEL!AJ152</f>
        <v>0.12290242975683799</v>
      </c>
      <c r="F214" s="101">
        <f>MODEL!AO152</f>
        <v>0.12179827471798266</v>
      </c>
      <c r="G214" s="101">
        <f>MODEL!AT152</f>
        <v>0.12012435996379521</v>
      </c>
      <c r="H214" s="101">
        <f>MODEL!AU152</f>
        <v>0.11839821655223198</v>
      </c>
      <c r="I214" s="101">
        <f>MODEL!AV152</f>
        <v>0.11528313017818216</v>
      </c>
      <c r="J214" s="101">
        <f>MODEL!AW152</f>
        <v>0.11202404459922277</v>
      </c>
      <c r="K214" s="101">
        <f>MODEL!AX152</f>
        <v>0.11121505028184983</v>
      </c>
      <c r="L214" s="101">
        <f>MODEL!AY152</f>
        <v>0.10983502097675968</v>
      </c>
      <c r="M214" s="388">
        <f t="shared" ref="M214:M215" si="17">L214-G214</f>
        <v>-1.0289338987035532E-2</v>
      </c>
    </row>
    <row r="215" spans="2:13" x14ac:dyDescent="0.5">
      <c r="B215" t="s">
        <v>529</v>
      </c>
      <c r="C215" s="101">
        <f>MODEL!Z159</f>
        <v>3.7967433106947064E-2</v>
      </c>
      <c r="D215" s="101">
        <f>MODEL!AE159</f>
        <v>3.6214496958875075E-2</v>
      </c>
      <c r="E215" s="101">
        <f>MODEL!AJ159</f>
        <v>4.5118429623294334E-2</v>
      </c>
      <c r="F215" s="101">
        <f>MODEL!AO159</f>
        <v>4.2269409422694082E-2</v>
      </c>
      <c r="G215" s="101">
        <f>MODEL!AT159</f>
        <v>4.2269409422694082E-2</v>
      </c>
      <c r="H215" s="101">
        <f>MODEL!AU159</f>
        <v>4.1269409422694081E-2</v>
      </c>
      <c r="I215" s="101">
        <f>MODEL!AV159</f>
        <v>4.026940942269408E-2</v>
      </c>
      <c r="J215" s="101">
        <f>MODEL!AW159</f>
        <v>4.026940942269408E-2</v>
      </c>
      <c r="K215" s="101">
        <f>MODEL!AX159</f>
        <v>4.026940942269408E-2</v>
      </c>
      <c r="L215" s="101">
        <f>MODEL!AY159</f>
        <v>4.026940942269408E-2</v>
      </c>
      <c r="M215" s="388">
        <f t="shared" si="17"/>
        <v>-2.0000000000000018E-3</v>
      </c>
    </row>
    <row r="216" spans="2:13" x14ac:dyDescent="0.5">
      <c r="B216" t="s">
        <v>527</v>
      </c>
      <c r="C216" s="101">
        <f>MODEL!Z162</f>
        <v>2.7657311185664019E-2</v>
      </c>
      <c r="D216" s="101">
        <f>MODEL!AE162</f>
        <v>1.7744545505273143E-2</v>
      </c>
      <c r="E216" s="101">
        <f>MODEL!AJ162</f>
        <v>3.0840991568504252E-2</v>
      </c>
      <c r="F216" s="101">
        <f>MODEL!AO162</f>
        <v>2.0769741207697406E-2</v>
      </c>
      <c r="G216" s="101">
        <f>MODEL!AT162</f>
        <v>0.02</v>
      </c>
      <c r="H216" s="101">
        <f>MODEL!AU162</f>
        <v>0.02</v>
      </c>
      <c r="I216" s="101">
        <f>MODEL!AV162</f>
        <v>0.02</v>
      </c>
      <c r="J216" s="101">
        <f>MODEL!AW162</f>
        <v>0.02</v>
      </c>
      <c r="K216" s="101">
        <f>MODEL!AX162</f>
        <v>0.02</v>
      </c>
      <c r="L216" s="101">
        <f>MODEL!AY162</f>
        <v>0.02</v>
      </c>
    </row>
    <row r="217" spans="2:13" x14ac:dyDescent="0.5">
      <c r="B217" t="s">
        <v>519</v>
      </c>
      <c r="C217" s="388">
        <f>C211-C215-C214-C216</f>
        <v>6.9634236150887915E-2</v>
      </c>
      <c r="D217" s="388">
        <f t="shared" ref="D217:L217" si="18">D211-D215-D214-D216</f>
        <v>0.10055242452988121</v>
      </c>
      <c r="E217" s="388">
        <f t="shared" si="18"/>
        <v>9.124188736343658E-2</v>
      </c>
      <c r="F217" s="388">
        <f t="shared" si="18"/>
        <v>0.12508294625082947</v>
      </c>
      <c r="G217" s="388">
        <f t="shared" si="18"/>
        <v>0.13760623061351065</v>
      </c>
      <c r="H217" s="388">
        <f t="shared" si="18"/>
        <v>0.1443323740250739</v>
      </c>
      <c r="I217" s="388">
        <f t="shared" si="18"/>
        <v>0.1524474603991238</v>
      </c>
      <c r="J217" s="388">
        <f t="shared" si="18"/>
        <v>0.15970654597808318</v>
      </c>
      <c r="K217" s="388">
        <f t="shared" si="18"/>
        <v>0.16251554029545601</v>
      </c>
      <c r="L217" s="388">
        <f t="shared" si="18"/>
        <v>0.16589556960054633</v>
      </c>
      <c r="M217" s="388">
        <f>L217-G217</f>
        <v>2.8289338987035673E-2</v>
      </c>
    </row>
    <row r="220" spans="2:13" x14ac:dyDescent="0.5">
      <c r="D220">
        <v>2023</v>
      </c>
      <c r="E220" s="535" t="s">
        <v>73</v>
      </c>
      <c r="F220" s="535" t="s">
        <v>74</v>
      </c>
      <c r="G220" s="535" t="s">
        <v>75</v>
      </c>
      <c r="H220" s="535" t="s">
        <v>76</v>
      </c>
      <c r="I220" s="535" t="s">
        <v>77</v>
      </c>
      <c r="J220" s="535" t="s">
        <v>78</v>
      </c>
      <c r="K220" s="535" t="s">
        <v>79</v>
      </c>
      <c r="L220" s="535" t="s">
        <v>80</v>
      </c>
    </row>
    <row r="221" spans="2:13" x14ac:dyDescent="0.5">
      <c r="B221" t="s">
        <v>517</v>
      </c>
      <c r="D221" s="388">
        <f>D211-C211</f>
        <v>1.7849589718243575E-2</v>
      </c>
      <c r="E221" s="388">
        <f t="shared" ref="E221:L221" si="19">E211-D211</f>
        <v>1.1882656899205479E-2</v>
      </c>
      <c r="F221" s="388">
        <f t="shared" si="19"/>
        <v>1.9816633287130458E-2</v>
      </c>
      <c r="G221" s="388">
        <f t="shared" si="19"/>
        <v>1.0079628400796348E-2</v>
      </c>
      <c r="H221" s="388">
        <f t="shared" si="19"/>
        <v>4.0000000000000036E-3</v>
      </c>
      <c r="I221" s="388">
        <f t="shared" si="19"/>
        <v>4.0000000000000591E-3</v>
      </c>
      <c r="J221" s="388">
        <f t="shared" si="19"/>
        <v>4.0000000000000036E-3</v>
      </c>
      <c r="K221" s="388">
        <f t="shared" si="19"/>
        <v>1.9999999999998908E-3</v>
      </c>
      <c r="L221" s="388">
        <f t="shared" si="19"/>
        <v>2.0000000000001683E-3</v>
      </c>
    </row>
    <row r="222" spans="2:13" x14ac:dyDescent="0.5">
      <c r="B222" t="s">
        <v>518</v>
      </c>
      <c r="D222" s="388">
        <f>D214-C214</f>
        <v>-1.4028968322868651E-3</v>
      </c>
      <c r="E222" s="388">
        <f t="shared" ref="E222:L222" si="20">E214-D214</f>
        <v>-8.0718466200024874E-4</v>
      </c>
      <c r="F222" s="388">
        <f t="shared" si="20"/>
        <v>-1.1041550388553312E-3</v>
      </c>
      <c r="G222" s="388">
        <f t="shared" si="20"/>
        <v>-1.6739147541874472E-3</v>
      </c>
      <c r="H222" s="388">
        <f t="shared" si="20"/>
        <v>-1.7261434115632274E-3</v>
      </c>
      <c r="I222" s="388">
        <f t="shared" si="20"/>
        <v>-3.1150863740498219E-3</v>
      </c>
      <c r="J222" s="388">
        <f t="shared" si="20"/>
        <v>-3.2590855789593892E-3</v>
      </c>
      <c r="K222" s="388">
        <f t="shared" si="20"/>
        <v>-8.0899431737294081E-4</v>
      </c>
      <c r="L222" s="388">
        <f t="shared" si="20"/>
        <v>-1.3800293050901524E-3</v>
      </c>
    </row>
    <row r="223" spans="2:13" x14ac:dyDescent="0.5">
      <c r="B223" t="s">
        <v>520</v>
      </c>
      <c r="D223" s="388">
        <f>D217-C217</f>
        <v>3.0918188378993294E-2</v>
      </c>
      <c r="E223" s="388">
        <f t="shared" ref="E223:L223" si="21">E217-D217</f>
        <v>-9.3105371664446296E-3</v>
      </c>
      <c r="F223" s="388">
        <f t="shared" si="21"/>
        <v>3.3841058887392889E-2</v>
      </c>
      <c r="G223" s="388">
        <f t="shared" si="21"/>
        <v>1.2523284362681186E-2</v>
      </c>
      <c r="H223" s="388">
        <f t="shared" si="21"/>
        <v>6.7261434115632457E-3</v>
      </c>
      <c r="I223" s="388">
        <f t="shared" si="21"/>
        <v>8.1150863740498957E-3</v>
      </c>
      <c r="J223" s="388">
        <f t="shared" si="21"/>
        <v>7.2590855789593789E-3</v>
      </c>
      <c r="K223" s="388">
        <f t="shared" si="21"/>
        <v>2.8089943173728316E-3</v>
      </c>
      <c r="L223" s="388">
        <f t="shared" si="21"/>
        <v>3.3800293050903207E-3</v>
      </c>
    </row>
    <row r="226" spans="2:12" x14ac:dyDescent="0.5">
      <c r="C226">
        <v>2022</v>
      </c>
      <c r="D226">
        <v>2023</v>
      </c>
      <c r="E226" s="535" t="s">
        <v>73</v>
      </c>
      <c r="F226" s="535" t="s">
        <v>74</v>
      </c>
      <c r="G226" s="535" t="s">
        <v>75</v>
      </c>
      <c r="H226" s="535" t="s">
        <v>76</v>
      </c>
      <c r="I226" s="535" t="s">
        <v>77</v>
      </c>
      <c r="J226" s="535" t="s">
        <v>78</v>
      </c>
      <c r="K226" s="535" t="s">
        <v>79</v>
      </c>
      <c r="L226" s="535" t="s">
        <v>80</v>
      </c>
    </row>
    <row r="227" spans="2:12" x14ac:dyDescent="0.5">
      <c r="B227" t="s">
        <v>521</v>
      </c>
      <c r="C227" s="388">
        <f>MODEL!Z136</f>
        <v>0.56042877014974235</v>
      </c>
      <c r="D227" s="388">
        <f>MODEL!AE136</f>
        <v>0.59550248312036158</v>
      </c>
      <c r="E227" s="388">
        <f t="shared" ref="E227:L227" si="22">C145</f>
        <v>0.60573609972824904</v>
      </c>
      <c r="F227" s="388">
        <f t="shared" si="22"/>
        <v>0.60873589913735882</v>
      </c>
      <c r="G227" s="388">
        <f t="shared" si="22"/>
        <v>0.61779806810035565</v>
      </c>
      <c r="H227" s="388">
        <f t="shared" si="22"/>
        <v>0.62301338146471918</v>
      </c>
      <c r="I227" s="388">
        <f t="shared" si="22"/>
        <v>0.62783261503268417</v>
      </c>
      <c r="J227" s="388">
        <f t="shared" si="22"/>
        <v>0.63141231369661877</v>
      </c>
      <c r="K227" s="388">
        <f t="shared" si="22"/>
        <v>0.63272830587038809</v>
      </c>
      <c r="L227" s="388">
        <f t="shared" si="22"/>
        <v>0.63421303443041721</v>
      </c>
    </row>
    <row r="228" spans="2:12" x14ac:dyDescent="0.5">
      <c r="B228" t="s">
        <v>515</v>
      </c>
      <c r="C228" s="388">
        <f>C211</f>
        <v>0.26037149169462409</v>
      </c>
      <c r="D228" s="388">
        <f t="shared" ref="D228:L228" si="23">D211</f>
        <v>0.27822108141286767</v>
      </c>
      <c r="E228" s="388">
        <f t="shared" si="23"/>
        <v>0.29010373831207314</v>
      </c>
      <c r="F228" s="388">
        <f t="shared" si="23"/>
        <v>0.3099203715992036</v>
      </c>
      <c r="G228" s="388">
        <f t="shared" si="23"/>
        <v>0.31999999999999995</v>
      </c>
      <c r="H228" s="388">
        <f t="shared" si="23"/>
        <v>0.32399999999999995</v>
      </c>
      <c r="I228" s="388">
        <f t="shared" si="23"/>
        <v>0.32800000000000001</v>
      </c>
      <c r="J228" s="388">
        <f t="shared" si="23"/>
        <v>0.33200000000000002</v>
      </c>
      <c r="K228" s="388">
        <f t="shared" si="23"/>
        <v>0.33399999999999991</v>
      </c>
      <c r="L228" s="388">
        <f t="shared" si="23"/>
        <v>0.33600000000000008</v>
      </c>
    </row>
    <row r="229" spans="2:12" x14ac:dyDescent="0.5">
      <c r="B229" t="s">
        <v>531</v>
      </c>
      <c r="C229" s="388">
        <f>C217</f>
        <v>6.9634236150887915E-2</v>
      </c>
      <c r="D229" s="388">
        <f t="shared" ref="D229:L229" si="24">D217</f>
        <v>0.10055242452988121</v>
      </c>
      <c r="E229" s="388">
        <f t="shared" si="24"/>
        <v>9.124188736343658E-2</v>
      </c>
      <c r="F229" s="388">
        <f t="shared" si="24"/>
        <v>0.12508294625082947</v>
      </c>
      <c r="G229" s="388">
        <f t="shared" si="24"/>
        <v>0.13760623061351065</v>
      </c>
      <c r="H229" s="388">
        <f t="shared" si="24"/>
        <v>0.1443323740250739</v>
      </c>
      <c r="I229" s="388">
        <f t="shared" si="24"/>
        <v>0.1524474603991238</v>
      </c>
      <c r="J229" s="388">
        <f t="shared" si="24"/>
        <v>0.15970654597808318</v>
      </c>
      <c r="K229" s="388">
        <f t="shared" si="24"/>
        <v>0.16251554029545601</v>
      </c>
      <c r="L229" s="388">
        <f t="shared" si="24"/>
        <v>0.16589556960054633</v>
      </c>
    </row>
    <row r="250" spans="2:6" x14ac:dyDescent="0.5">
      <c r="B250" t="s">
        <v>524</v>
      </c>
    </row>
    <row r="251" spans="2:6" x14ac:dyDescent="0.5">
      <c r="C251" t="s">
        <v>257</v>
      </c>
      <c r="D251" t="s">
        <v>388</v>
      </c>
      <c r="E251" t="s">
        <v>201</v>
      </c>
      <c r="F251" t="s">
        <v>530</v>
      </c>
    </row>
    <row r="252" spans="2:6" x14ac:dyDescent="0.5">
      <c r="B252" t="s">
        <v>111</v>
      </c>
      <c r="C252" s="101">
        <f>'[6]P&amp;L'!$AH$126</f>
        <v>0.47</v>
      </c>
      <c r="D252" s="101">
        <f>'[8]Profit and Loss'!$AG$335</f>
        <v>0.51500000000000001</v>
      </c>
      <c r="E252" s="101">
        <f>G227</f>
        <v>0.61779806810035565</v>
      </c>
      <c r="F252" s="101">
        <f>Valuation!T54</f>
        <v>0.66</v>
      </c>
    </row>
    <row r="253" spans="2:6" x14ac:dyDescent="0.5">
      <c r="B253" t="s">
        <v>525</v>
      </c>
      <c r="C253" s="101">
        <f>C252-C254</f>
        <v>0.47574136197737105</v>
      </c>
      <c r="D253" s="101">
        <f>D252-D254</f>
        <v>0.42034406860274154</v>
      </c>
      <c r="E253" s="101">
        <f>E252-E254</f>
        <v>0.48019183748684502</v>
      </c>
      <c r="F253" s="101">
        <f>F252-F254</f>
        <v>0.49010443039945373</v>
      </c>
    </row>
    <row r="254" spans="2:6" x14ac:dyDescent="0.5">
      <c r="B254" t="s">
        <v>526</v>
      </c>
      <c r="C254" s="101">
        <f>'[6]P&amp;L'!$AH$162</f>
        <v>-5.7413619773710603E-3</v>
      </c>
      <c r="D254" s="101">
        <f>'[8]Profit and Loss'!$AG$375</f>
        <v>9.4655931397258475E-2</v>
      </c>
      <c r="E254" s="101">
        <f>G229</f>
        <v>0.13760623061351065</v>
      </c>
      <c r="F254" s="101">
        <f>Valuation!T56+(Valuation!T16/Valuation!T49)</f>
        <v>0.16989556960054633</v>
      </c>
    </row>
  </sheetData>
  <pageMargins left="0.7" right="0.7" top="0.75" bottom="0.75" header="0.3" footer="0.3"/>
  <pageSetup paperSize="0" orientation="portrait" r:id="rId1"/>
  <customProperties>
    <customPr name="Qube.Worksheet.Visibility" r:id="rId2"/>
  </customPropertie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AC31"/>
  <sheetViews>
    <sheetView showGridLines="0" workbookViewId="0">
      <selection activeCell="K9" sqref="K9"/>
    </sheetView>
  </sheetViews>
  <sheetFormatPr defaultRowHeight="15.75" x14ac:dyDescent="0.5"/>
  <cols>
    <col min="2" max="2" width="11.25" bestFit="1" customWidth="1"/>
    <col min="4" max="4" width="12.75" bestFit="1" customWidth="1"/>
    <col min="5" max="5" width="12.75" customWidth="1"/>
    <col min="7" max="7" width="12.125" bestFit="1" customWidth="1"/>
    <col min="8" max="8" width="12.125" customWidth="1"/>
    <col min="10" max="10" width="13.75" bestFit="1" customWidth="1"/>
    <col min="11" max="11" width="13.75" customWidth="1"/>
    <col min="13" max="13" width="11.875" bestFit="1" customWidth="1"/>
    <col min="14" max="14" width="12.375" bestFit="1" customWidth="1"/>
    <col min="17" max="17" width="13.875" customWidth="1"/>
    <col min="18" max="29" width="6.625" customWidth="1"/>
  </cols>
  <sheetData>
    <row r="1" spans="2:29" s="78" customFormat="1" ht="16.149999999999999" thickBot="1" x14ac:dyDescent="0.55000000000000004">
      <c r="C1" s="613" t="s">
        <v>70</v>
      </c>
      <c r="D1" s="614"/>
      <c r="E1" s="615"/>
      <c r="F1" s="613" t="s">
        <v>71</v>
      </c>
      <c r="G1" s="614"/>
      <c r="H1" s="615"/>
      <c r="I1" s="613" t="s">
        <v>72</v>
      </c>
      <c r="J1" s="614"/>
      <c r="K1" s="615"/>
      <c r="L1" s="613" t="s">
        <v>73</v>
      </c>
      <c r="M1" s="614"/>
      <c r="N1" s="615"/>
      <c r="Q1"/>
      <c r="R1"/>
      <c r="S1"/>
      <c r="T1"/>
      <c r="U1"/>
      <c r="V1"/>
      <c r="W1"/>
      <c r="X1"/>
      <c r="Y1"/>
      <c r="Z1"/>
      <c r="AA1"/>
      <c r="AB1"/>
      <c r="AC1"/>
    </row>
    <row r="2" spans="2:29" s="78" customFormat="1" x14ac:dyDescent="0.5">
      <c r="C2" s="91" t="s">
        <v>239</v>
      </c>
      <c r="D2" s="92" t="s">
        <v>237</v>
      </c>
      <c r="E2" s="93" t="s">
        <v>238</v>
      </c>
      <c r="F2" s="91" t="s">
        <v>239</v>
      </c>
      <c r="G2" s="92" t="s">
        <v>237</v>
      </c>
      <c r="H2" s="93" t="s">
        <v>238</v>
      </c>
      <c r="I2" s="91" t="s">
        <v>239</v>
      </c>
      <c r="J2" s="92" t="s">
        <v>237</v>
      </c>
      <c r="K2" s="93" t="s">
        <v>238</v>
      </c>
      <c r="L2" s="91" t="s">
        <v>239</v>
      </c>
      <c r="M2" s="92" t="s">
        <v>237</v>
      </c>
      <c r="N2" s="93" t="s">
        <v>238</v>
      </c>
      <c r="Q2" s="616" t="s">
        <v>443</v>
      </c>
      <c r="R2" s="610" t="s">
        <v>71</v>
      </c>
      <c r="S2" s="610"/>
      <c r="T2" s="611"/>
      <c r="U2" s="610" t="s">
        <v>72</v>
      </c>
      <c r="V2" s="610"/>
      <c r="W2" s="611"/>
      <c r="X2" s="610" t="s">
        <v>73</v>
      </c>
      <c r="Y2" s="610"/>
      <c r="Z2" s="611"/>
      <c r="AA2" s="610" t="s">
        <v>74</v>
      </c>
      <c r="AB2" s="610"/>
      <c r="AC2" s="612"/>
    </row>
    <row r="3" spans="2:29" x14ac:dyDescent="0.5">
      <c r="B3" s="79" t="s">
        <v>99</v>
      </c>
      <c r="C3" s="94">
        <f>MODEL!U131</f>
        <v>724.60000000000014</v>
      </c>
      <c r="D3" s="80">
        <f>'[9]Income Statement'!$Q$13/1000000</f>
        <v>684.21325938209065</v>
      </c>
      <c r="E3" s="81">
        <f>C3/D3-1</f>
        <v>5.9026538968833364E-2</v>
      </c>
      <c r="F3" s="94">
        <f>MODEL!Z131</f>
        <v>1222.0999999999999</v>
      </c>
      <c r="G3" s="80">
        <f>'[9]Income Statement'!$V$13/1000000</f>
        <v>906.93526216169471</v>
      </c>
      <c r="H3" s="81">
        <f>F3/G3-1</f>
        <v>0.34750522003864415</v>
      </c>
      <c r="I3" s="94">
        <f>MODEL!AE131</f>
        <v>1792.1</v>
      </c>
      <c r="J3" s="80">
        <f>'[9]Income Statement'!$W$13/1000000</f>
        <v>1301.0005517997699</v>
      </c>
      <c r="K3" s="81">
        <f>I3/J3-1</f>
        <v>0.37747827817663571</v>
      </c>
      <c r="L3" s="94">
        <f>MODEL!AJ131</f>
        <v>2318.3000000000002</v>
      </c>
      <c r="M3" s="80">
        <f>'[9]Income Statement'!$X$13/1000000</f>
        <v>1711.1553509193382</v>
      </c>
      <c r="N3" s="81">
        <f>L3/M3-1</f>
        <v>0.35481562136042566</v>
      </c>
      <c r="O3" s="109"/>
      <c r="Q3" s="617"/>
      <c r="R3" s="411" t="s">
        <v>239</v>
      </c>
      <c r="S3" s="411" t="s">
        <v>433</v>
      </c>
      <c r="T3" s="416" t="s">
        <v>292</v>
      </c>
      <c r="U3" s="411" t="s">
        <v>239</v>
      </c>
      <c r="V3" s="411" t="s">
        <v>433</v>
      </c>
      <c r="W3" s="416" t="s">
        <v>292</v>
      </c>
      <c r="X3" s="411" t="s">
        <v>239</v>
      </c>
      <c r="Y3" s="411" t="s">
        <v>433</v>
      </c>
      <c r="Z3" s="416" t="s">
        <v>292</v>
      </c>
      <c r="AA3" s="411" t="s">
        <v>239</v>
      </c>
      <c r="AB3" s="411" t="s">
        <v>433</v>
      </c>
      <c r="AC3" s="412" t="s">
        <v>292</v>
      </c>
    </row>
    <row r="4" spans="2:29" x14ac:dyDescent="0.5">
      <c r="B4" s="82" t="s">
        <v>234</v>
      </c>
      <c r="C4" s="95">
        <f>MODEL!U135</f>
        <v>430.29999999999995</v>
      </c>
      <c r="D4" s="83">
        <f>'[9]Income Statement'!$Q$19/1000000</f>
        <v>388.78328331379106</v>
      </c>
      <c r="E4" s="84">
        <f t="shared" ref="E4:E11" si="0">C4/D4-1</f>
        <v>0.10678627005858243</v>
      </c>
      <c r="F4" s="95">
        <f>MODEL!Z135</f>
        <v>684.90000000000009</v>
      </c>
      <c r="G4" s="83">
        <f>'[9]Income Statement'!$V$19/1000000</f>
        <v>520.13770635410754</v>
      </c>
      <c r="H4" s="84">
        <f t="shared" ref="H4:H11" si="1">F4/G4-1</f>
        <v>0.31676667857977425</v>
      </c>
      <c r="I4" s="95">
        <f>MODEL!AE135</f>
        <v>1067.2</v>
      </c>
      <c r="J4" s="83">
        <f>'[9]Income Statement'!$W$19/1000000</f>
        <v>761.15061304713618</v>
      </c>
      <c r="K4" s="84">
        <f t="shared" ref="K4:K11" si="2">I4/J4-1</f>
        <v>0.40208781508780178</v>
      </c>
      <c r="L4" s="95">
        <f>MODEL!AJ135</f>
        <v>1405.6738668232506</v>
      </c>
      <c r="M4" s="83">
        <f>'[9]Income Statement'!$X$19/1000000</f>
        <v>1004.8565255526208</v>
      </c>
      <c r="N4" s="84">
        <f t="shared" ref="N4:N11" si="3">L4/M4-1</f>
        <v>0.39888016953485006</v>
      </c>
      <c r="O4" s="109"/>
      <c r="P4" t="s">
        <v>266</v>
      </c>
      <c r="Q4" s="413" t="s">
        <v>99</v>
      </c>
      <c r="R4" s="246">
        <f>MODEL!$Z$131</f>
        <v>1222.0999999999999</v>
      </c>
      <c r="S4" s="247">
        <v>1130</v>
      </c>
      <c r="T4" s="248">
        <f>R4/S4-1</f>
        <v>8.1504424778761075E-2</v>
      </c>
      <c r="U4" s="246">
        <f>MODEL!AE131</f>
        <v>1792.1</v>
      </c>
      <c r="V4" s="247">
        <v>1549.6</v>
      </c>
      <c r="W4" s="248">
        <f>U4/V4-1</f>
        <v>0.15649199793495105</v>
      </c>
      <c r="X4" s="246">
        <f>MODEL!AJ131</f>
        <v>2318.3000000000002</v>
      </c>
      <c r="Y4" s="247">
        <v>2031.4</v>
      </c>
      <c r="Z4" s="248">
        <f>X4/Y4-1</f>
        <v>0.14123264743526631</v>
      </c>
      <c r="AA4" s="246">
        <f>MODEL!AO131</f>
        <v>3014.0000000000009</v>
      </c>
      <c r="AB4" s="247">
        <v>2486</v>
      </c>
      <c r="AC4" s="248">
        <f>AA4/AB4-1</f>
        <v>0.21238938053097378</v>
      </c>
    </row>
    <row r="5" spans="2:29" x14ac:dyDescent="0.5">
      <c r="B5" s="82" t="s">
        <v>235</v>
      </c>
      <c r="C5" s="95">
        <f>MODEL!U153</f>
        <v>96.385999999999996</v>
      </c>
      <c r="D5" s="83">
        <f>'[9]Income Statement'!$Q$68/1000000</f>
        <v>85.803851086640236</v>
      </c>
      <c r="E5" s="84">
        <f t="shared" si="0"/>
        <v>0.12332953334081087</v>
      </c>
      <c r="F5" s="95">
        <f>MODEL!Z153</f>
        <v>165.30000000000013</v>
      </c>
      <c r="G5" s="83">
        <f>'[9]Income Statement'!$V$68/1000000</f>
        <v>120.2646609813433</v>
      </c>
      <c r="H5" s="84">
        <f t="shared" si="1"/>
        <v>0.37446859826631185</v>
      </c>
      <c r="I5" s="95">
        <f>MODEL!AE153</f>
        <v>276.90000000000009</v>
      </c>
      <c r="J5" s="83">
        <f>'[9]Income Statement'!$W$68/1000000</f>
        <v>195.44335563486021</v>
      </c>
      <c r="K5" s="84">
        <f t="shared" si="2"/>
        <v>0.41677878534444734</v>
      </c>
      <c r="L5" s="95">
        <f>MODEL!AJ153</f>
        <v>387.62279362360175</v>
      </c>
      <c r="M5" s="83">
        <f>'[9]Income Statement'!$X$68/1000000</f>
        <v>267.46206544340941</v>
      </c>
      <c r="N5" s="84">
        <f t="shared" si="3"/>
        <v>0.44926269443476041</v>
      </c>
      <c r="O5" s="109"/>
      <c r="P5" t="s">
        <v>266</v>
      </c>
      <c r="Q5" s="414" t="s">
        <v>352</v>
      </c>
      <c r="R5" s="419">
        <f>MODEL!Z136</f>
        <v>0.56042877014974235</v>
      </c>
      <c r="S5" s="429">
        <f>S12/S4</f>
        <v>0.55955752212389376</v>
      </c>
      <c r="T5" s="417">
        <f>(R5-S5)*10000</f>
        <v>8.7124802584859218</v>
      </c>
      <c r="U5" s="419">
        <f>MODEL!AE136</f>
        <v>0.59550248312036158</v>
      </c>
      <c r="V5" s="429">
        <f>V12/V4</f>
        <v>0.58066597831698508</v>
      </c>
      <c r="W5" s="417">
        <f>(U5-V5)*10000</f>
        <v>148.36504803376505</v>
      </c>
      <c r="X5" s="419">
        <f>MODEL!AJ136</f>
        <v>0.60633820766218804</v>
      </c>
      <c r="Y5" s="429">
        <f>Y12/Y4</f>
        <v>0.58983951954317215</v>
      </c>
      <c r="Z5" s="417">
        <f>(X5-Y5)*10000</f>
        <v>164.98688119015893</v>
      </c>
      <c r="AA5" s="419">
        <f>MODEL!AO136</f>
        <v>0.62826808228268061</v>
      </c>
      <c r="AB5" s="429">
        <f>AB12/AB4</f>
        <v>0.59782783588093324</v>
      </c>
      <c r="AC5" s="417">
        <f>(AA5-AB5)*10000</f>
        <v>304.40246401747362</v>
      </c>
    </row>
    <row r="6" spans="2:29" x14ac:dyDescent="0.5">
      <c r="B6" s="82" t="s">
        <v>174</v>
      </c>
      <c r="C6" s="95">
        <f>MODEL!U163</f>
        <v>-141.12100000000004</v>
      </c>
      <c r="D6" s="83">
        <f>'[9]Income Statement'!$Q$37/1000000</f>
        <v>-98.359034797655013</v>
      </c>
      <c r="E6" s="84">
        <f t="shared" si="0"/>
        <v>0.43475381077412245</v>
      </c>
      <c r="F6" s="95">
        <f>MODEL!Z163</f>
        <v>85.100000000000122</v>
      </c>
      <c r="G6" s="83">
        <f>'[9]Income Statement'!$V$37/1000000</f>
        <v>-26.830968556944697</v>
      </c>
      <c r="H6" s="84">
        <f t="shared" si="1"/>
        <v>-4.1717080887105578</v>
      </c>
      <c r="I6" s="95">
        <f>MODEL!AE163</f>
        <v>180.20000000000005</v>
      </c>
      <c r="J6" s="83">
        <f>'[9]Income Statement'!$W$37/1000000</f>
        <v>96.47664157985966</v>
      </c>
      <c r="K6" s="84">
        <f t="shared" si="2"/>
        <v>0.8678096277930385</v>
      </c>
      <c r="L6" s="95">
        <f>MODEL!AJ163</f>
        <v>211.52606747465506</v>
      </c>
      <c r="M6" s="83">
        <f>'[9]Income Statement'!$X$37/1000000</f>
        <v>144.72040072396334</v>
      </c>
      <c r="N6" s="84">
        <f t="shared" si="3"/>
        <v>0.46161886241674699</v>
      </c>
      <c r="O6" s="109"/>
      <c r="P6" t="s">
        <v>266</v>
      </c>
      <c r="Q6" s="415" t="s">
        <v>435</v>
      </c>
      <c r="R6" s="420">
        <f>MODEL!Z155</f>
        <v>0.13525898044349902</v>
      </c>
      <c r="S6" s="430">
        <f>S7/S4</f>
        <v>0.13097345132743363</v>
      </c>
      <c r="T6" s="418">
        <f>(R6-S6)*10000</f>
        <v>42.855291160653898</v>
      </c>
      <c r="U6" s="420">
        <f>MODEL!AE155</f>
        <v>0.1545114669940294</v>
      </c>
      <c r="V6" s="430">
        <f>V7/V4</f>
        <v>0.15326535880227157</v>
      </c>
      <c r="W6" s="418">
        <f>(U6-V6)*10000</f>
        <v>12.461081917578277</v>
      </c>
      <c r="X6" s="420">
        <f>MODEL!AJ155</f>
        <v>0.16720130855523518</v>
      </c>
      <c r="Y6" s="430">
        <f>Y7/Y4</f>
        <v>0.16589544156739194</v>
      </c>
      <c r="Z6" s="418">
        <f>(X6-Y6)*10000</f>
        <v>13.058669878432404</v>
      </c>
      <c r="AA6" s="420">
        <f>MODEL!AO155</f>
        <v>0.18812209688122092</v>
      </c>
      <c r="AB6" s="430">
        <f>AB7/AB4</f>
        <v>0.16556717618664521</v>
      </c>
      <c r="AC6" s="418">
        <f>(AA6-AB6)*10000</f>
        <v>225.54920694575708</v>
      </c>
    </row>
    <row r="7" spans="2:29" x14ac:dyDescent="0.5">
      <c r="B7" s="82" t="s">
        <v>175</v>
      </c>
      <c r="C7" s="95">
        <f>MODEL!U167</f>
        <v>-159.62100000000004</v>
      </c>
      <c r="D7" s="83">
        <f>'[9]Income Statement'!$Q$42/1000000</f>
        <v>-99.385354686728149</v>
      </c>
      <c r="E7" s="84">
        <f t="shared" si="0"/>
        <v>0.60608170593283317</v>
      </c>
      <c r="F7" s="95">
        <f>MODEL!Z167</f>
        <v>77.900000000000006</v>
      </c>
      <c r="G7" s="83">
        <f>'[9]Income Statement'!$V$42/1000000</f>
        <v>-28.191371450187241</v>
      </c>
      <c r="H7" s="84">
        <f t="shared" si="1"/>
        <v>-3.7632568404004556</v>
      </c>
      <c r="I7" s="95">
        <f>MODEL!AE167</f>
        <v>69.099999999999994</v>
      </c>
      <c r="J7" s="83">
        <f>'[9]Income Statement'!$W$42/1000000</f>
        <v>94.525140752159999</v>
      </c>
      <c r="K7" s="84">
        <f t="shared" si="2"/>
        <v>-0.2689775497803637</v>
      </c>
      <c r="L7" s="95">
        <f>MODEL!AJ167</f>
        <v>279.62606747465509</v>
      </c>
      <c r="M7" s="83">
        <f>'[9]Income Statement'!$X$42/1000000</f>
        <v>142.15366769758432</v>
      </c>
      <c r="N7" s="84">
        <f t="shared" si="3"/>
        <v>0.96706896138288578</v>
      </c>
      <c r="O7" s="109"/>
      <c r="P7" t="s">
        <v>266</v>
      </c>
      <c r="Q7" s="414" t="s">
        <v>434</v>
      </c>
      <c r="R7" s="249">
        <f>MODEL!$Z$153</f>
        <v>165.30000000000013</v>
      </c>
      <c r="S7" s="250">
        <v>148</v>
      </c>
      <c r="T7" s="251">
        <f t="shared" ref="T7:T9" si="4">R7/S7-1</f>
        <v>0.11689189189189264</v>
      </c>
      <c r="U7" s="249">
        <f>MODEL!AE153</f>
        <v>276.90000000000009</v>
      </c>
      <c r="V7" s="250">
        <v>237.5</v>
      </c>
      <c r="W7" s="251">
        <f t="shared" ref="W7:W9" si="5">U7/V7-1</f>
        <v>0.16589473684210554</v>
      </c>
      <c r="X7" s="249">
        <f>MODEL!AJ153</f>
        <v>387.62279362360175</v>
      </c>
      <c r="Y7" s="250">
        <v>337</v>
      </c>
      <c r="Z7" s="251">
        <f t="shared" ref="Z7:Z9" si="6">X7/Y7-1</f>
        <v>0.15021600481780939</v>
      </c>
      <c r="AA7" s="249">
        <f>MODEL!AO153</f>
        <v>567</v>
      </c>
      <c r="AB7" s="250">
        <v>411.6</v>
      </c>
      <c r="AC7" s="251">
        <f t="shared" ref="AC7:AC9" si="7">AA7/AB7-1</f>
        <v>0.37755102040816313</v>
      </c>
    </row>
    <row r="8" spans="2:29" s="78" customFormat="1" hidden="1" x14ac:dyDescent="0.5">
      <c r="B8" s="85" t="s">
        <v>178</v>
      </c>
      <c r="C8" s="96">
        <f>MODEL!U170</f>
        <v>-170.20513555476333</v>
      </c>
      <c r="D8" s="86">
        <f>'[9]Income Statement'!$Q$47/1000000</f>
        <v>-111.92104394205667</v>
      </c>
      <c r="E8" s="87">
        <f t="shared" si="0"/>
        <v>0.52076079314343482</v>
      </c>
      <c r="F8" s="96">
        <f>MODEL!Z170</f>
        <v>57.7</v>
      </c>
      <c r="G8" s="86">
        <f>'[9]Income Statement'!$V$47/1000000</f>
        <v>-46.920216893110272</v>
      </c>
      <c r="H8" s="87">
        <f t="shared" si="1"/>
        <v>-2.2297470860257818</v>
      </c>
      <c r="I8" s="96">
        <f>MODEL!AE170</f>
        <v>79.599999999999994</v>
      </c>
      <c r="J8" s="86">
        <f>'[9]Income Statement'!$W$47/1000000</f>
        <v>62.384915089562909</v>
      </c>
      <c r="K8" s="87">
        <f t="shared" si="2"/>
        <v>0.2759494805069822</v>
      </c>
      <c r="L8" s="96">
        <f>MODEL!AJ170</f>
        <v>242.29662407641558</v>
      </c>
      <c r="M8" s="86">
        <f>'[9]Income Statement'!$X$47/1000000</f>
        <v>96.886315782745683</v>
      </c>
      <c r="N8" s="87">
        <f t="shared" si="3"/>
        <v>1.5008343244234061</v>
      </c>
      <c r="O8" s="109"/>
      <c r="Q8" s="415" t="s">
        <v>175</v>
      </c>
      <c r="R8" s="252">
        <f>MODEL!$Z$167</f>
        <v>77.900000000000006</v>
      </c>
      <c r="S8" s="253">
        <v>139</v>
      </c>
      <c r="T8" s="254">
        <f t="shared" si="4"/>
        <v>-0.43956834532374101</v>
      </c>
      <c r="U8" s="252">
        <f>MODEL!AE167</f>
        <v>69.099999999999994</v>
      </c>
      <c r="V8" s="253"/>
      <c r="W8" s="254" t="e">
        <f t="shared" si="5"/>
        <v>#DIV/0!</v>
      </c>
      <c r="X8" s="252">
        <f>MODEL!AJ167</f>
        <v>279.62606747465509</v>
      </c>
      <c r="Y8" s="253"/>
      <c r="Z8" s="254" t="e">
        <f t="shared" si="6"/>
        <v>#DIV/0!</v>
      </c>
      <c r="AA8" s="252">
        <f>MODEL!AO167</f>
        <v>205.20000000000002</v>
      </c>
      <c r="AB8" s="253"/>
      <c r="AC8" s="254" t="e">
        <f t="shared" si="7"/>
        <v>#DIV/0!</v>
      </c>
    </row>
    <row r="9" spans="2:29" x14ac:dyDescent="0.5">
      <c r="B9" s="82" t="s">
        <v>84</v>
      </c>
      <c r="C9" s="95">
        <f>MODEL!U197</f>
        <v>-24.64</v>
      </c>
      <c r="D9" s="83">
        <f>'[9]Cash Flow'!$Q$32/1000000</f>
        <v>-50.7</v>
      </c>
      <c r="E9" s="84">
        <f t="shared" si="0"/>
        <v>-0.51400394477317557</v>
      </c>
      <c r="F9" s="95">
        <f>MODEL!Z201</f>
        <v>-82.9</v>
      </c>
      <c r="G9" s="83">
        <f>'[9]Cash Flow'!$V$32/1000000</f>
        <v>-39.5</v>
      </c>
      <c r="H9" s="84">
        <f t="shared" si="1"/>
        <v>1.09873417721519</v>
      </c>
      <c r="I9" s="95">
        <f>MODEL!AE201</f>
        <v>-47.199999999999996</v>
      </c>
      <c r="J9" s="83">
        <f>'[9]Cash Flow'!$W$32/1000000</f>
        <v>-51.96</v>
      </c>
      <c r="K9" s="84">
        <f t="shared" si="2"/>
        <v>-9.1608929946112472E-2</v>
      </c>
      <c r="L9" s="95">
        <f>MODEL!AJ201</f>
        <v>-64.900000000000006</v>
      </c>
      <c r="M9" s="83">
        <f>'[9]Cash Flow'!$X$32/1000000</f>
        <v>-63.887999999999998</v>
      </c>
      <c r="N9" s="84">
        <f t="shared" si="3"/>
        <v>1.5840220385675119E-2</v>
      </c>
      <c r="O9" s="109"/>
      <c r="P9" t="s">
        <v>266</v>
      </c>
      <c r="Q9" s="421" t="s">
        <v>445</v>
      </c>
      <c r="R9" s="422">
        <f>MODEL!$Z$179</f>
        <v>0.3248940477013702</v>
      </c>
      <c r="S9" s="423">
        <v>0.35</v>
      </c>
      <c r="T9" s="424">
        <f t="shared" si="4"/>
        <v>-7.1731292281799308E-2</v>
      </c>
      <c r="U9" s="422">
        <f>MODEL!AE179</f>
        <v>0.35</v>
      </c>
      <c r="V9" s="423">
        <v>0.45</v>
      </c>
      <c r="W9" s="424">
        <f t="shared" si="5"/>
        <v>-0.22222222222222232</v>
      </c>
      <c r="X9" s="422">
        <f>MODEL!AJ179</f>
        <v>0.98</v>
      </c>
      <c r="Y9" s="423">
        <v>0.65</v>
      </c>
      <c r="Z9" s="424">
        <f t="shared" si="6"/>
        <v>0.50769230769230766</v>
      </c>
      <c r="AA9" s="422">
        <f>MODEL!AO179</f>
        <v>0.81</v>
      </c>
      <c r="AB9" s="423">
        <v>0.67</v>
      </c>
      <c r="AC9" s="424">
        <f t="shared" si="7"/>
        <v>0.20895522388059695</v>
      </c>
    </row>
    <row r="10" spans="2:29" ht="16.149999999999999" thickBot="1" x14ac:dyDescent="0.55000000000000004">
      <c r="B10" s="82" t="s">
        <v>82</v>
      </c>
      <c r="C10" s="95">
        <f>MODEL!U185</f>
        <v>31.4</v>
      </c>
      <c r="D10" s="83">
        <f>'[3]Cash Flow'!$Q$18/1000000</f>
        <v>24.662885884295253</v>
      </c>
      <c r="E10" s="84">
        <f t="shared" si="0"/>
        <v>0.27316811776657413</v>
      </c>
      <c r="F10" s="95">
        <f>MODEL!Z185</f>
        <v>46.400000000000006</v>
      </c>
      <c r="G10" s="83">
        <f>'[3]Cash Flow'!$V$18/1000000</f>
        <v>36.000829538287988</v>
      </c>
      <c r="H10" s="84">
        <f t="shared" si="1"/>
        <v>0.28885919005427874</v>
      </c>
      <c r="I10" s="95">
        <f>MODEL!AE185</f>
        <v>64.90000000000002</v>
      </c>
      <c r="J10" s="83">
        <f>'[3]Cash Flow'!$W$18/1000000</f>
        <v>50.584677179084764</v>
      </c>
      <c r="K10" s="84">
        <f t="shared" si="2"/>
        <v>0.28299721613789819</v>
      </c>
      <c r="L10" s="95">
        <f>MODEL!AJ185</f>
        <v>104.59805539568326</v>
      </c>
      <c r="M10" s="83">
        <f>'[3]Cash Flow'!$X$18/1000000</f>
        <v>63.896453892131952</v>
      </c>
      <c r="N10" s="84">
        <f t="shared" si="3"/>
        <v>0.63699311971619754</v>
      </c>
      <c r="O10" s="109"/>
      <c r="Q10" s="425" t="s">
        <v>236</v>
      </c>
      <c r="R10" s="426">
        <f>MODEL!$Z$212</f>
        <v>370.98000000000013</v>
      </c>
      <c r="S10" s="427">
        <v>601</v>
      </c>
      <c r="T10" s="428">
        <f>R10/S10-1</f>
        <v>-0.38272878535773691</v>
      </c>
      <c r="U10" s="426">
        <f>MODEL!AE212</f>
        <v>494.58000000000015</v>
      </c>
      <c r="V10" s="427">
        <v>621</v>
      </c>
      <c r="W10" s="428">
        <f>U10/V10-1</f>
        <v>-0.20357487922705286</v>
      </c>
      <c r="X10" s="426">
        <f>MODEL!AJ212</f>
        <v>924.30412287033846</v>
      </c>
      <c r="Y10" s="427">
        <v>687.2</v>
      </c>
      <c r="Z10" s="428">
        <f>X10/Y10-1</f>
        <v>0.34502928240736086</v>
      </c>
      <c r="AA10" s="426">
        <f>MODEL!AO212</f>
        <v>1019.9041228703386</v>
      </c>
      <c r="AB10" s="427">
        <v>880</v>
      </c>
      <c r="AC10" s="428">
        <f>AA10/AB10-1</f>
        <v>0.15898195780720292</v>
      </c>
    </row>
    <row r="11" spans="2:29" x14ac:dyDescent="0.5">
      <c r="B11" s="88" t="s">
        <v>236</v>
      </c>
      <c r="C11" s="97">
        <f>MODEL!U212</f>
        <v>653.08000000000015</v>
      </c>
      <c r="D11" s="89">
        <f>'[9]Cash Flow'!$Q$54/1000000</f>
        <v>503.69823341938417</v>
      </c>
      <c r="E11" s="90">
        <f t="shared" si="0"/>
        <v>0.29656996326258556</v>
      </c>
      <c r="F11" s="97">
        <f>MODEL!Z212</f>
        <v>370.98000000000013</v>
      </c>
      <c r="G11" s="89">
        <f>'[9]Cash Flow'!$V$54/1000000</f>
        <v>479.53135600505033</v>
      </c>
      <c r="H11" s="90">
        <f t="shared" si="1"/>
        <v>-0.22636967248478945</v>
      </c>
      <c r="I11" s="97">
        <f>MODEL!AE212</f>
        <v>494.58000000000015</v>
      </c>
      <c r="J11" s="89">
        <f>'[9]Cash Flow'!$W$54/1000000</f>
        <v>486.76759620115502</v>
      </c>
      <c r="K11" s="90">
        <f t="shared" si="2"/>
        <v>1.6049556009510413E-2</v>
      </c>
      <c r="L11" s="97">
        <f>MODEL!AJ212</f>
        <v>924.30412287033846</v>
      </c>
      <c r="M11" s="89">
        <f>'[9]Cash Flow'!$X$54/1000000</f>
        <v>521.69233871260803</v>
      </c>
      <c r="N11" s="90">
        <f t="shared" si="3"/>
        <v>0.77174179929738784</v>
      </c>
      <c r="O11" s="109"/>
    </row>
    <row r="12" spans="2:29" x14ac:dyDescent="0.5">
      <c r="S12">
        <v>632.29999999999995</v>
      </c>
      <c r="V12">
        <v>899.8</v>
      </c>
      <c r="Y12">
        <v>1198.2</v>
      </c>
      <c r="AB12">
        <v>1486.2</v>
      </c>
    </row>
    <row r="13" spans="2:29" x14ac:dyDescent="0.5">
      <c r="J13" t="s">
        <v>245</v>
      </c>
    </row>
    <row r="14" spans="2:29" x14ac:dyDescent="0.5">
      <c r="J14" t="s">
        <v>99</v>
      </c>
      <c r="L14" s="101">
        <f>MODEL!AJ132</f>
        <v>0.33200000000000007</v>
      </c>
      <c r="M14" t="s">
        <v>242</v>
      </c>
    </row>
    <row r="15" spans="2:29" x14ac:dyDescent="0.5">
      <c r="J15" t="s">
        <v>243</v>
      </c>
      <c r="L15" s="101">
        <f>MODEL!AJ136</f>
        <v>0.60633820766218804</v>
      </c>
      <c r="M15" t="s">
        <v>244</v>
      </c>
    </row>
    <row r="16" spans="2:29" x14ac:dyDescent="0.5">
      <c r="J16" t="s">
        <v>246</v>
      </c>
      <c r="L16" s="101">
        <f>MODEL!AJ154</f>
        <v>0.39986563244348727</v>
      </c>
      <c r="M16" t="s">
        <v>249</v>
      </c>
    </row>
    <row r="17" spans="3:13" x14ac:dyDescent="0.5">
      <c r="J17" t="s">
        <v>247</v>
      </c>
      <c r="L17" s="101">
        <f>MODEL!AJ155</f>
        <v>0.16720130855523518</v>
      </c>
      <c r="M17" t="s">
        <v>248</v>
      </c>
    </row>
    <row r="25" spans="3:13" x14ac:dyDescent="0.5">
      <c r="C25" t="s">
        <v>355</v>
      </c>
    </row>
    <row r="26" spans="3:13" x14ac:dyDescent="0.5">
      <c r="C26" s="333"/>
      <c r="D26" s="110" t="s">
        <v>349</v>
      </c>
      <c r="E26" s="110"/>
      <c r="F26" s="333"/>
      <c r="G26" s="110" t="s">
        <v>350</v>
      </c>
      <c r="H26" s="110"/>
      <c r="I26" s="333"/>
      <c r="J26" s="110" t="s">
        <v>354</v>
      </c>
      <c r="K26" s="110"/>
      <c r="L26" s="333"/>
    </row>
    <row r="27" spans="3:13" x14ac:dyDescent="0.5">
      <c r="C27" s="334"/>
      <c r="D27" s="15" t="s">
        <v>346</v>
      </c>
      <c r="E27" s="15" t="s">
        <v>347</v>
      </c>
      <c r="F27" s="334" t="s">
        <v>348</v>
      </c>
      <c r="G27" s="15" t="s">
        <v>346</v>
      </c>
      <c r="H27" s="15" t="s">
        <v>347</v>
      </c>
      <c r="I27" s="334" t="s">
        <v>348</v>
      </c>
      <c r="J27" s="15" t="s">
        <v>346</v>
      </c>
      <c r="K27" s="15" t="s">
        <v>347</v>
      </c>
      <c r="L27" s="334" t="s">
        <v>348</v>
      </c>
    </row>
    <row r="28" spans="3:13" x14ac:dyDescent="0.5">
      <c r="C28" s="334" t="s">
        <v>351</v>
      </c>
      <c r="D28" s="175">
        <f>MODEL!U31</f>
        <v>724.60000000000014</v>
      </c>
      <c r="E28" s="175">
        <f>MODEL!Z31</f>
        <v>1222.0999999999999</v>
      </c>
      <c r="F28" s="335">
        <f>MODEL!AE31</f>
        <v>1792.1</v>
      </c>
      <c r="G28" s="175">
        <v>683</v>
      </c>
      <c r="H28" s="175">
        <v>905.3</v>
      </c>
      <c r="I28" s="335">
        <v>1298</v>
      </c>
      <c r="J28" s="127">
        <f>D28/G28-1</f>
        <v>6.0907759882869783E-2</v>
      </c>
      <c r="K28" s="127">
        <f>E28/H28-1</f>
        <v>0.34993924665856624</v>
      </c>
      <c r="L28" s="336">
        <f>F28/I28-1</f>
        <v>0.38066255778120173</v>
      </c>
    </row>
    <row r="29" spans="3:13" x14ac:dyDescent="0.5">
      <c r="C29" s="334" t="s">
        <v>352</v>
      </c>
      <c r="D29" s="127">
        <f>MODEL!U136</f>
        <v>0.59384487993375634</v>
      </c>
      <c r="E29" s="127">
        <f>MODEL!Z136</f>
        <v>0.56042877014974235</v>
      </c>
      <c r="F29" s="336">
        <f>MODEL!AE136</f>
        <v>0.59550248312036158</v>
      </c>
      <c r="G29" s="127">
        <v>0.56799999999999995</v>
      </c>
      <c r="H29" s="127">
        <v>0.57399999999999995</v>
      </c>
      <c r="I29" s="336">
        <v>0.58599999999999997</v>
      </c>
      <c r="J29" s="188">
        <f>(D29-G29)*100</f>
        <v>2.5844879933756393</v>
      </c>
      <c r="K29" s="188">
        <f>(E29-H29)*10000</f>
        <v>-135.71229850257603</v>
      </c>
      <c r="L29" s="337">
        <f>(F29-I29)*10000</f>
        <v>95.024831203616159</v>
      </c>
    </row>
    <row r="30" spans="3:13" x14ac:dyDescent="0.5">
      <c r="C30" s="334" t="s">
        <v>353</v>
      </c>
      <c r="D30" s="175">
        <f>MODEL!U153</f>
        <v>96.385999999999996</v>
      </c>
      <c r="E30" s="175">
        <f>MODEL!Z153</f>
        <v>165.30000000000013</v>
      </c>
      <c r="F30" s="335">
        <f>MODEL!AE153</f>
        <v>276.90000000000009</v>
      </c>
      <c r="G30" s="175">
        <v>86</v>
      </c>
      <c r="H30" s="175">
        <v>121</v>
      </c>
      <c r="I30" s="335">
        <v>194</v>
      </c>
      <c r="J30" s="127">
        <f>D30/G30-1</f>
        <v>0.12076744186046517</v>
      </c>
      <c r="K30" s="127">
        <f>E30/H30-1</f>
        <v>0.36611570247933978</v>
      </c>
      <c r="L30" s="336">
        <f>F30/I30-1</f>
        <v>0.42731958762886646</v>
      </c>
    </row>
    <row r="31" spans="3:13" x14ac:dyDescent="0.5">
      <c r="C31" s="334" t="s">
        <v>356</v>
      </c>
      <c r="D31" s="127">
        <f>D30/D28</f>
        <v>0.13301959701904495</v>
      </c>
      <c r="E31" s="127">
        <f t="shared" ref="E31:I31" si="8">E30/E28</f>
        <v>0.13525898044349902</v>
      </c>
      <c r="F31" s="336">
        <f t="shared" si="8"/>
        <v>0.1545114669940294</v>
      </c>
      <c r="G31" s="127">
        <f t="shared" si="8"/>
        <v>0.12591508052708639</v>
      </c>
      <c r="H31" s="127">
        <f t="shared" si="8"/>
        <v>0.13365735115431349</v>
      </c>
      <c r="I31" s="336">
        <f t="shared" si="8"/>
        <v>0.14946070878274267</v>
      </c>
      <c r="J31" s="188">
        <f>(D31-G31)*100</f>
        <v>0.71045164919585624</v>
      </c>
      <c r="K31" s="188">
        <f>(E31-H31)*10000</f>
        <v>16.016292891855301</v>
      </c>
      <c r="L31" s="337">
        <f>(F31-I31)*10000</f>
        <v>50.507582112867269</v>
      </c>
    </row>
  </sheetData>
  <mergeCells count="9">
    <mergeCell ref="R2:T2"/>
    <mergeCell ref="U2:W2"/>
    <mergeCell ref="X2:Z2"/>
    <mergeCell ref="AA2:AC2"/>
    <mergeCell ref="C1:E1"/>
    <mergeCell ref="F1:H1"/>
    <mergeCell ref="I1:K1"/>
    <mergeCell ref="L1:N1"/>
    <mergeCell ref="Q2:Q3"/>
  </mergeCells>
  <printOptions horizontalCentered="1" verticalCentered="1"/>
  <pageMargins left="0.7" right="0.7" top="0.75" bottom="0.75" header="0.3" footer="0.3"/>
  <pageSetup paperSize="9" scale="30" orientation="portrait" r:id="rId1"/>
  <customProperties>
    <customPr name="Qube.Worksheet.Visibility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26"/>
  <sheetViews>
    <sheetView showGridLines="0" workbookViewId="0">
      <selection activeCell="K20" sqref="K20"/>
    </sheetView>
  </sheetViews>
  <sheetFormatPr defaultColWidth="9" defaultRowHeight="11.65" x14ac:dyDescent="0.35"/>
  <cols>
    <col min="1" max="1" width="9.125" style="15" customWidth="1"/>
    <col min="2" max="13" width="9" style="15"/>
    <col min="14" max="14" width="11.875" style="15" bestFit="1" customWidth="1"/>
    <col min="15" max="16384" width="9" style="15"/>
  </cols>
  <sheetData>
    <row r="1" spans="1:21" x14ac:dyDescent="0.35">
      <c r="A1" s="17" t="s">
        <v>124</v>
      </c>
      <c r="B1" s="17" t="s">
        <v>125</v>
      </c>
      <c r="C1" s="240">
        <f>F1/Valuation!H37</f>
        <v>36.4117841774247</v>
      </c>
      <c r="D1" s="17" t="s">
        <v>267</v>
      </c>
      <c r="F1" s="401">
        <v>44</v>
      </c>
      <c r="G1" s="17" t="s">
        <v>268</v>
      </c>
      <c r="H1" s="17"/>
      <c r="I1" s="17"/>
      <c r="J1" s="17"/>
      <c r="K1" s="17"/>
      <c r="L1" s="17"/>
    </row>
    <row r="2" spans="1:21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S2" s="15" t="s">
        <v>358</v>
      </c>
      <c r="T2" s="15" t="s">
        <v>359</v>
      </c>
    </row>
    <row r="3" spans="1:21" ht="23.25" x14ac:dyDescent="0.35">
      <c r="A3" s="18" t="s">
        <v>126</v>
      </c>
      <c r="B3" s="19" t="s">
        <v>141</v>
      </c>
      <c r="C3" s="19" t="s">
        <v>140</v>
      </c>
      <c r="D3" s="19" t="s">
        <v>285</v>
      </c>
      <c r="E3" s="19" t="s">
        <v>142</v>
      </c>
      <c r="F3" s="20" t="s">
        <v>143</v>
      </c>
      <c r="G3" s="21" t="s">
        <v>127</v>
      </c>
      <c r="H3" s="21" t="s">
        <v>128</v>
      </c>
      <c r="I3" s="21" t="s">
        <v>206</v>
      </c>
      <c r="J3" s="21" t="s">
        <v>129</v>
      </c>
      <c r="K3" s="20" t="s">
        <v>130</v>
      </c>
      <c r="L3" s="23"/>
      <c r="N3" s="22" t="s">
        <v>145</v>
      </c>
      <c r="O3" s="23" t="s">
        <v>146</v>
      </c>
      <c r="P3" s="23" t="s">
        <v>205</v>
      </c>
      <c r="Q3" s="15" t="s">
        <v>99</v>
      </c>
      <c r="R3" s="15" t="s">
        <v>566</v>
      </c>
      <c r="S3" s="15" t="s">
        <v>357</v>
      </c>
      <c r="U3" s="15" t="s">
        <v>360</v>
      </c>
    </row>
    <row r="4" spans="1:21" x14ac:dyDescent="0.35">
      <c r="A4" s="24" t="s">
        <v>131</v>
      </c>
      <c r="B4" s="25"/>
      <c r="C4" s="25"/>
      <c r="D4" s="26"/>
      <c r="E4" s="26"/>
      <c r="F4" s="27"/>
      <c r="G4" s="28"/>
      <c r="H4" s="29"/>
      <c r="I4" s="29"/>
      <c r="J4" s="28"/>
      <c r="K4" s="30"/>
      <c r="L4" s="338"/>
      <c r="N4" s="16">
        <f>MODEL!N212</f>
        <v>90.59575334999991</v>
      </c>
    </row>
    <row r="5" spans="1:21" x14ac:dyDescent="0.35">
      <c r="A5" s="24" t="s">
        <v>369</v>
      </c>
      <c r="B5" s="25"/>
      <c r="C5" s="25"/>
      <c r="D5" s="26"/>
      <c r="E5" s="26"/>
      <c r="F5" s="27"/>
      <c r="G5" s="28"/>
      <c r="H5" s="29"/>
      <c r="I5" s="31"/>
      <c r="J5" s="28"/>
      <c r="K5" s="30"/>
      <c r="L5" s="338"/>
      <c r="M5" s="28"/>
      <c r="N5" s="16">
        <f>MODEL!U212</f>
        <v>653.08000000000015</v>
      </c>
      <c r="O5" s="32">
        <f>Valuation!C23</f>
        <v>-18.512999999999991</v>
      </c>
      <c r="P5" s="32">
        <f>SUM(Valuation!C15:C17,Valuation!C19)</f>
        <v>41.225999999999971</v>
      </c>
      <c r="Q5" s="32">
        <f>Valuation!C49</f>
        <v>724.60000000000014</v>
      </c>
      <c r="R5" s="188">
        <f>MODEL!U174</f>
        <v>264.17099999999999</v>
      </c>
      <c r="S5" s="15">
        <f>MODEL!$U$153</f>
        <v>96.385999999999996</v>
      </c>
      <c r="T5" s="15">
        <f>MODEL!U153</f>
        <v>96.385999999999996</v>
      </c>
      <c r="U5" s="107">
        <f>T5/S5-1</f>
        <v>0</v>
      </c>
    </row>
    <row r="6" spans="1:21" x14ac:dyDescent="0.35">
      <c r="A6" s="24" t="s">
        <v>474</v>
      </c>
      <c r="B6" s="25">
        <f>MODEL!Z163</f>
        <v>85.100000000000122</v>
      </c>
      <c r="C6" s="25">
        <f>Valuation!D15+Valuation!D18+Valuation!D19+Valuation!D16</f>
        <v>116.10000000000012</v>
      </c>
      <c r="D6" s="26">
        <f>MODEL!Z176</f>
        <v>0.18254678052634793</v>
      </c>
      <c r="E6" s="26">
        <v>0.18254678052634793</v>
      </c>
      <c r="F6" s="27"/>
      <c r="G6" s="28"/>
      <c r="H6" s="29"/>
      <c r="I6" s="31"/>
      <c r="J6" s="28"/>
      <c r="K6" s="30"/>
      <c r="L6" s="339">
        <f>D6/E6-1</f>
        <v>0</v>
      </c>
      <c r="M6" s="28"/>
      <c r="N6" s="16">
        <f>MODEL!Z212</f>
        <v>370.98000000000013</v>
      </c>
      <c r="O6" s="32">
        <f>Valuation!D23</f>
        <v>-308.83999999999997</v>
      </c>
      <c r="P6" s="32">
        <f>MODEL!Z163*(1-0.225)</f>
        <v>65.9525000000001</v>
      </c>
      <c r="Q6" s="32">
        <f>Valuation!D49</f>
        <v>1222.0999999999999</v>
      </c>
      <c r="R6" s="188">
        <f>MODEL!Z174</f>
        <v>281.63027499999998</v>
      </c>
      <c r="S6" s="15">
        <f>MODEL!$Z$153</f>
        <v>165.30000000000013</v>
      </c>
      <c r="T6" s="15">
        <f>MODEL!Z153</f>
        <v>165.30000000000013</v>
      </c>
      <c r="U6" s="107">
        <f t="shared" ref="U6:U9" si="0">T6/S6-1</f>
        <v>0</v>
      </c>
    </row>
    <row r="7" spans="1:21" x14ac:dyDescent="0.35">
      <c r="A7" s="24" t="s">
        <v>484</v>
      </c>
      <c r="B7" s="25">
        <f>MODEL!AE163</f>
        <v>180.20000000000005</v>
      </c>
      <c r="C7" s="25">
        <f>Valuation!E15+Valuation!E18+Valuation!E19+Valuation!E16</f>
        <v>213.10000000000008</v>
      </c>
      <c r="D7" s="26">
        <f>MODEL!AE176</f>
        <v>0.24950011046116477</v>
      </c>
      <c r="E7" s="26">
        <v>0.24950011046116477</v>
      </c>
      <c r="F7" s="27"/>
      <c r="G7" s="28">
        <f t="shared" ref="G7:G8" si="1">$C$1/D7</f>
        <v>145.93895012760834</v>
      </c>
      <c r="H7" s="29"/>
      <c r="I7" s="31">
        <f>($D$15-N7)/(P7*0.891)</f>
        <v>84.766228366897678</v>
      </c>
      <c r="J7" s="28">
        <f t="shared" ref="J7:J12" si="2">($D$15-N7)/(B7*0.891)</f>
        <v>65.693826984345691</v>
      </c>
      <c r="K7" s="30">
        <f t="shared" ref="K7:K12" si="3">($D$15-N7)/(C7*0.891)</f>
        <v>55.551513949221459</v>
      </c>
      <c r="L7" s="339">
        <f t="shared" ref="L7:L9" si="4">D7/E7-1</f>
        <v>0</v>
      </c>
      <c r="M7" s="28"/>
      <c r="N7" s="16">
        <f>MODEL!AE212</f>
        <v>494.58000000000015</v>
      </c>
      <c r="O7" s="32">
        <f>Valuation!E23</f>
        <v>209.10000000000016</v>
      </c>
      <c r="P7" s="32">
        <f>MODEL!AE163*(1-0.225)</f>
        <v>139.65500000000003</v>
      </c>
      <c r="Q7" s="32">
        <f>Valuation!E49</f>
        <v>1792.1</v>
      </c>
      <c r="R7" s="188">
        <f>MODEL!AE174</f>
        <v>284.26280000000003</v>
      </c>
      <c r="S7" s="15">
        <f>MODEL!$AA$153</f>
        <v>61.000000000000007</v>
      </c>
      <c r="T7" s="15">
        <f>MODEL!AE153</f>
        <v>276.90000000000009</v>
      </c>
      <c r="U7" s="107">
        <f t="shared" si="0"/>
        <v>3.5393442622950833</v>
      </c>
    </row>
    <row r="8" spans="1:21" x14ac:dyDescent="0.35">
      <c r="A8" s="24" t="s">
        <v>557</v>
      </c>
      <c r="B8" s="25">
        <f>MODEL!AJ163</f>
        <v>211.52606747465506</v>
      </c>
      <c r="C8" s="25">
        <f>Valuation!F15+Valuation!F18+Valuation!F19+Valuation!F16</f>
        <v>249.62412287033834</v>
      </c>
      <c r="D8" s="26">
        <f>MODEL!AJ176</f>
        <v>0.74839584581028851</v>
      </c>
      <c r="E8" s="26">
        <v>0.74839584581028851</v>
      </c>
      <c r="F8" s="27"/>
      <c r="G8" s="28">
        <f t="shared" si="1"/>
        <v>48.653108353376339</v>
      </c>
      <c r="H8" s="29"/>
      <c r="I8" s="31">
        <f>($D$15-N8)/(P8*0.891)</f>
        <v>69.270702393251838</v>
      </c>
      <c r="J8" s="28">
        <f t="shared" si="2"/>
        <v>53.684794354770176</v>
      </c>
      <c r="K8" s="30">
        <f t="shared" si="3"/>
        <v>45.491330334883457</v>
      </c>
      <c r="L8" s="339">
        <f>D8/E8-1</f>
        <v>0</v>
      </c>
      <c r="M8" s="28"/>
      <c r="N8" s="16">
        <f>MODEL!AJ212</f>
        <v>924.30412287033846</v>
      </c>
      <c r="O8" s="32">
        <f>Valuation!F23</f>
        <v>213.25540508219024</v>
      </c>
      <c r="P8" s="32">
        <f>MODEL!AJ163*(1-0.225)</f>
        <v>163.93270229285767</v>
      </c>
      <c r="Q8" s="32">
        <f>Valuation!F49</f>
        <v>2318.3000000000002</v>
      </c>
      <c r="R8" s="188">
        <f>MODEL!AJ174</f>
        <v>288.46537999999998</v>
      </c>
      <c r="S8" s="15">
        <f>MODEL!$AB$153</f>
        <v>62.699999999999996</v>
      </c>
      <c r="T8" s="15">
        <f>MODEL!AJ153</f>
        <v>387.62279362360175</v>
      </c>
      <c r="U8" s="107">
        <f t="shared" si="0"/>
        <v>5.1821817164848767</v>
      </c>
    </row>
    <row r="9" spans="1:21" x14ac:dyDescent="0.35">
      <c r="A9" s="24" t="s">
        <v>556</v>
      </c>
      <c r="B9" s="25">
        <f>MODEL!AO163</f>
        <v>377</v>
      </c>
      <c r="C9" s="25">
        <f>Valuation!G15+Valuation!G18+Valuation!G19+Valuation!G16</f>
        <v>413</v>
      </c>
      <c r="D9" s="26">
        <f>MODEL!AO176</f>
        <v>0.61409639246435355</v>
      </c>
      <c r="E9" s="26">
        <v>0.61409639246435355</v>
      </c>
      <c r="F9" s="27"/>
      <c r="G9" s="28">
        <f t="shared" ref="G9" si="5">$C$1/D9</f>
        <v>59.293271584457798</v>
      </c>
      <c r="H9" s="29"/>
      <c r="I9" s="31">
        <f>($D$15-N9)/(P9*0.891)</f>
        <v>38.498975816165846</v>
      </c>
      <c r="J9" s="28">
        <f t="shared" si="2"/>
        <v>29.836706257528533</v>
      </c>
      <c r="K9" s="30">
        <f t="shared" si="3"/>
        <v>27.235927988107157</v>
      </c>
      <c r="L9" s="339">
        <f t="shared" si="4"/>
        <v>0</v>
      </c>
      <c r="M9" s="28"/>
      <c r="N9" s="16">
        <f>MODEL!AO212</f>
        <v>1019.9041228703386</v>
      </c>
      <c r="O9" s="32">
        <f>Valuation!G23</f>
        <v>195.99849999999992</v>
      </c>
      <c r="P9" s="32">
        <f>MODEL!AO163*(1-0.225)</f>
        <v>292.17500000000001</v>
      </c>
      <c r="Q9" s="32">
        <f>Valuation!G49</f>
        <v>3014.0000000000009</v>
      </c>
      <c r="R9" s="188">
        <f>MODEL!AO174</f>
        <v>295.55</v>
      </c>
      <c r="S9" s="15">
        <f>MODEL!$AC$153</f>
        <v>81.410901257378839</v>
      </c>
      <c r="T9" s="15">
        <f>MODEL!AO153</f>
        <v>567</v>
      </c>
      <c r="U9" s="107">
        <f t="shared" si="0"/>
        <v>5.9646692426047654</v>
      </c>
    </row>
    <row r="10" spans="1:21" x14ac:dyDescent="0.35">
      <c r="A10" s="24" t="s">
        <v>75</v>
      </c>
      <c r="B10" s="25">
        <f>MODEL!AT163</f>
        <v>481.91432876936142</v>
      </c>
      <c r="C10" s="25">
        <f>Valuation!H15+Valuation!H18+Valuation!H19+Valuation!H16</f>
        <v>525.60002331209353</v>
      </c>
      <c r="D10" s="26">
        <f>MODEL!AT176</f>
        <v>1.1334548928100856</v>
      </c>
      <c r="E10" s="26">
        <v>1.12891617218115</v>
      </c>
      <c r="F10" s="27"/>
      <c r="G10" s="28">
        <f t="shared" ref="G10" si="6">$C$1/D10</f>
        <v>32.124599230545314</v>
      </c>
      <c r="H10" s="29"/>
      <c r="I10" s="31">
        <f>($D$15-N10)/(P10*0.891)</f>
        <v>27.90361717602752</v>
      </c>
      <c r="J10" s="28">
        <f t="shared" si="2"/>
        <v>22.601929912582293</v>
      </c>
      <c r="K10" s="30">
        <f t="shared" si="3"/>
        <v>20.723351216913137</v>
      </c>
      <c r="L10" s="339">
        <f t="shared" ref="L10" si="7">D10/E10-1</f>
        <v>4.0204230754941062E-3</v>
      </c>
      <c r="M10" s="28"/>
      <c r="N10" s="16">
        <f>MODEL!AT212</f>
        <v>1337.3178622195815</v>
      </c>
      <c r="O10" s="32">
        <f>Valuation!H23</f>
        <v>157.15222346565918</v>
      </c>
      <c r="P10" s="32">
        <f>MODEL!AT163*(1-MODEL!AT168)</f>
        <v>390.35060630318276</v>
      </c>
      <c r="Q10" s="32">
        <f>Valuation!H49</f>
        <v>3502.1257876243671</v>
      </c>
      <c r="R10" s="188">
        <f>MODEL!AT174</f>
        <v>299.98325</v>
      </c>
      <c r="U10" s="107"/>
    </row>
    <row r="11" spans="1:21" x14ac:dyDescent="0.35">
      <c r="A11" s="502" t="s">
        <v>76</v>
      </c>
      <c r="B11" s="25">
        <f>MODEL!AU163</f>
        <v>600.20967582116498</v>
      </c>
      <c r="C11" s="25">
        <f>Valuation!I15+Valuation!I18+Valuation!I19+Valuation!I16</f>
        <v>650.32936521517524</v>
      </c>
      <c r="D11" s="26">
        <f>MODEL!AU176</f>
        <v>1.3523821995223437</v>
      </c>
      <c r="E11" s="26">
        <v>1.3118820407526735</v>
      </c>
      <c r="F11" s="27"/>
      <c r="G11" s="28">
        <f t="shared" ref="G11:G12" si="8">$C$1/D11</f>
        <v>26.924181781071361</v>
      </c>
      <c r="H11" s="29"/>
      <c r="I11" s="31">
        <f>(($C$1*R11)-N11)/(P11*0.891)</f>
        <v>22.8510336980729</v>
      </c>
      <c r="J11" s="28">
        <f t="shared" si="2"/>
        <v>18.003425302854737</v>
      </c>
      <c r="K11" s="30">
        <f t="shared" si="3"/>
        <v>16.615934390601694</v>
      </c>
      <c r="L11" s="339">
        <f t="shared" ref="L11:L12" si="9">D11/E11-1</f>
        <v>3.0871799073058259E-2</v>
      </c>
      <c r="M11" s="28"/>
      <c r="N11" s="16">
        <f>MODEL!AU212</f>
        <v>1414.2680240729478</v>
      </c>
      <c r="O11" s="32">
        <f>Valuation!I23</f>
        <v>242.69384908261793</v>
      </c>
      <c r="P11" s="32">
        <f>MODEL!AU163*(1-MODEL!AU168)</f>
        <v>465.16249876140284</v>
      </c>
      <c r="Q11" s="32">
        <f>Valuation!I49</f>
        <v>4158.5242387608378</v>
      </c>
      <c r="R11" s="188">
        <f>MODEL!AU174</f>
        <v>298.94449874999998</v>
      </c>
      <c r="U11" s="107"/>
    </row>
    <row r="12" spans="1:21" x14ac:dyDescent="0.35">
      <c r="A12" s="502" t="s">
        <v>77</v>
      </c>
      <c r="B12" s="25">
        <f>MODEL!AV163</f>
        <v>738.16845999391558</v>
      </c>
      <c r="C12" s="25">
        <f>Valuation!J15+Valuation!J18+Valuation!J19+Valuation!J16</f>
        <v>793.87666375286358</v>
      </c>
      <c r="D12" s="26">
        <f>MODEL!AV176</f>
        <v>1.7102300703068762</v>
      </c>
      <c r="E12" s="26">
        <v>1.5620453763400586</v>
      </c>
      <c r="F12" s="28"/>
      <c r="G12" s="28">
        <f t="shared" si="8"/>
        <v>21.290576519269788</v>
      </c>
      <c r="H12" s="29"/>
      <c r="I12" s="31">
        <f>(($C$1*R12)-N12)/(P12*0.891)</f>
        <v>17.745338925077068</v>
      </c>
      <c r="J12" s="28">
        <f t="shared" si="2"/>
        <v>14.361177896712613</v>
      </c>
      <c r="K12" s="30">
        <f t="shared" si="3"/>
        <v>13.353420066035756</v>
      </c>
      <c r="L12" s="339">
        <f t="shared" si="9"/>
        <v>9.486580621237839E-2</v>
      </c>
      <c r="M12" s="28"/>
      <c r="N12" s="16">
        <f>MODEL!AV212</f>
        <v>1596.7996143199025</v>
      </c>
      <c r="O12" s="32">
        <f>Valuation!J23</f>
        <v>327.15889066650209</v>
      </c>
      <c r="P12" s="32">
        <f>MODEL!AV163*(1-MODEL!AV168)</f>
        <v>572.08055649528455</v>
      </c>
      <c r="Q12" s="32">
        <f>Valuation!J49</f>
        <v>4842.1171337411024</v>
      </c>
      <c r="R12" s="188">
        <f>MODEL!AV174</f>
        <v>292.26858873124996</v>
      </c>
      <c r="U12" s="107"/>
    </row>
    <row r="13" spans="1:21" x14ac:dyDescent="0.35">
      <c r="A13" s="502" t="s">
        <v>78</v>
      </c>
      <c r="B13" s="25">
        <f>MODEL!AW163</f>
        <v>895.18043384427438</v>
      </c>
      <c r="C13" s="25">
        <f>Valuation!K15+Valuation!K18+Valuation!K19+Valuation!K16</f>
        <v>962.00093194348256</v>
      </c>
      <c r="D13" s="26">
        <f>MODEL!AW176</f>
        <v>2.1354565020176675</v>
      </c>
      <c r="E13" s="26">
        <f>MODEL!$AW$174</f>
        <v>285.49254006221867</v>
      </c>
      <c r="F13" s="28"/>
      <c r="G13" s="28">
        <f t="shared" ref="G13" si="10">$C$1/D13</f>
        <v>17.05105402194863</v>
      </c>
      <c r="H13" s="29"/>
      <c r="I13" s="31">
        <f>(($C$1*R13)-N13)/(P13*0.891)</f>
        <v>13.750067216214035</v>
      </c>
      <c r="J13" s="28">
        <f t="shared" ref="J13" si="11">($D$15-N13)/(B13*0.891)</f>
        <v>11.467441988785371</v>
      </c>
      <c r="K13" s="30">
        <f t="shared" ref="K13" si="12">($D$15-N13)/(C13*0.891)</f>
        <v>10.670914500951886</v>
      </c>
      <c r="L13" s="339">
        <f t="shared" ref="L13" si="13">D13/E13-1</f>
        <v>-0.9925200970170629</v>
      </c>
      <c r="M13" s="28"/>
      <c r="N13" s="16">
        <f>MODEL!AW212</f>
        <v>1895.7647538249771</v>
      </c>
      <c r="O13" s="32">
        <f>Valuation!K23</f>
        <v>418.72968818145876</v>
      </c>
      <c r="P13" s="32">
        <f>MODEL!AW163*(1-MODEL!AW168)</f>
        <v>693.76483622931266</v>
      </c>
      <c r="Q13" s="32">
        <f>Valuation!K49</f>
        <v>5605.1580626327104</v>
      </c>
      <c r="R13" s="188">
        <f>MODEL!AW174</f>
        <v>285.49254006221867</v>
      </c>
      <c r="U13" s="107"/>
    </row>
    <row r="14" spans="1:21" x14ac:dyDescent="0.35">
      <c r="A14" s="33" t="s">
        <v>132</v>
      </c>
      <c r="B14" s="34"/>
      <c r="C14" s="33" t="s">
        <v>133</v>
      </c>
      <c r="D14" s="35">
        <f>MODEL!AT175</f>
        <v>303.26068499999997</v>
      </c>
      <c r="E14" s="36"/>
      <c r="F14" s="36"/>
      <c r="G14" s="33"/>
      <c r="H14" s="36"/>
      <c r="I14" s="36"/>
      <c r="J14" s="36"/>
      <c r="K14" s="37"/>
      <c r="L14" s="17"/>
    </row>
    <row r="15" spans="1:21" x14ac:dyDescent="0.35">
      <c r="A15" s="38" t="s">
        <v>134</v>
      </c>
      <c r="B15" s="39">
        <f>D15-N5</f>
        <v>10389.182611717975</v>
      </c>
      <c r="C15" s="38" t="s">
        <v>325</v>
      </c>
      <c r="D15" s="40">
        <f>C1*D14</f>
        <v>11042.262611717975</v>
      </c>
      <c r="E15" s="41"/>
      <c r="F15" s="41"/>
      <c r="G15" s="38"/>
      <c r="H15" s="41"/>
      <c r="I15" s="41"/>
      <c r="J15" s="41"/>
      <c r="K15" s="42"/>
      <c r="L15" s="17"/>
    </row>
    <row r="16" spans="1:21" x14ac:dyDescent="0.35">
      <c r="A16" s="17"/>
      <c r="B16" s="17"/>
      <c r="C16" s="17" t="s">
        <v>326</v>
      </c>
      <c r="D16" s="314">
        <f>D15*Valuation!H37</f>
        <v>13343.470140000001</v>
      </c>
      <c r="E16" s="17"/>
      <c r="F16" s="17"/>
      <c r="G16" s="17"/>
      <c r="H16" s="17"/>
      <c r="I16" s="17"/>
      <c r="J16" s="17"/>
      <c r="K16" s="17"/>
      <c r="L16" s="17"/>
      <c r="N16" s="569"/>
    </row>
    <row r="17" spans="1:16" x14ac:dyDescent="0.3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</row>
    <row r="18" spans="1:16" x14ac:dyDescent="0.35">
      <c r="A18" s="17" t="s">
        <v>135</v>
      </c>
      <c r="B18" s="17"/>
      <c r="C18" s="28">
        <f>Valuation!H40</f>
        <v>44</v>
      </c>
      <c r="D18" s="43"/>
      <c r="E18" s="44"/>
      <c r="F18" s="17" t="s">
        <v>508</v>
      </c>
      <c r="G18" s="17"/>
      <c r="H18" s="17" t="s">
        <v>567</v>
      </c>
      <c r="I18" s="17"/>
      <c r="J18" s="17"/>
      <c r="K18" s="17"/>
      <c r="L18" s="17"/>
    </row>
    <row r="19" spans="1:16" x14ac:dyDescent="0.35">
      <c r="A19" s="17" t="s">
        <v>136</v>
      </c>
      <c r="B19" s="17"/>
      <c r="C19" s="312">
        <f>C18/F1-1</f>
        <v>0</v>
      </c>
      <c r="D19" s="17"/>
      <c r="E19" s="17"/>
      <c r="F19" s="17" t="s">
        <v>509</v>
      </c>
      <c r="G19" s="17"/>
      <c r="H19" s="17" t="s">
        <v>568</v>
      </c>
      <c r="I19" s="17"/>
      <c r="J19" s="17"/>
      <c r="K19" s="17"/>
      <c r="L19" s="17"/>
    </row>
    <row r="20" spans="1:16" x14ac:dyDescent="0.35">
      <c r="A20" s="17" t="s">
        <v>137</v>
      </c>
      <c r="B20" s="17"/>
      <c r="C20" s="17">
        <v>0</v>
      </c>
      <c r="D20" s="17"/>
      <c r="E20" s="17"/>
      <c r="F20" s="17" t="s">
        <v>522</v>
      </c>
      <c r="G20" s="17"/>
      <c r="H20" s="17" t="s">
        <v>569</v>
      </c>
      <c r="I20" s="17"/>
      <c r="J20" s="17"/>
      <c r="K20" s="17"/>
      <c r="L20" s="17"/>
    </row>
    <row r="21" spans="1:16" x14ac:dyDescent="0.35">
      <c r="A21" s="17" t="s">
        <v>138</v>
      </c>
      <c r="B21" s="17"/>
      <c r="C21" s="313">
        <f>C20+C19</f>
        <v>0</v>
      </c>
      <c r="D21" s="17"/>
      <c r="E21" s="17"/>
      <c r="F21" s="17"/>
      <c r="G21" s="17"/>
      <c r="H21" s="17"/>
      <c r="I21" s="17"/>
      <c r="J21" s="17"/>
      <c r="K21" s="17"/>
      <c r="L21" s="17"/>
    </row>
    <row r="22" spans="1:16" x14ac:dyDescent="0.35">
      <c r="A22" s="17" t="s">
        <v>139</v>
      </c>
      <c r="B22" s="45"/>
      <c r="C22" s="17"/>
      <c r="D22" s="45"/>
      <c r="E22" s="45"/>
      <c r="F22" s="17"/>
      <c r="G22" s="17"/>
      <c r="H22" s="17"/>
      <c r="I22" s="17"/>
      <c r="J22" s="17"/>
      <c r="K22" s="17"/>
      <c r="L22" s="17"/>
      <c r="M22" s="17"/>
      <c r="O22" s="17"/>
    </row>
    <row r="23" spans="1:16" x14ac:dyDescent="0.35">
      <c r="F23" s="105"/>
      <c r="G23" s="105"/>
    </row>
    <row r="24" spans="1:16" x14ac:dyDescent="0.35">
      <c r="F24" s="113"/>
      <c r="G24" s="106"/>
    </row>
    <row r="25" spans="1:16" x14ac:dyDescent="0.35">
      <c r="D25" s="330"/>
      <c r="E25" s="110"/>
      <c r="F25" s="114"/>
      <c r="G25" s="111"/>
      <c r="H25" s="110"/>
      <c r="I25" s="110"/>
      <c r="J25" s="110"/>
      <c r="K25" s="110"/>
      <c r="L25" s="110"/>
      <c r="M25" s="110"/>
      <c r="N25" s="112"/>
      <c r="O25" s="110"/>
      <c r="P25" s="119"/>
    </row>
    <row r="26" spans="1:16" x14ac:dyDescent="0.35">
      <c r="D26" s="167"/>
      <c r="F26" s="113"/>
      <c r="G26" s="106"/>
      <c r="N26" s="107"/>
    </row>
  </sheetData>
  <pageMargins left="0.7" right="0.7" top="0.75" bottom="0.75" header="0.3" footer="0.3"/>
  <pageSetup paperSize="9" orientation="portrait" r:id="rId1"/>
  <customProperties>
    <customPr name="Qube.Worksheet.Visibility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Y120"/>
  <sheetViews>
    <sheetView showGridLines="0" zoomScaleNormal="100" workbookViewId="0">
      <pane xSplit="2" ySplit="14" topLeftCell="H15" activePane="bottomRight" state="frozen"/>
      <selection pane="topRight" activeCell="C1" sqref="C1"/>
      <selection pane="bottomLeft" activeCell="A4" sqref="A4"/>
      <selection pane="bottomRight" activeCell="I12" sqref="I12"/>
    </sheetView>
  </sheetViews>
  <sheetFormatPr defaultColWidth="9" defaultRowHeight="13.15" x14ac:dyDescent="0.4"/>
  <cols>
    <col min="1" max="1" width="32.125" style="7" customWidth="1"/>
    <col min="2" max="2" width="4.375" style="7" hidden="1" customWidth="1"/>
    <col min="3" max="3" width="26.25" style="7" hidden="1" customWidth="1"/>
    <col min="4" max="4" width="6.75" style="7" hidden="1" customWidth="1"/>
    <col min="5" max="5" width="6.375" style="7" hidden="1" customWidth="1"/>
    <col min="6" max="6" width="9.125" style="7" hidden="1" customWidth="1"/>
    <col min="7" max="7" width="8.625" style="7" hidden="1" customWidth="1"/>
    <col min="8" max="18" width="9" style="7" customWidth="1"/>
    <col min="19" max="19" width="8.125" style="7" customWidth="1"/>
    <col min="20" max="22" width="9" style="7"/>
    <col min="23" max="25" width="10.875" style="7" bestFit="1" customWidth="1"/>
    <col min="26" max="16384" width="9" style="7"/>
  </cols>
  <sheetData>
    <row r="1" spans="1:20" x14ac:dyDescent="0.4">
      <c r="A1" s="7" t="s">
        <v>498</v>
      </c>
    </row>
    <row r="2" spans="1:20" x14ac:dyDescent="0.4">
      <c r="A2" s="7" t="s">
        <v>1</v>
      </c>
      <c r="C2" s="77">
        <f>('[10]Market Size'!R11+'[10]Market Size'!R14)/1000</f>
        <v>80.082499999999996</v>
      </c>
      <c r="D2" s="77">
        <f>('[10]Market Size'!S11+'[10]Market Size'!S14)/1000</f>
        <v>77.497199999999992</v>
      </c>
      <c r="E2" s="77">
        <f>('[10]Market Size'!T11+'[10]Market Size'!T14)/1000</f>
        <v>82.5565</v>
      </c>
      <c r="F2" s="77">
        <f>('[10]Market Size'!U11+'[10]Market Size'!U14)/1000</f>
        <v>84.342699999999994</v>
      </c>
      <c r="G2" s="77">
        <f>('[10]Market Size'!V11+'[10]Market Size'!V14)/1000</f>
        <v>87.864100000000008</v>
      </c>
      <c r="H2" s="77">
        <f>('[10]Market Size'!W11+'[10]Market Size'!W14)/1000</f>
        <v>91.705199999999991</v>
      </c>
      <c r="I2" s="77">
        <f>('[10]Market Size'!X11+'[10]Market Size'!X14)/1000</f>
        <v>95.504199999999997</v>
      </c>
      <c r="J2" s="77">
        <f>('[10]Market Size'!Y11+'[10]Market Size'!Y14)/1000</f>
        <v>99.044499999999999</v>
      </c>
    </row>
    <row r="3" spans="1:20" x14ac:dyDescent="0.4">
      <c r="A3" s="7" t="s">
        <v>337</v>
      </c>
      <c r="C3" s="77">
        <f>'[10]Market Size'!R10/1000</f>
        <v>138.8329</v>
      </c>
      <c r="D3" s="77">
        <f>'[10]Market Size'!S10/1000</f>
        <v>146.62010000000001</v>
      </c>
      <c r="E3" s="77">
        <f>'[10]Market Size'!T10/1000</f>
        <v>150.1679</v>
      </c>
      <c r="F3" s="77">
        <f>'[10]Market Size'!U10/1000</f>
        <v>158.13890000000001</v>
      </c>
      <c r="G3" s="77">
        <f>'[10]Market Size'!V10/1000</f>
        <v>168.45349999999999</v>
      </c>
      <c r="H3" s="77">
        <f>'[10]Market Size'!W10/1000</f>
        <v>178.07859999999999</v>
      </c>
      <c r="I3" s="77">
        <f>'[10]Market Size'!X10/1000</f>
        <v>188.36439999999999</v>
      </c>
      <c r="J3" s="77">
        <f>'[10]Market Size'!Y10/1000</f>
        <v>198.25399999999999</v>
      </c>
    </row>
    <row r="4" spans="1:20" x14ac:dyDescent="0.4">
      <c r="A4" s="7" t="s">
        <v>3</v>
      </c>
      <c r="C4" s="77">
        <f>'[10]Market Size'!R8/1000</f>
        <v>96.980699999999999</v>
      </c>
      <c r="D4" s="77">
        <f>'[10]Market Size'!S8/1000</f>
        <v>92.668899999999994</v>
      </c>
      <c r="E4" s="77">
        <f>'[10]Market Size'!T8/1000</f>
        <v>102.4079</v>
      </c>
      <c r="F4" s="77">
        <f>'[10]Market Size'!U8/1000</f>
        <v>115.9486</v>
      </c>
      <c r="G4" s="77">
        <f>'[10]Market Size'!V8/1000</f>
        <v>127.396</v>
      </c>
      <c r="H4" s="77">
        <f>'[10]Market Size'!W8/1000</f>
        <v>138.81360000000001</v>
      </c>
      <c r="I4" s="77">
        <f>'[10]Market Size'!X8/1000</f>
        <v>150.53220000000002</v>
      </c>
      <c r="J4" s="77">
        <f>'[10]Market Size'!Y8/1000</f>
        <v>163.21039999999999</v>
      </c>
    </row>
    <row r="5" spans="1:20" x14ac:dyDescent="0.4">
      <c r="A5" s="7" t="s">
        <v>499</v>
      </c>
      <c r="C5" s="77">
        <f>'[10]Market Size'!R15/1000</f>
        <v>17.3125</v>
      </c>
      <c r="D5" s="77">
        <f>'[10]Market Size'!S15/1000</f>
        <v>20.758500000000002</v>
      </c>
      <c r="E5" s="77">
        <f>'[10]Market Size'!T15/1000</f>
        <v>25.370999999999999</v>
      </c>
      <c r="F5" s="77">
        <f>'[10]Market Size'!U15/1000</f>
        <v>25.300799999999999</v>
      </c>
      <c r="G5" s="77">
        <f>'[10]Market Size'!V15/1000</f>
        <v>26.120799999999999</v>
      </c>
      <c r="H5" s="77">
        <f>'[10]Market Size'!W15/1000</f>
        <v>27.660299999999999</v>
      </c>
      <c r="I5" s="77">
        <f>'[10]Market Size'!X15/1000</f>
        <v>29.565099999999997</v>
      </c>
      <c r="J5" s="77">
        <f>'[10]Market Size'!Y15/1000</f>
        <v>31.530799999999999</v>
      </c>
    </row>
    <row r="6" spans="1:20" x14ac:dyDescent="0.4">
      <c r="A6" s="7" t="s">
        <v>241</v>
      </c>
      <c r="C6" s="77">
        <f>C7-SUM(C2:C5)</f>
        <v>32.133800000000008</v>
      </c>
      <c r="D6" s="77">
        <f t="shared" ref="D6:J6" si="0">D7-SUM(D2:D5)</f>
        <v>34.669499999999971</v>
      </c>
      <c r="E6" s="77">
        <f t="shared" si="0"/>
        <v>35.011300000000006</v>
      </c>
      <c r="F6" s="77">
        <f t="shared" si="0"/>
        <v>38.15100000000001</v>
      </c>
      <c r="G6" s="77">
        <f t="shared" si="0"/>
        <v>41.195800000000077</v>
      </c>
      <c r="H6" s="77">
        <f t="shared" si="0"/>
        <v>44.435399999999959</v>
      </c>
      <c r="I6" s="77">
        <f t="shared" si="0"/>
        <v>47.998000000000047</v>
      </c>
      <c r="J6" s="77">
        <f t="shared" si="0"/>
        <v>51.910100000000114</v>
      </c>
    </row>
    <row r="7" spans="1:20" x14ac:dyDescent="0.4">
      <c r="A7" s="7" t="s">
        <v>339</v>
      </c>
      <c r="C7" s="77">
        <f>'[10]Market Size'!R7/1000</f>
        <v>365.3424</v>
      </c>
      <c r="D7" s="77">
        <f>'[10]Market Size'!S7/1000</f>
        <v>372.21420000000001</v>
      </c>
      <c r="E7" s="77">
        <f>'[10]Market Size'!T7/1000</f>
        <v>395.51459999999997</v>
      </c>
      <c r="F7" s="77">
        <f>'[10]Market Size'!U7/1000</f>
        <v>421.88200000000001</v>
      </c>
      <c r="G7" s="77">
        <f>'[10]Market Size'!V7/1000</f>
        <v>451.03020000000004</v>
      </c>
      <c r="H7" s="77">
        <f>'[10]Market Size'!W7/1000</f>
        <v>480.69309999999996</v>
      </c>
      <c r="I7" s="77">
        <f>'[10]Market Size'!X7/1000</f>
        <v>511.96390000000002</v>
      </c>
      <c r="J7" s="77">
        <f>'[10]Market Size'!Y7/1000</f>
        <v>543.9498000000001</v>
      </c>
      <c r="K7" s="77">
        <f>J7*1.05</f>
        <v>571.14729000000011</v>
      </c>
      <c r="L7" s="77">
        <f t="shared" ref="L7:T7" si="1">K7*1.05</f>
        <v>599.70465450000017</v>
      </c>
      <c r="M7" s="77">
        <f t="shared" si="1"/>
        <v>629.68988722500023</v>
      </c>
      <c r="N7" s="77">
        <f t="shared" si="1"/>
        <v>661.17438158625032</v>
      </c>
      <c r="O7" s="77">
        <f t="shared" si="1"/>
        <v>694.23310066556292</v>
      </c>
      <c r="P7" s="77">
        <f t="shared" si="1"/>
        <v>728.94475569884105</v>
      </c>
      <c r="Q7" s="77">
        <f t="shared" si="1"/>
        <v>765.39199348378315</v>
      </c>
      <c r="R7" s="77">
        <f t="shared" si="1"/>
        <v>803.66159315797233</v>
      </c>
      <c r="S7" s="77">
        <f t="shared" si="1"/>
        <v>843.84467281587104</v>
      </c>
      <c r="T7" s="77">
        <f t="shared" si="1"/>
        <v>886.03690645666461</v>
      </c>
    </row>
    <row r="8" spans="1:20" x14ac:dyDescent="0.4">
      <c r="A8" s="331" t="s">
        <v>340</v>
      </c>
      <c r="C8" s="77">
        <f>MODEL!U78+(MODEL!U115*1.666)</f>
        <v>1023.7006000000001</v>
      </c>
      <c r="D8" s="77">
        <f>MODEL!Z78+(MODEL!Z115*1.666)</f>
        <v>1739.5819999999999</v>
      </c>
      <c r="E8" s="77">
        <f>MODEL!AE78+(MODEL!AE115*1.666)</f>
        <v>2538.2197999999999</v>
      </c>
      <c r="F8" s="77">
        <f>MODEL!AJ78+(MODEL!AJ115*1.666)</f>
        <v>3234.3830000000003</v>
      </c>
      <c r="G8" s="77">
        <f>MODEL!AO78+(MODEL!AO115*1.666)</f>
        <v>4181.8310000000019</v>
      </c>
      <c r="H8" s="77">
        <f>MODEL!AT78+(MODEL!AT115*1.666)</f>
        <v>4777.7951304525541</v>
      </c>
      <c r="I8" s="77">
        <f>MODEL!AU78+(MODEL!AU115*1.666)</f>
        <v>5617.7358064308009</v>
      </c>
      <c r="J8" s="77">
        <f>MODEL!AV78+(MODEL!AV115*1.666)</f>
        <v>6481.424798645523</v>
      </c>
      <c r="K8" s="77">
        <f>MODEL!AW78+(MODEL!AW115*1.666)</f>
        <v>7451.3979404071824</v>
      </c>
      <c r="L8" s="77">
        <f>MODEL!AX78+(MODEL!AX115*1.666)</f>
        <v>8499.4259949479274</v>
      </c>
      <c r="M8" s="77">
        <f>MODEL!AY78+(MODEL!AY115*1.666)</f>
        <v>9470.8615484272141</v>
      </c>
      <c r="N8" s="77">
        <f t="shared" ref="N8:T8" si="2">M8*(1+N50)</f>
        <v>10417.947703269936</v>
      </c>
      <c r="O8" s="77">
        <f t="shared" si="2"/>
        <v>11459.742473596931</v>
      </c>
      <c r="P8" s="77">
        <f t="shared" si="2"/>
        <v>12491.119296220655</v>
      </c>
      <c r="Q8" s="77">
        <f t="shared" si="2"/>
        <v>13615.320032880514</v>
      </c>
      <c r="R8" s="77">
        <f t="shared" si="2"/>
        <v>14840.698835839761</v>
      </c>
      <c r="S8" s="77">
        <f t="shared" si="2"/>
        <v>16027.954742706943</v>
      </c>
      <c r="T8" s="77">
        <f t="shared" si="2"/>
        <v>16829.352479842291</v>
      </c>
    </row>
    <row r="9" spans="1:20" x14ac:dyDescent="0.4">
      <c r="A9" s="331" t="s">
        <v>338</v>
      </c>
      <c r="C9" s="8">
        <f>C8/(C7*1000)</f>
        <v>2.8020306430351365E-3</v>
      </c>
      <c r="D9" s="8">
        <f t="shared" ref="D9:T9" si="3">D8/(D7*1000)</f>
        <v>4.6736046072395942E-3</v>
      </c>
      <c r="E9" s="8">
        <f t="shared" si="3"/>
        <v>6.4175122738831889E-3</v>
      </c>
      <c r="F9" s="8">
        <f t="shared" si="3"/>
        <v>7.6665584215491545E-3</v>
      </c>
      <c r="G9" s="8">
        <f t="shared" si="3"/>
        <v>9.2717316933544625E-3</v>
      </c>
      <c r="H9" s="8">
        <f t="shared" si="3"/>
        <v>9.9393877932771532E-3</v>
      </c>
      <c r="I9" s="8">
        <f t="shared" si="3"/>
        <v>1.0972913923092626E-2</v>
      </c>
      <c r="J9" s="8">
        <f t="shared" si="3"/>
        <v>1.1915483374836285E-2</v>
      </c>
      <c r="K9" s="8">
        <f t="shared" si="3"/>
        <v>1.3046368372696262E-2</v>
      </c>
      <c r="L9" s="8">
        <f t="shared" si="3"/>
        <v>1.4172686390160283E-2</v>
      </c>
      <c r="M9" s="8">
        <f t="shared" si="3"/>
        <v>1.5040517150695633E-2</v>
      </c>
      <c r="N9" s="8">
        <f t="shared" si="3"/>
        <v>1.5756732253109709E-2</v>
      </c>
      <c r="O9" s="8">
        <f t="shared" si="3"/>
        <v>1.6507052836591124E-2</v>
      </c>
      <c r="P9" s="8">
        <f t="shared" si="3"/>
        <v>1.7135892944651739E-2</v>
      </c>
      <c r="Q9" s="8">
        <f t="shared" si="3"/>
        <v>1.7788688866352754E-2</v>
      </c>
      <c r="R9" s="8">
        <f t="shared" si="3"/>
        <v>1.8466353204118574E-2</v>
      </c>
      <c r="S9" s="8">
        <f t="shared" si="3"/>
        <v>1.8993963295664818E-2</v>
      </c>
      <c r="T9" s="8">
        <f t="shared" si="3"/>
        <v>1.8993963295664822E-2</v>
      </c>
    </row>
    <row r="10" spans="1:20" x14ac:dyDescent="0.4">
      <c r="A10" s="331" t="s">
        <v>500</v>
      </c>
      <c r="C10" s="8">
        <f>C9*0.4</f>
        <v>1.1208122572140546E-3</v>
      </c>
      <c r="D10" s="8">
        <f t="shared" ref="D10:T10" si="4">D9*0.4</f>
        <v>1.8694418428958377E-3</v>
      </c>
      <c r="E10" s="8">
        <f t="shared" si="4"/>
        <v>2.5670049095532759E-3</v>
      </c>
      <c r="F10" s="8">
        <f t="shared" si="4"/>
        <v>3.0666233686196618E-3</v>
      </c>
      <c r="G10" s="8">
        <f t="shared" si="4"/>
        <v>3.7086926773417851E-3</v>
      </c>
      <c r="H10" s="8">
        <f t="shared" si="4"/>
        <v>3.9757551173108616E-3</v>
      </c>
      <c r="I10" s="8">
        <f t="shared" si="4"/>
        <v>4.3891655692370503E-3</v>
      </c>
      <c r="J10" s="8">
        <f t="shared" si="4"/>
        <v>4.7661933499345138E-3</v>
      </c>
      <c r="K10" s="8">
        <f t="shared" si="4"/>
        <v>5.2185473490785053E-3</v>
      </c>
      <c r="L10" s="8">
        <f t="shared" si="4"/>
        <v>5.6690745560641137E-3</v>
      </c>
      <c r="M10" s="8">
        <f t="shared" si="4"/>
        <v>6.0162068602782537E-3</v>
      </c>
      <c r="N10" s="8">
        <f t="shared" si="4"/>
        <v>6.3026929012438837E-3</v>
      </c>
      <c r="O10" s="8">
        <f t="shared" si="4"/>
        <v>6.6028211346364496E-3</v>
      </c>
      <c r="P10" s="8">
        <f t="shared" si="4"/>
        <v>6.8543571778606959E-3</v>
      </c>
      <c r="Q10" s="8">
        <f t="shared" si="4"/>
        <v>7.1154755465411019E-3</v>
      </c>
      <c r="R10" s="8">
        <f t="shared" si="4"/>
        <v>7.3865412816474301E-3</v>
      </c>
      <c r="S10" s="8">
        <f t="shared" si="4"/>
        <v>7.597585318265928E-3</v>
      </c>
      <c r="T10" s="8">
        <f t="shared" si="4"/>
        <v>7.5975853182659288E-3</v>
      </c>
    </row>
    <row r="11" spans="1:20" x14ac:dyDescent="0.4">
      <c r="P11" s="474"/>
      <c r="Q11" s="474"/>
      <c r="R11" s="474"/>
      <c r="S11" s="474"/>
    </row>
    <row r="12" spans="1:20" x14ac:dyDescent="0.4">
      <c r="A12" s="46" t="s">
        <v>201</v>
      </c>
      <c r="B12" s="46"/>
      <c r="C12" s="1"/>
      <c r="D12" s="1"/>
      <c r="E12" s="1"/>
      <c r="F12" s="1">
        <v>0</v>
      </c>
      <c r="G12" s="1">
        <v>0</v>
      </c>
      <c r="H12" s="1">
        <v>0</v>
      </c>
      <c r="I12" s="1">
        <v>0</v>
      </c>
      <c r="J12" s="1">
        <f t="shared" ref="J12:N12" si="5">I12+1</f>
        <v>1</v>
      </c>
      <c r="K12" s="1">
        <f t="shared" si="5"/>
        <v>2</v>
      </c>
      <c r="L12" s="1">
        <f t="shared" si="5"/>
        <v>3</v>
      </c>
      <c r="M12" s="1">
        <f t="shared" si="5"/>
        <v>4</v>
      </c>
      <c r="N12" s="1">
        <f t="shared" si="5"/>
        <v>5</v>
      </c>
      <c r="O12" s="1">
        <f t="shared" ref="O12" si="6">N12+1</f>
        <v>6</v>
      </c>
      <c r="P12" s="1">
        <f t="shared" ref="P12" si="7">O12+1</f>
        <v>7</v>
      </c>
      <c r="Q12" s="1">
        <f t="shared" ref="Q12" si="8">P12+1</f>
        <v>8</v>
      </c>
      <c r="R12" s="1">
        <f t="shared" ref="R12" si="9">Q12+1</f>
        <v>9</v>
      </c>
      <c r="S12" s="1">
        <f t="shared" ref="S12" si="10">R12+1</f>
        <v>10</v>
      </c>
      <c r="T12" s="1">
        <f t="shared" ref="T12" si="11">S12+1</f>
        <v>11</v>
      </c>
    </row>
    <row r="13" spans="1:20" x14ac:dyDescent="0.4">
      <c r="A13" s="1"/>
      <c r="B13" s="1"/>
      <c r="C13" s="1"/>
      <c r="D13" s="1"/>
      <c r="E13" s="3"/>
      <c r="F13" s="3"/>
      <c r="G13" s="3"/>
      <c r="H13" s="1"/>
      <c r="I13" s="1"/>
      <c r="J13" s="1"/>
      <c r="K13" s="1"/>
      <c r="L13" s="1"/>
      <c r="M13" s="1"/>
      <c r="N13" s="1"/>
      <c r="O13" s="1"/>
      <c r="P13" s="62"/>
      <c r="Q13" s="62"/>
      <c r="R13" s="62"/>
      <c r="S13" s="62"/>
    </row>
    <row r="14" spans="1:20" x14ac:dyDescent="0.4">
      <c r="A14" s="4" t="s">
        <v>203</v>
      </c>
      <c r="B14" s="5">
        <v>2020</v>
      </c>
      <c r="C14" s="5">
        <v>2021</v>
      </c>
      <c r="D14" s="5">
        <v>2022</v>
      </c>
      <c r="E14" s="5">
        <v>2023</v>
      </c>
      <c r="F14" s="5">
        <v>2024</v>
      </c>
      <c r="G14" s="5">
        <v>2025</v>
      </c>
      <c r="H14" s="5" t="s">
        <v>75</v>
      </c>
      <c r="I14" s="5" t="s">
        <v>76</v>
      </c>
      <c r="J14" s="5" t="s">
        <v>77</v>
      </c>
      <c r="K14" s="5" t="s">
        <v>78</v>
      </c>
      <c r="L14" s="5" t="s">
        <v>79</v>
      </c>
      <c r="M14" s="5" t="s">
        <v>80</v>
      </c>
      <c r="N14" s="5" t="s">
        <v>276</v>
      </c>
      <c r="O14" s="5" t="s">
        <v>277</v>
      </c>
      <c r="P14" s="5" t="s">
        <v>278</v>
      </c>
      <c r="Q14" s="5" t="s">
        <v>279</v>
      </c>
      <c r="R14" s="5" t="s">
        <v>280</v>
      </c>
      <c r="S14" s="5" t="s">
        <v>281</v>
      </c>
      <c r="T14" s="5" t="s">
        <v>523</v>
      </c>
    </row>
    <row r="15" spans="1:20" x14ac:dyDescent="0.4">
      <c r="A15" s="47" t="s">
        <v>112</v>
      </c>
      <c r="B15" s="47"/>
      <c r="C15" s="3">
        <f t="shared" ref="C15:M15" si="12">C55</f>
        <v>64.985999999999976</v>
      </c>
      <c r="D15" s="3">
        <f>D55</f>
        <v>118.90000000000012</v>
      </c>
      <c r="E15" s="3">
        <f t="shared" si="12"/>
        <v>212.00000000000006</v>
      </c>
      <c r="F15" s="3">
        <f t="shared" si="12"/>
        <v>283.02473822791848</v>
      </c>
      <c r="G15" s="3">
        <f t="shared" si="12"/>
        <v>439.6</v>
      </c>
      <c r="H15" s="3">
        <f t="shared" si="12"/>
        <v>551.95684452184878</v>
      </c>
      <c r="I15" s="3">
        <f t="shared" si="12"/>
        <v>683.38016059638176</v>
      </c>
      <c r="J15" s="3">
        <f t="shared" si="12"/>
        <v>835.0108026687376</v>
      </c>
      <c r="K15" s="3">
        <f t="shared" si="12"/>
        <v>1007.2835950969286</v>
      </c>
      <c r="L15" s="3">
        <f t="shared" si="12"/>
        <v>1169.8823994692748</v>
      </c>
      <c r="M15" s="3">
        <f t="shared" si="12"/>
        <v>1331.5537359209766</v>
      </c>
      <c r="N15" s="3">
        <f t="shared" ref="N15:O15" si="13">N55</f>
        <v>1496.225925382553</v>
      </c>
      <c r="O15" s="3">
        <f t="shared" si="13"/>
        <v>1671.8498910131286</v>
      </c>
      <c r="P15" s="3">
        <f t="shared" ref="P15:T15" si="14">P55</f>
        <v>1841.2107123180629</v>
      </c>
      <c r="Q15" s="3">
        <f t="shared" si="14"/>
        <v>2006.9196764266887</v>
      </c>
      <c r="R15" s="3">
        <f t="shared" si="14"/>
        <v>2187.5424473050907</v>
      </c>
      <c r="S15" s="3">
        <f t="shared" si="14"/>
        <v>2362.5458430894982</v>
      </c>
      <c r="T15" s="3">
        <f t="shared" si="14"/>
        <v>2480.6731352439729</v>
      </c>
    </row>
    <row r="16" spans="1:20" x14ac:dyDescent="0.4">
      <c r="A16" s="47" t="s">
        <v>371</v>
      </c>
      <c r="B16" s="47"/>
      <c r="C16" s="3">
        <f>-(MODEL!U161-MODEL!U183)</f>
        <v>-6.0600000000000023</v>
      </c>
      <c r="D16" s="3">
        <f>-MODEL!Z161</f>
        <v>-33.799999999999997</v>
      </c>
      <c r="E16" s="3">
        <f>-MODEL!AE161</f>
        <v>-31.8</v>
      </c>
      <c r="F16" s="3">
        <f>-MODEL!AJ161</f>
        <v>-71.498670753263411</v>
      </c>
      <c r="G16" s="3">
        <f>-MODEL!AO161</f>
        <v>-62.6</v>
      </c>
      <c r="H16" s="3">
        <f>-MODEL!AT161</f>
        <v>-70.042515752487347</v>
      </c>
      <c r="I16" s="3">
        <f>-MODEL!AU161</f>
        <v>-83.170484775216764</v>
      </c>
      <c r="J16" s="3">
        <f>-MODEL!AV161</f>
        <v>-96.842342674822049</v>
      </c>
      <c r="K16" s="3">
        <f>-MODEL!AW161</f>
        <v>-112.10316125265422</v>
      </c>
      <c r="L16" s="3">
        <f>-MODEL!AX161</f>
        <v>-128.195374221337</v>
      </c>
      <c r="M16" s="3">
        <f>-MODEL!AY161</f>
        <v>-143.25825395217632</v>
      </c>
      <c r="N16" s="3">
        <f>(-0.025)*N49</f>
        <v>-196.98009918424245</v>
      </c>
      <c r="O16" s="3">
        <f t="shared" ref="O16:T16" si="15">(-0.025)*O49</f>
        <v>-216.67810910266672</v>
      </c>
      <c r="P16" s="3">
        <f t="shared" si="15"/>
        <v>-236.17913892190674</v>
      </c>
      <c r="Q16" s="3">
        <f t="shared" si="15"/>
        <v>-257.43526142487838</v>
      </c>
      <c r="R16" s="3">
        <f t="shared" si="15"/>
        <v>-280.60443495311745</v>
      </c>
      <c r="S16" s="3">
        <f t="shared" si="15"/>
        <v>-303.05278974936681</v>
      </c>
      <c r="T16" s="3">
        <f t="shared" si="15"/>
        <v>-318.20542923683519</v>
      </c>
    </row>
    <row r="17" spans="1:20" x14ac:dyDescent="0.4">
      <c r="A17" s="47" t="s">
        <v>81</v>
      </c>
      <c r="B17" s="47"/>
      <c r="C17" s="3">
        <f>MODEL!U195</f>
        <v>-4.4000000000000004</v>
      </c>
      <c r="D17" s="3">
        <f>MODEL!Z195</f>
        <v>-25.4</v>
      </c>
      <c r="E17" s="3">
        <f>MODEL!AE195</f>
        <v>-17.600000000000001</v>
      </c>
      <c r="F17" s="3">
        <f>(F15+(F16*0.1))*-0.25</f>
        <v>-68.968717788148041</v>
      </c>
      <c r="G17" s="3">
        <f>(G15+(G16*0.1))*-0.225</f>
        <v>-97.501500000000007</v>
      </c>
      <c r="H17" s="3">
        <f t="shared" ref="H17:T17" si="16">(H15+(H16*0.1))*-0.225</f>
        <v>-122.614333412985</v>
      </c>
      <c r="I17" s="3">
        <f t="shared" si="16"/>
        <v>-151.88920022674353</v>
      </c>
      <c r="J17" s="3">
        <f t="shared" si="16"/>
        <v>-185.69847789028248</v>
      </c>
      <c r="K17" s="3">
        <f t="shared" si="16"/>
        <v>-224.11648776862421</v>
      </c>
      <c r="L17" s="3">
        <f t="shared" si="16"/>
        <v>-260.33914396060675</v>
      </c>
      <c r="M17" s="3">
        <f t="shared" si="16"/>
        <v>-296.3762798682958</v>
      </c>
      <c r="N17" s="3">
        <f t="shared" si="16"/>
        <v>-332.21878097942897</v>
      </c>
      <c r="O17" s="3">
        <f t="shared" si="16"/>
        <v>-371.29096802314393</v>
      </c>
      <c r="P17" s="3">
        <f t="shared" si="16"/>
        <v>-408.95837964582125</v>
      </c>
      <c r="Q17" s="3">
        <f t="shared" si="16"/>
        <v>-445.76463381394524</v>
      </c>
      <c r="R17" s="3">
        <f t="shared" si="16"/>
        <v>-485.88345085720033</v>
      </c>
      <c r="S17" s="3">
        <f t="shared" si="16"/>
        <v>-524.7541269257764</v>
      </c>
      <c r="T17" s="3">
        <f t="shared" si="16"/>
        <v>-550.99183327206504</v>
      </c>
    </row>
    <row r="18" spans="1:20" x14ac:dyDescent="0.4">
      <c r="A18" s="47" t="s">
        <v>82</v>
      </c>
      <c r="B18" s="47"/>
      <c r="C18" s="3">
        <f t="shared" ref="C18:M18" si="17">C58</f>
        <v>31.4</v>
      </c>
      <c r="D18" s="3">
        <f t="shared" si="17"/>
        <v>46.400000000000006</v>
      </c>
      <c r="E18" s="3">
        <f t="shared" si="17"/>
        <v>64.90000000000002</v>
      </c>
      <c r="F18" s="3">
        <f t="shared" si="17"/>
        <v>104.59805539568326</v>
      </c>
      <c r="G18" s="3">
        <f t="shared" si="17"/>
        <v>127.4</v>
      </c>
      <c r="H18" s="3">
        <f t="shared" si="17"/>
        <v>148.03278876686934</v>
      </c>
      <c r="I18" s="3">
        <f t="shared" si="17"/>
        <v>171.61983940361824</v>
      </c>
      <c r="J18" s="3">
        <f t="shared" si="17"/>
        <v>194.9891973312624</v>
      </c>
      <c r="K18" s="3">
        <f t="shared" si="17"/>
        <v>225.71640490307138</v>
      </c>
      <c r="L18" s="3">
        <f t="shared" si="17"/>
        <v>258.1176005307251</v>
      </c>
      <c r="M18" s="3">
        <f t="shared" si="17"/>
        <v>288.44626407902354</v>
      </c>
      <c r="N18" s="3">
        <f t="shared" ref="N18:O18" si="18">N58</f>
        <v>317.29089048692595</v>
      </c>
      <c r="O18" s="3">
        <f t="shared" si="18"/>
        <v>349.01997953561857</v>
      </c>
      <c r="P18" s="3">
        <f t="shared" ref="P18:T18" si="19">P58</f>
        <v>380.43177769382424</v>
      </c>
      <c r="Q18" s="3">
        <f t="shared" si="19"/>
        <v>414.67063768626849</v>
      </c>
      <c r="R18" s="3">
        <f t="shared" si="19"/>
        <v>451.99099507803265</v>
      </c>
      <c r="S18" s="3">
        <f t="shared" si="19"/>
        <v>488.1502746842753</v>
      </c>
      <c r="T18" s="3">
        <f t="shared" si="19"/>
        <v>512.55778841848905</v>
      </c>
    </row>
    <row r="19" spans="1:20" x14ac:dyDescent="0.4">
      <c r="A19" s="47" t="s">
        <v>83</v>
      </c>
      <c r="B19" s="47"/>
      <c r="C19" s="3">
        <f t="shared" ref="C19:M19" si="20">C63</f>
        <v>-13.3</v>
      </c>
      <c r="D19" s="3">
        <f t="shared" si="20"/>
        <v>-15.4</v>
      </c>
      <c r="E19" s="3">
        <f t="shared" si="20"/>
        <v>-32</v>
      </c>
      <c r="F19" s="3">
        <f t="shared" si="20"/>
        <v>-66.5</v>
      </c>
      <c r="G19" s="3">
        <f t="shared" si="20"/>
        <v>-91.4</v>
      </c>
      <c r="H19" s="3">
        <f t="shared" si="20"/>
        <v>-104.34709422413715</v>
      </c>
      <c r="I19" s="3">
        <f t="shared" si="20"/>
        <v>-121.50015000960796</v>
      </c>
      <c r="J19" s="3">
        <f t="shared" si="20"/>
        <v>-139.2809935723144</v>
      </c>
      <c r="K19" s="3">
        <f t="shared" si="20"/>
        <v>-158.89590680386326</v>
      </c>
      <c r="L19" s="3">
        <f t="shared" si="20"/>
        <v>-179.4704631883229</v>
      </c>
      <c r="M19" s="3">
        <f t="shared" si="20"/>
        <v>-198.85690403504199</v>
      </c>
      <c r="N19" s="3">
        <f t="shared" ref="N19:O19" si="21">N63</f>
        <v>-210.8633904711765</v>
      </c>
      <c r="O19" s="3">
        <f t="shared" si="21"/>
        <v>-231.94972951829419</v>
      </c>
      <c r="P19" s="3">
        <f t="shared" ref="P19:T19" si="22">P63</f>
        <v>-243.37803961806441</v>
      </c>
      <c r="Q19" s="3">
        <f t="shared" si="22"/>
        <v>-265.28206318369024</v>
      </c>
      <c r="R19" s="3">
        <f t="shared" si="22"/>
        <v>-289.15744887022237</v>
      </c>
      <c r="S19" s="3">
        <f t="shared" si="22"/>
        <v>-312.29004477984017</v>
      </c>
      <c r="T19" s="3">
        <f t="shared" si="22"/>
        <v>-327.90454701883215</v>
      </c>
    </row>
    <row r="20" spans="1:20" x14ac:dyDescent="0.4">
      <c r="A20" s="47" t="s">
        <v>84</v>
      </c>
      <c r="B20" s="47"/>
      <c r="C20" s="3">
        <f t="shared" ref="C20:M20" si="23">C60</f>
        <v>-24.64</v>
      </c>
      <c r="D20" s="3">
        <f t="shared" si="23"/>
        <v>-60.3</v>
      </c>
      <c r="E20" s="3">
        <f t="shared" si="23"/>
        <v>-42.8</v>
      </c>
      <c r="F20" s="3">
        <f t="shared" si="23"/>
        <v>-60.5</v>
      </c>
      <c r="G20" s="3">
        <f t="shared" si="23"/>
        <v>-72.900000000000006</v>
      </c>
      <c r="H20" s="3">
        <f t="shared" si="23"/>
        <v>-105.06377362873101</v>
      </c>
      <c r="I20" s="3">
        <f t="shared" si="23"/>
        <v>-124.75572716282512</v>
      </c>
      <c r="J20" s="3">
        <f t="shared" si="23"/>
        <v>-145.26351401223306</v>
      </c>
      <c r="K20" s="3">
        <f t="shared" si="23"/>
        <v>-168.1547418789813</v>
      </c>
      <c r="L20" s="3">
        <f t="shared" si="23"/>
        <v>-192.29306133200549</v>
      </c>
      <c r="M20" s="3">
        <f t="shared" si="23"/>
        <v>-214.88738092826446</v>
      </c>
      <c r="N20" s="3">
        <f t="shared" ref="N20:O20" si="24">N60</f>
        <v>-228.49691505372121</v>
      </c>
      <c r="O20" s="3">
        <f t="shared" si="24"/>
        <v>-242.67948219498669</v>
      </c>
      <c r="P20" s="3">
        <f t="shared" ref="P20:T20" si="25">P60</f>
        <v>-255.07347003565923</v>
      </c>
      <c r="Q20" s="3">
        <f t="shared" si="25"/>
        <v>-267.73267188187344</v>
      </c>
      <c r="R20" s="3">
        <f t="shared" si="25"/>
        <v>-291.82861235124204</v>
      </c>
      <c r="S20" s="3">
        <f t="shared" si="25"/>
        <v>-315.17490133934143</v>
      </c>
      <c r="T20" s="3">
        <f t="shared" si="25"/>
        <v>-318.20542923683507</v>
      </c>
    </row>
    <row r="21" spans="1:20" hidden="1" x14ac:dyDescent="0.4">
      <c r="A21" s="47" t="s">
        <v>222</v>
      </c>
      <c r="B21" s="47"/>
      <c r="C21" s="3">
        <f>MODEL!U194</f>
        <v>8.0950000000000006</v>
      </c>
      <c r="D21" s="3">
        <f>MODEL!Z194</f>
        <v>-67.599999999999994</v>
      </c>
      <c r="E21" s="3">
        <f>MODEL!AE194</f>
        <v>93.4</v>
      </c>
      <c r="F21" s="3">
        <f>MODEL!AJ194</f>
        <v>95.7</v>
      </c>
      <c r="G21" s="3">
        <f>MODEL!AO194</f>
        <v>25</v>
      </c>
      <c r="H21" s="3">
        <f>MODEL!AT194</f>
        <v>0</v>
      </c>
      <c r="I21" s="3">
        <f>MODEL!AU194</f>
        <v>0</v>
      </c>
      <c r="J21" s="3">
        <f>MODEL!AV194</f>
        <v>0</v>
      </c>
      <c r="K21" s="3">
        <f>MODEL!AW194</f>
        <v>0</v>
      </c>
      <c r="L21" s="3">
        <f>MODEL!AX194</f>
        <v>0</v>
      </c>
      <c r="M21" s="3">
        <f>MODEL!AY194</f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</row>
    <row r="22" spans="1:20" x14ac:dyDescent="0.4">
      <c r="A22" s="48" t="s">
        <v>85</v>
      </c>
      <c r="B22" s="48"/>
      <c r="C22" s="49">
        <f>B66-C66</f>
        <v>-74.593999999999966</v>
      </c>
      <c r="D22" s="49">
        <f>C66-D66</f>
        <v>-271.6400000000001</v>
      </c>
      <c r="E22" s="49">
        <f t="shared" ref="E22:N22" si="26">D66-E66</f>
        <v>-36.999999999999886</v>
      </c>
      <c r="F22" s="49">
        <f t="shared" si="26"/>
        <v>-2.6000000000000227</v>
      </c>
      <c r="G22" s="49">
        <f>F66-G66</f>
        <v>-71.600000000000136</v>
      </c>
      <c r="H22" s="49">
        <f t="shared" si="26"/>
        <v>-140.76969280471849</v>
      </c>
      <c r="I22" s="49">
        <f t="shared" si="26"/>
        <v>-130.99058874298862</v>
      </c>
      <c r="J22" s="49">
        <f t="shared" si="26"/>
        <v>-135.75578118384601</v>
      </c>
      <c r="K22" s="49">
        <f t="shared" si="26"/>
        <v>-151.00001411441826</v>
      </c>
      <c r="L22" s="49">
        <f t="shared" si="26"/>
        <v>-158.50428761192848</v>
      </c>
      <c r="M22" s="49">
        <f t="shared" si="26"/>
        <v>-147.30439804903403</v>
      </c>
      <c r="N22" s="49">
        <f t="shared" si="26"/>
        <v>-143.47247625069349</v>
      </c>
      <c r="O22" s="49">
        <f t="shared" ref="O22" si="27">N66-O66</f>
        <v>-157.81972387576297</v>
      </c>
      <c r="P22" s="49">
        <f t="shared" ref="P22" si="28">O66-P66</f>
        <v>-156.24152663700534</v>
      </c>
      <c r="Q22" s="49">
        <f t="shared" ref="Q22" si="29">P66-Q66</f>
        <v>-170.30326403433583</v>
      </c>
      <c r="R22" s="49">
        <f t="shared" ref="R22" si="30">Q66-R66</f>
        <v>-185.63055779742581</v>
      </c>
      <c r="S22" s="49">
        <f t="shared" ref="S22" si="31">R66-S66</f>
        <v>-179.85538488817292</v>
      </c>
      <c r="T22" s="49">
        <f t="shared" ref="T22" si="32">S66-T66</f>
        <v>-121.40238479951631</v>
      </c>
    </row>
    <row r="23" spans="1:20" x14ac:dyDescent="0.4">
      <c r="A23" s="50" t="s">
        <v>86</v>
      </c>
      <c r="B23" s="50"/>
      <c r="C23" s="51">
        <f>SUM(C15:C22)</f>
        <v>-18.512999999999991</v>
      </c>
      <c r="D23" s="51">
        <f t="shared" ref="D23:G23" si="33">SUM(D15:D22)</f>
        <v>-308.83999999999997</v>
      </c>
      <c r="E23" s="51">
        <f t="shared" si="33"/>
        <v>209.10000000000016</v>
      </c>
      <c r="F23" s="51">
        <f t="shared" si="33"/>
        <v>213.25540508219024</v>
      </c>
      <c r="G23" s="51">
        <f t="shared" si="33"/>
        <v>195.99849999999992</v>
      </c>
      <c r="H23" s="51">
        <f t="shared" ref="H23:M23" si="34">SUM(H15:H22)</f>
        <v>157.15222346565918</v>
      </c>
      <c r="I23" s="51">
        <f t="shared" si="34"/>
        <v>242.69384908261793</v>
      </c>
      <c r="J23" s="51">
        <f t="shared" si="34"/>
        <v>327.15889066650209</v>
      </c>
      <c r="K23" s="51">
        <f t="shared" si="34"/>
        <v>418.72968818145876</v>
      </c>
      <c r="L23" s="51">
        <f t="shared" si="34"/>
        <v>509.19766968579916</v>
      </c>
      <c r="M23" s="51">
        <f t="shared" si="34"/>
        <v>619.31678316718762</v>
      </c>
      <c r="N23" s="51">
        <f t="shared" ref="N23:O23" si="35">SUM(N15:N22)</f>
        <v>701.48515393021637</v>
      </c>
      <c r="O23" s="51">
        <f t="shared" si="35"/>
        <v>800.45185783389286</v>
      </c>
      <c r="P23" s="51">
        <f t="shared" ref="P23:T23" si="36">SUM(P15:P22)</f>
        <v>921.81193515343011</v>
      </c>
      <c r="Q23" s="51">
        <f t="shared" si="36"/>
        <v>1015.0724197742338</v>
      </c>
      <c r="R23" s="51">
        <f t="shared" si="36"/>
        <v>1106.4289375539151</v>
      </c>
      <c r="S23" s="51">
        <f t="shared" si="36"/>
        <v>1215.568870091276</v>
      </c>
      <c r="T23" s="51">
        <f t="shared" si="36"/>
        <v>1356.5213000983783</v>
      </c>
    </row>
    <row r="24" spans="1:20" x14ac:dyDescent="0.4">
      <c r="A24" s="47" t="s">
        <v>87</v>
      </c>
      <c r="B24" s="47"/>
      <c r="C24" s="52">
        <f t="shared" ref="C24:M24" si="37">C23/C49</f>
        <v>-2.5549268561965204E-2</v>
      </c>
      <c r="D24" s="52">
        <f t="shared" si="37"/>
        <v>-0.25271254398167087</v>
      </c>
      <c r="E24" s="52">
        <f t="shared" si="37"/>
        <v>0.11667875676580558</v>
      </c>
      <c r="F24" s="52">
        <f t="shared" si="37"/>
        <v>9.1987838106453099E-2</v>
      </c>
      <c r="G24" s="52">
        <f t="shared" si="37"/>
        <v>6.5029362972793589E-2</v>
      </c>
      <c r="H24" s="52">
        <f t="shared" si="37"/>
        <v>4.4873380625274989E-2</v>
      </c>
      <c r="I24" s="52">
        <f t="shared" si="37"/>
        <v>5.8360570997882687E-2</v>
      </c>
      <c r="J24" s="52">
        <f t="shared" si="37"/>
        <v>6.7565257433938514E-2</v>
      </c>
      <c r="K24" s="52">
        <f t="shared" si="37"/>
        <v>7.4704349726184852E-2</v>
      </c>
      <c r="L24" s="52">
        <f t="shared" si="37"/>
        <v>7.9440880418452361E-2</v>
      </c>
      <c r="M24" s="52">
        <f t="shared" si="37"/>
        <v>8.64615847368813E-2</v>
      </c>
      <c r="N24" s="52">
        <f t="shared" ref="N24:O24" si="38">N23/N49</f>
        <v>8.9029952370225554E-2</v>
      </c>
      <c r="O24" s="52">
        <f t="shared" si="38"/>
        <v>9.2354952370225563E-2</v>
      </c>
      <c r="P24" s="52">
        <f t="shared" ref="P24:T24" si="39">P23/P49</f>
        <v>9.7575503425201937E-2</v>
      </c>
      <c r="Q24" s="52">
        <f t="shared" si="39"/>
        <v>9.857550342520191E-2</v>
      </c>
      <c r="R24" s="52">
        <f t="shared" si="39"/>
        <v>9.8575503425201924E-2</v>
      </c>
      <c r="S24" s="52">
        <f t="shared" si="39"/>
        <v>0.10027699061082607</v>
      </c>
      <c r="T24" s="52">
        <f t="shared" si="39"/>
        <v>0.10657590784605545</v>
      </c>
    </row>
    <row r="25" spans="1:20" x14ac:dyDescent="0.4">
      <c r="A25" s="47" t="s">
        <v>88</v>
      </c>
      <c r="B25" s="47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>
        <f>(T23)/($K$44-$K$45)</f>
        <v>18257.352625819356</v>
      </c>
    </row>
    <row r="26" spans="1:20" x14ac:dyDescent="0.4">
      <c r="A26" s="48" t="s">
        <v>89</v>
      </c>
      <c r="B26" s="48"/>
      <c r="C26" s="49"/>
      <c r="D26" s="49"/>
      <c r="E26" s="49">
        <f t="shared" ref="E26" si="40">E23</f>
        <v>209.10000000000016</v>
      </c>
      <c r="F26" s="49">
        <f t="shared" ref="F26:M26" si="41">F23+F25</f>
        <v>213.25540508219024</v>
      </c>
      <c r="G26" s="49">
        <f t="shared" si="41"/>
        <v>195.99849999999992</v>
      </c>
      <c r="H26" s="49">
        <f t="shared" si="41"/>
        <v>157.15222346565918</v>
      </c>
      <c r="I26" s="49">
        <f t="shared" si="41"/>
        <v>242.69384908261793</v>
      </c>
      <c r="J26" s="49">
        <f t="shared" si="41"/>
        <v>327.15889066650209</v>
      </c>
      <c r="K26" s="49">
        <f t="shared" si="41"/>
        <v>418.72968818145876</v>
      </c>
      <c r="L26" s="49">
        <f t="shared" si="41"/>
        <v>509.19766968579916</v>
      </c>
      <c r="M26" s="49">
        <f t="shared" si="41"/>
        <v>619.31678316718762</v>
      </c>
      <c r="N26" s="49">
        <f t="shared" ref="N26:O26" si="42">N23+N25</f>
        <v>701.48515393021637</v>
      </c>
      <c r="O26" s="49">
        <f t="shared" si="42"/>
        <v>800.45185783389286</v>
      </c>
      <c r="P26" s="49">
        <f t="shared" ref="P26:T26" si="43">P23+P25</f>
        <v>921.81193515343011</v>
      </c>
      <c r="Q26" s="49">
        <f t="shared" si="43"/>
        <v>1015.0724197742338</v>
      </c>
      <c r="R26" s="49">
        <f t="shared" si="43"/>
        <v>1106.4289375539151</v>
      </c>
      <c r="S26" s="49">
        <f t="shared" si="43"/>
        <v>1215.568870091276</v>
      </c>
      <c r="T26" s="49">
        <f t="shared" si="43"/>
        <v>19613.873925917735</v>
      </c>
    </row>
    <row r="27" spans="1:20" x14ac:dyDescent="0.4">
      <c r="A27" s="47" t="s">
        <v>90</v>
      </c>
      <c r="B27" s="47"/>
      <c r="C27" s="53"/>
      <c r="D27" s="53"/>
      <c r="E27" s="53"/>
      <c r="F27" s="53"/>
      <c r="G27" s="53"/>
      <c r="H27" s="53"/>
      <c r="I27" s="53">
        <f t="shared" ref="I27:T27" si="44">1/((1+$K$44)^I12)</f>
        <v>1</v>
      </c>
      <c r="J27" s="53">
        <f t="shared" si="44"/>
        <v>0.90522313750339456</v>
      </c>
      <c r="K27" s="53">
        <f t="shared" si="44"/>
        <v>0.81942892867148953</v>
      </c>
      <c r="L27" s="53">
        <f t="shared" si="44"/>
        <v>0.74176602577305117</v>
      </c>
      <c r="M27" s="53">
        <f t="shared" si="44"/>
        <v>0.67146376914370509</v>
      </c>
      <c r="N27" s="53">
        <f t="shared" si="44"/>
        <v>0.60782453982411977</v>
      </c>
      <c r="O27" s="53">
        <f t="shared" si="44"/>
        <v>0.55021683699114665</v>
      </c>
      <c r="P27" s="53">
        <f t="shared" si="44"/>
        <v>0.49806901148831967</v>
      </c>
      <c r="Q27" s="53">
        <f t="shared" si="44"/>
        <v>0.45086359327267095</v>
      </c>
      <c r="R27" s="53">
        <f t="shared" si="44"/>
        <v>0.40813215648834156</v>
      </c>
      <c r="S27" s="53">
        <f t="shared" si="44"/>
        <v>0.36945067121240299</v>
      </c>
      <c r="T27" s="53">
        <f t="shared" si="44"/>
        <v>0.33443529574762648</v>
      </c>
    </row>
    <row r="28" spans="1:20" x14ac:dyDescent="0.4">
      <c r="A28" s="47" t="s">
        <v>91</v>
      </c>
      <c r="B28" s="47"/>
      <c r="C28" s="3"/>
      <c r="D28" s="3"/>
      <c r="E28" s="3"/>
      <c r="F28" s="3">
        <f>F26</f>
        <v>213.25540508219024</v>
      </c>
      <c r="G28" s="3"/>
      <c r="H28" s="3"/>
      <c r="I28" s="3">
        <f t="shared" ref="I28:M28" si="45">I26*I27</f>
        <v>242.69384908261793</v>
      </c>
      <c r="J28" s="3">
        <f t="shared" si="45"/>
        <v>296.15179747126103</v>
      </c>
      <c r="K28" s="3">
        <f t="shared" si="45"/>
        <v>343.11921978947964</v>
      </c>
      <c r="L28" s="3">
        <f t="shared" si="45"/>
        <v>377.70553177573407</v>
      </c>
      <c r="M28" s="3">
        <f t="shared" si="45"/>
        <v>415.84878151939455</v>
      </c>
      <c r="N28" s="3">
        <f t="shared" ref="N28:O28" si="46">N26*N27</f>
        <v>426.3798908810856</v>
      </c>
      <c r="O28" s="3">
        <f t="shared" si="46"/>
        <v>440.42208938105153</v>
      </c>
      <c r="P28" s="3">
        <f t="shared" ref="P28:T28" si="47">P26*P27</f>
        <v>459.12595932000397</v>
      </c>
      <c r="Q28" s="3">
        <f t="shared" si="47"/>
        <v>457.65919861139605</v>
      </c>
      <c r="R28" s="3">
        <f t="shared" si="47"/>
        <v>451.56922828498398</v>
      </c>
      <c r="S28" s="3">
        <f t="shared" si="47"/>
        <v>449.09273496012423</v>
      </c>
      <c r="T28" s="3">
        <f t="shared" si="47"/>
        <v>6559.5717271709573</v>
      </c>
    </row>
    <row r="29" spans="1:20" ht="13.5" thickBot="1" x14ac:dyDescent="0.45">
      <c r="A29" s="1"/>
      <c r="B29" s="1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x14ac:dyDescent="0.4">
      <c r="A30" s="55" t="s">
        <v>202</v>
      </c>
      <c r="B30" s="56"/>
      <c r="C30" s="403"/>
      <c r="D30" s="403"/>
      <c r="H30" s="5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4">
      <c r="A31" s="58" t="s">
        <v>372</v>
      </c>
      <c r="B31" s="1"/>
      <c r="H31" s="59">
        <f>SUM(H28:T28)</f>
        <v>10919.340008248091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4">
      <c r="A32" s="58" t="s">
        <v>92</v>
      </c>
      <c r="B32" s="1"/>
      <c r="H32" s="60">
        <f>MODEL!AT212</f>
        <v>1337.3178622195815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2" ht="13.5" thickBot="1" x14ac:dyDescent="0.45">
      <c r="A33" s="65" t="s">
        <v>220</v>
      </c>
      <c r="B33" s="66"/>
      <c r="C33" s="404"/>
      <c r="D33" s="404"/>
      <c r="H33" s="405">
        <f>H31+H32</f>
        <v>12256.657870467672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2" hidden="1" x14ac:dyDescent="0.4">
      <c r="A34" s="58" t="s">
        <v>114</v>
      </c>
      <c r="B34" s="1"/>
      <c r="H34" s="61"/>
      <c r="I34" s="6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2" hidden="1" x14ac:dyDescent="0.4">
      <c r="A35" s="63" t="s">
        <v>221</v>
      </c>
      <c r="B35" s="2"/>
      <c r="H35" s="6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2" ht="13.5" hidden="1" thickBot="1" x14ac:dyDescent="0.45">
      <c r="A36" s="65" t="s">
        <v>204</v>
      </c>
      <c r="B36" s="66"/>
      <c r="H36" s="6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2" x14ac:dyDescent="0.4">
      <c r="A37" s="68" t="s">
        <v>123</v>
      </c>
      <c r="B37" s="68"/>
      <c r="H37" s="69">
        <f>FX!AO5</f>
        <v>1.2083999999999999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2" x14ac:dyDescent="0.4">
      <c r="A38" s="208" t="s">
        <v>373</v>
      </c>
      <c r="B38" s="208"/>
      <c r="H38" s="209">
        <f>H33*H37*0.891</f>
        <v>13196.552325269764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2" x14ac:dyDescent="0.4">
      <c r="A39" s="1" t="s">
        <v>374</v>
      </c>
      <c r="B39" s="1"/>
      <c r="H39" s="241">
        <f>MODEL!AT174</f>
        <v>299.98325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2" x14ac:dyDescent="0.4">
      <c r="A40" s="1" t="s">
        <v>327</v>
      </c>
      <c r="B40" s="1"/>
      <c r="H40" s="566">
        <f>MROUND(H38/H39,1)</f>
        <v>44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2" x14ac:dyDescent="0.4">
      <c r="A41" s="1"/>
      <c r="B41" s="1"/>
      <c r="H41" s="5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2" x14ac:dyDescent="0.4">
      <c r="A42" s="1"/>
      <c r="B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2" x14ac:dyDescent="0.4">
      <c r="A43" s="218" t="s">
        <v>282</v>
      </c>
      <c r="B43" s="219"/>
      <c r="H43" s="219" t="s">
        <v>93</v>
      </c>
      <c r="I43" s="219" t="s">
        <v>94</v>
      </c>
      <c r="J43" s="219" t="s">
        <v>95</v>
      </c>
      <c r="K43" s="220" t="s">
        <v>96</v>
      </c>
      <c r="L43" s="1"/>
      <c r="M43" s="1"/>
      <c r="N43" s="1"/>
      <c r="O43" s="1"/>
      <c r="P43" s="1"/>
      <c r="Q43" s="1"/>
      <c r="R43" s="1"/>
      <c r="S43" s="1"/>
      <c r="T43" s="1"/>
    </row>
    <row r="44" spans="1:22" x14ac:dyDescent="0.4">
      <c r="A44" s="221" t="s">
        <v>97</v>
      </c>
      <c r="B44" s="1"/>
      <c r="H44" s="222">
        <v>4.1700000000000001E-2</v>
      </c>
      <c r="I44" s="222">
        <v>4.4999999999999998E-2</v>
      </c>
      <c r="J44" s="402">
        <v>1.4</v>
      </c>
      <c r="K44" s="223">
        <f>H44+(I44*J44)</f>
        <v>0.1047</v>
      </c>
      <c r="L44" s="1"/>
      <c r="M44" s="1"/>
      <c r="N44" s="1"/>
      <c r="O44" s="1"/>
      <c r="P44" s="1"/>
      <c r="Q44" s="1"/>
      <c r="R44" s="1"/>
      <c r="S44" s="1"/>
      <c r="T44" s="1"/>
      <c r="V44" s="8"/>
    </row>
    <row r="45" spans="1:22" x14ac:dyDescent="0.4">
      <c r="A45" s="224" t="s">
        <v>98</v>
      </c>
      <c r="B45" s="2"/>
      <c r="H45" s="2"/>
      <c r="I45" s="2"/>
      <c r="J45" s="2"/>
      <c r="K45" s="316">
        <v>3.04E-2</v>
      </c>
      <c r="L45" s="1"/>
      <c r="M45" s="1"/>
      <c r="N45" s="1"/>
      <c r="O45" s="1"/>
      <c r="P45" s="1"/>
      <c r="Q45" s="1"/>
      <c r="R45" s="1"/>
      <c r="S45" s="1"/>
      <c r="T45" s="1"/>
    </row>
    <row r="46" spans="1:22" x14ac:dyDescent="0.4">
      <c r="A46" s="1"/>
      <c r="B46" s="1"/>
      <c r="C46" s="1"/>
      <c r="D46" s="1"/>
      <c r="E46" s="1"/>
      <c r="F46" s="230"/>
      <c r="G46" s="230"/>
      <c r="H46" s="23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2" x14ac:dyDescent="0.4">
      <c r="A47" s="46"/>
      <c r="B47" s="1"/>
      <c r="C47" s="1"/>
      <c r="D47" s="1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2" x14ac:dyDescent="0.4">
      <c r="A48" s="225" t="s">
        <v>203</v>
      </c>
      <c r="B48" s="226">
        <v>2020</v>
      </c>
      <c r="C48" s="226">
        <f t="shared" ref="C48:M48" si="48">C14</f>
        <v>2021</v>
      </c>
      <c r="D48" s="226">
        <f t="shared" si="48"/>
        <v>2022</v>
      </c>
      <c r="E48" s="226">
        <f t="shared" si="48"/>
        <v>2023</v>
      </c>
      <c r="F48" s="226">
        <f t="shared" si="48"/>
        <v>2024</v>
      </c>
      <c r="G48" s="226">
        <f t="shared" si="48"/>
        <v>2025</v>
      </c>
      <c r="H48" s="226" t="str">
        <f t="shared" si="48"/>
        <v>2026E</v>
      </c>
      <c r="I48" s="226" t="str">
        <f t="shared" si="48"/>
        <v>2027E</v>
      </c>
      <c r="J48" s="226" t="str">
        <f t="shared" si="48"/>
        <v>2028E</v>
      </c>
      <c r="K48" s="226" t="str">
        <f t="shared" si="48"/>
        <v>2029E</v>
      </c>
      <c r="L48" s="226" t="str">
        <f t="shared" si="48"/>
        <v>2030E</v>
      </c>
      <c r="M48" s="226" t="str">
        <f t="shared" si="48"/>
        <v>2031E</v>
      </c>
      <c r="N48" s="226" t="str">
        <f t="shared" ref="N48:O48" si="49">N14</f>
        <v>2032E</v>
      </c>
      <c r="O48" s="226" t="str">
        <f t="shared" si="49"/>
        <v>2033E</v>
      </c>
      <c r="P48" s="226" t="str">
        <f t="shared" ref="P48:T48" si="50">P14</f>
        <v>2034E</v>
      </c>
      <c r="Q48" s="226" t="str">
        <f t="shared" si="50"/>
        <v>2035E</v>
      </c>
      <c r="R48" s="226" t="str">
        <f t="shared" si="50"/>
        <v>2036E</v>
      </c>
      <c r="S48" s="226" t="str">
        <f t="shared" si="50"/>
        <v>2037E</v>
      </c>
      <c r="T48" s="226" t="str">
        <f t="shared" si="50"/>
        <v>2038E</v>
      </c>
    </row>
    <row r="49" spans="1:21" x14ac:dyDescent="0.4">
      <c r="A49" s="227" t="s">
        <v>335</v>
      </c>
      <c r="B49" s="72"/>
      <c r="C49" s="72">
        <f>MODEL!U131</f>
        <v>724.60000000000014</v>
      </c>
      <c r="D49" s="72">
        <f>MODEL!Z131</f>
        <v>1222.0999999999999</v>
      </c>
      <c r="E49" s="72">
        <f>MODEL!AE131</f>
        <v>1792.1</v>
      </c>
      <c r="F49" s="72">
        <f>MODEL!AJ131</f>
        <v>2318.3000000000002</v>
      </c>
      <c r="G49" s="72">
        <f>MODEL!AO131</f>
        <v>3014.0000000000009</v>
      </c>
      <c r="H49" s="72">
        <f>MODEL!AT131</f>
        <v>3502.1257876243671</v>
      </c>
      <c r="I49" s="72">
        <f>MODEL!AU131</f>
        <v>4158.5242387608378</v>
      </c>
      <c r="J49" s="72">
        <f>MODEL!AV131</f>
        <v>4842.1171337411024</v>
      </c>
      <c r="K49" s="72">
        <f>MODEL!AW131</f>
        <v>5605.1580626327104</v>
      </c>
      <c r="L49" s="72">
        <f>MODEL!AX131</f>
        <v>6409.7687110668503</v>
      </c>
      <c r="M49" s="72">
        <f>MODEL!AY131</f>
        <v>7162.9126976088155</v>
      </c>
      <c r="N49" s="72">
        <f>M49*(1+N50)</f>
        <v>7879.2039673696972</v>
      </c>
      <c r="O49" s="72">
        <f t="shared" ref="O49" si="51">N49*(1+O50)</f>
        <v>8667.1243641066685</v>
      </c>
      <c r="P49" s="72">
        <f t="shared" ref="P49" si="52">O49*(1+P50)</f>
        <v>9447.165556876269</v>
      </c>
      <c r="Q49" s="72">
        <f t="shared" ref="Q49" si="53">P49*(1+Q50)</f>
        <v>10297.410456995134</v>
      </c>
      <c r="R49" s="72">
        <f t="shared" ref="R49" si="54">Q49*(1+R50)</f>
        <v>11224.177398124697</v>
      </c>
      <c r="S49" s="72">
        <f t="shared" ref="S49" si="55">R49*(1+S50)</f>
        <v>12122.111589974673</v>
      </c>
      <c r="T49" s="72">
        <f t="shared" ref="T49" si="56">S49*(1+T50)</f>
        <v>12728.217169473406</v>
      </c>
      <c r="U49" s="8"/>
    </row>
    <row r="50" spans="1:21" x14ac:dyDescent="0.4">
      <c r="A50" s="228" t="s">
        <v>336</v>
      </c>
      <c r="B50" s="74"/>
      <c r="C50" s="229">
        <f>MODEL!U134</f>
        <v>0.70375758661841759</v>
      </c>
      <c r="D50" s="229">
        <f t="shared" ref="D50:F50" si="57">D49/C49-1</f>
        <v>0.68658570245652739</v>
      </c>
      <c r="E50" s="229">
        <f t="shared" si="57"/>
        <v>0.46641027739137564</v>
      </c>
      <c r="F50" s="229">
        <f t="shared" si="57"/>
        <v>0.29362200770046321</v>
      </c>
      <c r="G50" s="229">
        <f>G49/F49-1</f>
        <v>0.30009058361730601</v>
      </c>
      <c r="H50" s="229">
        <f t="shared" ref="H50" si="58">H49/G49-1</f>
        <v>0.16195281606647849</v>
      </c>
      <c r="I50" s="229">
        <f t="shared" ref="I50" si="59">I49/H49-1</f>
        <v>0.18742857651087741</v>
      </c>
      <c r="J50" s="229">
        <f t="shared" ref="J50" si="60">J49/I49-1</f>
        <v>0.16438353024580721</v>
      </c>
      <c r="K50" s="229">
        <f t="shared" ref="K50" si="61">K49/J49-1</f>
        <v>0.1575841533395681</v>
      </c>
      <c r="L50" s="229">
        <f t="shared" ref="L50" si="62">L49/K49-1</f>
        <v>0.14354825313458131</v>
      </c>
      <c r="M50" s="229">
        <f t="shared" ref="M50" si="63">M49/L49-1</f>
        <v>0.11749940138114767</v>
      </c>
      <c r="N50" s="229">
        <f>N51</f>
        <v>0.1</v>
      </c>
      <c r="O50" s="229">
        <f t="shared" ref="O50:T50" si="64">O51</f>
        <v>0.1</v>
      </c>
      <c r="P50" s="229">
        <f t="shared" si="64"/>
        <v>0.09</v>
      </c>
      <c r="Q50" s="229">
        <f t="shared" si="64"/>
        <v>0.09</v>
      </c>
      <c r="R50" s="229">
        <f t="shared" si="64"/>
        <v>0.09</v>
      </c>
      <c r="S50" s="229">
        <f t="shared" si="64"/>
        <v>0.08</v>
      </c>
      <c r="T50" s="229">
        <f t="shared" si="64"/>
        <v>0.05</v>
      </c>
    </row>
    <row r="51" spans="1:21" x14ac:dyDescent="0.4">
      <c r="A51" s="228" t="s">
        <v>101</v>
      </c>
      <c r="B51" s="74"/>
      <c r="C51" s="230">
        <f>MODEL!U132</f>
        <v>0.725912403859033</v>
      </c>
      <c r="D51" s="230">
        <f>MODEL!Z132</f>
        <v>0.61025554989689268</v>
      </c>
      <c r="E51" s="230">
        <f t="shared" ref="E51:M51" si="65">E50-E52</f>
        <v>0.52033913068726234</v>
      </c>
      <c r="F51" s="230">
        <f t="shared" si="65"/>
        <v>0.32243431423164703</v>
      </c>
      <c r="G51" s="230">
        <f t="shared" si="65"/>
        <v>0.34092671405147446</v>
      </c>
      <c r="H51" s="230">
        <f t="shared" si="65"/>
        <v>0.2031615792966158</v>
      </c>
      <c r="I51" s="230">
        <f t="shared" si="65"/>
        <v>0.18742857651087741</v>
      </c>
      <c r="J51" s="230">
        <f t="shared" si="65"/>
        <v>0.16438353024580721</v>
      </c>
      <c r="K51" s="230">
        <f t="shared" si="65"/>
        <v>0.1575841533395681</v>
      </c>
      <c r="L51" s="230">
        <f t="shared" si="65"/>
        <v>0.14354825313458131</v>
      </c>
      <c r="M51" s="230">
        <f t="shared" si="65"/>
        <v>0.11749940138114767</v>
      </c>
      <c r="N51" s="230">
        <v>0.1</v>
      </c>
      <c r="O51" s="230">
        <v>0.1</v>
      </c>
      <c r="P51" s="230">
        <v>0.09</v>
      </c>
      <c r="Q51" s="230">
        <v>0.09</v>
      </c>
      <c r="R51" s="230">
        <v>0.09</v>
      </c>
      <c r="S51" s="230">
        <v>0.08</v>
      </c>
      <c r="T51" s="230">
        <v>0.05</v>
      </c>
    </row>
    <row r="52" spans="1:21" x14ac:dyDescent="0.4">
      <c r="A52" s="228" t="s">
        <v>102</v>
      </c>
      <c r="B52" s="74"/>
      <c r="C52" s="230">
        <f>MODEL!U133</f>
        <v>-1.2836582662641845E-2</v>
      </c>
      <c r="D52" s="230">
        <f>MODEL!Z133</f>
        <v>4.7402508604626331E-2</v>
      </c>
      <c r="E52" s="230">
        <f>MODEL!AE133</f>
        <v>-5.3928853295886703E-2</v>
      </c>
      <c r="F52" s="230">
        <f>MODEL!AJ133</f>
        <v>-2.8812306531183829E-2</v>
      </c>
      <c r="G52" s="230">
        <f>MODEL!AO133</f>
        <v>-4.0836130434168477E-2</v>
      </c>
      <c r="H52" s="230">
        <f>MODEL!AT55</f>
        <v>-4.1208763230137307E-2</v>
      </c>
      <c r="I52" s="230">
        <v>0</v>
      </c>
      <c r="J52" s="230">
        <v>0</v>
      </c>
      <c r="K52" s="230">
        <v>0</v>
      </c>
      <c r="L52" s="230">
        <v>0</v>
      </c>
      <c r="M52" s="230">
        <v>0</v>
      </c>
      <c r="N52" s="230">
        <v>0</v>
      </c>
      <c r="O52" s="230">
        <v>0</v>
      </c>
      <c r="P52" s="230">
        <v>0</v>
      </c>
      <c r="Q52" s="230">
        <v>0</v>
      </c>
      <c r="R52" s="230">
        <v>0</v>
      </c>
      <c r="S52" s="230">
        <v>0</v>
      </c>
      <c r="T52" s="230">
        <v>0</v>
      </c>
    </row>
    <row r="53" spans="1:21" x14ac:dyDescent="0.4">
      <c r="A53" s="231" t="s">
        <v>103</v>
      </c>
      <c r="B53" s="70"/>
      <c r="C53" s="71">
        <f>MODEL!U251</f>
        <v>294.30000000000018</v>
      </c>
      <c r="D53" s="71">
        <f>MODEL!Z251</f>
        <v>537.19999999999982</v>
      </c>
      <c r="E53" s="71">
        <f>MODEL!AE251</f>
        <v>724.89999999999986</v>
      </c>
      <c r="F53" s="71">
        <f>MODEL!AJ251</f>
        <v>912.62613317674959</v>
      </c>
      <c r="G53" s="71">
        <f>MODEL!AO251</f>
        <v>1120.400000000001</v>
      </c>
      <c r="H53" s="71">
        <f>MODEL!AT251</f>
        <v>1225.7440256685286</v>
      </c>
      <c r="I53" s="71">
        <f>MODEL!AU251</f>
        <v>1447.1664350887713</v>
      </c>
      <c r="J53" s="71">
        <f>MODEL!AV251</f>
        <v>1675.3725282744213</v>
      </c>
      <c r="K53" s="71">
        <f>MODEL!AW251</f>
        <v>1928.1743735456521</v>
      </c>
      <c r="L53" s="71">
        <f>MODEL!AX251</f>
        <v>2192.140899184863</v>
      </c>
      <c r="M53" s="71">
        <f>MODEL!AY251</f>
        <v>2435.390317186997</v>
      </c>
      <c r="N53" s="71">
        <f>N54*N49</f>
        <v>5200.274618464</v>
      </c>
      <c r="O53" s="71">
        <f t="shared" ref="O53:T53" si="66">O54*O49</f>
        <v>5720.3020803104018</v>
      </c>
      <c r="P53" s="71">
        <f t="shared" si="66"/>
        <v>6235.1292675383374</v>
      </c>
      <c r="Q53" s="71">
        <f t="shared" si="66"/>
        <v>6796.2909016167887</v>
      </c>
      <c r="R53" s="71">
        <f t="shared" si="66"/>
        <v>7407.9570827623002</v>
      </c>
      <c r="S53" s="71">
        <f t="shared" si="66"/>
        <v>8000.5936493832842</v>
      </c>
      <c r="T53" s="71">
        <f t="shared" si="66"/>
        <v>8400.6233318524482</v>
      </c>
    </row>
    <row r="54" spans="1:21" x14ac:dyDescent="0.4">
      <c r="A54" s="227" t="s">
        <v>111</v>
      </c>
      <c r="B54" s="72"/>
      <c r="C54" s="73">
        <f>(C49-C53)/C49</f>
        <v>0.59384487993375634</v>
      </c>
      <c r="D54" s="73">
        <f t="shared" ref="D54:M54" si="67">(D49-D53)/D49</f>
        <v>0.56042877014974235</v>
      </c>
      <c r="E54" s="73">
        <f t="shared" si="67"/>
        <v>0.59550248312036169</v>
      </c>
      <c r="F54" s="73">
        <f t="shared" si="67"/>
        <v>0.60633820766218804</v>
      </c>
      <c r="G54" s="73">
        <f t="shared" si="67"/>
        <v>0.62826808228268061</v>
      </c>
      <c r="H54" s="73">
        <f t="shared" si="67"/>
        <v>0.65</v>
      </c>
      <c r="I54" s="73">
        <f t="shared" si="67"/>
        <v>0.65200000000000002</v>
      </c>
      <c r="J54" s="73">
        <f t="shared" si="67"/>
        <v>0.65400000000000003</v>
      </c>
      <c r="K54" s="73">
        <f t="shared" si="67"/>
        <v>0.65600000000000003</v>
      </c>
      <c r="L54" s="73">
        <f t="shared" si="67"/>
        <v>0.65799999999999992</v>
      </c>
      <c r="M54" s="73">
        <f t="shared" si="67"/>
        <v>0.66</v>
      </c>
      <c r="N54" s="73">
        <f>M54</f>
        <v>0.66</v>
      </c>
      <c r="O54" s="73">
        <f t="shared" ref="O54" si="68">N54</f>
        <v>0.66</v>
      </c>
      <c r="P54" s="73">
        <f t="shared" ref="P54" si="69">O54</f>
        <v>0.66</v>
      </c>
      <c r="Q54" s="73">
        <f t="shared" ref="Q54" si="70">P54</f>
        <v>0.66</v>
      </c>
      <c r="R54" s="73">
        <f t="shared" ref="R54" si="71">Q54</f>
        <v>0.66</v>
      </c>
      <c r="S54" s="73">
        <f t="shared" ref="S54" si="72">R54</f>
        <v>0.66</v>
      </c>
      <c r="T54" s="73">
        <f t="shared" ref="T54" si="73">S54</f>
        <v>0.66</v>
      </c>
    </row>
    <row r="55" spans="1:21" x14ac:dyDescent="0.4">
      <c r="A55" s="227" t="s">
        <v>112</v>
      </c>
      <c r="B55" s="72"/>
      <c r="C55" s="3">
        <f>MODEL!U163+MODEL!U161+MODEL!U160</f>
        <v>64.985999999999976</v>
      </c>
      <c r="D55" s="3">
        <f>MODEL!Z163+MODEL!Z161</f>
        <v>118.90000000000012</v>
      </c>
      <c r="E55" s="3">
        <f>MODEL!AE163+MODEL!AE161</f>
        <v>212.00000000000006</v>
      </c>
      <c r="F55" s="3">
        <f>MODEL!AJ163+MODEL!AJ161</f>
        <v>283.02473822791848</v>
      </c>
      <c r="G55" s="3">
        <f>MODEL!AO163+MODEL!AO161</f>
        <v>439.6</v>
      </c>
      <c r="H55" s="3">
        <f>MODEL!AT163+MODEL!AT161</f>
        <v>551.95684452184878</v>
      </c>
      <c r="I55" s="3">
        <f>MODEL!AU163+MODEL!AU161</f>
        <v>683.38016059638176</v>
      </c>
      <c r="J55" s="3">
        <f>MODEL!AV163+MODEL!AV161</f>
        <v>835.0108026687376</v>
      </c>
      <c r="K55" s="3">
        <f>MODEL!AW163+MODEL!AW161</f>
        <v>1007.2835950969286</v>
      </c>
      <c r="L55" s="3">
        <f>MODEL!AX163+MODEL!AX161</f>
        <v>1169.8823994692748</v>
      </c>
      <c r="M55" s="3">
        <f>MODEL!AY163+MODEL!AY161</f>
        <v>1331.5537359209766</v>
      </c>
      <c r="N55" s="3">
        <f>N56*N49</f>
        <v>1496.225925382553</v>
      </c>
      <c r="O55" s="3">
        <f t="shared" ref="O55:T55" si="74">O56*O49</f>
        <v>1671.8498910131286</v>
      </c>
      <c r="P55" s="3">
        <f t="shared" si="74"/>
        <v>1841.2107123180629</v>
      </c>
      <c r="Q55" s="3">
        <f t="shared" si="74"/>
        <v>2006.9196764266887</v>
      </c>
      <c r="R55" s="3">
        <f t="shared" si="74"/>
        <v>2187.5424473050907</v>
      </c>
      <c r="S55" s="3">
        <f t="shared" si="74"/>
        <v>2362.5458430894982</v>
      </c>
      <c r="T55" s="3">
        <f t="shared" si="74"/>
        <v>2480.6731352439729</v>
      </c>
    </row>
    <row r="56" spans="1:21" x14ac:dyDescent="0.4">
      <c r="A56" s="232" t="s">
        <v>532</v>
      </c>
      <c r="B56" s="233"/>
      <c r="C56" s="73">
        <f>C55/C49</f>
        <v>8.9685343637869119E-2</v>
      </c>
      <c r="D56" s="73">
        <f>D55/D49</f>
        <v>9.7291547336551945E-2</v>
      </c>
      <c r="E56" s="73">
        <f>E55/E49</f>
        <v>0.11829697003515433</v>
      </c>
      <c r="F56" s="73">
        <f>F55/F49</f>
        <v>0.12208287893194084</v>
      </c>
      <c r="G56" s="73">
        <f t="shared" ref="G56:M56" si="75">G55/G49</f>
        <v>0.14585268745852684</v>
      </c>
      <c r="H56" s="73">
        <f t="shared" si="75"/>
        <v>0.1576062306135107</v>
      </c>
      <c r="I56" s="73">
        <f t="shared" si="75"/>
        <v>0.16433237402507392</v>
      </c>
      <c r="J56" s="73">
        <f t="shared" si="75"/>
        <v>0.17244746039912379</v>
      </c>
      <c r="K56" s="73">
        <f t="shared" si="75"/>
        <v>0.17970654597808314</v>
      </c>
      <c r="L56" s="73">
        <f t="shared" si="75"/>
        <v>0.182515540295456</v>
      </c>
      <c r="M56" s="73">
        <f t="shared" si="75"/>
        <v>0.18589556960054632</v>
      </c>
      <c r="N56" s="73">
        <f>M56+0.004</f>
        <v>0.18989556960054632</v>
      </c>
      <c r="O56" s="73">
        <f>N56+0.003</f>
        <v>0.19289556960054632</v>
      </c>
      <c r="P56" s="73">
        <f>O56+0.002</f>
        <v>0.19489556960054633</v>
      </c>
      <c r="Q56" s="73">
        <f>P56</f>
        <v>0.19489556960054633</v>
      </c>
      <c r="R56" s="73">
        <f>Q56</f>
        <v>0.19489556960054633</v>
      </c>
      <c r="S56" s="73">
        <f t="shared" ref="S56:T56" si="76">R56</f>
        <v>0.19489556960054633</v>
      </c>
      <c r="T56" s="73">
        <f t="shared" si="76"/>
        <v>0.19489556960054633</v>
      </c>
    </row>
    <row r="57" spans="1:21" x14ac:dyDescent="0.4">
      <c r="A57" s="228" t="s">
        <v>100</v>
      </c>
      <c r="B57" s="74"/>
      <c r="C57" s="73"/>
      <c r="D57" s="73">
        <f t="shared" ref="D57:N57" si="77">(D55/C55)-1</f>
        <v>0.82962484227372291</v>
      </c>
      <c r="E57" s="73">
        <f t="shared" si="77"/>
        <v>0.78301093355761009</v>
      </c>
      <c r="F57" s="73">
        <f t="shared" si="77"/>
        <v>0.33502235013169046</v>
      </c>
      <c r="G57" s="73">
        <f>(G55/F55)-1</f>
        <v>0.55322111682686992</v>
      </c>
      <c r="H57" s="73">
        <f t="shared" si="77"/>
        <v>0.25558881829355951</v>
      </c>
      <c r="I57" s="73">
        <f t="shared" si="77"/>
        <v>0.23810433257401287</v>
      </c>
      <c r="J57" s="73">
        <f t="shared" si="77"/>
        <v>0.22188329544133789</v>
      </c>
      <c r="K57" s="73">
        <f t="shared" si="77"/>
        <v>0.206312052344231</v>
      </c>
      <c r="L57" s="73">
        <f t="shared" si="77"/>
        <v>0.1614230641338894</v>
      </c>
      <c r="M57" s="73">
        <f t="shared" si="77"/>
        <v>0.13819451982955311</v>
      </c>
      <c r="N57" s="73">
        <f t="shared" si="77"/>
        <v>0.12366920314160668</v>
      </c>
      <c r="O57" s="73">
        <f t="shared" ref="O57" si="78">(O55/N55)-1</f>
        <v>0.1173779725716706</v>
      </c>
      <c r="P57" s="73">
        <f t="shared" ref="P57" si="79">(P55/O55)-1</f>
        <v>0.10130145189189377</v>
      </c>
      <c r="Q57" s="73">
        <f t="shared" ref="Q57" si="80">(Q55/P55)-1</f>
        <v>9.000000000000008E-2</v>
      </c>
      <c r="R57" s="73">
        <f t="shared" ref="R57" si="81">(R55/Q55)-1</f>
        <v>9.000000000000008E-2</v>
      </c>
      <c r="S57" s="73">
        <f t="shared" ref="S57" si="82">(S55/R55)-1</f>
        <v>8.0000000000000071E-2</v>
      </c>
      <c r="T57" s="73">
        <f t="shared" ref="T57" si="83">(T55/S55)-1</f>
        <v>4.9999999999999822E-2</v>
      </c>
    </row>
    <row r="58" spans="1:21" x14ac:dyDescent="0.4">
      <c r="A58" s="234" t="s">
        <v>82</v>
      </c>
      <c r="B58" s="75"/>
      <c r="C58" s="76">
        <f>MODEL!U157</f>
        <v>31.4</v>
      </c>
      <c r="D58" s="76">
        <f>MODEL!Z157</f>
        <v>46.400000000000006</v>
      </c>
      <c r="E58" s="76">
        <f>MODEL!AE157</f>
        <v>64.90000000000002</v>
      </c>
      <c r="F58" s="76">
        <f>MODEL!AJ157</f>
        <v>104.59805539568326</v>
      </c>
      <c r="G58" s="76">
        <f>MODEL!AO157</f>
        <v>127.4</v>
      </c>
      <c r="H58" s="76">
        <f>MODEL!AT157</f>
        <v>148.03278876686934</v>
      </c>
      <c r="I58" s="76">
        <f>MODEL!AU157</f>
        <v>171.61983940361824</v>
      </c>
      <c r="J58" s="76">
        <f>MODEL!AV157</f>
        <v>194.9891973312624</v>
      </c>
      <c r="K58" s="76">
        <f>MODEL!AW157</f>
        <v>225.71640490307138</v>
      </c>
      <c r="L58" s="76">
        <f>MODEL!AX157</f>
        <v>258.1176005307251</v>
      </c>
      <c r="M58" s="76">
        <f>MODEL!AY157</f>
        <v>288.44626407902354</v>
      </c>
      <c r="N58" s="76">
        <f>N59*N49</f>
        <v>317.29089048692595</v>
      </c>
      <c r="O58" s="76">
        <f t="shared" ref="O58:T58" si="84">O59*O49</f>
        <v>349.01997953561857</v>
      </c>
      <c r="P58" s="76">
        <f t="shared" si="84"/>
        <v>380.43177769382424</v>
      </c>
      <c r="Q58" s="76">
        <f t="shared" si="84"/>
        <v>414.67063768626849</v>
      </c>
      <c r="R58" s="76">
        <f t="shared" si="84"/>
        <v>451.99099507803265</v>
      </c>
      <c r="S58" s="76">
        <f t="shared" si="84"/>
        <v>488.1502746842753</v>
      </c>
      <c r="T58" s="76">
        <f t="shared" si="84"/>
        <v>512.55778841848905</v>
      </c>
    </row>
    <row r="59" spans="1:21" x14ac:dyDescent="0.4">
      <c r="A59" s="228" t="s">
        <v>104</v>
      </c>
      <c r="B59" s="74"/>
      <c r="C59" s="230">
        <f>C58/C49</f>
        <v>4.3334253381175809E-2</v>
      </c>
      <c r="D59" s="230">
        <f>D58/D49</f>
        <v>3.7967433106947064E-2</v>
      </c>
      <c r="E59" s="230">
        <f>E58/E49</f>
        <v>3.6214496958875075E-2</v>
      </c>
      <c r="F59" s="230">
        <f>F58/F49</f>
        <v>4.5118429623294334E-2</v>
      </c>
      <c r="G59" s="230">
        <f t="shared" ref="G59:M59" si="85">G58/G49</f>
        <v>4.2269409422694082E-2</v>
      </c>
      <c r="H59" s="230">
        <f t="shared" si="85"/>
        <v>4.2269409422694075E-2</v>
      </c>
      <c r="I59" s="230">
        <f t="shared" si="85"/>
        <v>4.1269409422694081E-2</v>
      </c>
      <c r="J59" s="230">
        <f t="shared" si="85"/>
        <v>4.026940942269408E-2</v>
      </c>
      <c r="K59" s="230">
        <f t="shared" si="85"/>
        <v>4.026940942269408E-2</v>
      </c>
      <c r="L59" s="230">
        <f t="shared" si="85"/>
        <v>4.026940942269408E-2</v>
      </c>
      <c r="M59" s="230">
        <f t="shared" si="85"/>
        <v>4.0269409422694087E-2</v>
      </c>
      <c r="N59" s="230">
        <f>M59</f>
        <v>4.0269409422694087E-2</v>
      </c>
      <c r="O59" s="230">
        <f t="shared" ref="O59" si="86">N59</f>
        <v>4.0269409422694087E-2</v>
      </c>
      <c r="P59" s="230">
        <f t="shared" ref="P59" si="87">O59</f>
        <v>4.0269409422694087E-2</v>
      </c>
      <c r="Q59" s="230">
        <f t="shared" ref="Q59" si="88">P59</f>
        <v>4.0269409422694087E-2</v>
      </c>
      <c r="R59" s="230">
        <f t="shared" ref="R59" si="89">Q59</f>
        <v>4.0269409422694087E-2</v>
      </c>
      <c r="S59" s="230">
        <f t="shared" ref="S59" si="90">R59</f>
        <v>4.0269409422694087E-2</v>
      </c>
      <c r="T59" s="230">
        <f t="shared" ref="T59" si="91">S59</f>
        <v>4.0269409422694087E-2</v>
      </c>
    </row>
    <row r="60" spans="1:21" x14ac:dyDescent="0.4">
      <c r="A60" s="227" t="s">
        <v>84</v>
      </c>
      <c r="B60" s="72"/>
      <c r="C60" s="3">
        <f>MODEL!U197</f>
        <v>-24.64</v>
      </c>
      <c r="D60" s="3">
        <f>MODEL!Z197</f>
        <v>-60.3</v>
      </c>
      <c r="E60" s="3">
        <f>MODEL!AE197</f>
        <v>-42.8</v>
      </c>
      <c r="F60" s="3">
        <f>MODEL!AJ197</f>
        <v>-60.5</v>
      </c>
      <c r="G60" s="3">
        <f>MODEL!AO197</f>
        <v>-72.900000000000006</v>
      </c>
      <c r="H60" s="3">
        <f>MODEL!AT197</f>
        <v>-105.06377362873101</v>
      </c>
      <c r="I60" s="3">
        <f>MODEL!AU197</f>
        <v>-124.75572716282512</v>
      </c>
      <c r="J60" s="3">
        <f>MODEL!AV197</f>
        <v>-145.26351401223306</v>
      </c>
      <c r="K60" s="3">
        <f>MODEL!AW197</f>
        <v>-168.1547418789813</v>
      </c>
      <c r="L60" s="3">
        <f>MODEL!AX197</f>
        <v>-192.29306133200549</v>
      </c>
      <c r="M60" s="3">
        <f>MODEL!AY197</f>
        <v>-214.88738092826446</v>
      </c>
      <c r="N60" s="3">
        <f>-N61*N49</f>
        <v>-228.49691505372121</v>
      </c>
      <c r="O60" s="3">
        <f t="shared" ref="O60:T60" si="92">-O61*O49</f>
        <v>-242.67948219498669</v>
      </c>
      <c r="P60" s="3">
        <f t="shared" si="92"/>
        <v>-255.07347003565923</v>
      </c>
      <c r="Q60" s="3">
        <f t="shared" si="92"/>
        <v>-267.73267188187344</v>
      </c>
      <c r="R60" s="3">
        <f t="shared" si="92"/>
        <v>-291.82861235124204</v>
      </c>
      <c r="S60" s="3">
        <f t="shared" si="92"/>
        <v>-315.17490133934143</v>
      </c>
      <c r="T60" s="3">
        <f t="shared" si="92"/>
        <v>-318.20542923683507</v>
      </c>
    </row>
    <row r="61" spans="1:21" x14ac:dyDescent="0.4">
      <c r="A61" s="228" t="s">
        <v>105</v>
      </c>
      <c r="B61" s="74"/>
      <c r="C61" s="73">
        <f>-C60/C49</f>
        <v>3.4004968258349429E-2</v>
      </c>
      <c r="D61" s="73">
        <f>-D60/D49</f>
        <v>4.9341297766140255E-2</v>
      </c>
      <c r="E61" s="73">
        <f>-E60/E49</f>
        <v>2.3882595837285865E-2</v>
      </c>
      <c r="F61" s="73">
        <f>-F60/F49</f>
        <v>2.6096708795237889E-2</v>
      </c>
      <c r="G61" s="73">
        <f t="shared" ref="G61:M61" si="93">-G60/G49</f>
        <v>2.4187126741871262E-2</v>
      </c>
      <c r="H61" s="73">
        <f t="shared" si="93"/>
        <v>0.03</v>
      </c>
      <c r="I61" s="73">
        <f t="shared" si="93"/>
        <v>0.03</v>
      </c>
      <c r="J61" s="73">
        <f t="shared" si="93"/>
        <v>0.03</v>
      </c>
      <c r="K61" s="73">
        <f t="shared" si="93"/>
        <v>0.03</v>
      </c>
      <c r="L61" s="73">
        <f t="shared" si="93"/>
        <v>0.03</v>
      </c>
      <c r="M61" s="73">
        <f t="shared" si="93"/>
        <v>0.03</v>
      </c>
      <c r="N61" s="73">
        <f>M61-0.001</f>
        <v>2.8999999999999998E-2</v>
      </c>
      <c r="O61" s="73">
        <f>N61-0.001</f>
        <v>2.7999999999999997E-2</v>
      </c>
      <c r="P61" s="73">
        <f>O61-0.001</f>
        <v>2.6999999999999996E-2</v>
      </c>
      <c r="Q61" s="73">
        <f>P61-0.001</f>
        <v>2.5999999999999995E-2</v>
      </c>
      <c r="R61" s="73">
        <f t="shared" ref="R61" si="94">Q61</f>
        <v>2.5999999999999995E-2</v>
      </c>
      <c r="S61" s="73">
        <f t="shared" ref="S61" si="95">R61</f>
        <v>2.5999999999999995E-2</v>
      </c>
      <c r="T61" s="73">
        <f>S61-0.001</f>
        <v>2.4999999999999994E-2</v>
      </c>
    </row>
    <row r="62" spans="1:21" x14ac:dyDescent="0.4">
      <c r="A62" s="228" t="s">
        <v>100</v>
      </c>
      <c r="B62" s="74"/>
      <c r="C62" s="73"/>
      <c r="D62" s="73">
        <f t="shared" ref="D62:N62" si="96">(D60/C60)-1</f>
        <v>1.4472402597402594</v>
      </c>
      <c r="E62" s="73">
        <f t="shared" si="96"/>
        <v>-0.29021558872305142</v>
      </c>
      <c r="F62" s="73">
        <f t="shared" si="96"/>
        <v>0.41355140186915906</v>
      </c>
      <c r="G62" s="73">
        <f>(G60/F60)-1</f>
        <v>0.20495867768595044</v>
      </c>
      <c r="H62" s="73">
        <f t="shared" si="96"/>
        <v>0.44120402782895751</v>
      </c>
      <c r="I62" s="73">
        <f t="shared" si="96"/>
        <v>0.18742857651087741</v>
      </c>
      <c r="J62" s="73">
        <f t="shared" si="96"/>
        <v>0.16438353024580721</v>
      </c>
      <c r="K62" s="73">
        <f t="shared" si="96"/>
        <v>0.1575841533395681</v>
      </c>
      <c r="L62" s="73">
        <f t="shared" si="96"/>
        <v>0.14354825313458131</v>
      </c>
      <c r="M62" s="73">
        <f t="shared" si="96"/>
        <v>0.11749940138114767</v>
      </c>
      <c r="N62" s="73">
        <f t="shared" si="96"/>
        <v>6.3333333333333242E-2</v>
      </c>
      <c r="O62" s="73">
        <f t="shared" ref="O62" si="97">(O60/N60)-1</f>
        <v>6.2068965517241503E-2</v>
      </c>
      <c r="P62" s="73">
        <f t="shared" ref="P62" si="98">(P60/O60)-1</f>
        <v>5.1071428571428656E-2</v>
      </c>
      <c r="Q62" s="73">
        <f t="shared" ref="Q62" si="99">(Q60/P60)-1</f>
        <v>4.962962962962969E-2</v>
      </c>
      <c r="R62" s="73">
        <f t="shared" ref="R62" si="100">(R60/Q60)-1</f>
        <v>8.9999999999999858E-2</v>
      </c>
      <c r="S62" s="73">
        <f t="shared" ref="S62" si="101">(S60/R60)-1</f>
        <v>8.0000000000000071E-2</v>
      </c>
      <c r="T62" s="73">
        <f t="shared" ref="T62" si="102">(T60/S60)-1</f>
        <v>9.6153846153845812E-3</v>
      </c>
    </row>
    <row r="63" spans="1:21" x14ac:dyDescent="0.4">
      <c r="A63" s="227" t="s">
        <v>83</v>
      </c>
      <c r="B63" s="72"/>
      <c r="C63" s="3">
        <f>MODEL!U204</f>
        <v>-13.3</v>
      </c>
      <c r="D63" s="3">
        <f>MODEL!Z204</f>
        <v>-15.4</v>
      </c>
      <c r="E63" s="3">
        <f>MODEL!AE204+MODEL!AE207</f>
        <v>-32</v>
      </c>
      <c r="F63" s="3">
        <f>MODEL!AJ204+MODEL!AJ207</f>
        <v>-66.5</v>
      </c>
      <c r="G63" s="3">
        <f>MODEL!AO204+MODEL!AO207</f>
        <v>-91.4</v>
      </c>
      <c r="H63" s="3">
        <f>MODEL!AT204+MODEL!AT207</f>
        <v>-104.34709422413715</v>
      </c>
      <c r="I63" s="3">
        <f>MODEL!AU204+MODEL!AU207</f>
        <v>-121.50015000960796</v>
      </c>
      <c r="J63" s="3">
        <f>MODEL!AV204+MODEL!AV207</f>
        <v>-139.2809935723144</v>
      </c>
      <c r="K63" s="3">
        <f>MODEL!AW204+MODEL!AW207</f>
        <v>-158.89590680386326</v>
      </c>
      <c r="L63" s="3">
        <f>MODEL!AX204+MODEL!AX207</f>
        <v>-179.4704631883229</v>
      </c>
      <c r="M63" s="3">
        <f>MODEL!AY204+MODEL!AY207</f>
        <v>-198.85690403504199</v>
      </c>
      <c r="N63" s="3">
        <f>-N64*N49</f>
        <v>-210.8633904711765</v>
      </c>
      <c r="O63" s="3">
        <f t="shared" ref="O63:T63" si="103">-O64*O49</f>
        <v>-231.94972951829419</v>
      </c>
      <c r="P63" s="3">
        <f t="shared" si="103"/>
        <v>-243.37803961806441</v>
      </c>
      <c r="Q63" s="3">
        <f t="shared" si="103"/>
        <v>-265.28206318369024</v>
      </c>
      <c r="R63" s="3">
        <f t="shared" si="103"/>
        <v>-289.15744887022237</v>
      </c>
      <c r="S63" s="3">
        <f t="shared" si="103"/>
        <v>-312.29004477984017</v>
      </c>
      <c r="T63" s="3">
        <f t="shared" si="103"/>
        <v>-327.90454701883215</v>
      </c>
    </row>
    <row r="64" spans="1:21" x14ac:dyDescent="0.4">
      <c r="A64" s="228" t="s">
        <v>106</v>
      </c>
      <c r="B64" s="74"/>
      <c r="C64" s="73">
        <f>-C63/C49</f>
        <v>1.8354954457631793E-2</v>
      </c>
      <c r="D64" s="73">
        <f>-D63/D49</f>
        <v>1.2601260126012603E-2</v>
      </c>
      <c r="E64" s="73">
        <f>-E63/E49</f>
        <v>1.7856146420400648E-2</v>
      </c>
      <c r="F64" s="73">
        <f>-F63/F49</f>
        <v>2.8684812146831728E-2</v>
      </c>
      <c r="G64" s="73">
        <f t="shared" ref="G64:M64" si="104">-G63/G49</f>
        <v>3.0325149303251486E-2</v>
      </c>
      <c r="H64" s="73">
        <f t="shared" si="104"/>
        <v>2.979535874835609E-2</v>
      </c>
      <c r="I64" s="73">
        <f t="shared" si="104"/>
        <v>2.9217131615376306E-2</v>
      </c>
      <c r="J64" s="73">
        <f t="shared" si="104"/>
        <v>2.876448250327714E-2</v>
      </c>
      <c r="K64" s="73">
        <f t="shared" si="104"/>
        <v>2.8348158076603958E-2</v>
      </c>
      <c r="L64" s="73">
        <f t="shared" si="104"/>
        <v>2.7999522491108982E-2</v>
      </c>
      <c r="M64" s="73">
        <f t="shared" si="104"/>
        <v>2.7762016993649261E-2</v>
      </c>
      <c r="N64" s="73">
        <f>M64-0.001</f>
        <v>2.676201699364926E-2</v>
      </c>
      <c r="O64" s="73">
        <f>N64</f>
        <v>2.676201699364926E-2</v>
      </c>
      <c r="P64" s="73">
        <f t="shared" ref="P64" si="105">O64-0.001</f>
        <v>2.5762016993649259E-2</v>
      </c>
      <c r="Q64" s="73">
        <f>P64</f>
        <v>2.5762016993649259E-2</v>
      </c>
      <c r="R64" s="73">
        <f>Q64</f>
        <v>2.5762016993649259E-2</v>
      </c>
      <c r="S64" s="73">
        <f t="shared" ref="S64" si="106">R64</f>
        <v>2.5762016993649259E-2</v>
      </c>
      <c r="T64" s="73">
        <f>S64</f>
        <v>2.5762016993649259E-2</v>
      </c>
    </row>
    <row r="65" spans="1:25" x14ac:dyDescent="0.4">
      <c r="A65" s="228" t="s">
        <v>100</v>
      </c>
      <c r="B65" s="74"/>
      <c r="C65" s="73"/>
      <c r="D65" s="73">
        <f t="shared" ref="D65:N65" si="107">(D63/C63)-1</f>
        <v>0.15789473684210531</v>
      </c>
      <c r="E65" s="73">
        <f t="shared" si="107"/>
        <v>1.0779220779220777</v>
      </c>
      <c r="F65" s="73">
        <f t="shared" si="107"/>
        <v>1.078125</v>
      </c>
      <c r="G65" s="73">
        <f>(G63/F63)-1</f>
        <v>0.3744360902255639</v>
      </c>
      <c r="H65" s="73">
        <f t="shared" si="107"/>
        <v>0.14165310967327294</v>
      </c>
      <c r="I65" s="73">
        <f t="shared" si="107"/>
        <v>0.16438460421931933</v>
      </c>
      <c r="J65" s="73">
        <f t="shared" si="107"/>
        <v>0.14634421077916659</v>
      </c>
      <c r="K65" s="73">
        <f t="shared" si="107"/>
        <v>0.14082979111837557</v>
      </c>
      <c r="L65" s="73">
        <f t="shared" si="107"/>
        <v>0.12948449584580124</v>
      </c>
      <c r="M65" s="73">
        <f t="shared" si="107"/>
        <v>0.10802023075171108</v>
      </c>
      <c r="N65" s="73">
        <f t="shared" si="107"/>
        <v>6.0377518670504671E-2</v>
      </c>
      <c r="O65" s="73">
        <f t="shared" ref="O65" si="108">(O63/N63)-1</f>
        <v>0.10000000000000009</v>
      </c>
      <c r="P65" s="73">
        <f t="shared" ref="P65" si="109">(P63/O63)-1</f>
        <v>4.9270633440720912E-2</v>
      </c>
      <c r="Q65" s="73">
        <f t="shared" ref="Q65" si="110">(Q63/P63)-1</f>
        <v>9.000000000000008E-2</v>
      </c>
      <c r="R65" s="73">
        <f t="shared" ref="R65" si="111">(R63/Q63)-1</f>
        <v>9.000000000000008E-2</v>
      </c>
      <c r="S65" s="73">
        <f t="shared" ref="S65" si="112">(S63/R63)-1</f>
        <v>8.0000000000000071E-2</v>
      </c>
      <c r="T65" s="73">
        <f t="shared" ref="T65" si="113">(T63/S63)-1</f>
        <v>4.9999999999999822E-2</v>
      </c>
    </row>
    <row r="66" spans="1:25" x14ac:dyDescent="0.4">
      <c r="A66" s="227" t="s">
        <v>107</v>
      </c>
      <c r="B66" s="3">
        <f>MODEL!N219+MODEL!N220-MODEL!N230</f>
        <v>112.96600000000001</v>
      </c>
      <c r="C66" s="3">
        <f>MODEL!U219+MODEL!U220-MODEL!U230</f>
        <v>187.55999999999997</v>
      </c>
      <c r="D66" s="3">
        <f>MODEL!Z219+MODEL!Z220-MODEL!Z230</f>
        <v>459.20000000000005</v>
      </c>
      <c r="E66" s="3">
        <f>MODEL!AE219+MODEL!AE220-MODEL!AE230</f>
        <v>496.19999999999993</v>
      </c>
      <c r="F66" s="3">
        <f>MODEL!AJ219+MODEL!AJ220-MODEL!AJ230</f>
        <v>498.79999999999995</v>
      </c>
      <c r="G66" s="3">
        <f>MODEL!AO219+MODEL!AO220-MODEL!AO230</f>
        <v>570.40000000000009</v>
      </c>
      <c r="H66" s="3">
        <f>MODEL!AT219+MODEL!AT220-MODEL!AT230</f>
        <v>711.16969280471858</v>
      </c>
      <c r="I66" s="3">
        <f>MODEL!AU219+MODEL!AU220-MODEL!AU230</f>
        <v>842.1602815477072</v>
      </c>
      <c r="J66" s="3">
        <f>MODEL!AV219+MODEL!AV220-MODEL!AV230</f>
        <v>977.91606273155321</v>
      </c>
      <c r="K66" s="3">
        <f>MODEL!AW219+MODEL!AW220-MODEL!AW230</f>
        <v>1128.9160768459715</v>
      </c>
      <c r="L66" s="3">
        <f>MODEL!AX219+MODEL!AX220-MODEL!AX230</f>
        <v>1287.4203644579</v>
      </c>
      <c r="M66" s="3">
        <f>MODEL!AY219+MODEL!AY220-MODEL!AY230</f>
        <v>1434.724762506934</v>
      </c>
      <c r="N66" s="3">
        <f>N67*N49</f>
        <v>1578.1972387576275</v>
      </c>
      <c r="O66" s="3">
        <f t="shared" ref="O66:T66" si="114">O67*O49</f>
        <v>1736.0169626333904</v>
      </c>
      <c r="P66" s="3">
        <f t="shared" si="114"/>
        <v>1892.2584892703958</v>
      </c>
      <c r="Q66" s="3">
        <f t="shared" si="114"/>
        <v>2062.5617533047316</v>
      </c>
      <c r="R66" s="3">
        <f t="shared" si="114"/>
        <v>2248.1923111021574</v>
      </c>
      <c r="S66" s="3">
        <f t="shared" si="114"/>
        <v>2428.0476959903303</v>
      </c>
      <c r="T66" s="3">
        <f t="shared" si="114"/>
        <v>2549.4500807898467</v>
      </c>
    </row>
    <row r="67" spans="1:25" x14ac:dyDescent="0.4">
      <c r="A67" s="228" t="s">
        <v>108</v>
      </c>
      <c r="B67" s="74"/>
      <c r="C67" s="73">
        <f>C66/C49</f>
        <v>0.25884626000552019</v>
      </c>
      <c r="D67" s="73">
        <f>D66/D49</f>
        <v>0.37574666557564856</v>
      </c>
      <c r="E67" s="73">
        <f>E66/E49</f>
        <v>0.2768818704313375</v>
      </c>
      <c r="F67" s="73">
        <f>F66/F49</f>
        <v>0.21515765862916789</v>
      </c>
      <c r="G67" s="73">
        <f t="shared" ref="G67:M67" si="115">G66/G49</f>
        <v>0.18925016589250163</v>
      </c>
      <c r="H67" s="73">
        <f t="shared" si="115"/>
        <v>0.20306800381580056</v>
      </c>
      <c r="I67" s="73">
        <f t="shared" si="115"/>
        <v>0.2025142173509743</v>
      </c>
      <c r="J67" s="73">
        <f t="shared" si="115"/>
        <v>0.20196043088614804</v>
      </c>
      <c r="K67" s="73">
        <f t="shared" si="115"/>
        <v>0.20140664442132183</v>
      </c>
      <c r="L67" s="73">
        <f t="shared" si="115"/>
        <v>0.2008528579564956</v>
      </c>
      <c r="M67" s="73">
        <f t="shared" si="115"/>
        <v>0.20029907149166931</v>
      </c>
      <c r="N67" s="73">
        <f>M67</f>
        <v>0.20029907149166931</v>
      </c>
      <c r="O67" s="73">
        <f t="shared" ref="O67:T67" si="116">N67</f>
        <v>0.20029907149166931</v>
      </c>
      <c r="P67" s="73">
        <f t="shared" si="116"/>
        <v>0.20029907149166931</v>
      </c>
      <c r="Q67" s="73">
        <f t="shared" si="116"/>
        <v>0.20029907149166931</v>
      </c>
      <c r="R67" s="73">
        <f t="shared" si="116"/>
        <v>0.20029907149166931</v>
      </c>
      <c r="S67" s="73">
        <f t="shared" si="116"/>
        <v>0.20029907149166931</v>
      </c>
      <c r="T67" s="73">
        <f t="shared" si="116"/>
        <v>0.20029907149166931</v>
      </c>
    </row>
    <row r="68" spans="1:25" hidden="1" x14ac:dyDescent="0.4">
      <c r="A68" s="221" t="s">
        <v>109</v>
      </c>
      <c r="B68" s="1"/>
      <c r="C68" s="235">
        <f>-C60/C58</f>
        <v>0.78471337579617839</v>
      </c>
      <c r="D68" s="235">
        <f t="shared" ref="D68:M68" si="117">-D60/D58</f>
        <v>1.2995689655172411</v>
      </c>
      <c r="E68" s="235">
        <f t="shared" si="117"/>
        <v>0.6594761171032355</v>
      </c>
      <c r="F68" s="235">
        <f t="shared" si="117"/>
        <v>0.57840463449473289</v>
      </c>
      <c r="G68" s="235">
        <f t="shared" si="117"/>
        <v>0.57221350078492939</v>
      </c>
      <c r="H68" s="235">
        <f t="shared" si="117"/>
        <v>0.70973312401883859</v>
      </c>
      <c r="I68" s="235">
        <f t="shared" si="117"/>
        <v>0.72693068351743784</v>
      </c>
      <c r="J68" s="235">
        <f t="shared" si="117"/>
        <v>0.74498236825627018</v>
      </c>
      <c r="K68" s="235">
        <f t="shared" si="117"/>
        <v>0.74498236825627018</v>
      </c>
      <c r="L68" s="235">
        <f t="shared" si="117"/>
        <v>0.74498236825627018</v>
      </c>
      <c r="M68" s="235">
        <f t="shared" si="117"/>
        <v>0.74498236825627018</v>
      </c>
      <c r="N68" s="235">
        <f t="shared" ref="N68:O68" si="118">-N60/N58</f>
        <v>0.72014962264772764</v>
      </c>
      <c r="O68" s="235">
        <f t="shared" si="118"/>
        <v>0.69531687703918532</v>
      </c>
      <c r="P68" s="235">
        <f t="shared" ref="P68:T68" si="119">-P60/P58</f>
        <v>0.670484131430643</v>
      </c>
      <c r="Q68" s="235">
        <f t="shared" si="119"/>
        <v>0.64565138582210069</v>
      </c>
      <c r="R68" s="235">
        <f t="shared" si="119"/>
        <v>0.64565138582210058</v>
      </c>
      <c r="S68" s="235">
        <f t="shared" si="119"/>
        <v>0.64565138582210058</v>
      </c>
      <c r="T68" s="235">
        <f t="shared" si="119"/>
        <v>0.62081864021355826</v>
      </c>
    </row>
    <row r="69" spans="1:25" hidden="1" x14ac:dyDescent="0.4">
      <c r="A69" s="221" t="s">
        <v>110</v>
      </c>
      <c r="B69" s="1"/>
      <c r="C69" s="222"/>
      <c r="D69" s="222">
        <f>D23/C23-1</f>
        <v>15.682331334737757</v>
      </c>
      <c r="E69" s="222">
        <f t="shared" ref="E69:N69" si="120">E23/D23-1</f>
        <v>-1.6770496049734496</v>
      </c>
      <c r="F69" s="222">
        <f t="shared" si="120"/>
        <v>1.9872812444715837E-2</v>
      </c>
      <c r="G69" s="222">
        <f>G23/F23-1</f>
        <v>-8.0921302208210699E-2</v>
      </c>
      <c r="H69" s="222">
        <f t="shared" si="120"/>
        <v>-0.19819680525279915</v>
      </c>
      <c r="I69" s="222">
        <f t="shared" si="120"/>
        <v>0.54432335560082779</v>
      </c>
      <c r="J69" s="222">
        <f t="shared" si="120"/>
        <v>0.34803124143097075</v>
      </c>
      <c r="K69" s="222">
        <f t="shared" si="120"/>
        <v>0.27989701679329193</v>
      </c>
      <c r="L69" s="222">
        <f t="shared" si="120"/>
        <v>0.21605342075753553</v>
      </c>
      <c r="M69" s="222">
        <f t="shared" si="120"/>
        <v>0.21626004995140202</v>
      </c>
      <c r="N69" s="222">
        <f t="shared" si="120"/>
        <v>0.13267583407447714</v>
      </c>
      <c r="O69" s="222">
        <f t="shared" ref="O69" si="121">O23/N23-1</f>
        <v>0.14108167984624465</v>
      </c>
      <c r="P69" s="222">
        <f t="shared" ref="P69" si="122">P23/O23-1</f>
        <v>0.15161446142176538</v>
      </c>
      <c r="Q69" s="222">
        <f t="shared" ref="Q69" si="123">Q23/P23-1</f>
        <v>0.10117083654951919</v>
      </c>
      <c r="R69" s="222">
        <f t="shared" ref="R69" si="124">R23/Q23-1</f>
        <v>9.0000000000000302E-2</v>
      </c>
      <c r="S69" s="222">
        <f t="shared" ref="S69" si="125">S23/R23-1</f>
        <v>9.864161071080324E-2</v>
      </c>
      <c r="T69" s="222">
        <f t="shared" ref="T69" si="126">T23/S23-1</f>
        <v>0.11595593921101188</v>
      </c>
    </row>
    <row r="70" spans="1:25" x14ac:dyDescent="0.4">
      <c r="A70" s="103" t="s">
        <v>113</v>
      </c>
      <c r="C70" s="10">
        <f>(C55+C58)/C49</f>
        <v>0.13301959701904492</v>
      </c>
      <c r="D70" s="10">
        <f>(D55+D58)/D49</f>
        <v>0.13525898044349902</v>
      </c>
      <c r="E70" s="10">
        <f t="shared" ref="E70:M70" si="127">(E55+E58)/E49</f>
        <v>0.1545114669940294</v>
      </c>
      <c r="F70" s="10">
        <f t="shared" si="127"/>
        <v>0.16720130855523518</v>
      </c>
      <c r="G70" s="10">
        <f t="shared" si="127"/>
        <v>0.18812209688122092</v>
      </c>
      <c r="H70" s="10">
        <f t="shared" si="127"/>
        <v>0.19987564003620475</v>
      </c>
      <c r="I70" s="10">
        <f t="shared" si="127"/>
        <v>0.205601783447768</v>
      </c>
      <c r="J70" s="10">
        <f t="shared" si="127"/>
        <v>0.21271686982181787</v>
      </c>
      <c r="K70" s="10">
        <f t="shared" si="127"/>
        <v>0.21997595540077722</v>
      </c>
      <c r="L70" s="10">
        <f t="shared" si="127"/>
        <v>0.2227849497181501</v>
      </c>
      <c r="M70" s="10">
        <f t="shared" si="127"/>
        <v>0.2261649790232404</v>
      </c>
      <c r="N70" s="10">
        <f t="shared" ref="N70:O70" si="128">(N55+N58)/N49</f>
        <v>0.2301649790232404</v>
      </c>
      <c r="O70" s="10">
        <f t="shared" si="128"/>
        <v>0.2331649790232404</v>
      </c>
      <c r="P70" s="10">
        <f t="shared" ref="P70:T70" si="129">(P55+P58)/P49</f>
        <v>0.23516497902324043</v>
      </c>
      <c r="Q70" s="10">
        <f t="shared" si="129"/>
        <v>0.23516497902324043</v>
      </c>
      <c r="R70" s="10">
        <f t="shared" si="129"/>
        <v>0.23516497902324038</v>
      </c>
      <c r="S70" s="10">
        <f t="shared" si="129"/>
        <v>0.23516497902324041</v>
      </c>
      <c r="T70" s="10">
        <f t="shared" si="129"/>
        <v>0.23516497902324041</v>
      </c>
    </row>
    <row r="71" spans="1:25" x14ac:dyDescent="0.4">
      <c r="A71" s="104" t="s">
        <v>144</v>
      </c>
      <c r="B71" s="14"/>
      <c r="C71" s="117">
        <f>C70*C49</f>
        <v>96.385999999999967</v>
      </c>
      <c r="D71" s="117">
        <f>D70*D49</f>
        <v>165.30000000000013</v>
      </c>
      <c r="E71" s="117">
        <f t="shared" ref="E71:M71" si="130">E70*E49</f>
        <v>276.90000000000009</v>
      </c>
      <c r="F71" s="117">
        <f t="shared" si="130"/>
        <v>387.62279362360175</v>
      </c>
      <c r="G71" s="117">
        <f t="shared" si="130"/>
        <v>567</v>
      </c>
      <c r="H71" s="117">
        <f t="shared" si="130"/>
        <v>699.9896332887181</v>
      </c>
      <c r="I71" s="117">
        <f t="shared" si="130"/>
        <v>855</v>
      </c>
      <c r="J71" s="117">
        <f t="shared" si="130"/>
        <v>1030</v>
      </c>
      <c r="K71" s="117">
        <f t="shared" si="130"/>
        <v>1233</v>
      </c>
      <c r="L71" s="117">
        <f t="shared" si="130"/>
        <v>1428</v>
      </c>
      <c r="M71" s="117">
        <f t="shared" si="130"/>
        <v>1620</v>
      </c>
      <c r="N71" s="117">
        <f t="shared" ref="N71:O71" si="131">N70*N49</f>
        <v>1813.5168158694789</v>
      </c>
      <c r="O71" s="117">
        <f t="shared" si="131"/>
        <v>2020.8698705487473</v>
      </c>
      <c r="P71" s="117">
        <f t="shared" ref="P71:T71" si="132">P70*P49</f>
        <v>2221.6424900118873</v>
      </c>
      <c r="Q71" s="117">
        <f t="shared" si="132"/>
        <v>2421.5903141129575</v>
      </c>
      <c r="R71" s="117">
        <f t="shared" si="132"/>
        <v>2639.5334423831232</v>
      </c>
      <c r="S71" s="117">
        <f t="shared" si="132"/>
        <v>2850.6961177737735</v>
      </c>
      <c r="T71" s="117">
        <f t="shared" si="132"/>
        <v>2993.2309236624619</v>
      </c>
    </row>
    <row r="72" spans="1:25" x14ac:dyDescent="0.4">
      <c r="P72" s="77"/>
      <c r="Q72" s="77"/>
      <c r="R72" s="77"/>
      <c r="S72" s="77"/>
    </row>
    <row r="73" spans="1:25" x14ac:dyDescent="0.4">
      <c r="P73" s="77"/>
      <c r="Q73" s="77"/>
      <c r="R73" s="77"/>
      <c r="S73" s="77"/>
    </row>
    <row r="74" spans="1:25" x14ac:dyDescent="0.4">
      <c r="P74" s="77"/>
      <c r="Q74" s="77"/>
      <c r="R74" s="77"/>
      <c r="S74" s="77"/>
    </row>
    <row r="75" spans="1:25" x14ac:dyDescent="0.4">
      <c r="P75" s="77"/>
      <c r="Q75" s="77"/>
      <c r="R75" s="77"/>
      <c r="S75" s="77"/>
    </row>
    <row r="76" spans="1:25" x14ac:dyDescent="0.4">
      <c r="P76" s="77"/>
      <c r="Q76" s="77"/>
      <c r="R76" s="77"/>
      <c r="S76" s="77"/>
    </row>
    <row r="77" spans="1:25" x14ac:dyDescent="0.4">
      <c r="P77" s="77"/>
      <c r="Q77" s="77"/>
      <c r="R77" s="77"/>
      <c r="S77" s="77"/>
    </row>
    <row r="78" spans="1:25" x14ac:dyDescent="0.4">
      <c r="P78" s="77"/>
      <c r="Q78" s="77"/>
      <c r="R78" s="77"/>
      <c r="S78" s="77"/>
    </row>
    <row r="79" spans="1:25" x14ac:dyDescent="0.4">
      <c r="P79" s="77"/>
      <c r="Q79" s="77"/>
      <c r="R79" s="77"/>
      <c r="S79" s="77"/>
    </row>
    <row r="80" spans="1:25" x14ac:dyDescent="0.4">
      <c r="P80" s="77"/>
      <c r="Q80" s="77"/>
      <c r="R80" s="77"/>
      <c r="S80" s="77"/>
      <c r="U80" s="238" t="s">
        <v>272</v>
      </c>
      <c r="V80" s="239"/>
      <c r="W80" s="236" t="s">
        <v>271</v>
      </c>
      <c r="X80" s="236"/>
      <c r="Y80" s="237"/>
    </row>
    <row r="81" spans="16:25" x14ac:dyDescent="0.4">
      <c r="P81" s="77"/>
      <c r="Q81" s="77"/>
      <c r="R81" s="77"/>
      <c r="S81" s="77"/>
      <c r="U81" s="193"/>
      <c r="V81" s="194">
        <f>H38</f>
        <v>13196.552325269764</v>
      </c>
      <c r="W81" s="115">
        <v>2.75E-2</v>
      </c>
      <c r="X81" s="115">
        <f>W81+0.0025</f>
        <v>0.03</v>
      </c>
      <c r="Y81" s="207">
        <f>X81+0.0025</f>
        <v>3.2500000000000001E-2</v>
      </c>
    </row>
    <row r="82" spans="16:25" x14ac:dyDescent="0.4">
      <c r="P82" s="77"/>
      <c r="Q82" s="77"/>
      <c r="R82" s="77"/>
      <c r="S82" s="77"/>
      <c r="U82" s="103"/>
      <c r="V82" s="190"/>
      <c r="W82" s="7">
        <v>-32690.563368591851</v>
      </c>
      <c r="X82" s="7">
        <v>-29327.868538127248</v>
      </c>
      <c r="Y82" s="190">
        <v>-26482.511373887963</v>
      </c>
    </row>
    <row r="83" spans="16:25" x14ac:dyDescent="0.4">
      <c r="P83" s="77"/>
      <c r="Q83" s="77"/>
      <c r="R83" s="77"/>
      <c r="S83" s="77"/>
      <c r="U83" s="103"/>
      <c r="V83" s="190"/>
      <c r="W83" s="7">
        <f t="dataTable" ref="W83:Y86" dt2D="1" dtr="1" r1="K45" r2="K44"/>
        <v>0</v>
      </c>
      <c r="X83" s="7">
        <v>0</v>
      </c>
      <c r="Y83" s="190">
        <v>0</v>
      </c>
    </row>
    <row r="84" spans="16:25" x14ac:dyDescent="0.4">
      <c r="P84" s="77"/>
      <c r="Q84" s="77"/>
      <c r="R84" s="77"/>
      <c r="S84" s="77"/>
      <c r="U84" s="618" t="s">
        <v>96</v>
      </c>
      <c r="V84" s="191">
        <v>7.4999999999999997E-2</v>
      </c>
      <c r="W84" s="108">
        <v>0</v>
      </c>
      <c r="X84" s="108">
        <v>0</v>
      </c>
      <c r="Y84" s="116">
        <v>0</v>
      </c>
    </row>
    <row r="85" spans="16:25" x14ac:dyDescent="0.4">
      <c r="P85" s="77"/>
      <c r="Q85" s="77"/>
      <c r="R85" s="77"/>
      <c r="S85" s="77"/>
      <c r="U85" s="618"/>
      <c r="V85" s="191">
        <f>V84+(0.085-0.075)/3</f>
        <v>7.8333333333333338E-2</v>
      </c>
      <c r="W85" s="108">
        <v>0</v>
      </c>
      <c r="X85" s="108">
        <v>0</v>
      </c>
      <c r="Y85" s="116">
        <v>0</v>
      </c>
    </row>
    <row r="86" spans="16:25" x14ac:dyDescent="0.4">
      <c r="P86" s="77"/>
      <c r="Q86" s="77"/>
      <c r="R86" s="77"/>
      <c r="S86" s="77"/>
      <c r="U86" s="618"/>
      <c r="V86" s="191">
        <f t="shared" ref="V86:V87" si="133">V85+(0.085-0.075)/3</f>
        <v>8.1666666666666679E-2</v>
      </c>
      <c r="W86" s="108">
        <v>0</v>
      </c>
      <c r="X86" s="108">
        <v>0</v>
      </c>
      <c r="Y86" s="116">
        <v>0</v>
      </c>
    </row>
    <row r="87" spans="16:25" x14ac:dyDescent="0.4">
      <c r="P87" s="77"/>
      <c r="Q87" s="77"/>
      <c r="R87" s="77"/>
      <c r="S87" s="77"/>
      <c r="U87" s="619"/>
      <c r="V87" s="192">
        <f t="shared" si="133"/>
        <v>8.500000000000002E-2</v>
      </c>
      <c r="W87" s="117">
        <v>9305.3082585067368</v>
      </c>
      <c r="X87" s="117">
        <v>9563.3350474873969</v>
      </c>
      <c r="Y87" s="118">
        <v>9845.935816370973</v>
      </c>
    </row>
    <row r="88" spans="16:25" x14ac:dyDescent="0.4">
      <c r="P88" s="77"/>
      <c r="Q88" s="77"/>
      <c r="R88" s="77"/>
      <c r="S88" s="77"/>
      <c r="V88" s="8"/>
    </row>
    <row r="89" spans="16:25" x14ac:dyDescent="0.4">
      <c r="P89" s="77"/>
      <c r="Q89" s="77"/>
      <c r="R89" s="77"/>
      <c r="S89" s="77"/>
      <c r="V89" s="8"/>
      <c r="W89" s="77">
        <f>W87/$H$37</f>
        <v>7700.5199093898855</v>
      </c>
      <c r="X89" s="77">
        <f>((X86+X85)/2)/$H$37</f>
        <v>0</v>
      </c>
      <c r="Y89" s="77">
        <f>Y84/$H$37</f>
        <v>0</v>
      </c>
    </row>
    <row r="90" spans="16:25" x14ac:dyDescent="0.4">
      <c r="P90" s="77"/>
      <c r="Q90" s="77"/>
      <c r="R90" s="77"/>
      <c r="S90" s="77"/>
    </row>
    <row r="91" spans="16:25" x14ac:dyDescent="0.4">
      <c r="P91" s="77"/>
      <c r="Q91" s="77"/>
      <c r="R91" s="77"/>
      <c r="S91" s="77"/>
    </row>
    <row r="92" spans="16:25" x14ac:dyDescent="0.4">
      <c r="P92" s="77"/>
      <c r="Q92" s="77"/>
      <c r="R92" s="77"/>
      <c r="S92" s="77"/>
    </row>
    <row r="93" spans="16:25" x14ac:dyDescent="0.4">
      <c r="P93" s="77"/>
      <c r="Q93" s="77"/>
      <c r="R93" s="77"/>
      <c r="S93" s="77"/>
    </row>
    <row r="94" spans="16:25" x14ac:dyDescent="0.4">
      <c r="P94" s="77"/>
      <c r="Q94" s="77"/>
      <c r="R94" s="77"/>
      <c r="S94" s="77"/>
    </row>
    <row r="95" spans="16:25" x14ac:dyDescent="0.4">
      <c r="P95" s="77"/>
      <c r="Q95" s="77"/>
      <c r="R95" s="77"/>
      <c r="S95" s="77"/>
    </row>
    <row r="96" spans="16:25" x14ac:dyDescent="0.4">
      <c r="P96" s="77"/>
      <c r="Q96" s="77"/>
      <c r="R96" s="77"/>
      <c r="S96" s="77"/>
    </row>
    <row r="97" spans="16:19" x14ac:dyDescent="0.4">
      <c r="P97" s="77"/>
      <c r="Q97" s="77"/>
      <c r="R97" s="77"/>
      <c r="S97" s="77"/>
    </row>
    <row r="98" spans="16:19" x14ac:dyDescent="0.4">
      <c r="P98" s="77"/>
      <c r="Q98" s="77"/>
      <c r="R98" s="77"/>
      <c r="S98" s="77"/>
    </row>
    <row r="99" spans="16:19" x14ac:dyDescent="0.4">
      <c r="P99" s="77"/>
      <c r="Q99" s="77"/>
      <c r="R99" s="77"/>
      <c r="S99" s="77"/>
    </row>
    <row r="100" spans="16:19" x14ac:dyDescent="0.4">
      <c r="P100" s="77"/>
      <c r="Q100" s="77"/>
      <c r="R100" s="77"/>
      <c r="S100" s="77"/>
    </row>
    <row r="101" spans="16:19" x14ac:dyDescent="0.4">
      <c r="P101" s="77"/>
      <c r="Q101" s="77"/>
      <c r="R101" s="77"/>
      <c r="S101" s="77"/>
    </row>
    <row r="102" spans="16:19" x14ac:dyDescent="0.4">
      <c r="P102" s="77"/>
      <c r="Q102" s="77"/>
      <c r="R102" s="77"/>
      <c r="S102" s="77"/>
    </row>
    <row r="103" spans="16:19" x14ac:dyDescent="0.4">
      <c r="P103" s="77"/>
      <c r="Q103" s="77"/>
      <c r="R103" s="77"/>
      <c r="S103" s="77"/>
    </row>
    <row r="104" spans="16:19" x14ac:dyDescent="0.4">
      <c r="P104" s="77"/>
      <c r="Q104" s="77"/>
      <c r="R104" s="77"/>
      <c r="S104" s="77"/>
    </row>
    <row r="105" spans="16:19" x14ac:dyDescent="0.4">
      <c r="P105" s="77"/>
      <c r="Q105" s="77"/>
      <c r="R105" s="77"/>
      <c r="S105" s="77"/>
    </row>
    <row r="106" spans="16:19" x14ac:dyDescent="0.4">
      <c r="P106" s="77"/>
      <c r="Q106" s="77"/>
      <c r="R106" s="77"/>
      <c r="S106" s="77"/>
    </row>
    <row r="107" spans="16:19" x14ac:dyDescent="0.4">
      <c r="P107" s="77"/>
      <c r="Q107" s="77"/>
      <c r="R107" s="77"/>
      <c r="S107" s="77"/>
    </row>
    <row r="108" spans="16:19" x14ac:dyDescent="0.4">
      <c r="P108" s="77"/>
      <c r="Q108" s="77"/>
      <c r="R108" s="77"/>
      <c r="S108" s="77"/>
    </row>
    <row r="109" spans="16:19" x14ac:dyDescent="0.4">
      <c r="P109" s="77"/>
      <c r="Q109" s="77"/>
      <c r="R109" s="77"/>
      <c r="S109" s="77"/>
    </row>
    <row r="110" spans="16:19" x14ac:dyDescent="0.4">
      <c r="P110" s="77"/>
      <c r="Q110" s="77"/>
      <c r="R110" s="77"/>
      <c r="S110" s="77"/>
    </row>
    <row r="111" spans="16:19" x14ac:dyDescent="0.4">
      <c r="P111" s="77"/>
      <c r="Q111" s="77"/>
      <c r="R111" s="77"/>
      <c r="S111" s="77"/>
    </row>
    <row r="112" spans="16:19" x14ac:dyDescent="0.4">
      <c r="P112" s="77"/>
      <c r="Q112" s="77"/>
      <c r="R112" s="77"/>
      <c r="S112" s="77"/>
    </row>
    <row r="113" spans="16:19" x14ac:dyDescent="0.4">
      <c r="P113" s="77"/>
      <c r="Q113" s="77"/>
      <c r="R113" s="77"/>
      <c r="S113" s="77"/>
    </row>
    <row r="114" spans="16:19" x14ac:dyDescent="0.4">
      <c r="P114" s="77"/>
      <c r="Q114" s="77"/>
      <c r="R114" s="77"/>
      <c r="S114" s="77"/>
    </row>
    <row r="115" spans="16:19" x14ac:dyDescent="0.4">
      <c r="P115" s="77"/>
      <c r="Q115" s="77"/>
      <c r="R115" s="77"/>
      <c r="S115" s="77"/>
    </row>
    <row r="116" spans="16:19" x14ac:dyDescent="0.4">
      <c r="P116" s="77"/>
      <c r="Q116" s="77"/>
      <c r="R116" s="77"/>
      <c r="S116" s="77"/>
    </row>
    <row r="117" spans="16:19" x14ac:dyDescent="0.4">
      <c r="P117" s="77"/>
      <c r="Q117" s="77"/>
      <c r="R117" s="77"/>
      <c r="S117" s="77"/>
    </row>
    <row r="118" spans="16:19" x14ac:dyDescent="0.4">
      <c r="P118" s="77"/>
      <c r="Q118" s="77"/>
      <c r="R118" s="77"/>
      <c r="S118" s="77"/>
    </row>
    <row r="119" spans="16:19" x14ac:dyDescent="0.4">
      <c r="P119" s="77"/>
      <c r="Q119" s="77"/>
      <c r="R119" s="77"/>
      <c r="S119" s="77"/>
    </row>
    <row r="120" spans="16:19" x14ac:dyDescent="0.4">
      <c r="P120" s="77"/>
      <c r="Q120" s="77"/>
      <c r="R120" s="77"/>
      <c r="S120" s="77"/>
    </row>
  </sheetData>
  <mergeCells count="1">
    <mergeCell ref="U84:U87"/>
  </mergeCells>
  <conditionalFormatting sqref="W84:Y87">
    <cfRule type="colorScale" priority="1">
      <colorScale>
        <cfvo type="min"/>
        <cfvo type="max"/>
        <color rgb="FFFFEF9C"/>
        <color rgb="FF63BE7B"/>
      </colorScale>
    </cfRule>
  </conditionalFormatting>
  <printOptions horizontalCentered="1" verticalCentered="1"/>
  <pageMargins left="0.7" right="0.7" top="0.75" bottom="0.75" header="0.3" footer="0.3"/>
  <pageSetup paperSize="9" scale="26" orientation="portrait" r:id="rId1"/>
  <customProperties>
    <customPr name="Qube.Worksheet.Visibility" r:id="rId2"/>
  </customPropertie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AE14"/>
  <sheetViews>
    <sheetView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P9" sqref="P9"/>
    </sheetView>
  </sheetViews>
  <sheetFormatPr defaultColWidth="9" defaultRowHeight="13.15" x14ac:dyDescent="0.4"/>
  <cols>
    <col min="1" max="1" width="9" style="7"/>
    <col min="2" max="2" width="35.875" style="7" bestFit="1" customWidth="1"/>
    <col min="3" max="6" width="9" style="7"/>
    <col min="7" max="7" width="10.125" style="7" bestFit="1" customWidth="1"/>
    <col min="8" max="11" width="9" style="7"/>
    <col min="12" max="12" width="10.125" style="7" bestFit="1" customWidth="1"/>
    <col min="13" max="16" width="9" style="7"/>
    <col min="17" max="17" width="10.5" style="7" bestFit="1" customWidth="1"/>
    <col min="18" max="21" width="9" style="7"/>
    <col min="22" max="24" width="10.125" style="7" bestFit="1" customWidth="1"/>
    <col min="25" max="31" width="10.125" style="7" hidden="1" customWidth="1"/>
    <col min="32" max="16384" width="9" style="7"/>
  </cols>
  <sheetData>
    <row r="2" spans="2:31" x14ac:dyDescent="0.4">
      <c r="B2" s="4" t="s">
        <v>155</v>
      </c>
      <c r="C2" s="5" t="s">
        <v>8</v>
      </c>
      <c r="D2" s="5" t="s">
        <v>9</v>
      </c>
      <c r="E2" s="5" t="s">
        <v>10</v>
      </c>
      <c r="F2" s="5" t="s">
        <v>11</v>
      </c>
      <c r="G2" s="6">
        <v>2019</v>
      </c>
      <c r="H2" s="5" t="s">
        <v>12</v>
      </c>
      <c r="I2" s="5" t="s">
        <v>13</v>
      </c>
      <c r="J2" s="5" t="s">
        <v>14</v>
      </c>
      <c r="K2" s="5" t="s">
        <v>15</v>
      </c>
      <c r="L2" s="6">
        <v>2020</v>
      </c>
      <c r="M2" s="5" t="s">
        <v>181</v>
      </c>
      <c r="N2" s="5" t="s">
        <v>149</v>
      </c>
      <c r="O2" s="5" t="s">
        <v>150</v>
      </c>
      <c r="P2" s="5" t="s">
        <v>151</v>
      </c>
      <c r="Q2" s="6" t="s">
        <v>70</v>
      </c>
      <c r="R2" s="5" t="s">
        <v>159</v>
      </c>
      <c r="S2" s="5" t="s">
        <v>160</v>
      </c>
      <c r="T2" s="5" t="s">
        <v>161</v>
      </c>
      <c r="U2" s="5" t="s">
        <v>162</v>
      </c>
      <c r="V2" s="6" t="s">
        <v>71</v>
      </c>
      <c r="W2" s="5">
        <f>Valuation!E14</f>
        <v>2023</v>
      </c>
      <c r="X2" s="5">
        <f>Valuation!F14</f>
        <v>2024</v>
      </c>
      <c r="Y2" s="5">
        <f>Valuation!G14</f>
        <v>2025</v>
      </c>
      <c r="Z2" s="5" t="str">
        <f>Valuation!H14</f>
        <v>2026E</v>
      </c>
      <c r="AA2" s="5" t="str">
        <f>Valuation!I14</f>
        <v>2027E</v>
      </c>
      <c r="AB2" s="5" t="str">
        <f>Valuation!J14</f>
        <v>2028E</v>
      </c>
      <c r="AC2" s="5" t="str">
        <f>Valuation!K14</f>
        <v>2029E</v>
      </c>
      <c r="AD2" s="5" t="str">
        <f>Valuation!L14</f>
        <v>2030E</v>
      </c>
      <c r="AE2" s="5" t="str">
        <f>Valuation!M14</f>
        <v>2031E</v>
      </c>
    </row>
    <row r="3" spans="2:31" x14ac:dyDescent="0.4">
      <c r="B3" s="77" t="s">
        <v>225</v>
      </c>
      <c r="C3" s="77"/>
      <c r="D3" s="77"/>
      <c r="E3" s="77"/>
      <c r="F3" s="77"/>
      <c r="G3" s="13">
        <f>[11]EM_sportswear2!$T$19</f>
        <v>345759.3</v>
      </c>
      <c r="H3" s="77"/>
      <c r="I3" s="77"/>
      <c r="J3" s="77"/>
      <c r="K3" s="77"/>
      <c r="L3" s="13">
        <f>[11]EM_sportswear2!$U$19</f>
        <v>321777.59999999998</v>
      </c>
      <c r="M3" s="77"/>
      <c r="N3" s="77"/>
      <c r="O3" s="77"/>
      <c r="P3" s="77"/>
      <c r="Q3" s="13">
        <f>[11]EM_sportswear2!$V$19</f>
        <v>354658.3</v>
      </c>
      <c r="R3" s="77"/>
      <c r="S3" s="77"/>
      <c r="T3" s="77"/>
      <c r="U3" s="77"/>
      <c r="V3" s="13">
        <f>[11]EM_sportswear2!$W$19</f>
        <v>381561</v>
      </c>
      <c r="W3" s="12">
        <f>[11]EM_sportswear2!X19</f>
        <v>408009.3</v>
      </c>
      <c r="X3" s="12">
        <f>[11]EM_sportswear2!Y19</f>
        <v>435354.8</v>
      </c>
      <c r="Y3" s="12">
        <f t="shared" ref="Y3:AE3" si="0">X3*1.06</f>
        <v>461476.08799999999</v>
      </c>
      <c r="Z3" s="12">
        <f t="shared" si="0"/>
        <v>489164.65328000003</v>
      </c>
      <c r="AA3" s="12">
        <f t="shared" si="0"/>
        <v>518514.53247680003</v>
      </c>
      <c r="AB3" s="12">
        <f t="shared" si="0"/>
        <v>549625.40442540811</v>
      </c>
      <c r="AC3" s="12">
        <f t="shared" si="0"/>
        <v>582602.92869093257</v>
      </c>
      <c r="AD3" s="12">
        <f t="shared" si="0"/>
        <v>617559.10441238852</v>
      </c>
      <c r="AE3" s="12">
        <f t="shared" si="0"/>
        <v>654612.65067713184</v>
      </c>
    </row>
    <row r="4" spans="2:31" x14ac:dyDescent="0.4">
      <c r="B4" s="7" t="s">
        <v>223</v>
      </c>
      <c r="C4" s="98"/>
      <c r="D4" s="98"/>
      <c r="E4" s="98"/>
      <c r="F4" s="98"/>
      <c r="G4" s="99">
        <f>MODEL!G31/G3</f>
        <v>7.7256038981453269E-4</v>
      </c>
      <c r="H4" s="98"/>
      <c r="I4" s="98"/>
      <c r="J4" s="98"/>
      <c r="K4" s="98"/>
      <c r="L4" s="99">
        <f>MODEL!N31/L3</f>
        <v>1.3217055658007271E-3</v>
      </c>
      <c r="M4" s="98"/>
      <c r="N4" s="98"/>
      <c r="O4" s="98"/>
      <c r="P4" s="98"/>
      <c r="Q4" s="99">
        <f>MODEL!U31/Q3</f>
        <v>2.0430933098139819E-3</v>
      </c>
      <c r="R4" s="98"/>
      <c r="S4" s="98"/>
      <c r="T4" s="98"/>
      <c r="U4" s="98"/>
      <c r="V4" s="99">
        <f>MODEL!Z31/V3</f>
        <v>3.2028954741181617E-3</v>
      </c>
      <c r="W4" s="100">
        <f>MODEL!AE31/W3</f>
        <v>4.3923018421393829E-3</v>
      </c>
      <c r="X4" s="100">
        <f>MODEL!AJ31/X3</f>
        <v>5.3250819791122095E-3</v>
      </c>
      <c r="Y4" s="100">
        <f>MODEL!AO31/Y3</f>
        <v>6.531215979277351E-3</v>
      </c>
      <c r="Z4" s="100">
        <f>MODEL!AT31/Z3</f>
        <v>7.1594007542072641E-3</v>
      </c>
      <c r="AA4" s="100">
        <f>MODEL!AU31/AA3</f>
        <v>8.0200726851313523E-3</v>
      </c>
      <c r="AB4" s="100">
        <f>MODEL!AV31/AB3</f>
        <v>8.8098495716426549E-3</v>
      </c>
      <c r="AC4" s="100">
        <f>MODEL!AW31/AC3</f>
        <v>9.620888922112188E-3</v>
      </c>
      <c r="AD4" s="100">
        <f>MODEL!AX31/AD3</f>
        <v>1.0379198792908715E-2</v>
      </c>
      <c r="AE4" s="100">
        <f>MODEL!AY31/AE3</f>
        <v>1.0942215507444735E-2</v>
      </c>
    </row>
    <row r="5" spans="2:31" x14ac:dyDescent="0.4">
      <c r="B5" s="77" t="s">
        <v>226</v>
      </c>
      <c r="G5" s="13">
        <f>[11]EM_sportswear2!$T$10</f>
        <v>126962</v>
      </c>
      <c r="L5" s="13">
        <f>[11]EM_sportswear2!$U$10</f>
        <v>115107.5</v>
      </c>
      <c r="Q5" s="13">
        <f>[11]EM_sportswear2!$V$10</f>
        <v>124076.9</v>
      </c>
      <c r="V5" s="13">
        <f>[11]EM_sportswear2!$W$10</f>
        <v>131625.29999999999</v>
      </c>
      <c r="W5" s="12">
        <f>[11]EM_sportswear2!$X$10</f>
        <v>138634.20000000001</v>
      </c>
      <c r="X5" s="12">
        <f>[11]EM_sportswear2!Y10</f>
        <v>145709.20000000001</v>
      </c>
      <c r="Y5" s="12">
        <f t="shared" ref="Y5:AE5" si="1">X5*(1.05)</f>
        <v>152994.66000000003</v>
      </c>
      <c r="Z5" s="12">
        <f t="shared" si="1"/>
        <v>160644.39300000004</v>
      </c>
      <c r="AA5" s="12">
        <f t="shared" si="1"/>
        <v>168676.61265000005</v>
      </c>
      <c r="AB5" s="12">
        <f t="shared" si="1"/>
        <v>177110.44328250005</v>
      </c>
      <c r="AC5" s="12">
        <f t="shared" si="1"/>
        <v>185965.96544662508</v>
      </c>
      <c r="AD5" s="12">
        <f t="shared" si="1"/>
        <v>195264.26371895635</v>
      </c>
      <c r="AE5" s="12">
        <f t="shared" si="1"/>
        <v>205027.47690490418</v>
      </c>
    </row>
    <row r="6" spans="2:31" x14ac:dyDescent="0.4">
      <c r="B6" s="77" t="s">
        <v>231</v>
      </c>
      <c r="G6" s="13">
        <f>[11]EM_sportswear2!$T$13</f>
        <v>60661</v>
      </c>
      <c r="L6" s="13">
        <f>[11]EM_sportswear2!$U$13</f>
        <v>55785.8</v>
      </c>
      <c r="Q6" s="13">
        <f>[11]EM_sportswear2!$V$13</f>
        <v>60208.3</v>
      </c>
      <c r="V6" s="13">
        <f>[11]EM_sportswear2!$W$13</f>
        <v>63499.3</v>
      </c>
      <c r="W6" s="12">
        <f>[11]EM_sportswear2!$X$13</f>
        <v>66472.399999999994</v>
      </c>
      <c r="X6" s="12">
        <f>[11]EM_sportswear2!Y13</f>
        <v>69695.3</v>
      </c>
      <c r="Y6" s="12">
        <f t="shared" ref="Y6:AE6" si="2">X6*(1.04)</f>
        <v>72483.112000000008</v>
      </c>
      <c r="Z6" s="12">
        <f t="shared" si="2"/>
        <v>75382.436480000004</v>
      </c>
      <c r="AA6" s="12">
        <f t="shared" si="2"/>
        <v>78397.733939200014</v>
      </c>
      <c r="AB6" s="12">
        <f t="shared" si="2"/>
        <v>81533.643296768016</v>
      </c>
      <c r="AC6" s="12">
        <f t="shared" si="2"/>
        <v>84794.989028638738</v>
      </c>
      <c r="AD6" s="12">
        <f t="shared" si="2"/>
        <v>88186.788589784293</v>
      </c>
      <c r="AE6" s="12">
        <f t="shared" si="2"/>
        <v>91714.260133375661</v>
      </c>
    </row>
    <row r="7" spans="2:31" x14ac:dyDescent="0.4">
      <c r="B7" s="77" t="s">
        <v>227</v>
      </c>
      <c r="G7" s="13">
        <f>[11]EM_sportswear2!$T$7/6.46</f>
        <v>49008.653250773998</v>
      </c>
      <c r="L7" s="13">
        <f>[11]EM_sportswear2!$U$7/6.46</f>
        <v>48827.105263157893</v>
      </c>
      <c r="Q7" s="13">
        <f>[11]EM_sportswear2!$V$7/6.46</f>
        <v>60502.755417956658</v>
      </c>
      <c r="V7" s="13">
        <f>[11]EM_sportswear2!$W$7/6.46</f>
        <v>68675.247678018568</v>
      </c>
      <c r="W7" s="12">
        <f>[11]EM_sportswear2!$X$7/6.464</f>
        <v>76494.817450495044</v>
      </c>
      <c r="X7" s="12">
        <f>[11]EM_sportswear2!Y7/6.46</f>
        <v>83993.095975232209</v>
      </c>
      <c r="Y7" s="12">
        <f t="shared" ref="Y7:AE7" si="3">X7*(1.1)</f>
        <v>92392.405572755437</v>
      </c>
      <c r="Z7" s="12">
        <f t="shared" si="3"/>
        <v>101631.64613003099</v>
      </c>
      <c r="AA7" s="12">
        <f t="shared" si="3"/>
        <v>111794.8107430341</v>
      </c>
      <c r="AB7" s="12">
        <f t="shared" si="3"/>
        <v>122974.29181733752</v>
      </c>
      <c r="AC7" s="12">
        <f t="shared" si="3"/>
        <v>135271.72099907129</v>
      </c>
      <c r="AD7" s="12">
        <f t="shared" si="3"/>
        <v>148798.89309897844</v>
      </c>
      <c r="AE7" s="12">
        <f t="shared" si="3"/>
        <v>163678.78240887629</v>
      </c>
    </row>
    <row r="8" spans="2:31" x14ac:dyDescent="0.4">
      <c r="B8" s="7" t="s">
        <v>228</v>
      </c>
      <c r="G8" s="9">
        <f>MODEL!G11/G5</f>
        <v>8.8027126226745012E-4</v>
      </c>
      <c r="L8" s="9">
        <f>MODEL!N11/L5</f>
        <v>1.80777968420824E-3</v>
      </c>
      <c r="Q8" s="9">
        <f>MODEL!U11/Q5</f>
        <v>3.3003725915138112E-3</v>
      </c>
      <c r="V8" s="9">
        <f>MODEL!Z11/V5</f>
        <v>5.6106234895570983E-3</v>
      </c>
      <c r="W8" s="11">
        <f>MODEL!AE11/W5</f>
        <v>8.3839341230374596E-3</v>
      </c>
      <c r="X8" s="10">
        <f>MODEL!AJ11/X5</f>
        <v>1.0159276147285139E-2</v>
      </c>
      <c r="Y8" s="10">
        <f>MODEL!AO11/Y5</f>
        <v>1.1374253192889216E-2</v>
      </c>
      <c r="Z8" s="10">
        <f>MODEL!AT11/Z5</f>
        <v>1.1379859222822608E-2</v>
      </c>
      <c r="AA8" s="10">
        <f>MODEL!AU11/AA5</f>
        <v>1.1856603337180102E-2</v>
      </c>
      <c r="AB8" s="10">
        <f>MODEL!AV11/AB5</f>
        <v>1.2195363432528108E-2</v>
      </c>
      <c r="AC8" s="10">
        <f>MODEL!AW11/AC5</f>
        <v>1.2543802387743195E-2</v>
      </c>
      <c r="AD8" s="10">
        <f>MODEL!AX11/AD5</f>
        <v>1.2902196741678714E-2</v>
      </c>
      <c r="AE8" s="10">
        <f>MODEL!AY11/AE5</f>
        <v>1.3025074805885179E-2</v>
      </c>
    </row>
    <row r="9" spans="2:31" x14ac:dyDescent="0.4">
      <c r="B9" s="7" t="s">
        <v>229</v>
      </c>
      <c r="G9" s="9">
        <f>MODEL!G4/G6</f>
        <v>2.1157570694515415E-3</v>
      </c>
      <c r="L9" s="9">
        <f>MODEL!N4/L6</f>
        <v>3.3612540264726866E-3</v>
      </c>
      <c r="Q9" s="9">
        <f>MODEL!U4/Q6</f>
        <v>4.3249850934173519E-3</v>
      </c>
      <c r="V9" s="9">
        <f>MODEL!Z4/V6</f>
        <v>5.5795890663361642E-3</v>
      </c>
      <c r="W9" s="11">
        <f>MODEL!AE4/W6</f>
        <v>7.3519235050938433E-3</v>
      </c>
      <c r="X9" s="10">
        <f>MODEL!AJ4/X6</f>
        <v>8.2903725215330154E-3</v>
      </c>
      <c r="Y9" s="10">
        <f>MODEL!AO4/Y6</f>
        <v>1.0522451077983518E-2</v>
      </c>
      <c r="Z9" s="10">
        <f>MODEL!AT4/Z6</f>
        <v>1.1902971989440644E-2</v>
      </c>
      <c r="AA9" s="10">
        <f>MODEL!AU4/AA6</f>
        <v>1.3445949441038758E-2</v>
      </c>
      <c r="AB9" s="10">
        <f>MODEL!AV4/AB6</f>
        <v>1.4609541219590188E-2</v>
      </c>
      <c r="AC9" s="10">
        <f>MODEL!AW4/AC6</f>
        <v>1.5733352082635588E-2</v>
      </c>
      <c r="AD9" s="10">
        <f>MODEL!AX4/AD6</f>
        <v>1.6641045472018411E-2</v>
      </c>
      <c r="AE9" s="10">
        <f>MODEL!AY4/AE6</f>
        <v>1.7281085682480657E-2</v>
      </c>
    </row>
    <row r="10" spans="2:31" x14ac:dyDescent="0.4">
      <c r="B10" s="7" t="s">
        <v>230</v>
      </c>
      <c r="G10" s="9">
        <f>MODEL!G18/G7</f>
        <v>3.6456827141475933E-4</v>
      </c>
      <c r="L10" s="9">
        <f>MODEL!N18/L7</f>
        <v>4.7102935707625727E-4</v>
      </c>
      <c r="Q10" s="9">
        <f>MODEL!U18/Q7</f>
        <v>7.0575298108368513E-4</v>
      </c>
      <c r="V10" s="9">
        <f>MODEL!Z18/V7</f>
        <v>1.1678152276350688E-3</v>
      </c>
      <c r="W10" s="11">
        <f>MODEL!AE18/W7</f>
        <v>1.8445694061733709E-3</v>
      </c>
      <c r="X10" s="10">
        <f>MODEL!AJ18/X7</f>
        <v>3.0978736642441117E-3</v>
      </c>
      <c r="Y10" s="10">
        <f>MODEL!AO18/Y7</f>
        <v>5.531839947575873E-3</v>
      </c>
      <c r="Z10" s="10">
        <f>MODEL!AT18/Z7</f>
        <v>7.6426999857658606E-3</v>
      </c>
      <c r="AA10" s="10">
        <f>MODEL!AU18/AA7</f>
        <v>9.8793546510023422E-3</v>
      </c>
      <c r="AB10" s="10">
        <f>MODEL!AV18/AB7</f>
        <v>1.2124662526230146E-2</v>
      </c>
      <c r="AC10" s="10">
        <f>MODEL!AW18/AC7</f>
        <v>1.4329146621908354E-2</v>
      </c>
      <c r="AD10" s="10">
        <f>MODEL!AX18/AD7</f>
        <v>1.6283121161259489E-2</v>
      </c>
      <c r="AE10" s="10">
        <f>MODEL!AY18/AE7</f>
        <v>1.776340490319217E-2</v>
      </c>
    </row>
    <row r="11" spans="2:31" x14ac:dyDescent="0.4">
      <c r="B11" s="77" t="s">
        <v>224</v>
      </c>
      <c r="C11" s="77"/>
      <c r="D11" s="77"/>
      <c r="E11" s="77"/>
      <c r="F11" s="77"/>
      <c r="G11" s="13">
        <f>[11]EM_sportswear2!$T$18</f>
        <v>1774334.8</v>
      </c>
      <c r="H11" s="77"/>
      <c r="I11" s="77"/>
      <c r="J11" s="77"/>
      <c r="K11" s="77"/>
      <c r="L11" s="13">
        <f>[11]EM_sportswear2!$U$18</f>
        <v>1525494.8</v>
      </c>
      <c r="M11" s="77"/>
      <c r="N11" s="77"/>
      <c r="O11" s="77"/>
      <c r="P11" s="77"/>
      <c r="Q11" s="13">
        <f>[11]EM_sportswear2!$V$18</f>
        <v>1691361.9</v>
      </c>
      <c r="R11" s="77"/>
      <c r="S11" s="77"/>
      <c r="T11" s="77"/>
      <c r="U11" s="77"/>
      <c r="V11" s="13">
        <f>[11]EM_sportswear2!$W$18</f>
        <v>1806330.8</v>
      </c>
      <c r="W11" s="12">
        <f>[11]EM_sportswear2!$X$18</f>
        <v>1905625.5</v>
      </c>
      <c r="X11" s="12">
        <f>[11]EM_sportswear2!Y18</f>
        <v>2004738.3</v>
      </c>
      <c r="Y11" s="12">
        <f t="shared" ref="Y11:AE11" si="4">X11*1.03</f>
        <v>2064880.449</v>
      </c>
      <c r="Z11" s="12">
        <f t="shared" si="4"/>
        <v>2126826.8624700001</v>
      </c>
      <c r="AA11" s="12">
        <f t="shared" si="4"/>
        <v>2190631.6683441</v>
      </c>
      <c r="AB11" s="12">
        <f t="shared" si="4"/>
        <v>2256350.6183944233</v>
      </c>
      <c r="AC11" s="12">
        <f t="shared" si="4"/>
        <v>2324041.1369462558</v>
      </c>
      <c r="AD11" s="12">
        <f t="shared" si="4"/>
        <v>2393762.3710546438</v>
      </c>
      <c r="AE11" s="12">
        <f t="shared" si="4"/>
        <v>2465575.2421862832</v>
      </c>
    </row>
    <row r="12" spans="2:31" x14ac:dyDescent="0.4">
      <c r="B12" s="7" t="s">
        <v>223</v>
      </c>
      <c r="G12" s="9">
        <f>MODEL!G31/G11</f>
        <v>1.5054652571205838E-4</v>
      </c>
      <c r="L12" s="9">
        <f>MODEL!N31/L11</f>
        <v>2.7879167131215395E-4</v>
      </c>
      <c r="Q12" s="9">
        <f>MODEL!U31/Q11</f>
        <v>4.2841215709068543E-4</v>
      </c>
      <c r="V12" s="9">
        <f>MODEL!Z31/V11</f>
        <v>6.7656489055050156E-4</v>
      </c>
      <c r="W12" s="11">
        <f>MODEL!AE31/W11</f>
        <v>9.404261225513617E-4</v>
      </c>
      <c r="X12" s="10">
        <f>MODEL!AJ31/X11</f>
        <v>1.1564102905601197E-3</v>
      </c>
      <c r="Y12" s="10">
        <f>MODEL!AO31/Y11</f>
        <v>1.4596486694712276E-3</v>
      </c>
      <c r="Z12" s="10">
        <f>MODEL!AT31/Z11</f>
        <v>1.6466435747182343E-3</v>
      </c>
      <c r="AA12" s="10">
        <f>MODEL!AU31/AA11</f>
        <v>1.898321976648986E-3</v>
      </c>
      <c r="AB12" s="10">
        <f>MODEL!AV31/AB11</f>
        <v>2.1459949948677134E-3</v>
      </c>
      <c r="AC12" s="10">
        <f>MODEL!AW31/AC11</f>
        <v>2.4118153390338768E-3</v>
      </c>
      <c r="AD12" s="10">
        <f>MODEL!AX31/AD11</f>
        <v>2.6776963279955121E-3</v>
      </c>
      <c r="AE12" s="10">
        <f>MODEL!AY31/AE11</f>
        <v>2.9051689743839629E-3</v>
      </c>
    </row>
    <row r="14" spans="2:31" x14ac:dyDescent="0.4">
      <c r="B14" s="7" t="s">
        <v>232</v>
      </c>
      <c r="G14" s="8">
        <f>G3/G11</f>
        <v>0.19486700029780174</v>
      </c>
      <c r="L14" s="8">
        <f>L3/L11</f>
        <v>0.21093326571811322</v>
      </c>
      <c r="Q14" s="8">
        <f>Q3/Q11</f>
        <v>0.20968800349588104</v>
      </c>
      <c r="V14" s="8">
        <f>V3/V11</f>
        <v>0.21123539497859417</v>
      </c>
      <c r="W14" s="8">
        <f t="shared" ref="W14:AE14" si="5">W3/W11</f>
        <v>0.21410780869588489</v>
      </c>
      <c r="X14" s="8">
        <f t="shared" si="5"/>
        <v>0.21716290849533826</v>
      </c>
      <c r="Y14" s="8">
        <f t="shared" si="5"/>
        <v>0.22348804175248405</v>
      </c>
      <c r="Z14" s="8">
        <f t="shared" si="5"/>
        <v>0.22999740219187678</v>
      </c>
      <c r="AA14" s="8">
        <f t="shared" si="5"/>
        <v>0.23669635565377611</v>
      </c>
      <c r="AB14" s="8">
        <f t="shared" si="5"/>
        <v>0.24359042426505115</v>
      </c>
      <c r="AC14" s="8">
        <f t="shared" si="5"/>
        <v>0.25068529099121772</v>
      </c>
      <c r="AD14" s="8">
        <f t="shared" si="5"/>
        <v>0.25798680432105897</v>
      </c>
      <c r="AE14" s="8">
        <f t="shared" si="5"/>
        <v>0.26550098308769171</v>
      </c>
    </row>
  </sheetData>
  <pageMargins left="0.7" right="0.7" top="0.75" bottom="0.75" header="0.3" footer="0.3"/>
  <pageSetup paperSize="9" orientation="portrait" r:id="rId1"/>
  <customProperties>
    <customPr name="Qube.Worksheet.Visibility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5452-5A05-4DE5-BF62-C469F906D574}">
  <dimension ref="A2:AI42"/>
  <sheetViews>
    <sheetView zoomScaleNormal="100" workbookViewId="0">
      <selection activeCell="P30" sqref="P30"/>
    </sheetView>
  </sheetViews>
  <sheetFormatPr defaultRowHeight="15.75" x14ac:dyDescent="0.5"/>
  <cols>
    <col min="2" max="2" width="17.125" bestFit="1" customWidth="1"/>
    <col min="3" max="4" width="9.5" bestFit="1" customWidth="1"/>
    <col min="5" max="5" width="10.5" bestFit="1" customWidth="1"/>
    <col min="6" max="12" width="9.375" bestFit="1" customWidth="1"/>
    <col min="13" max="15" width="10.125" bestFit="1" customWidth="1"/>
    <col min="16" max="16" width="10.375" bestFit="1" customWidth="1"/>
    <col min="17" max="18" width="10.125" bestFit="1" customWidth="1"/>
    <col min="19" max="24" width="9.125" bestFit="1" customWidth="1"/>
    <col min="25" max="27" width="10.125" bestFit="1" customWidth="1"/>
  </cols>
  <sheetData>
    <row r="2" spans="1:35" x14ac:dyDescent="0.5">
      <c r="A2" s="78" t="s">
        <v>411</v>
      </c>
    </row>
    <row r="4" spans="1:35" x14ac:dyDescent="0.5">
      <c r="C4">
        <v>2011</v>
      </c>
      <c r="D4">
        <f>C4+1</f>
        <v>2012</v>
      </c>
      <c r="E4">
        <f t="shared" ref="E4:M4" si="0">D4+1</f>
        <v>2013</v>
      </c>
      <c r="F4">
        <f t="shared" si="0"/>
        <v>2014</v>
      </c>
      <c r="G4">
        <f t="shared" si="0"/>
        <v>2015</v>
      </c>
      <c r="H4">
        <f t="shared" si="0"/>
        <v>2016</v>
      </c>
      <c r="I4">
        <f t="shared" si="0"/>
        <v>2017</v>
      </c>
      <c r="J4">
        <f t="shared" si="0"/>
        <v>2018</v>
      </c>
      <c r="K4">
        <f t="shared" si="0"/>
        <v>2019</v>
      </c>
      <c r="L4">
        <f t="shared" si="0"/>
        <v>2020</v>
      </c>
      <c r="M4">
        <f t="shared" si="0"/>
        <v>2021</v>
      </c>
      <c r="N4">
        <v>2022</v>
      </c>
      <c r="O4" t="s">
        <v>72</v>
      </c>
      <c r="P4" t="s">
        <v>73</v>
      </c>
      <c r="Q4" t="s">
        <v>74</v>
      </c>
    </row>
    <row r="5" spans="1:35" x14ac:dyDescent="0.5">
      <c r="B5" t="s">
        <v>412</v>
      </c>
      <c r="C5" s="407">
        <f>'[12]2. Consolidated'!$AL$30</f>
        <v>1000.8389999999999</v>
      </c>
      <c r="D5" s="407">
        <f>'[12]2. Consolidated'!$AQ$30</f>
        <v>1370.3579999999999</v>
      </c>
      <c r="E5" s="407">
        <f>'[12]2. Consolidated'!$AV$30</f>
        <v>1591.1880000000001</v>
      </c>
      <c r="F5" s="407">
        <f>'[12]2. Consolidated'!$BA$30</f>
        <v>1797.213</v>
      </c>
      <c r="G5" s="407">
        <f>'[12]2. Consolidated'!$BF$30</f>
        <v>2060.5230000000001</v>
      </c>
      <c r="H5" s="407">
        <f>'[12]2. Consolidated'!$BK$30</f>
        <v>2344.3919999999998</v>
      </c>
      <c r="I5" s="407">
        <f>'[12]2. Consolidated'!$BP$30</f>
        <v>2649.181</v>
      </c>
      <c r="J5" s="407">
        <f>'[12]2. Consolidated'!$BU$30</f>
        <v>3288.319</v>
      </c>
      <c r="K5" s="407">
        <f>'[12]2. Consolidated'!$BZ$30</f>
        <v>3979.2959999999998</v>
      </c>
      <c r="L5" s="407">
        <f>'[12]2. Consolidated'!$CE$30</f>
        <v>4401.88</v>
      </c>
      <c r="M5" s="407">
        <f>'[12]2. Consolidated'!$CJ$30</f>
        <v>6256.6170000000002</v>
      </c>
      <c r="N5" s="407">
        <v>8110.5</v>
      </c>
      <c r="O5" s="407">
        <v>9494.2999999999993</v>
      </c>
      <c r="P5" s="407">
        <v>10891.2</v>
      </c>
      <c r="Q5" s="407">
        <v>12540.9</v>
      </c>
    </row>
    <row r="6" spans="1:35" x14ac:dyDescent="0.5">
      <c r="D6" s="408">
        <f>D5/C5-1</f>
        <v>0.36920923345313295</v>
      </c>
      <c r="E6" s="408">
        <f t="shared" ref="E6" si="1">E5/D5-1</f>
        <v>0.16114767090059701</v>
      </c>
      <c r="F6" s="408">
        <f t="shared" ref="F6" si="2">F5/E5-1</f>
        <v>0.12947872910052105</v>
      </c>
      <c r="G6" s="408">
        <f t="shared" ref="G6" si="3">G5/F5-1</f>
        <v>0.1465101799285895</v>
      </c>
      <c r="H6" s="408">
        <f t="shared" ref="H6" si="4">H5/G5-1</f>
        <v>0.13776550904794549</v>
      </c>
      <c r="I6" s="408">
        <f t="shared" ref="I6" si="5">I5/H5-1</f>
        <v>0.13000769495886355</v>
      </c>
      <c r="J6" s="408">
        <f t="shared" ref="J6" si="6">J5/I5-1</f>
        <v>0.24125871354203432</v>
      </c>
      <c r="K6" s="408">
        <f t="shared" ref="K6" si="7">K5/J5-1</f>
        <v>0.21013076894303739</v>
      </c>
      <c r="L6" s="408">
        <f t="shared" ref="L6" si="8">L5/K5-1</f>
        <v>0.10619566878161368</v>
      </c>
      <c r="M6" s="408">
        <f t="shared" ref="M6" si="9">M5/L5-1</f>
        <v>0.42135110452806535</v>
      </c>
      <c r="N6" s="408">
        <f t="shared" ref="N6" si="10">N5/M5-1</f>
        <v>0.29630757324605295</v>
      </c>
      <c r="O6" s="408">
        <f t="shared" ref="O6" si="11">O5/N5-1</f>
        <v>0.1706183342580605</v>
      </c>
      <c r="P6" s="408">
        <f t="shared" ref="P6:Q6" si="12">P5/O5-1</f>
        <v>0.14713038349325402</v>
      </c>
      <c r="Q6" s="408">
        <f t="shared" si="12"/>
        <v>0.15147091229616549</v>
      </c>
    </row>
    <row r="7" spans="1:35" x14ac:dyDescent="0.5">
      <c r="C7">
        <v>2002</v>
      </c>
      <c r="D7">
        <f>C7+1</f>
        <v>2003</v>
      </c>
      <c r="E7">
        <f t="shared" ref="E7:V7" si="13">D7+1</f>
        <v>2004</v>
      </c>
      <c r="F7">
        <f t="shared" si="13"/>
        <v>2005</v>
      </c>
      <c r="G7">
        <f t="shared" si="13"/>
        <v>2006</v>
      </c>
      <c r="H7">
        <f t="shared" si="13"/>
        <v>2007</v>
      </c>
      <c r="I7">
        <f t="shared" si="13"/>
        <v>2008</v>
      </c>
      <c r="J7">
        <f t="shared" si="13"/>
        <v>2009</v>
      </c>
      <c r="K7">
        <f t="shared" si="13"/>
        <v>2010</v>
      </c>
      <c r="L7">
        <f t="shared" si="13"/>
        <v>2011</v>
      </c>
      <c r="M7">
        <f t="shared" si="13"/>
        <v>2012</v>
      </c>
      <c r="N7">
        <f t="shared" si="13"/>
        <v>2013</v>
      </c>
      <c r="O7">
        <f t="shared" si="13"/>
        <v>2014</v>
      </c>
      <c r="P7">
        <f t="shared" si="13"/>
        <v>2015</v>
      </c>
      <c r="Q7">
        <f t="shared" si="13"/>
        <v>2016</v>
      </c>
      <c r="R7">
        <f t="shared" si="13"/>
        <v>2017</v>
      </c>
      <c r="S7">
        <f t="shared" si="13"/>
        <v>2018</v>
      </c>
      <c r="T7">
        <f t="shared" si="13"/>
        <v>2019</v>
      </c>
      <c r="U7">
        <f t="shared" si="13"/>
        <v>2020</v>
      </c>
      <c r="V7">
        <f t="shared" si="13"/>
        <v>2021</v>
      </c>
      <c r="W7" t="s">
        <v>71</v>
      </c>
      <c r="X7" t="s">
        <v>72</v>
      </c>
      <c r="Y7" t="s">
        <v>73</v>
      </c>
      <c r="Z7" t="s">
        <v>74</v>
      </c>
      <c r="AA7" t="s">
        <v>75</v>
      </c>
    </row>
    <row r="8" spans="1:35" x14ac:dyDescent="0.5">
      <c r="B8" t="s">
        <v>257</v>
      </c>
      <c r="C8" s="407">
        <f>'[13]P&amp;L'!J118</f>
        <v>909.8</v>
      </c>
      <c r="D8" s="407">
        <f>'[13]P&amp;L'!K118</f>
        <v>1273.9000000000001</v>
      </c>
      <c r="E8" s="407">
        <f>'[13]P&amp;L'!L118</f>
        <v>1530.4</v>
      </c>
      <c r="F8" s="407">
        <f>'[13]P&amp;L'!M118</f>
        <v>1777.6</v>
      </c>
      <c r="G8" s="407">
        <f>'[13]P&amp;L'!N118</f>
        <v>2369.1999999999998</v>
      </c>
      <c r="H8" s="407">
        <f>'[13]P&amp;L'!O118</f>
        <v>2373.5</v>
      </c>
      <c r="I8" s="407">
        <f>'[13]P&amp;L'!P118</f>
        <v>2524.1999999999998</v>
      </c>
      <c r="J8" s="407">
        <f>'[13]P&amp;L'!Q118</f>
        <v>2447.3000000000002</v>
      </c>
      <c r="K8" s="407">
        <f>'[13]P&amp;L'!R118</f>
        <v>2706.3999999999996</v>
      </c>
      <c r="L8" s="407">
        <f>'[13]P&amp;L'!S118</f>
        <v>3008.9639999999999</v>
      </c>
      <c r="M8" s="407">
        <f>'[13]P&amp;L'!T118</f>
        <v>3270.7200000000003</v>
      </c>
      <c r="N8" s="407">
        <f>'[13]P&amp;L'!U118</f>
        <v>2985.2000000000003</v>
      </c>
      <c r="O8" s="407">
        <f>'[13]P&amp;L'!V118</f>
        <v>2972.02</v>
      </c>
      <c r="P8" s="407">
        <f>'[13]P&amp;L'!W118</f>
        <v>3387.4</v>
      </c>
      <c r="Q8" s="407">
        <f>'[13]P&amp;L'!X118</f>
        <v>3626.8</v>
      </c>
      <c r="R8" s="407">
        <f>'[13]P&amp;L'!Y118</f>
        <v>4135.9000000000005</v>
      </c>
      <c r="S8" s="407">
        <f>'[13]P&amp;L'!Z118</f>
        <v>4648.3999999999996</v>
      </c>
      <c r="T8" s="407">
        <f>'[13]P&amp;L'!AA118</f>
        <v>5502.1999999999971</v>
      </c>
      <c r="U8" s="407">
        <f>'[13]P&amp;L'!AB118</f>
        <v>5234.4000000000005</v>
      </c>
      <c r="V8" s="407">
        <f>'[13]P&amp;L'!AC118</f>
        <v>6805.3999999999987</v>
      </c>
      <c r="W8" s="407">
        <f>'[13]P&amp;L'!AD118</f>
        <v>8465.1000000000022</v>
      </c>
      <c r="X8" s="407">
        <f>'[13]P&amp;L'!AE118</f>
        <v>9100.0230000000029</v>
      </c>
      <c r="Y8" s="407">
        <f>'[13]P&amp;L'!AF118</f>
        <v>9920.9626100000041</v>
      </c>
      <c r="Z8" s="407">
        <f>'[13]P&amp;L'!AG118</f>
        <v>10807.978023550004</v>
      </c>
      <c r="AA8" s="407">
        <f>'[13]P&amp;L'!AH118</f>
        <v>11776.708347707754</v>
      </c>
    </row>
    <row r="9" spans="1:35" x14ac:dyDescent="0.5">
      <c r="D9" s="408">
        <f>D8/C8-1</f>
        <v>0.40019784568036942</v>
      </c>
      <c r="E9" s="408">
        <f t="shared" ref="E9" si="14">E8/D8-1</f>
        <v>0.20135018447287845</v>
      </c>
      <c r="F9" s="408">
        <f t="shared" ref="F9" si="15">F8/E8-1</f>
        <v>0.16152639832723459</v>
      </c>
      <c r="G9" s="408">
        <f t="shared" ref="G9" si="16">G8/F8-1</f>
        <v>0.33280828082808278</v>
      </c>
      <c r="H9" s="408">
        <f t="shared" ref="H9" si="17">H8/G8-1</f>
        <v>1.8149586358264802E-3</v>
      </c>
      <c r="I9" s="408">
        <f t="shared" ref="I9" si="18">I8/H8-1</f>
        <v>6.3492732251948514E-2</v>
      </c>
      <c r="J9" s="408">
        <f t="shared" ref="J9" si="19">J8/I8-1</f>
        <v>-3.046509785278495E-2</v>
      </c>
      <c r="K9" s="408">
        <f t="shared" ref="K9" si="20">K8/J8-1</f>
        <v>0.10587177706043382</v>
      </c>
      <c r="L9" s="408">
        <f t="shared" ref="L9" si="21">L8/K8-1</f>
        <v>0.11179574342299747</v>
      </c>
      <c r="M9" s="408">
        <f t="shared" ref="M9" si="22">M8/L8-1</f>
        <v>8.699206770170731E-2</v>
      </c>
      <c r="N9" s="408">
        <f t="shared" ref="N9" si="23">N8/M8-1</f>
        <v>-8.729576362391156E-2</v>
      </c>
      <c r="O9" s="408">
        <f t="shared" ref="O9" si="24">O8/N8-1</f>
        <v>-4.4151145651883938E-3</v>
      </c>
      <c r="P9" s="408">
        <f t="shared" ref="P9" si="25">P8/O8-1</f>
        <v>0.13976352783628654</v>
      </c>
      <c r="Q9" s="408">
        <f t="shared" ref="Q9" si="26">Q8/P8-1</f>
        <v>7.0673673023557981E-2</v>
      </c>
      <c r="R9" s="408">
        <f t="shared" ref="R9" si="27">R8/Q8-1</f>
        <v>0.1403716775118562</v>
      </c>
      <c r="S9" s="408">
        <f t="shared" ref="S9" si="28">S8/R8-1</f>
        <v>0.12391498827341052</v>
      </c>
      <c r="T9" s="408">
        <f t="shared" ref="T9" si="29">T8/S8-1</f>
        <v>0.18367610360554121</v>
      </c>
      <c r="U9" s="408">
        <f t="shared" ref="U9" si="30">U8/T8-1</f>
        <v>-4.8671440514702624E-2</v>
      </c>
      <c r="V9" s="408">
        <f t="shared" ref="V9" si="31">V8/U8-1</f>
        <v>0.30012990982729604</v>
      </c>
      <c r="W9" s="408">
        <f t="shared" ref="W9" si="32">W8/V8-1</f>
        <v>0.24387986011108875</v>
      </c>
      <c r="X9" s="408">
        <f t="shared" ref="X9" si="33">X8/W8-1</f>
        <v>7.5004784349860021E-2</v>
      </c>
      <c r="Y9" s="408">
        <f t="shared" ref="Y9" si="34">Y8/X8-1</f>
        <v>9.0212915945377281E-2</v>
      </c>
      <c r="Z9" s="408">
        <f t="shared" ref="Z9" si="35">Z8/Y8-1</f>
        <v>8.9408200435703522E-2</v>
      </c>
      <c r="AA9" s="408">
        <f t="shared" ref="AA9" si="36">AA8/Z8-1</f>
        <v>8.9631041259238264E-2</v>
      </c>
    </row>
    <row r="10" spans="1:35" x14ac:dyDescent="0.5"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276</v>
      </c>
      <c r="N10" t="s">
        <v>277</v>
      </c>
      <c r="O10" t="s">
        <v>278</v>
      </c>
      <c r="P10" t="s">
        <v>279</v>
      </c>
      <c r="Q10" t="s">
        <v>280</v>
      </c>
      <c r="R10" t="s">
        <v>281</v>
      </c>
    </row>
    <row r="11" spans="1:35" x14ac:dyDescent="0.5">
      <c r="B11" t="s">
        <v>201</v>
      </c>
      <c r="C11" s="407">
        <f>MODEL!Z131</f>
        <v>1222.0999999999999</v>
      </c>
      <c r="D11" s="407">
        <f>MODEL!AE131</f>
        <v>1792.1</v>
      </c>
      <c r="E11" s="407">
        <f>MODEL!AJ131</f>
        <v>2318.3000000000002</v>
      </c>
      <c r="F11" s="407">
        <f>MODEL!AO131</f>
        <v>3014.0000000000009</v>
      </c>
      <c r="G11" s="407">
        <f>MODEL!AT131</f>
        <v>3502.1257876243671</v>
      </c>
      <c r="H11" s="407">
        <f>MODEL!AU131</f>
        <v>4158.5242387608378</v>
      </c>
      <c r="I11" s="407">
        <f>MODEL!AV131</f>
        <v>4842.1171337411024</v>
      </c>
      <c r="J11" s="407">
        <f>MODEL!AW131</f>
        <v>5605.1580626327104</v>
      </c>
      <c r="K11" s="407">
        <f>MODEL!AX131</f>
        <v>6409.7687110668503</v>
      </c>
      <c r="L11" s="407">
        <f>MODEL!AY131</f>
        <v>7162.9126976088155</v>
      </c>
      <c r="M11" s="407">
        <f>Valuation!N49</f>
        <v>7879.2039673696972</v>
      </c>
      <c r="N11" s="407">
        <f>Valuation!O49</f>
        <v>8667.1243641066685</v>
      </c>
      <c r="O11" s="407">
        <f>Valuation!P49</f>
        <v>9447.165556876269</v>
      </c>
      <c r="P11" s="407">
        <f>Valuation!Q49</f>
        <v>10297.410456995134</v>
      </c>
      <c r="Q11" s="407">
        <f>Valuation!R49</f>
        <v>11224.177398124697</v>
      </c>
      <c r="R11" s="407">
        <f>Valuation!S49</f>
        <v>12122.111589974673</v>
      </c>
      <c r="S11" s="406"/>
    </row>
    <row r="12" spans="1:35" x14ac:dyDescent="0.5">
      <c r="D12" s="408">
        <f>D11/C11-1</f>
        <v>0.46641027739137564</v>
      </c>
      <c r="E12" s="408">
        <f t="shared" ref="E12:R12" si="37">E11/D11-1</f>
        <v>0.29362200770046321</v>
      </c>
      <c r="F12" s="408">
        <f t="shared" si="37"/>
        <v>0.30009058361730601</v>
      </c>
      <c r="G12" s="408">
        <f t="shared" si="37"/>
        <v>0.16195281606647849</v>
      </c>
      <c r="H12" s="408">
        <f t="shared" si="37"/>
        <v>0.18742857651087741</v>
      </c>
      <c r="I12" s="408">
        <f t="shared" si="37"/>
        <v>0.16438353024580721</v>
      </c>
      <c r="J12" s="408">
        <f t="shared" si="37"/>
        <v>0.1575841533395681</v>
      </c>
      <c r="K12" s="408">
        <f t="shared" si="37"/>
        <v>0.14354825313458131</v>
      </c>
      <c r="L12" s="408">
        <f t="shared" si="37"/>
        <v>0.11749940138114767</v>
      </c>
      <c r="M12" s="408">
        <f t="shared" si="37"/>
        <v>0.10000000000000009</v>
      </c>
      <c r="N12" s="408">
        <f t="shared" si="37"/>
        <v>0.10000000000000009</v>
      </c>
      <c r="O12" s="408">
        <f t="shared" si="37"/>
        <v>9.000000000000008E-2</v>
      </c>
      <c r="P12" s="408">
        <f t="shared" si="37"/>
        <v>9.000000000000008E-2</v>
      </c>
      <c r="Q12" s="408">
        <f t="shared" si="37"/>
        <v>9.000000000000008E-2</v>
      </c>
      <c r="R12" s="408">
        <f t="shared" si="37"/>
        <v>8.0000000000000071E-2</v>
      </c>
    </row>
    <row r="13" spans="1:35" x14ac:dyDescent="0.5">
      <c r="C13">
        <v>1988</v>
      </c>
      <c r="D13">
        <f>C13+1</f>
        <v>1989</v>
      </c>
      <c r="E13">
        <f t="shared" ref="E13:AI13" si="38">D13+1</f>
        <v>1990</v>
      </c>
      <c r="F13">
        <f t="shared" si="38"/>
        <v>1991</v>
      </c>
      <c r="G13">
        <f t="shared" si="38"/>
        <v>1992</v>
      </c>
      <c r="H13">
        <f t="shared" si="38"/>
        <v>1993</v>
      </c>
      <c r="I13">
        <f t="shared" si="38"/>
        <v>1994</v>
      </c>
      <c r="J13">
        <f t="shared" si="38"/>
        <v>1995</v>
      </c>
      <c r="K13">
        <f t="shared" si="38"/>
        <v>1996</v>
      </c>
      <c r="L13">
        <f t="shared" si="38"/>
        <v>1997</v>
      </c>
      <c r="M13">
        <f t="shared" si="38"/>
        <v>1998</v>
      </c>
      <c r="N13">
        <f t="shared" si="38"/>
        <v>1999</v>
      </c>
      <c r="O13">
        <f t="shared" si="38"/>
        <v>2000</v>
      </c>
      <c r="P13">
        <f t="shared" si="38"/>
        <v>2001</v>
      </c>
      <c r="Q13">
        <f t="shared" si="38"/>
        <v>2002</v>
      </c>
      <c r="R13">
        <f t="shared" si="38"/>
        <v>2003</v>
      </c>
      <c r="S13">
        <f t="shared" si="38"/>
        <v>2004</v>
      </c>
      <c r="T13">
        <f t="shared" si="38"/>
        <v>2005</v>
      </c>
      <c r="U13">
        <f t="shared" si="38"/>
        <v>2006</v>
      </c>
      <c r="V13">
        <f t="shared" si="38"/>
        <v>2007</v>
      </c>
      <c r="W13">
        <f t="shared" si="38"/>
        <v>2008</v>
      </c>
      <c r="X13">
        <f t="shared" si="38"/>
        <v>2009</v>
      </c>
      <c r="Y13">
        <f t="shared" si="38"/>
        <v>2010</v>
      </c>
      <c r="Z13">
        <f t="shared" si="38"/>
        <v>2011</v>
      </c>
      <c r="AA13">
        <f t="shared" si="38"/>
        <v>2012</v>
      </c>
      <c r="AB13">
        <f t="shared" si="38"/>
        <v>2013</v>
      </c>
      <c r="AC13">
        <f t="shared" si="38"/>
        <v>2014</v>
      </c>
      <c r="AD13">
        <f t="shared" si="38"/>
        <v>2015</v>
      </c>
      <c r="AE13">
        <f t="shared" si="38"/>
        <v>2016</v>
      </c>
      <c r="AF13">
        <f t="shared" si="38"/>
        <v>2017</v>
      </c>
      <c r="AG13">
        <f t="shared" si="38"/>
        <v>2018</v>
      </c>
      <c r="AH13">
        <f t="shared" si="38"/>
        <v>2019</v>
      </c>
      <c r="AI13">
        <f t="shared" si="38"/>
        <v>2020</v>
      </c>
    </row>
    <row r="14" spans="1:35" x14ac:dyDescent="0.5">
      <c r="B14" t="s">
        <v>252</v>
      </c>
      <c r="C14">
        <v>1203</v>
      </c>
      <c r="D14">
        <v>1711</v>
      </c>
      <c r="E14">
        <v>2235</v>
      </c>
      <c r="F14">
        <v>3004</v>
      </c>
      <c r="G14">
        <v>3405</v>
      </c>
      <c r="H14">
        <v>3931</v>
      </c>
      <c r="I14">
        <v>3790</v>
      </c>
      <c r="J14">
        <v>4761</v>
      </c>
      <c r="K14">
        <v>6471</v>
      </c>
      <c r="L14">
        <v>9187</v>
      </c>
      <c r="M14">
        <v>9553</v>
      </c>
      <c r="N14">
        <v>8777</v>
      </c>
      <c r="O14">
        <v>8995</v>
      </c>
      <c r="P14">
        <v>9489</v>
      </c>
      <c r="Q14">
        <v>9893</v>
      </c>
      <c r="R14">
        <v>10697</v>
      </c>
      <c r="S14">
        <v>12253</v>
      </c>
      <c r="T14">
        <v>13740</v>
      </c>
      <c r="U14">
        <v>14955</v>
      </c>
      <c r="V14">
        <v>16326</v>
      </c>
      <c r="W14">
        <v>18627</v>
      </c>
      <c r="X14">
        <v>19176</v>
      </c>
    </row>
    <row r="17" spans="2:24" x14ac:dyDescent="0.5">
      <c r="B17" t="s">
        <v>441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  <c r="J17" t="s">
        <v>78</v>
      </c>
      <c r="K17" t="s">
        <v>79</v>
      </c>
      <c r="L17" t="s">
        <v>80</v>
      </c>
      <c r="M17" t="s">
        <v>276</v>
      </c>
      <c r="N17" t="s">
        <v>277</v>
      </c>
      <c r="O17" t="s">
        <v>278</v>
      </c>
      <c r="P17" t="s">
        <v>279</v>
      </c>
      <c r="Q17" t="s">
        <v>280</v>
      </c>
      <c r="R17" t="s">
        <v>281</v>
      </c>
    </row>
    <row r="18" spans="2:24" x14ac:dyDescent="0.5">
      <c r="B18" t="s">
        <v>201</v>
      </c>
      <c r="C18" s="431">
        <f>C11*1.06</f>
        <v>1295.4259999999999</v>
      </c>
      <c r="D18" s="431">
        <f t="shared" ref="D18:R18" si="39">D11*1.06</f>
        <v>1899.626</v>
      </c>
      <c r="E18" s="431">
        <f t="shared" si="39"/>
        <v>2457.3980000000001</v>
      </c>
      <c r="F18" s="431">
        <f t="shared" si="39"/>
        <v>3194.8400000000011</v>
      </c>
      <c r="G18" s="431">
        <f t="shared" si="39"/>
        <v>3712.2533348818292</v>
      </c>
      <c r="H18" s="431">
        <f t="shared" si="39"/>
        <v>4408.0356930864882</v>
      </c>
      <c r="I18" s="431">
        <f t="shared" si="39"/>
        <v>5132.6441617655692</v>
      </c>
      <c r="J18" s="431">
        <f t="shared" si="39"/>
        <v>5941.4675463906733</v>
      </c>
      <c r="K18" s="431">
        <f t="shared" si="39"/>
        <v>6794.3548337308621</v>
      </c>
      <c r="L18" s="431">
        <f t="shared" si="39"/>
        <v>7592.6874594653445</v>
      </c>
      <c r="M18" s="431">
        <f t="shared" si="39"/>
        <v>8351.9562054118796</v>
      </c>
      <c r="N18" s="431">
        <f t="shared" si="39"/>
        <v>9187.1518259530694</v>
      </c>
      <c r="O18" s="431">
        <f t="shared" si="39"/>
        <v>10013.995490288846</v>
      </c>
      <c r="P18" s="431">
        <f t="shared" si="39"/>
        <v>10915.255084414843</v>
      </c>
      <c r="Q18" s="431">
        <f t="shared" si="39"/>
        <v>11897.62804201218</v>
      </c>
      <c r="R18" s="431">
        <f t="shared" si="39"/>
        <v>12849.438285373153</v>
      </c>
    </row>
    <row r="19" spans="2:24" x14ac:dyDescent="0.5">
      <c r="B19" t="s">
        <v>414</v>
      </c>
      <c r="C19" s="431">
        <f>L8*1.04</f>
        <v>3129.3225600000001</v>
      </c>
      <c r="D19" s="431">
        <f t="shared" ref="D19:R19" si="40">M8*1.04</f>
        <v>3401.5488000000005</v>
      </c>
      <c r="E19" s="431">
        <f t="shared" si="40"/>
        <v>3104.6080000000002</v>
      </c>
      <c r="F19" s="431">
        <f t="shared" si="40"/>
        <v>3090.9007999999999</v>
      </c>
      <c r="G19" s="431">
        <f t="shared" si="40"/>
        <v>3522.8960000000002</v>
      </c>
      <c r="H19" s="431">
        <f t="shared" si="40"/>
        <v>3771.8720000000003</v>
      </c>
      <c r="I19" s="431">
        <f t="shared" si="40"/>
        <v>4301.3360000000011</v>
      </c>
      <c r="J19" s="431">
        <f t="shared" si="40"/>
        <v>4834.3360000000002</v>
      </c>
      <c r="K19" s="431">
        <f t="shared" si="40"/>
        <v>5722.2879999999968</v>
      </c>
      <c r="L19" s="431">
        <f t="shared" si="40"/>
        <v>5443.7760000000007</v>
      </c>
      <c r="M19" s="431">
        <f t="shared" si="40"/>
        <v>7077.6159999999991</v>
      </c>
      <c r="N19" s="431">
        <f t="shared" si="40"/>
        <v>8803.7040000000034</v>
      </c>
      <c r="O19" s="431">
        <f t="shared" si="40"/>
        <v>9464.0239200000033</v>
      </c>
      <c r="P19" s="431">
        <f t="shared" si="40"/>
        <v>10317.801114400005</v>
      </c>
      <c r="Q19" s="431">
        <f t="shared" si="40"/>
        <v>11240.297144492004</v>
      </c>
      <c r="R19" s="431">
        <f t="shared" si="40"/>
        <v>12247.776681616064</v>
      </c>
    </row>
    <row r="20" spans="2:24" x14ac:dyDescent="0.5">
      <c r="B20" t="s">
        <v>413</v>
      </c>
      <c r="C20">
        <f t="shared" ref="C20:P20" si="41">C5</f>
        <v>1000.8389999999999</v>
      </c>
      <c r="D20">
        <f t="shared" si="41"/>
        <v>1370.3579999999999</v>
      </c>
      <c r="E20">
        <f t="shared" si="41"/>
        <v>1591.1880000000001</v>
      </c>
      <c r="F20">
        <f t="shared" si="41"/>
        <v>1797.213</v>
      </c>
      <c r="G20">
        <f t="shared" si="41"/>
        <v>2060.5230000000001</v>
      </c>
      <c r="H20">
        <f t="shared" si="41"/>
        <v>2344.3919999999998</v>
      </c>
      <c r="I20">
        <f t="shared" si="41"/>
        <v>2649.181</v>
      </c>
      <c r="J20">
        <f t="shared" si="41"/>
        <v>3288.319</v>
      </c>
      <c r="K20">
        <f t="shared" si="41"/>
        <v>3979.2959999999998</v>
      </c>
      <c r="L20">
        <f t="shared" si="41"/>
        <v>4401.88</v>
      </c>
      <c r="M20">
        <f t="shared" si="41"/>
        <v>6256.6170000000002</v>
      </c>
      <c r="N20">
        <f t="shared" si="41"/>
        <v>8110.5</v>
      </c>
      <c r="O20">
        <f t="shared" si="41"/>
        <v>9494.2999999999993</v>
      </c>
      <c r="P20">
        <f t="shared" si="41"/>
        <v>10891.2</v>
      </c>
    </row>
    <row r="21" spans="2:24" x14ac:dyDescent="0.5">
      <c r="B21" t="s">
        <v>416</v>
      </c>
      <c r="C21">
        <f>C14</f>
        <v>1203</v>
      </c>
      <c r="D21">
        <f t="shared" ref="D21:X21" si="42">D14</f>
        <v>1711</v>
      </c>
      <c r="E21">
        <f t="shared" si="42"/>
        <v>2235</v>
      </c>
      <c r="F21">
        <f t="shared" si="42"/>
        <v>3004</v>
      </c>
      <c r="G21">
        <f t="shared" si="42"/>
        <v>3405</v>
      </c>
      <c r="H21">
        <f t="shared" si="42"/>
        <v>3931</v>
      </c>
      <c r="I21">
        <f t="shared" si="42"/>
        <v>3790</v>
      </c>
      <c r="J21">
        <f t="shared" si="42"/>
        <v>4761</v>
      </c>
      <c r="K21">
        <f t="shared" si="42"/>
        <v>6471</v>
      </c>
      <c r="L21">
        <f t="shared" si="42"/>
        <v>9187</v>
      </c>
      <c r="M21">
        <f t="shared" si="42"/>
        <v>9553</v>
      </c>
      <c r="N21">
        <f t="shared" si="42"/>
        <v>8777</v>
      </c>
      <c r="O21">
        <f t="shared" si="42"/>
        <v>8995</v>
      </c>
      <c r="P21">
        <f t="shared" si="42"/>
        <v>9489</v>
      </c>
      <c r="Q21">
        <f t="shared" si="42"/>
        <v>9893</v>
      </c>
      <c r="R21">
        <f t="shared" si="42"/>
        <v>10697</v>
      </c>
      <c r="S21">
        <f t="shared" si="42"/>
        <v>12253</v>
      </c>
      <c r="T21">
        <f t="shared" si="42"/>
        <v>13740</v>
      </c>
      <c r="U21">
        <f t="shared" si="42"/>
        <v>14955</v>
      </c>
      <c r="V21">
        <f t="shared" si="42"/>
        <v>16326</v>
      </c>
      <c r="W21">
        <f t="shared" si="42"/>
        <v>18627</v>
      </c>
      <c r="X21">
        <f t="shared" si="42"/>
        <v>19176</v>
      </c>
    </row>
    <row r="39" spans="2:6" x14ac:dyDescent="0.5">
      <c r="C39" t="s">
        <v>71</v>
      </c>
      <c r="D39" t="s">
        <v>72</v>
      </c>
      <c r="E39" t="s">
        <v>73</v>
      </c>
    </row>
    <row r="40" spans="2:6" x14ac:dyDescent="0.5">
      <c r="B40" t="s">
        <v>201</v>
      </c>
      <c r="C40" s="407">
        <f>C18</f>
        <v>1295.4259999999999</v>
      </c>
      <c r="D40" s="407">
        <f>D18</f>
        <v>1899.626</v>
      </c>
      <c r="E40" s="407">
        <f t="shared" ref="E40" si="43">E18</f>
        <v>2457.3980000000001</v>
      </c>
      <c r="F40">
        <f>C40/C41</f>
        <v>0.15303138769772354</v>
      </c>
    </row>
    <row r="41" spans="2:6" x14ac:dyDescent="0.5">
      <c r="B41" t="s">
        <v>257</v>
      </c>
      <c r="C41" s="407">
        <f>W8</f>
        <v>8465.1000000000022</v>
      </c>
      <c r="D41" s="407">
        <f t="shared" ref="D41:E41" si="44">X8</f>
        <v>9100.0230000000029</v>
      </c>
      <c r="E41" s="407">
        <f t="shared" si="44"/>
        <v>9920.9626100000041</v>
      </c>
      <c r="F41">
        <f>C40/C42</f>
        <v>0.15972208865051477</v>
      </c>
    </row>
    <row r="42" spans="2:6" x14ac:dyDescent="0.5">
      <c r="B42" t="s">
        <v>415</v>
      </c>
      <c r="C42" s="407">
        <f>N5</f>
        <v>8110.5</v>
      </c>
      <c r="D42" s="407">
        <f t="shared" ref="D42:E42" si="45">O5</f>
        <v>9494.2999999999993</v>
      </c>
      <c r="E42" s="407">
        <f t="shared" si="45"/>
        <v>10891.2</v>
      </c>
    </row>
  </sheetData>
  <pageMargins left="0.7" right="0.7" top="0.75" bottom="0.75" header="0.3" footer="0.3"/>
  <pageSetup paperSize="0" orientation="portrait" r:id="rId1"/>
  <customProperties>
    <customPr name="Qube.Worksheet.Visibility" r:id="rId2"/>
  </customPropertie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BI66"/>
  <sheetViews>
    <sheetView showGridLines="0" zoomScaleNormal="100" workbookViewId="0">
      <pane xSplit="2" topLeftCell="AF1" activePane="topRight" state="frozen"/>
      <selection pane="topRight" activeCell="AI5" sqref="AI5"/>
    </sheetView>
  </sheetViews>
  <sheetFormatPr defaultColWidth="9" defaultRowHeight="14.25" x14ac:dyDescent="0.45"/>
  <cols>
    <col min="1" max="1" width="9" style="255"/>
    <col min="2" max="2" width="17.625" style="255" bestFit="1" customWidth="1"/>
    <col min="3" max="3" width="10.25" style="255" customWidth="1"/>
    <col min="4" max="7" width="7.625" style="255" customWidth="1"/>
    <col min="8" max="9" width="9.625" style="255" customWidth="1"/>
    <col min="10" max="10" width="10.375" style="255" customWidth="1"/>
    <col min="11" max="18" width="9.375" style="255" customWidth="1"/>
    <col min="19" max="24" width="8.75" style="255" customWidth="1"/>
    <col min="25" max="25" width="12.25" style="255" customWidth="1"/>
    <col min="26" max="26" width="10.75" style="255" customWidth="1"/>
    <col min="27" max="27" width="14" style="255" customWidth="1"/>
    <col min="28" max="31" width="9.125" style="255" customWidth="1"/>
    <col min="32" max="16384" width="9" style="255"/>
  </cols>
  <sheetData>
    <row r="2" spans="1:61" ht="27" customHeight="1" x14ac:dyDescent="0.45">
      <c r="A2" s="630" t="s">
        <v>288</v>
      </c>
      <c r="B2" s="628" t="s">
        <v>294</v>
      </c>
      <c r="C2" s="631" t="s">
        <v>295</v>
      </c>
      <c r="D2" s="633" t="s">
        <v>308</v>
      </c>
      <c r="E2" s="626" t="s">
        <v>403</v>
      </c>
      <c r="F2" s="626" t="s">
        <v>290</v>
      </c>
      <c r="G2" s="626" t="s">
        <v>399</v>
      </c>
      <c r="H2" s="394" t="s">
        <v>409</v>
      </c>
      <c r="I2" s="256" t="s">
        <v>408</v>
      </c>
      <c r="J2" s="256" t="s">
        <v>407</v>
      </c>
      <c r="K2" s="256" t="s">
        <v>410</v>
      </c>
      <c r="L2" s="628" t="s">
        <v>394</v>
      </c>
      <c r="M2" s="629"/>
      <c r="N2" s="629"/>
      <c r="O2" s="629"/>
      <c r="P2" s="384"/>
      <c r="Q2" s="635" t="s">
        <v>394</v>
      </c>
      <c r="R2" s="636"/>
      <c r="S2" s="636"/>
      <c r="T2" s="636"/>
      <c r="AG2" s="287" t="s">
        <v>287</v>
      </c>
      <c r="AH2" s="287" t="s">
        <v>287</v>
      </c>
      <c r="AI2" s="287" t="s">
        <v>287</v>
      </c>
      <c r="AJ2" s="287" t="s">
        <v>287</v>
      </c>
      <c r="AK2" s="287" t="s">
        <v>287</v>
      </c>
      <c r="AL2" s="287" t="s">
        <v>287</v>
      </c>
      <c r="AM2" s="287" t="s">
        <v>287</v>
      </c>
      <c r="AN2" s="287" t="s">
        <v>287</v>
      </c>
      <c r="AO2" s="287" t="s">
        <v>287</v>
      </c>
      <c r="AQ2" s="287" t="s">
        <v>390</v>
      </c>
      <c r="AR2" s="287" t="s">
        <v>390</v>
      </c>
      <c r="AS2" s="287" t="s">
        <v>390</v>
      </c>
      <c r="AT2" s="287" t="s">
        <v>390</v>
      </c>
      <c r="AU2" s="287" t="s">
        <v>390</v>
      </c>
      <c r="AV2" s="287" t="s">
        <v>390</v>
      </c>
      <c r="AW2" s="287" t="s">
        <v>390</v>
      </c>
      <c r="AX2" s="287" t="s">
        <v>390</v>
      </c>
      <c r="AY2" s="287" t="s">
        <v>390</v>
      </c>
      <c r="BA2" s="287" t="s">
        <v>382</v>
      </c>
      <c r="BB2" s="287" t="s">
        <v>382</v>
      </c>
      <c r="BC2" s="287" t="s">
        <v>382</v>
      </c>
      <c r="BD2" s="287" t="s">
        <v>382</v>
      </c>
      <c r="BE2" s="287" t="s">
        <v>382</v>
      </c>
      <c r="BF2" s="287" t="s">
        <v>382</v>
      </c>
      <c r="BG2" s="287" t="s">
        <v>382</v>
      </c>
      <c r="BH2" s="287" t="s">
        <v>382</v>
      </c>
    </row>
    <row r="3" spans="1:61" ht="27" customHeight="1" x14ac:dyDescent="0.45">
      <c r="A3" s="630"/>
      <c r="B3" s="628"/>
      <c r="C3" s="632"/>
      <c r="D3" s="634"/>
      <c r="E3" s="627"/>
      <c r="F3" s="627"/>
      <c r="G3" s="627"/>
      <c r="H3" s="395" t="s">
        <v>396</v>
      </c>
      <c r="I3" s="257" t="s">
        <v>396</v>
      </c>
      <c r="J3" s="257" t="s">
        <v>396</v>
      </c>
      <c r="K3" s="257" t="s">
        <v>396</v>
      </c>
      <c r="L3" s="287" t="s">
        <v>309</v>
      </c>
      <c r="M3" s="288" t="s">
        <v>310</v>
      </c>
      <c r="N3" s="288" t="s">
        <v>311</v>
      </c>
      <c r="O3" s="288" t="s">
        <v>312</v>
      </c>
      <c r="P3" s="288" t="s">
        <v>395</v>
      </c>
      <c r="Q3" s="258" t="s">
        <v>250</v>
      </c>
      <c r="R3" s="259" t="s">
        <v>251</v>
      </c>
      <c r="S3" s="259" t="s">
        <v>263</v>
      </c>
      <c r="T3" s="259" t="s">
        <v>396</v>
      </c>
      <c r="AG3" s="287">
        <v>2019</v>
      </c>
      <c r="AH3" s="287">
        <f>AG3+1</f>
        <v>2020</v>
      </c>
      <c r="AI3" s="287">
        <f t="shared" ref="AI3:AO3" si="0">AH3+1</f>
        <v>2021</v>
      </c>
      <c r="AJ3" s="287">
        <f t="shared" si="0"/>
        <v>2022</v>
      </c>
      <c r="AK3" s="287">
        <f t="shared" si="0"/>
        <v>2023</v>
      </c>
      <c r="AL3" s="287">
        <f t="shared" si="0"/>
        <v>2024</v>
      </c>
      <c r="AM3" s="287">
        <f t="shared" si="0"/>
        <v>2025</v>
      </c>
      <c r="AN3" s="287">
        <f t="shared" si="0"/>
        <v>2026</v>
      </c>
      <c r="AO3" s="287">
        <f t="shared" si="0"/>
        <v>2027</v>
      </c>
      <c r="AQ3" s="287">
        <v>2019</v>
      </c>
      <c r="AR3" s="287">
        <f>AQ3+1</f>
        <v>2020</v>
      </c>
      <c r="AS3" s="287">
        <f t="shared" ref="AS3:AY3" si="1">AR3+1</f>
        <v>2021</v>
      </c>
      <c r="AT3" s="287">
        <f t="shared" si="1"/>
        <v>2022</v>
      </c>
      <c r="AU3" s="287">
        <f t="shared" si="1"/>
        <v>2023</v>
      </c>
      <c r="AV3" s="287">
        <f t="shared" si="1"/>
        <v>2024</v>
      </c>
      <c r="AW3" s="287">
        <f t="shared" si="1"/>
        <v>2025</v>
      </c>
      <c r="AX3" s="287">
        <f t="shared" si="1"/>
        <v>2026</v>
      </c>
      <c r="AY3" s="287">
        <f t="shared" si="1"/>
        <v>2027</v>
      </c>
      <c r="BA3" s="287">
        <v>2019</v>
      </c>
      <c r="BB3" s="287">
        <f>BA3+1</f>
        <v>2020</v>
      </c>
      <c r="BC3" s="287">
        <f t="shared" ref="BC3:BI3" si="2">BB3+1</f>
        <v>2021</v>
      </c>
      <c r="BD3" s="287">
        <f t="shared" si="2"/>
        <v>2022</v>
      </c>
      <c r="BE3" s="287">
        <f t="shared" si="2"/>
        <v>2023</v>
      </c>
      <c r="BF3" s="287">
        <f t="shared" si="2"/>
        <v>2024</v>
      </c>
      <c r="BG3" s="287">
        <f t="shared" si="2"/>
        <v>2025</v>
      </c>
      <c r="BH3" s="287">
        <f t="shared" si="2"/>
        <v>2026</v>
      </c>
      <c r="BI3" s="287">
        <f t="shared" si="2"/>
        <v>2027</v>
      </c>
    </row>
    <row r="4" spans="1:61" x14ac:dyDescent="0.45">
      <c r="A4" s="260" t="s">
        <v>261</v>
      </c>
      <c r="B4" s="7" t="s">
        <v>252</v>
      </c>
      <c r="C4" s="261" t="s">
        <v>375</v>
      </c>
      <c r="D4" s="286">
        <v>5</v>
      </c>
      <c r="E4" s="263">
        <f>_xll.QueryTool.Functions.GQPrice($A4, "", "", "Reporting")</f>
        <v>0</v>
      </c>
      <c r="F4" s="262" t="s">
        <v>400</v>
      </c>
      <c r="G4" s="396" t="s">
        <v>400</v>
      </c>
      <c r="H4" s="381" t="e">
        <f>(5/12)*#REF!+(7/12)*#REF!</f>
        <v>#REF!</v>
      </c>
      <c r="I4" s="264" t="e">
        <f t="shared" ref="I4:I11" si="3">H4*E4</f>
        <v>#REF!</v>
      </c>
      <c r="J4" s="265" t="e">
        <f>(5/12)*#REF!+(7/12)*#REF!</f>
        <v>#REF!</v>
      </c>
      <c r="K4" s="399" t="e">
        <f>I4+J4</f>
        <v>#REF!</v>
      </c>
      <c r="L4" s="264" t="e">
        <f>#REF!</f>
        <v>#REF!</v>
      </c>
      <c r="M4" s="264" t="e">
        <f>#REF!</f>
        <v>#REF!</v>
      </c>
      <c r="N4" s="264" t="e">
        <f>#REF!</f>
        <v>#REF!</v>
      </c>
      <c r="O4" s="264" t="e">
        <f>#REF!</f>
        <v>#REF!</v>
      </c>
      <c r="P4" s="264" t="e">
        <f>#REF!</f>
        <v>#REF!</v>
      </c>
      <c r="Q4" s="264" t="e">
        <f>(($D4/12)*L4+(1-$D4/12)*M4)</f>
        <v>#REF!</v>
      </c>
      <c r="R4" s="264" t="e">
        <f>(($D4/12)*M4+(1-$D4/12)*N4)</f>
        <v>#REF!</v>
      </c>
      <c r="S4" s="264" t="e">
        <f>(($D4/12)*N4+(1-$D4/12)*O4)</f>
        <v>#REF!</v>
      </c>
      <c r="T4" s="264" t="e">
        <f>(($D4/12)*O4+(1-$D4/12)*P4)</f>
        <v>#REF!</v>
      </c>
      <c r="U4" s="255" t="s">
        <v>364</v>
      </c>
      <c r="V4" s="261">
        <f>_xll.QueryTool.Functions.GQ($A4, "LAST_UPDATE_DATE", "", "", "Analyst")</f>
        <v>0</v>
      </c>
      <c r="AC4" s="260"/>
      <c r="AD4" s="260"/>
      <c r="AE4" s="260"/>
      <c r="AG4" s="262">
        <f>_xll.QueryTool.Functions.GQ($A4, AG$2,AG$3, "Default", "Analyst")</f>
        <v>0</v>
      </c>
      <c r="AH4" s="262">
        <f>_xll.QueryTool.Functions.GQ($A4, AH$2,AH$3, "Default", "Analyst")</f>
        <v>0</v>
      </c>
      <c r="AI4" s="262">
        <f>_xll.QueryTool.Functions.GQ($A4, AI$2,AI$3, "Default", "Analyst")</f>
        <v>0</v>
      </c>
      <c r="AJ4" s="262">
        <f>_xll.QueryTool.Functions.GQ($A4, AJ$2,AJ$3, "Default", "Analyst")</f>
        <v>0</v>
      </c>
      <c r="AK4" s="262">
        <f>_xll.QueryTool.Functions.GQ($A4, AK$2,AK$3, "Default", "Analyst")</f>
        <v>0</v>
      </c>
      <c r="AL4" s="262">
        <f>_xll.QueryTool.Functions.GQ($A4, AL$2,AL$3, "Default", "Analyst")</f>
        <v>0</v>
      </c>
      <c r="AM4" s="262">
        <f>_xll.QueryTool.Functions.GQ($A4, AM$2,AM$3, "Default", "Analyst")</f>
        <v>0</v>
      </c>
      <c r="AN4" s="262">
        <f>_xll.QueryTool.Functions.GQ($A4, AN$2,AN$3, "Default", "Analyst")</f>
        <v>0</v>
      </c>
      <c r="AO4" s="262">
        <f>_xll.QueryTool.Functions.GQ($A4, AO$2,AO$3, "Default", "Analyst")</f>
        <v>0</v>
      </c>
      <c r="AQ4" s="262">
        <f>_xll.QueryTool.Functions.GQ($A4, AQ$2,AQ$3, "Default", "Analyst")</f>
        <v>0</v>
      </c>
      <c r="AR4" s="262">
        <f>_xll.QueryTool.Functions.GQ($A4, AR$2,AR$3, "Default", "Analyst")</f>
        <v>0</v>
      </c>
      <c r="AS4" s="262">
        <f>_xll.QueryTool.Functions.GQ($A4, AS$2,AS$3, "Default", "Analyst")</f>
        <v>0</v>
      </c>
      <c r="AT4" s="262">
        <f>_xll.QueryTool.Functions.GQ($A4, AT$2,AT$3, "Default", "Analyst")</f>
        <v>0</v>
      </c>
      <c r="AU4" s="262">
        <f>_xll.QueryTool.Functions.GQ($A4, AU$2,AU$3, "Default", "Analyst")</f>
        <v>0</v>
      </c>
      <c r="AV4" s="262">
        <f>_xll.QueryTool.Functions.GQ($A4, AV$2,AV$3, "Default", "Analyst")</f>
        <v>0</v>
      </c>
      <c r="AW4" s="262">
        <f>_xll.QueryTool.Functions.GQ($A4, AW$2,AW$3, "Default", "Analyst")</f>
        <v>0</v>
      </c>
      <c r="AX4" s="262">
        <f>_xll.QueryTool.Functions.GQ($A4, AX$2,AX$3, "Default", "Analyst")</f>
        <v>0</v>
      </c>
      <c r="AY4" s="262">
        <f>_xll.QueryTool.Functions.GQ($A4, AY$2,AY$3, "Default", "Analyst")</f>
        <v>0</v>
      </c>
      <c r="BA4" s="391" t="e">
        <f>AQ4/AG4</f>
        <v>#DIV/0!</v>
      </c>
      <c r="BB4" s="391" t="e">
        <f t="shared" ref="BB4:BG4" si="4">AR4/AH4</f>
        <v>#DIV/0!</v>
      </c>
      <c r="BC4" s="391" t="e">
        <f t="shared" si="4"/>
        <v>#DIV/0!</v>
      </c>
      <c r="BD4" s="391" t="e">
        <f t="shared" si="4"/>
        <v>#DIV/0!</v>
      </c>
      <c r="BE4" s="391" t="e">
        <f t="shared" si="4"/>
        <v>#DIV/0!</v>
      </c>
      <c r="BF4" s="391" t="e">
        <f t="shared" si="4"/>
        <v>#DIV/0!</v>
      </c>
      <c r="BG4" s="391" t="e">
        <f t="shared" si="4"/>
        <v>#DIV/0!</v>
      </c>
      <c r="BH4" s="391"/>
      <c r="BI4" s="391"/>
    </row>
    <row r="5" spans="1:61" x14ac:dyDescent="0.45">
      <c r="A5" s="7" t="s">
        <v>253</v>
      </c>
      <c r="B5" s="7" t="s">
        <v>262</v>
      </c>
      <c r="C5" s="261" t="s">
        <v>376</v>
      </c>
      <c r="D5" s="286">
        <v>1</v>
      </c>
      <c r="E5" s="263">
        <f>_xll.QueryTool.Functions.GQPrice($A5, "", "", "Reporting")</f>
        <v>0</v>
      </c>
      <c r="F5" s="262" t="s">
        <v>400</v>
      </c>
      <c r="G5" s="396" t="s">
        <v>400</v>
      </c>
      <c r="H5" s="381">
        <f>(1/12)*'[14]4. Summary Model'!$BO$44+(11/12)*'[14]4. Summary Model'!$BT$44</f>
        <v>124.94329757148964</v>
      </c>
      <c r="I5" s="264">
        <f t="shared" si="3"/>
        <v>0</v>
      </c>
      <c r="J5" s="265">
        <f>(1/12)*'[14]4. Summary Model'!$BO$56+(11/12)*'[14]4. Summary Model'!$BT$56</f>
        <v>-1330.634299028676</v>
      </c>
      <c r="K5" s="400">
        <f t="shared" ref="K5:K12" si="5">I5+J5</f>
        <v>-1330.634299028676</v>
      </c>
      <c r="L5" s="294">
        <f>'[14]2. Consolidated'!$CJ$77</f>
        <v>1598.9550000000002</v>
      </c>
      <c r="M5" s="294">
        <f>'[14]2. Consolidated'!$CO$77</f>
        <v>2080.86</v>
      </c>
      <c r="N5" s="294">
        <f>'[14]2. Consolidated'!$CT$77</f>
        <v>2495.6904754466691</v>
      </c>
      <c r="O5" s="294">
        <f>'[14]2. Consolidated'!$CY$77</f>
        <v>2895.6746132638195</v>
      </c>
      <c r="P5" s="392"/>
      <c r="Q5" s="264"/>
      <c r="R5" s="264">
        <f>(($D5/12)*L5+(1-$D5/12)*M5)</f>
        <v>2040.7012499999998</v>
      </c>
      <c r="S5" s="264">
        <f t="shared" ref="S5:T5" si="6">(($D5/12)*M5+(1-$D5/12)*N5)</f>
        <v>2461.1212691594469</v>
      </c>
      <c r="T5" s="264">
        <f t="shared" si="6"/>
        <v>2862.3426017790571</v>
      </c>
      <c r="U5" s="255" t="s">
        <v>364</v>
      </c>
      <c r="V5" s="261">
        <f>_xll.QueryTool.Functions.GQ($A5, "LAST_UPDATE_DATE", "", "", "Analyst")</f>
        <v>0</v>
      </c>
      <c r="AC5" s="260"/>
      <c r="AD5" s="260"/>
      <c r="AE5" s="260"/>
      <c r="AG5" s="262">
        <f>_xll.QueryTool.Functions.GQ($A5, AG$2,AG$3, "Default", "Analyst")</f>
        <v>0</v>
      </c>
      <c r="AH5" s="262">
        <f>_xll.QueryTool.Functions.GQ($A5, AH$2,AH$3, "Default", "Analyst")</f>
        <v>0</v>
      </c>
      <c r="AI5" s="262">
        <f>_xll.QueryTool.Functions.GQ($A5, AI$2,AI$3, "Default", "Analyst")</f>
        <v>0</v>
      </c>
      <c r="AJ5" s="262">
        <f>_xll.QueryTool.Functions.GQ($A5, AJ$2,AJ$3, "Default", "Analyst")</f>
        <v>0</v>
      </c>
      <c r="AK5" s="262">
        <f>_xll.QueryTool.Functions.GQ($A5, AK$2,AK$3, "Default", "Analyst")</f>
        <v>0</v>
      </c>
      <c r="AL5" s="262">
        <f>_xll.QueryTool.Functions.GQ($A5, AL$2,AL$3, "Default", "Analyst")</f>
        <v>0</v>
      </c>
      <c r="AM5" s="262">
        <f>_xll.QueryTool.Functions.GQ($A5, AM$2,AM$3, "Default", "Analyst")</f>
        <v>0</v>
      </c>
      <c r="AN5" s="262">
        <f>_xll.QueryTool.Functions.GQ($A5, AN$2,AN$3, "Default", "Analyst")</f>
        <v>0</v>
      </c>
      <c r="AO5" s="262">
        <f>_xll.QueryTool.Functions.GQ($A5, AO$2,AO$3, "Default", "Analyst")</f>
        <v>0</v>
      </c>
      <c r="AQ5" s="262">
        <f>_xll.QueryTool.Functions.GQ($A5, AQ$2,AQ$3, "Default", "Analyst")</f>
        <v>0</v>
      </c>
      <c r="AR5" s="262">
        <f>_xll.QueryTool.Functions.GQ($A5, AR$2,AR$3, "Default", "Analyst")</f>
        <v>0</v>
      </c>
      <c r="AS5" s="262">
        <f>_xll.QueryTool.Functions.GQ($A5, AS$2,AS$3, "Default", "Analyst")</f>
        <v>0</v>
      </c>
      <c r="AT5" s="262">
        <f>_xll.QueryTool.Functions.GQ($A5, AT$2,AT$3, "Default", "Analyst")</f>
        <v>0</v>
      </c>
      <c r="AU5" s="262">
        <f>_xll.QueryTool.Functions.GQ($A5, AU$2,AU$3, "Default", "Analyst")</f>
        <v>0</v>
      </c>
      <c r="AV5" s="262">
        <f>_xll.QueryTool.Functions.GQ($A5, AV$2,AV$3, "Default", "Analyst")</f>
        <v>0</v>
      </c>
      <c r="AW5" s="262">
        <f>_xll.QueryTool.Functions.GQ($A5, AW$2,AW$3, "Default", "Analyst")</f>
        <v>0</v>
      </c>
      <c r="AX5" s="262">
        <f>_xll.QueryTool.Functions.GQ($A5, AX$2,AX$3, "Default", "Analyst")</f>
        <v>0</v>
      </c>
      <c r="AY5" s="262">
        <f>_xll.QueryTool.Functions.GQ($A5, AY$2,AY$3, "Default", "Analyst")</f>
        <v>0</v>
      </c>
      <c r="BA5" s="391" t="e">
        <f t="shared" ref="BA5:BA11" si="7">AQ5/AG5</f>
        <v>#DIV/0!</v>
      </c>
      <c r="BB5" s="391" t="e">
        <f t="shared" ref="BB5:BB11" si="8">AR5/AH5</f>
        <v>#DIV/0!</v>
      </c>
      <c r="BC5" s="391" t="e">
        <f t="shared" ref="BC5:BC11" si="9">AS5/AI5</f>
        <v>#DIV/0!</v>
      </c>
      <c r="BD5" s="391" t="e">
        <f t="shared" ref="BD5:BD11" si="10">AT5/AJ5</f>
        <v>#DIV/0!</v>
      </c>
      <c r="BE5" s="391" t="e">
        <f t="shared" ref="BE5:BE11" si="11">AU5/AK5</f>
        <v>#DIV/0!</v>
      </c>
      <c r="BF5" s="391" t="e">
        <f t="shared" ref="BF5:BF11" si="12">AV5/AL5</f>
        <v>#DIV/0!</v>
      </c>
      <c r="BG5" s="391" t="e">
        <f t="shared" ref="BG5:BG11" si="13">AW5/AM5</f>
        <v>#DIV/0!</v>
      </c>
      <c r="BH5" s="391"/>
      <c r="BI5" s="391"/>
    </row>
    <row r="6" spans="1:61" x14ac:dyDescent="0.45">
      <c r="A6" s="7" t="s">
        <v>254</v>
      </c>
      <c r="B6" s="102" t="s">
        <v>255</v>
      </c>
      <c r="C6" s="261" t="s">
        <v>377</v>
      </c>
      <c r="D6" s="286">
        <v>12</v>
      </c>
      <c r="E6" s="263">
        <f>_xll.QueryTool.Functions.GQPrice($A6, "", "", "Reporting")</f>
        <v>0</v>
      </c>
      <c r="F6" s="393" t="s">
        <v>401</v>
      </c>
      <c r="G6" s="397" t="s">
        <v>401</v>
      </c>
      <c r="H6" s="382">
        <f>'[15]Profit and Loss'!$AE$407</f>
        <v>178.5</v>
      </c>
      <c r="I6" s="264">
        <f t="shared" si="3"/>
        <v>0</v>
      </c>
      <c r="J6" s="265">
        <f>'[15]Balance Sheet &amp; Cash Flow'!$AF$137</f>
        <v>1407.4572200612038</v>
      </c>
      <c r="K6" s="400">
        <f t="shared" si="5"/>
        <v>1407.4572200612038</v>
      </c>
      <c r="L6" s="290" t="s">
        <v>296</v>
      </c>
      <c r="M6" s="290" t="s">
        <v>296</v>
      </c>
      <c r="N6" s="290" t="s">
        <v>296</v>
      </c>
      <c r="O6" s="290" t="s">
        <v>296</v>
      </c>
      <c r="P6" s="291" t="s">
        <v>296</v>
      </c>
      <c r="Q6" s="264">
        <f>'[15]Stat Ab'!$N$13</f>
        <v>2563</v>
      </c>
      <c r="R6" s="264">
        <f>'[15]Stat Ab'!$N$14</f>
        <v>1413</v>
      </c>
      <c r="S6" s="264">
        <f>'[15]Stat Ab'!$N$15</f>
        <v>434.0013507235825</v>
      </c>
      <c r="T6" s="264">
        <f>'[15]Stat Ab'!$N$16</f>
        <v>1774.3077664129428</v>
      </c>
      <c r="V6" s="261">
        <f>_xll.QueryTool.Functions.GQ($A6, "LAST_UPDATE_DATE", "", "", "Analyst")</f>
        <v>0</v>
      </c>
      <c r="AC6" s="260"/>
      <c r="AD6" s="260"/>
      <c r="AE6" s="260"/>
      <c r="AG6" s="262">
        <f>_xll.QueryTool.Functions.GQ($A6, AG$2,AG$3, "Default", "Analyst")</f>
        <v>0</v>
      </c>
      <c r="AH6" s="262">
        <f>_xll.QueryTool.Functions.GQ($A6, AH$2,AH$3, "Default", "Analyst")</f>
        <v>0</v>
      </c>
      <c r="AI6" s="262">
        <f>_xll.QueryTool.Functions.GQ($A6, AI$2,AI$3, "Default", "Analyst")</f>
        <v>0</v>
      </c>
      <c r="AJ6" s="262">
        <f>_xll.QueryTool.Functions.GQ($A6, AJ$2,AJ$3, "Default", "Analyst")</f>
        <v>0</v>
      </c>
      <c r="AK6" s="262">
        <f>_xll.QueryTool.Functions.GQ($A6, AK$2,AK$3, "Default", "Analyst")</f>
        <v>0</v>
      </c>
      <c r="AL6" s="262">
        <f>_xll.QueryTool.Functions.GQ($A6, AL$2,AL$3, "Default", "Analyst")</f>
        <v>0</v>
      </c>
      <c r="AM6" s="262">
        <f>_xll.QueryTool.Functions.GQ($A6, AM$2,AM$3, "Default", "Analyst")</f>
        <v>0</v>
      </c>
      <c r="AN6" s="262">
        <f>_xll.QueryTool.Functions.GQ($A6, AN$2,AN$3, "Default", "Analyst")</f>
        <v>0</v>
      </c>
      <c r="AO6" s="262">
        <f>_xll.QueryTool.Functions.GQ($A6, AO$2,AO$3, "Default", "Analyst")</f>
        <v>0</v>
      </c>
      <c r="AQ6" s="262">
        <f>_xll.QueryTool.Functions.GQ($A6, AQ$2,AQ$3, "Default", "Analyst")</f>
        <v>0</v>
      </c>
      <c r="AR6" s="262">
        <f>_xll.QueryTool.Functions.GQ($A6, AR$2,AR$3, "Default", "Analyst")</f>
        <v>0</v>
      </c>
      <c r="AS6" s="262">
        <f>_xll.QueryTool.Functions.GQ($A6, AS$2,AS$3, "Default", "Analyst")</f>
        <v>0</v>
      </c>
      <c r="AT6" s="262">
        <f>_xll.QueryTool.Functions.GQ($A6, AT$2,AT$3, "Default", "Analyst")</f>
        <v>0</v>
      </c>
      <c r="AU6" s="262">
        <f>_xll.QueryTool.Functions.GQ($A6, AU$2,AU$3, "Default", "Analyst")</f>
        <v>0</v>
      </c>
      <c r="AV6" s="262">
        <f>_xll.QueryTool.Functions.GQ($A6, AV$2,AV$3, "Default", "Analyst")</f>
        <v>0</v>
      </c>
      <c r="AW6" s="262">
        <f>_xll.QueryTool.Functions.GQ($A6, AW$2,AW$3, "Default", "Analyst")</f>
        <v>0</v>
      </c>
      <c r="AX6" s="262">
        <f>_xll.QueryTool.Functions.GQ($A6, AX$2,AX$3, "Default", "Analyst")</f>
        <v>0</v>
      </c>
      <c r="AY6" s="262">
        <f>_xll.QueryTool.Functions.GQ($A6, AY$2,AY$3, "Default", "Analyst")</f>
        <v>0</v>
      </c>
      <c r="BA6" s="391" t="e">
        <f t="shared" si="7"/>
        <v>#DIV/0!</v>
      </c>
      <c r="BB6" s="391" t="e">
        <f t="shared" si="8"/>
        <v>#DIV/0!</v>
      </c>
      <c r="BC6" s="391" t="e">
        <f t="shared" si="9"/>
        <v>#DIV/0!</v>
      </c>
      <c r="BD6" s="391" t="e">
        <f t="shared" si="10"/>
        <v>#DIV/0!</v>
      </c>
      <c r="BE6" s="391" t="e">
        <f t="shared" si="11"/>
        <v>#DIV/0!</v>
      </c>
      <c r="BF6" s="391" t="e">
        <f t="shared" si="12"/>
        <v>#DIV/0!</v>
      </c>
      <c r="BG6" s="391" t="e">
        <f t="shared" si="13"/>
        <v>#DIV/0!</v>
      </c>
      <c r="BH6" s="391" t="e">
        <f t="shared" ref="BH6:BI11" si="14">AX6/AN6</f>
        <v>#DIV/0!</v>
      </c>
      <c r="BI6" s="391" t="e">
        <f t="shared" si="14"/>
        <v>#DIV/0!</v>
      </c>
    </row>
    <row r="7" spans="1:61" x14ac:dyDescent="0.45">
      <c r="A7" s="7" t="s">
        <v>256</v>
      </c>
      <c r="B7" s="102" t="s">
        <v>257</v>
      </c>
      <c r="C7" s="261" t="s">
        <v>377</v>
      </c>
      <c r="D7" s="286">
        <v>12</v>
      </c>
      <c r="E7" s="263">
        <f>_xll.QueryTool.Functions.GQPrice($A7, "", "", "Reporting")</f>
        <v>0</v>
      </c>
      <c r="F7" s="393" t="s">
        <v>401</v>
      </c>
      <c r="G7" s="397" t="s">
        <v>401</v>
      </c>
      <c r="H7" s="382">
        <f>'[13]P&amp;L'!$AF$196</f>
        <v>149.61000000000001</v>
      </c>
      <c r="I7" s="264">
        <f t="shared" si="3"/>
        <v>0</v>
      </c>
      <c r="J7" s="265">
        <f>'[13]Balance Sheet &amp; Cash Flow'!$AG$167</f>
        <v>-874.87589084030571</v>
      </c>
      <c r="K7" s="400">
        <f t="shared" si="5"/>
        <v>-874.87589084030571</v>
      </c>
      <c r="L7" s="290" t="s">
        <v>296</v>
      </c>
      <c r="M7" s="290" t="s">
        <v>296</v>
      </c>
      <c r="N7" s="290" t="s">
        <v>296</v>
      </c>
      <c r="O7" s="290" t="s">
        <v>296</v>
      </c>
      <c r="P7" s="291" t="s">
        <v>296</v>
      </c>
      <c r="Q7" s="264">
        <f>'[13]Stat Ab'!$N$13</f>
        <v>565.29421216674439</v>
      </c>
      <c r="R7" s="264">
        <f>'[13]Stat Ab'!$N$14</f>
        <v>652.4948385576248</v>
      </c>
      <c r="S7" s="264">
        <f>'[13]Stat Ab'!$N$15</f>
        <v>725.43209478663766</v>
      </c>
      <c r="T7" s="264">
        <f>'[13]Stat Ab'!$N$16</f>
        <v>898.88863524935141</v>
      </c>
      <c r="V7" s="261">
        <f>_xll.QueryTool.Functions.GQ($A7, "LAST_UPDATE_DATE", "", "", "Analyst")</f>
        <v>0</v>
      </c>
      <c r="AC7" s="260"/>
      <c r="AD7" s="260"/>
      <c r="AE7" s="260"/>
      <c r="AG7" s="262">
        <f>_xll.QueryTool.Functions.GQ($A7, AG$2,AG$3, "Default", "Analyst")</f>
        <v>0</v>
      </c>
      <c r="AH7" s="262">
        <f>_xll.QueryTool.Functions.GQ($A7, AH$2,AH$3, "Default", "Analyst")</f>
        <v>0</v>
      </c>
      <c r="AI7" s="262">
        <f>_xll.QueryTool.Functions.GQ($A7, AI$2,AI$3, "Default", "Analyst")</f>
        <v>0</v>
      </c>
      <c r="AJ7" s="262">
        <f>_xll.QueryTool.Functions.GQ($A7, AJ$2,AJ$3, "Default", "Analyst")</f>
        <v>0</v>
      </c>
      <c r="AK7" s="262">
        <f>_xll.QueryTool.Functions.GQ($A7, AK$2,AK$3, "Default", "Analyst")</f>
        <v>0</v>
      </c>
      <c r="AL7" s="262">
        <f>_xll.QueryTool.Functions.GQ($A7, AL$2,AL$3, "Default", "Analyst")</f>
        <v>0</v>
      </c>
      <c r="AM7" s="262">
        <f>_xll.QueryTool.Functions.GQ($A7, AM$2,AM$3, "Default", "Analyst")</f>
        <v>0</v>
      </c>
      <c r="AN7" s="262">
        <f>_xll.QueryTool.Functions.GQ($A7, AN$2,AN$3, "Default", "Analyst")</f>
        <v>0</v>
      </c>
      <c r="AO7" s="262">
        <f>_xll.QueryTool.Functions.GQ($A7, AO$2,AO$3, "Default", "Analyst")</f>
        <v>0</v>
      </c>
      <c r="AQ7" s="262">
        <f>_xll.QueryTool.Functions.GQ($A7, AQ$2,AQ$3, "Default", "Analyst")</f>
        <v>0</v>
      </c>
      <c r="AR7" s="262">
        <f>_xll.QueryTool.Functions.GQ($A7, AR$2,AR$3, "Default", "Analyst")</f>
        <v>0</v>
      </c>
      <c r="AS7" s="262">
        <f>_xll.QueryTool.Functions.GQ($A7, AS$2,AS$3, "Default", "Analyst")</f>
        <v>0</v>
      </c>
      <c r="AT7" s="262">
        <f>_xll.QueryTool.Functions.GQ($A7, AT$2,AT$3, "Default", "Analyst")</f>
        <v>0</v>
      </c>
      <c r="AU7" s="262">
        <f>_xll.QueryTool.Functions.GQ($A7, AU$2,AU$3, "Default", "Analyst")</f>
        <v>0</v>
      </c>
      <c r="AV7" s="262">
        <f>_xll.QueryTool.Functions.GQ($A7, AV$2,AV$3, "Default", "Analyst")</f>
        <v>0</v>
      </c>
      <c r="AW7" s="262">
        <f>_xll.QueryTool.Functions.GQ($A7, AW$2,AW$3, "Default", "Analyst")</f>
        <v>0</v>
      </c>
      <c r="AX7" s="262">
        <f>_xll.QueryTool.Functions.GQ($A7, AX$2,AX$3, "Default", "Analyst")</f>
        <v>0</v>
      </c>
      <c r="AY7" s="262">
        <f>_xll.QueryTool.Functions.GQ($A7, AY$2,AY$3, "Default", "Analyst")</f>
        <v>0</v>
      </c>
      <c r="BA7" s="391" t="e">
        <f t="shared" si="7"/>
        <v>#DIV/0!</v>
      </c>
      <c r="BB7" s="391" t="e">
        <f t="shared" si="8"/>
        <v>#DIV/0!</v>
      </c>
      <c r="BC7" s="391" t="e">
        <f t="shared" si="9"/>
        <v>#DIV/0!</v>
      </c>
      <c r="BD7" s="391" t="e">
        <f t="shared" si="10"/>
        <v>#DIV/0!</v>
      </c>
      <c r="BE7" s="391" t="e">
        <f t="shared" si="11"/>
        <v>#DIV/0!</v>
      </c>
      <c r="BF7" s="391" t="e">
        <f t="shared" si="12"/>
        <v>#DIV/0!</v>
      </c>
      <c r="BG7" s="391" t="e">
        <f t="shared" si="13"/>
        <v>#DIV/0!</v>
      </c>
      <c r="BH7" s="391" t="e">
        <f t="shared" si="14"/>
        <v>#DIV/0!</v>
      </c>
      <c r="BI7" s="391" t="e">
        <f t="shared" si="14"/>
        <v>#DIV/0!</v>
      </c>
    </row>
    <row r="8" spans="1:61" x14ac:dyDescent="0.45">
      <c r="A8" s="7" t="s">
        <v>258</v>
      </c>
      <c r="B8" s="102" t="s">
        <v>259</v>
      </c>
      <c r="C8" s="261" t="s">
        <v>377</v>
      </c>
      <c r="D8" s="286">
        <v>12</v>
      </c>
      <c r="E8" s="263">
        <f>_xll.QueryTool.Functions.GQPrice($A8, "", "", "Reporting")</f>
        <v>0</v>
      </c>
      <c r="F8" s="255" t="s">
        <v>405</v>
      </c>
      <c r="G8" s="398" t="s">
        <v>406</v>
      </c>
      <c r="H8" s="382">
        <f>[16]Model!$AG$67</f>
        <v>2633.919586</v>
      </c>
      <c r="I8" s="264">
        <f t="shared" si="3"/>
        <v>0</v>
      </c>
      <c r="J8" s="265">
        <f>[16]Model!$AG$218</f>
        <v>-15410.295477677068</v>
      </c>
      <c r="K8" s="400">
        <f t="shared" si="5"/>
        <v>-15410.295477677068</v>
      </c>
      <c r="L8" s="290" t="s">
        <v>296</v>
      </c>
      <c r="M8" s="290" t="s">
        <v>296</v>
      </c>
      <c r="N8" s="290" t="s">
        <v>296</v>
      </c>
      <c r="O8" s="290" t="s">
        <v>296</v>
      </c>
      <c r="P8" s="291" t="s">
        <v>296</v>
      </c>
      <c r="Q8" s="264">
        <f>[16]Model!AD$23</f>
        <v>5366.2689999999984</v>
      </c>
      <c r="R8" s="264">
        <f>[16]Model!AE$23</f>
        <v>4863.1140000000005</v>
      </c>
      <c r="S8" s="264">
        <f>[16]Model!AF$23</f>
        <v>6034.1247493282171</v>
      </c>
      <c r="T8" s="264">
        <f>[16]Model!AG$23</f>
        <v>7657.8489863504383</v>
      </c>
      <c r="U8" s="255" t="s">
        <v>364</v>
      </c>
      <c r="V8" s="261">
        <f>_xll.QueryTool.Functions.GQ($A8, "LAST_UPDATE_DATE", "", "", "Analyst")</f>
        <v>0</v>
      </c>
      <c r="AC8" s="260"/>
      <c r="AD8" s="260"/>
      <c r="AE8" s="260"/>
      <c r="AG8" s="262">
        <f>_xll.QueryTool.Functions.GQ($A8, AG$2,AG$3, "Default", "Analyst")</f>
        <v>0</v>
      </c>
      <c r="AH8" s="262">
        <f>_xll.QueryTool.Functions.GQ($A8, AH$2,AH$3, "Default", "Analyst")</f>
        <v>0</v>
      </c>
      <c r="AI8" s="262">
        <f>_xll.QueryTool.Functions.GQ($A8, AI$2,AI$3, "Default", "Analyst")</f>
        <v>0</v>
      </c>
      <c r="AJ8" s="262">
        <f>_xll.QueryTool.Functions.GQ($A8, AJ$2,AJ$3, "Default", "Analyst")</f>
        <v>0</v>
      </c>
      <c r="AK8" s="262">
        <f>_xll.QueryTool.Functions.GQ($A8, AK$2,AK$3, "Default", "Analyst")</f>
        <v>0</v>
      </c>
      <c r="AL8" s="262">
        <f>_xll.QueryTool.Functions.GQ($A8, AL$2,AL$3, "Default", "Analyst")</f>
        <v>0</v>
      </c>
      <c r="AM8" s="262">
        <f>_xll.QueryTool.Functions.GQ($A8, AM$2,AM$3, "Default", "Analyst")</f>
        <v>0</v>
      </c>
      <c r="AN8" s="262">
        <f>_xll.QueryTool.Functions.GQ($A8, AN$2,AN$3, "Default", "Analyst")</f>
        <v>0</v>
      </c>
      <c r="AO8" s="262">
        <f>_xll.QueryTool.Functions.GQ($A8, AO$2,AO$3, "Default", "Analyst")</f>
        <v>0</v>
      </c>
      <c r="AQ8" s="262">
        <f>_xll.QueryTool.Functions.GQ($A8, AQ$2,AQ$3, "Default", "Analyst")</f>
        <v>0</v>
      </c>
      <c r="AR8" s="262">
        <f>_xll.QueryTool.Functions.GQ($A8, AR$2,AR$3, "Default", "Analyst")</f>
        <v>0</v>
      </c>
      <c r="AS8" s="262">
        <f>_xll.QueryTool.Functions.GQ($A8, AS$2,AS$3, "Default", "Analyst")</f>
        <v>0</v>
      </c>
      <c r="AT8" s="262">
        <f>_xll.QueryTool.Functions.GQ($A8, AT$2,AT$3, "Default", "Analyst")</f>
        <v>0</v>
      </c>
      <c r="AU8" s="262">
        <f>_xll.QueryTool.Functions.GQ($A8, AU$2,AU$3, "Default", "Analyst")</f>
        <v>0</v>
      </c>
      <c r="AV8" s="262">
        <f>_xll.QueryTool.Functions.GQ($A8, AV$2,AV$3, "Default", "Analyst")</f>
        <v>0</v>
      </c>
      <c r="AW8" s="262">
        <f>_xll.QueryTool.Functions.GQ($A8, AW$2,AW$3, "Default", "Analyst")</f>
        <v>0</v>
      </c>
      <c r="AX8" s="262">
        <f>_xll.QueryTool.Functions.GQ($A8, AX$2,AX$3, "Default", "Analyst")</f>
        <v>0</v>
      </c>
      <c r="AY8" s="262">
        <f>_xll.QueryTool.Functions.GQ($A8, AY$2,AY$3, "Default", "Analyst")</f>
        <v>0</v>
      </c>
      <c r="BA8" s="391" t="e">
        <f t="shared" si="7"/>
        <v>#DIV/0!</v>
      </c>
      <c r="BB8" s="391" t="e">
        <f t="shared" si="8"/>
        <v>#DIV/0!</v>
      </c>
      <c r="BC8" s="391" t="e">
        <f t="shared" si="9"/>
        <v>#DIV/0!</v>
      </c>
      <c r="BD8" s="391" t="e">
        <f t="shared" si="10"/>
        <v>#DIV/0!</v>
      </c>
      <c r="BE8" s="391" t="e">
        <f t="shared" si="11"/>
        <v>#DIV/0!</v>
      </c>
      <c r="BF8" s="391" t="e">
        <f t="shared" si="12"/>
        <v>#DIV/0!</v>
      </c>
      <c r="BG8" s="391" t="e">
        <f t="shared" si="13"/>
        <v>#DIV/0!</v>
      </c>
      <c r="BH8" s="391" t="e">
        <f t="shared" si="14"/>
        <v>#DIV/0!</v>
      </c>
      <c r="BI8" s="391" t="e">
        <f t="shared" si="14"/>
        <v>#DIV/0!</v>
      </c>
    </row>
    <row r="9" spans="1:61" x14ac:dyDescent="0.45">
      <c r="A9" s="7" t="s">
        <v>260</v>
      </c>
      <c r="B9" s="102" t="s">
        <v>324</v>
      </c>
      <c r="C9" s="261" t="s">
        <v>377</v>
      </c>
      <c r="D9" s="286">
        <v>12</v>
      </c>
      <c r="E9" s="263">
        <f>_xll.QueryTool.Functions.GQPrice($A9, "", "", "Reporting")</f>
        <v>0</v>
      </c>
      <c r="F9" s="255" t="s">
        <v>405</v>
      </c>
      <c r="G9" s="398" t="s">
        <v>406</v>
      </c>
      <c r="H9" s="382">
        <f>[17]Model!$AF$68</f>
        <v>2900.0079999999998</v>
      </c>
      <c r="I9" s="264">
        <f t="shared" si="3"/>
        <v>0</v>
      </c>
      <c r="J9" s="265">
        <f>[17]Model!$AF$225</f>
        <v>15.950691371240008</v>
      </c>
      <c r="K9" s="400">
        <f t="shared" si="5"/>
        <v>15.950691371240008</v>
      </c>
      <c r="L9" s="290" t="s">
        <v>296</v>
      </c>
      <c r="M9" s="290" t="s">
        <v>296</v>
      </c>
      <c r="N9" s="290" t="s">
        <v>296</v>
      </c>
      <c r="O9" s="290" t="s">
        <v>296</v>
      </c>
      <c r="P9" s="291" t="s">
        <v>296</v>
      </c>
      <c r="Q9" s="264">
        <f>[17]Model!AC$23</f>
        <v>12989</v>
      </c>
      <c r="R9" s="264">
        <f>[17]Model!AD$23</f>
        <v>13566</v>
      </c>
      <c r="S9" s="264">
        <f>[17]Model!AE$23</f>
        <v>17264.663728266536</v>
      </c>
      <c r="T9" s="264">
        <f>[17]Model!AF$23</f>
        <v>19986.123002509947</v>
      </c>
      <c r="U9" s="255" t="s">
        <v>364</v>
      </c>
      <c r="V9" s="261">
        <f>_xll.QueryTool.Functions.GQ($A9, "LAST_UPDATE_DATE", "", "", "Analyst")</f>
        <v>0</v>
      </c>
      <c r="AC9" s="260"/>
      <c r="AD9" s="260"/>
      <c r="AE9" s="260"/>
      <c r="AG9" s="262">
        <f>_xll.QueryTool.Functions.GQ($A9, AG$2,AG$3, "Default", "Analyst")</f>
        <v>0</v>
      </c>
      <c r="AH9" s="262">
        <f>_xll.QueryTool.Functions.GQ($A9, AH$2,AH$3, "Default", "Analyst")</f>
        <v>0</v>
      </c>
      <c r="AI9" s="262">
        <f>_xll.QueryTool.Functions.GQ($A9, AI$2,AI$3, "Default", "Analyst")</f>
        <v>0</v>
      </c>
      <c r="AJ9" s="262">
        <f>_xll.QueryTool.Functions.GQ($A9, AJ$2,AJ$3, "Default", "Analyst")</f>
        <v>0</v>
      </c>
      <c r="AK9" s="262">
        <f>_xll.QueryTool.Functions.GQ($A9, AK$2,AK$3, "Default", "Analyst")</f>
        <v>0</v>
      </c>
      <c r="AL9" s="262">
        <f>_xll.QueryTool.Functions.GQ($A9, AL$2,AL$3, "Default", "Analyst")</f>
        <v>0</v>
      </c>
      <c r="AM9" s="262">
        <f>_xll.QueryTool.Functions.GQ($A9, AM$2,AM$3, "Default", "Analyst")</f>
        <v>0</v>
      </c>
      <c r="AN9" s="262">
        <f>_xll.QueryTool.Functions.GQ($A9, AN$2,AN$3, "Default", "Analyst")</f>
        <v>0</v>
      </c>
      <c r="AO9" s="262">
        <f>_xll.QueryTool.Functions.GQ($A9, AO$2,AO$3, "Default", "Analyst")</f>
        <v>0</v>
      </c>
      <c r="AQ9" s="262">
        <f>_xll.QueryTool.Functions.GQ($A9, AQ$2,AQ$3, "Default", "Analyst")</f>
        <v>0</v>
      </c>
      <c r="AR9" s="262">
        <f>_xll.QueryTool.Functions.GQ($A9, AR$2,AR$3, "Default", "Analyst")</f>
        <v>0</v>
      </c>
      <c r="AS9" s="262">
        <f>_xll.QueryTool.Functions.GQ($A9, AS$2,AS$3, "Default", "Analyst")</f>
        <v>0</v>
      </c>
      <c r="AT9" s="262">
        <f>_xll.QueryTool.Functions.GQ($A9, AT$2,AT$3, "Default", "Analyst")</f>
        <v>0</v>
      </c>
      <c r="AU9" s="262">
        <f>_xll.QueryTool.Functions.GQ($A9, AU$2,AU$3, "Default", "Analyst")</f>
        <v>0</v>
      </c>
      <c r="AV9" s="262">
        <f>_xll.QueryTool.Functions.GQ($A9, AV$2,AV$3, "Default", "Analyst")</f>
        <v>0</v>
      </c>
      <c r="AW9" s="262">
        <f>_xll.QueryTool.Functions.GQ($A9, AW$2,AW$3, "Default", "Analyst")</f>
        <v>0</v>
      </c>
      <c r="AX9" s="262">
        <f>_xll.QueryTool.Functions.GQ($A9, AX$2,AX$3, "Default", "Analyst")</f>
        <v>0</v>
      </c>
      <c r="AY9" s="262">
        <f>_xll.QueryTool.Functions.GQ($A9, AY$2,AY$3, "Default", "Analyst")</f>
        <v>0</v>
      </c>
      <c r="BA9" s="391" t="e">
        <f t="shared" si="7"/>
        <v>#DIV/0!</v>
      </c>
      <c r="BB9" s="391" t="e">
        <f t="shared" si="8"/>
        <v>#DIV/0!</v>
      </c>
      <c r="BC9" s="391" t="e">
        <f t="shared" si="9"/>
        <v>#DIV/0!</v>
      </c>
      <c r="BD9" s="391" t="e">
        <f t="shared" si="10"/>
        <v>#DIV/0!</v>
      </c>
      <c r="BE9" s="391" t="e">
        <f t="shared" si="11"/>
        <v>#DIV/0!</v>
      </c>
      <c r="BF9" s="391" t="e">
        <f t="shared" si="12"/>
        <v>#DIV/0!</v>
      </c>
      <c r="BG9" s="391" t="e">
        <f t="shared" si="13"/>
        <v>#DIV/0!</v>
      </c>
      <c r="BH9" s="391" t="e">
        <f t="shared" si="14"/>
        <v>#DIV/0!</v>
      </c>
      <c r="BI9" s="391" t="e">
        <f t="shared" si="14"/>
        <v>#DIV/0!</v>
      </c>
    </row>
    <row r="10" spans="1:61" x14ac:dyDescent="0.45">
      <c r="A10" s="7" t="s">
        <v>264</v>
      </c>
      <c r="B10" s="102" t="s">
        <v>265</v>
      </c>
      <c r="C10" s="261" t="s">
        <v>377</v>
      </c>
      <c r="D10" s="286">
        <v>12</v>
      </c>
      <c r="E10" s="263">
        <f>_xll.QueryTool.Functions.GQPrice($A10, "", "", "Reporting")</f>
        <v>0</v>
      </c>
      <c r="F10" s="255" t="s">
        <v>404</v>
      </c>
      <c r="G10" s="398" t="s">
        <v>404</v>
      </c>
      <c r="H10" s="382">
        <f>[18]Model!$AF$68</f>
        <v>183.12154696132598</v>
      </c>
      <c r="I10" s="264">
        <f t="shared" si="3"/>
        <v>0</v>
      </c>
      <c r="J10" s="265">
        <f>[18]Model!$AF$131</f>
        <v>5287.3321653013991</v>
      </c>
      <c r="K10" s="400">
        <f t="shared" si="5"/>
        <v>5287.3321653013991</v>
      </c>
      <c r="L10" s="290" t="s">
        <v>296</v>
      </c>
      <c r="M10" s="290" t="s">
        <v>296</v>
      </c>
      <c r="N10" s="290" t="s">
        <v>296</v>
      </c>
      <c r="O10" s="290" t="s">
        <v>296</v>
      </c>
      <c r="P10" s="291" t="s">
        <v>296</v>
      </c>
      <c r="Q10" s="264">
        <f>[18]Model!AC$27</f>
        <v>36146</v>
      </c>
      <c r="R10" s="264">
        <f>[18]Model!AD$27</f>
        <v>50501</v>
      </c>
      <c r="S10" s="264">
        <f>[18]Model!AE$27</f>
        <v>61400</v>
      </c>
      <c r="T10" s="264">
        <f>[18]Model!AF$27</f>
        <v>67000</v>
      </c>
      <c r="U10" s="255" t="s">
        <v>364</v>
      </c>
      <c r="V10" s="261">
        <f>_xll.QueryTool.Functions.GQ($A10, "LAST_UPDATE_DATE", "", "", "Analyst")</f>
        <v>0</v>
      </c>
      <c r="AC10" s="260"/>
      <c r="AD10" s="260"/>
      <c r="AE10" s="260"/>
      <c r="AG10" s="262">
        <f>_xll.QueryTool.Functions.GQ($A10, AG$2,AG$3, "Default", "Analyst")</f>
        <v>0</v>
      </c>
      <c r="AH10" s="262">
        <f>_xll.QueryTool.Functions.GQ($A10, AH$2,AH$3, "Default", "Analyst")</f>
        <v>0</v>
      </c>
      <c r="AI10" s="262">
        <f>_xll.QueryTool.Functions.GQ($A10, AI$2,AI$3, "Default", "Analyst")</f>
        <v>0</v>
      </c>
      <c r="AJ10" s="262">
        <f>_xll.QueryTool.Functions.GQ($A10, AJ$2,AJ$3, "Default", "Analyst")</f>
        <v>0</v>
      </c>
      <c r="AK10" s="262">
        <f>_xll.QueryTool.Functions.GQ($A10, AK$2,AK$3, "Default", "Analyst")</f>
        <v>0</v>
      </c>
      <c r="AL10" s="262">
        <f>_xll.QueryTool.Functions.GQ($A10, AL$2,AL$3, "Default", "Analyst")</f>
        <v>0</v>
      </c>
      <c r="AM10" s="262">
        <f>_xll.QueryTool.Functions.GQ($A10, AM$2,AM$3, "Default", "Analyst")</f>
        <v>0</v>
      </c>
      <c r="AN10" s="262">
        <f>_xll.QueryTool.Functions.GQ($A10, AN$2,AN$3, "Default", "Analyst")</f>
        <v>0</v>
      </c>
      <c r="AO10" s="262">
        <f>_xll.QueryTool.Functions.GQ($A10, AO$2,AO$3, "Default", "Analyst")</f>
        <v>0</v>
      </c>
      <c r="AQ10" s="262">
        <f>_xll.QueryTool.Functions.GQ($A10, AQ$2,AQ$3, "Default", "Analyst")</f>
        <v>0</v>
      </c>
      <c r="AR10" s="262">
        <f>_xll.QueryTool.Functions.GQ($A10, AR$2,AR$3, "Default", "Analyst")</f>
        <v>0</v>
      </c>
      <c r="AS10" s="262">
        <f>_xll.QueryTool.Functions.GQ($A10, AS$2,AS$3, "Default", "Analyst")</f>
        <v>0</v>
      </c>
      <c r="AT10" s="262">
        <f>_xll.QueryTool.Functions.GQ($A10, AT$2,AT$3, "Default", "Analyst")</f>
        <v>0</v>
      </c>
      <c r="AU10" s="262">
        <f>_xll.QueryTool.Functions.GQ($A10, AU$2,AU$3, "Default", "Analyst")</f>
        <v>0</v>
      </c>
      <c r="AV10" s="262">
        <f>_xll.QueryTool.Functions.GQ($A10, AV$2,AV$3, "Default", "Analyst")</f>
        <v>0</v>
      </c>
      <c r="AW10" s="262">
        <f>_xll.QueryTool.Functions.GQ($A10, AW$2,AW$3, "Default", "Analyst")</f>
        <v>0</v>
      </c>
      <c r="AX10" s="262">
        <f>_xll.QueryTool.Functions.GQ($A10, AX$2,AX$3, "Default", "Analyst")</f>
        <v>0</v>
      </c>
      <c r="AY10" s="262">
        <f>_xll.QueryTool.Functions.GQ($A10, AY$2,AY$3, "Default", "Analyst")</f>
        <v>0</v>
      </c>
      <c r="BA10" s="391" t="e">
        <f t="shared" si="7"/>
        <v>#DIV/0!</v>
      </c>
      <c r="BB10" s="391" t="e">
        <f t="shared" si="8"/>
        <v>#DIV/0!</v>
      </c>
      <c r="BC10" s="391" t="e">
        <f t="shared" si="9"/>
        <v>#DIV/0!</v>
      </c>
      <c r="BD10" s="391" t="e">
        <f t="shared" si="10"/>
        <v>#DIV/0!</v>
      </c>
      <c r="BE10" s="391" t="e">
        <f t="shared" si="11"/>
        <v>#DIV/0!</v>
      </c>
      <c r="BF10" s="391" t="e">
        <f t="shared" si="12"/>
        <v>#DIV/0!</v>
      </c>
      <c r="BG10" s="391"/>
      <c r="BH10" s="391"/>
      <c r="BI10" s="391"/>
    </row>
    <row r="11" spans="1:61" x14ac:dyDescent="0.45">
      <c r="A11" s="7" t="s">
        <v>289</v>
      </c>
      <c r="B11" s="102" t="s">
        <v>286</v>
      </c>
      <c r="C11" s="261" t="s">
        <v>377</v>
      </c>
      <c r="D11" s="286">
        <v>12</v>
      </c>
      <c r="E11" s="263">
        <f>_xll.QueryTool.Functions.GQPrice($A11, "", "", "Reporting")</f>
        <v>0</v>
      </c>
      <c r="F11" s="262" t="s">
        <v>400</v>
      </c>
      <c r="G11" s="398" t="s">
        <v>267</v>
      </c>
      <c r="H11" s="381">
        <f>MODEL!Z174</f>
        <v>281.63027499999998</v>
      </c>
      <c r="I11" s="264">
        <f t="shared" si="3"/>
        <v>0</v>
      </c>
      <c r="J11" s="265">
        <f>-MODEL!AJ212</f>
        <v>-924.30412287033846</v>
      </c>
      <c r="K11" s="400">
        <f t="shared" si="5"/>
        <v>-924.30412287033846</v>
      </c>
      <c r="L11" s="290" t="s">
        <v>296</v>
      </c>
      <c r="M11" s="290" t="s">
        <v>296</v>
      </c>
      <c r="N11" s="290" t="s">
        <v>296</v>
      </c>
      <c r="O11" s="290" t="s">
        <v>296</v>
      </c>
      <c r="P11" s="291" t="s">
        <v>296</v>
      </c>
      <c r="Q11" s="264">
        <f>MODEL!U153</f>
        <v>96.385999999999996</v>
      </c>
      <c r="R11" s="264">
        <f>'Stat Ab'!C6</f>
        <v>116.10000000000012</v>
      </c>
      <c r="S11" s="264">
        <f>'Stat Ab'!C7</f>
        <v>213.10000000000008</v>
      </c>
      <c r="T11" s="264">
        <f>'Stat Ab'!C8</f>
        <v>249.62412287033834</v>
      </c>
      <c r="V11" s="261">
        <f>_xll.QueryTool.Functions.GQ($A11, "LAST_UPDATE_DATE", "", "", "Analyst")</f>
        <v>0</v>
      </c>
      <c r="AC11" s="260"/>
      <c r="AD11" s="260"/>
      <c r="AE11" s="260"/>
      <c r="AG11" s="262">
        <f>_xll.QueryTool.Functions.GQ($A11, AG$2,AG$3, "Default", "Analyst")</f>
        <v>0</v>
      </c>
      <c r="AH11" s="262">
        <f>_xll.QueryTool.Functions.GQ($A11, AH$2,AH$3, "Default", "Analyst")</f>
        <v>0</v>
      </c>
      <c r="AI11" s="262">
        <f>_xll.QueryTool.Functions.GQ($A11, AI$2,AI$3, "Default", "Analyst")</f>
        <v>0</v>
      </c>
      <c r="AJ11" s="262">
        <f>_xll.QueryTool.Functions.GQ($A11, AJ$2,AJ$3, "Default", "Analyst")</f>
        <v>0</v>
      </c>
      <c r="AK11" s="262">
        <f>_xll.QueryTool.Functions.GQ($A11, AK$2,AK$3, "Default", "Analyst")</f>
        <v>0</v>
      </c>
      <c r="AL11" s="262">
        <f>_xll.QueryTool.Functions.GQ($A11, AL$2,AL$3, "Default", "Analyst")</f>
        <v>0</v>
      </c>
      <c r="AM11" s="262">
        <f>_xll.QueryTool.Functions.GQ($A11, AM$2,AM$3, "Default", "Analyst")</f>
        <v>0</v>
      </c>
      <c r="AN11" s="262">
        <f>_xll.QueryTool.Functions.GQ($A11, AN$2,AN$3, "Default", "Analyst")</f>
        <v>0</v>
      </c>
      <c r="AO11" s="262">
        <f>_xll.QueryTool.Functions.GQ($A11, AO$2,AO$3, "Default", "Analyst")</f>
        <v>0</v>
      </c>
      <c r="AQ11" s="262">
        <f>_xll.QueryTool.Functions.GQ($A11, AQ$2,AQ$3, "Default", "Analyst")</f>
        <v>0</v>
      </c>
      <c r="AR11" s="262">
        <f>_xll.QueryTool.Functions.GQ($A11, AR$2,AR$3, "Default", "Analyst")</f>
        <v>0</v>
      </c>
      <c r="AS11" s="262">
        <f>_xll.QueryTool.Functions.GQ($A11, AS$2,AS$3, "Default", "Analyst")</f>
        <v>0</v>
      </c>
      <c r="AT11" s="262">
        <f>_xll.QueryTool.Functions.GQ($A11, AT$2,AT$3, "Default", "Analyst")</f>
        <v>0</v>
      </c>
      <c r="AU11" s="262">
        <f>_xll.QueryTool.Functions.GQ($A11, AU$2,AU$3, "Default", "Analyst")</f>
        <v>0</v>
      </c>
      <c r="AV11" s="262">
        <f>_xll.QueryTool.Functions.GQ($A11, AV$2,AV$3, "Default", "Analyst")</f>
        <v>0</v>
      </c>
      <c r="AW11" s="262">
        <f>_xll.QueryTool.Functions.GQ($A11, AW$2,AW$3, "Default", "Analyst")</f>
        <v>0</v>
      </c>
      <c r="AX11" s="262">
        <f>_xll.QueryTool.Functions.GQ($A11, AX$2,AX$3, "Default", "Analyst")</f>
        <v>0</v>
      </c>
      <c r="AY11" s="262">
        <f>_xll.QueryTool.Functions.GQ($A11, AY$2,AY$3, "Default", "Analyst")</f>
        <v>0</v>
      </c>
      <c r="BA11" s="391" t="e">
        <f t="shared" si="7"/>
        <v>#DIV/0!</v>
      </c>
      <c r="BB11" s="391" t="e">
        <f t="shared" si="8"/>
        <v>#DIV/0!</v>
      </c>
      <c r="BC11" s="391" t="e">
        <f t="shared" si="9"/>
        <v>#DIV/0!</v>
      </c>
      <c r="BD11" s="391" t="e">
        <f t="shared" si="10"/>
        <v>#DIV/0!</v>
      </c>
      <c r="BE11" s="391" t="e">
        <f t="shared" si="11"/>
        <v>#DIV/0!</v>
      </c>
      <c r="BF11" s="391" t="e">
        <f t="shared" si="12"/>
        <v>#DIV/0!</v>
      </c>
      <c r="BG11" s="391" t="e">
        <f t="shared" si="13"/>
        <v>#DIV/0!</v>
      </c>
      <c r="BH11" s="391" t="e">
        <f t="shared" si="14"/>
        <v>#DIV/0!</v>
      </c>
      <c r="BI11" s="391" t="e">
        <f t="shared" si="14"/>
        <v>#DIV/0!</v>
      </c>
    </row>
    <row r="12" spans="1:61" ht="15" customHeight="1" x14ac:dyDescent="0.45">
      <c r="A12" s="7" t="s">
        <v>469</v>
      </c>
      <c r="B12" s="378" t="s">
        <v>468</v>
      </c>
      <c r="C12" s="261" t="s">
        <v>376</v>
      </c>
      <c r="D12" s="260">
        <v>1</v>
      </c>
      <c r="E12" s="263">
        <f>_xll.QueryTool.Functions.GQPrice($A12, "", "", "Reporting")</f>
        <v>0</v>
      </c>
      <c r="F12" s="262" t="s">
        <v>470</v>
      </c>
      <c r="G12" s="398"/>
      <c r="H12" s="381">
        <f>[19]Valuation!$F$32</f>
        <v>0</v>
      </c>
      <c r="I12" s="264">
        <f>E12*H12/100</f>
        <v>0</v>
      </c>
      <c r="J12" s="265">
        <f>[19]Valuation!$F$29</f>
        <v>0</v>
      </c>
      <c r="K12" s="400">
        <f t="shared" si="5"/>
        <v>0</v>
      </c>
      <c r="L12" s="264">
        <f>[19]Model!$AH$204</f>
        <v>649.29999999999995</v>
      </c>
      <c r="M12" s="264">
        <f>[19]Model!$AK$204</f>
        <v>1250.1151582389348</v>
      </c>
      <c r="N12" s="264">
        <f>[19]Model!$AN$204</f>
        <v>1296.4000000000001</v>
      </c>
      <c r="O12" s="264">
        <f>[19]Model!$AQ$204</f>
        <v>1238</v>
      </c>
      <c r="P12" s="264">
        <f>[19]Model!$AR$204</f>
        <v>0</v>
      </c>
      <c r="Q12" s="264">
        <f t="shared" ref="Q12:S12" si="15">(($D12/12)*L12+(1-$D12/12)*M12)</f>
        <v>1200.0472283856902</v>
      </c>
      <c r="R12" s="264">
        <f t="shared" si="15"/>
        <v>1292.5429298532447</v>
      </c>
      <c r="S12" s="264">
        <f t="shared" si="15"/>
        <v>1242.8666666666666</v>
      </c>
      <c r="T12" s="264">
        <f>(($D12/12)*O12+(1-$D12/12)*P12)</f>
        <v>103.16666666666666</v>
      </c>
      <c r="X12" s="255" t="s">
        <v>402</v>
      </c>
      <c r="Y12" s="255" t="s">
        <v>402</v>
      </c>
      <c r="Z12" s="255" t="s">
        <v>402</v>
      </c>
      <c r="AA12" s="255" t="s">
        <v>402</v>
      </c>
      <c r="AB12" s="255" t="s">
        <v>402</v>
      </c>
    </row>
    <row r="13" spans="1:61" ht="15" customHeight="1" x14ac:dyDescent="0.45">
      <c r="A13" s="7"/>
      <c r="B13" s="7"/>
      <c r="C13" s="260"/>
      <c r="D13" s="260"/>
      <c r="E13" s="260"/>
      <c r="F13" s="262"/>
      <c r="G13" s="266"/>
      <c r="I13" s="379"/>
      <c r="J13" s="264"/>
      <c r="K13" s="264"/>
      <c r="L13" s="264"/>
      <c r="M13" s="264"/>
      <c r="N13" s="264"/>
      <c r="O13" s="264"/>
      <c r="P13" s="264"/>
      <c r="Q13" s="264"/>
    </row>
    <row r="14" spans="1:61" ht="15" customHeight="1" x14ac:dyDescent="0.45">
      <c r="A14" s="7"/>
      <c r="B14" s="7"/>
      <c r="C14" s="260"/>
      <c r="D14" s="260"/>
      <c r="E14" s="260"/>
      <c r="F14" s="262"/>
      <c r="G14" s="266"/>
      <c r="H14" s="260"/>
      <c r="I14" s="379"/>
      <c r="J14" s="264"/>
      <c r="K14" s="264"/>
      <c r="L14" s="264"/>
      <c r="M14" s="264"/>
      <c r="N14" s="264"/>
      <c r="O14" s="264"/>
      <c r="P14" s="264"/>
      <c r="Q14" s="264"/>
      <c r="W14" s="255" t="s">
        <v>289</v>
      </c>
      <c r="X14" s="255">
        <f>_xll.QueryTool.Functions.GQPrice($W14, "", "", "Reporting")</f>
        <v>0</v>
      </c>
      <c r="Y14" s="255">
        <f>_xll.QueryTool.Functions.GQPrice($W14, "", "", "CHF")</f>
        <v>0</v>
      </c>
      <c r="Z14" s="255">
        <f>_xll.QueryTool.Functions.GQPrice($W14, "", "", "Default")</f>
        <v>0</v>
      </c>
      <c r="AA14" s="255">
        <f>_xll.QueryTool.Functions.GQPrice($W14, "", "", "Pricing")</f>
        <v>0</v>
      </c>
      <c r="AB14" s="255">
        <f>_xll.QueryTool.Functions.GQPrice($W14, "", "", "Publishing")</f>
        <v>0</v>
      </c>
    </row>
    <row r="15" spans="1:61" x14ac:dyDescent="0.45">
      <c r="A15" s="7"/>
      <c r="B15" s="7"/>
      <c r="C15" s="260"/>
      <c r="D15" s="260"/>
      <c r="E15" s="260"/>
      <c r="F15" s="262"/>
      <c r="G15" s="266"/>
      <c r="I15" s="379"/>
      <c r="J15" s="264"/>
      <c r="K15" s="264"/>
      <c r="L15" s="264"/>
      <c r="M15" s="264"/>
      <c r="N15" s="264"/>
      <c r="O15" s="264"/>
      <c r="P15" s="264"/>
      <c r="Q15" s="264"/>
    </row>
    <row r="16" spans="1:61" x14ac:dyDescent="0.45">
      <c r="A16" s="7"/>
      <c r="B16" s="7"/>
      <c r="C16" s="260"/>
      <c r="D16" s="260"/>
      <c r="E16" s="260"/>
      <c r="F16" s="262"/>
      <c r="G16" s="266"/>
      <c r="I16" s="379"/>
    </row>
    <row r="17" spans="1:44" x14ac:dyDescent="0.45">
      <c r="A17" s="7"/>
      <c r="B17" s="7"/>
      <c r="C17" s="260"/>
      <c r="D17" s="260"/>
      <c r="E17" s="260"/>
      <c r="F17" s="262"/>
      <c r="G17" s="266"/>
      <c r="I17" s="379"/>
      <c r="J17" s="264"/>
      <c r="K17" s="264"/>
      <c r="L17" s="265"/>
      <c r="M17" s="264"/>
      <c r="N17" s="264"/>
      <c r="O17" s="264"/>
      <c r="P17" s="264"/>
      <c r="Q17" s="264"/>
      <c r="X17" s="264"/>
      <c r="Y17" s="264"/>
    </row>
    <row r="18" spans="1:44" x14ac:dyDescent="0.45">
      <c r="A18" s="260"/>
      <c r="B18" s="7"/>
      <c r="C18" s="260"/>
      <c r="D18" s="260"/>
      <c r="E18" s="260"/>
      <c r="F18" s="262"/>
      <c r="G18" s="266"/>
      <c r="I18" s="379"/>
      <c r="J18" s="264"/>
      <c r="K18" s="264"/>
      <c r="L18" s="265"/>
      <c r="M18" s="264"/>
      <c r="N18" s="264"/>
    </row>
    <row r="19" spans="1:44" x14ac:dyDescent="0.45">
      <c r="A19" s="260"/>
      <c r="B19" s="380"/>
      <c r="C19" s="260"/>
      <c r="D19" s="260"/>
      <c r="E19" s="260"/>
      <c r="F19" s="262"/>
      <c r="G19" s="266"/>
      <c r="I19" s="379"/>
      <c r="J19" s="264"/>
      <c r="K19" s="264"/>
      <c r="L19" s="265"/>
      <c r="M19" s="264"/>
      <c r="N19" s="264"/>
      <c r="AR19" s="389"/>
    </row>
    <row r="20" spans="1:44" x14ac:dyDescent="0.45">
      <c r="AR20" s="389"/>
    </row>
    <row r="21" spans="1:44" ht="27" customHeight="1" x14ac:dyDescent="0.45">
      <c r="E21" s="267"/>
      <c r="F21" s="620" t="s">
        <v>130</v>
      </c>
      <c r="G21" s="621"/>
      <c r="H21" s="622"/>
      <c r="I21" s="623" t="s">
        <v>323</v>
      </c>
      <c r="J21" s="624"/>
      <c r="K21" s="625"/>
      <c r="AR21" s="389"/>
    </row>
    <row r="22" spans="1:44" ht="27" customHeight="1" x14ac:dyDescent="0.45">
      <c r="E22" s="295"/>
      <c r="F22" s="259" t="s">
        <v>321</v>
      </c>
      <c r="G22" s="296" t="s">
        <v>322</v>
      </c>
      <c r="H22" s="296" t="s">
        <v>397</v>
      </c>
      <c r="I22" s="297"/>
      <c r="J22" s="259" t="s">
        <v>446</v>
      </c>
      <c r="K22" s="298" t="s">
        <v>398</v>
      </c>
      <c r="AD22" s="268"/>
      <c r="AE22" s="268"/>
      <c r="AR22" s="389"/>
    </row>
    <row r="23" spans="1:44" ht="17.25" customHeight="1" x14ac:dyDescent="0.45">
      <c r="E23" s="303" t="str">
        <f t="shared" ref="E23:E29" si="16">B4</f>
        <v>Nike</v>
      </c>
      <c r="F23" s="269"/>
      <c r="G23" s="269"/>
      <c r="H23" s="302" t="e">
        <f t="shared" ref="H23:H29" si="17">K4/T4</f>
        <v>#REF!</v>
      </c>
      <c r="I23" s="299"/>
      <c r="J23" s="270" t="e">
        <f>T4/S4-1</f>
        <v>#REF!</v>
      </c>
      <c r="K23" s="300" t="e">
        <f>(T4/R4)^0.5-1</f>
        <v>#REF!</v>
      </c>
      <c r="AD23" s="268"/>
      <c r="AE23" s="268"/>
      <c r="AR23" s="389"/>
    </row>
    <row r="24" spans="1:44" x14ac:dyDescent="0.45">
      <c r="E24" s="304" t="str">
        <f t="shared" si="16"/>
        <v>lululemon</v>
      </c>
      <c r="F24" s="309"/>
      <c r="G24" s="309"/>
      <c r="H24" s="310">
        <f t="shared" si="17"/>
        <v>-0.46487597194047808</v>
      </c>
      <c r="I24" s="311"/>
      <c r="J24" s="270">
        <f t="shared" ref="J24:J30" si="18">T5/S5-1</f>
        <v>0.16302379636767772</v>
      </c>
      <c r="K24" s="300">
        <f t="shared" ref="K24:K31" si="19">(T5/R5)^0.5-1</f>
        <v>0.18432553189558276</v>
      </c>
      <c r="AD24" s="264"/>
      <c r="AE24" s="264"/>
      <c r="AR24" s="389"/>
    </row>
    <row r="25" spans="1:44" x14ac:dyDescent="0.45">
      <c r="E25" s="303" t="str">
        <f t="shared" si="16"/>
        <v>adidas</v>
      </c>
      <c r="F25" s="269"/>
      <c r="G25" s="269"/>
      <c r="H25" s="302">
        <f t="shared" si="17"/>
        <v>0.793243002540992</v>
      </c>
      <c r="I25" s="299"/>
      <c r="J25" s="270">
        <f t="shared" si="18"/>
        <v>3.0882540191516767</v>
      </c>
      <c r="K25" s="300">
        <f>(T6/R6)^0.5-1</f>
        <v>0.12058136463715807</v>
      </c>
      <c r="AD25" s="264"/>
      <c r="AE25" s="264"/>
      <c r="AR25" s="389"/>
    </row>
    <row r="26" spans="1:44" x14ac:dyDescent="0.45">
      <c r="E26" s="304" t="str">
        <f t="shared" si="16"/>
        <v>Puma</v>
      </c>
      <c r="F26" s="309"/>
      <c r="G26" s="309"/>
      <c r="H26" s="310">
        <f t="shared" si="17"/>
        <v>-0.9732861853321968</v>
      </c>
      <c r="I26" s="311"/>
      <c r="J26" s="270">
        <f t="shared" si="18"/>
        <v>0.23910789405275823</v>
      </c>
      <c r="K26" s="300">
        <f t="shared" si="19"/>
        <v>0.17371972853070439</v>
      </c>
      <c r="AD26" s="264"/>
      <c r="AE26" s="264"/>
      <c r="AR26" s="389"/>
    </row>
    <row r="27" spans="1:44" x14ac:dyDescent="0.45">
      <c r="E27" s="303" t="str">
        <f t="shared" si="16"/>
        <v>Li Ning Co.</v>
      </c>
      <c r="F27" s="269"/>
      <c r="G27" s="269"/>
      <c r="H27" s="302">
        <f t="shared" si="17"/>
        <v>-2.0123530125946338</v>
      </c>
      <c r="I27" s="299"/>
      <c r="J27" s="270">
        <f t="shared" si="18"/>
        <v>0.2690902665217505</v>
      </c>
      <c r="K27" s="300">
        <f t="shared" si="19"/>
        <v>0.25486259412281687</v>
      </c>
      <c r="AR27" s="389"/>
    </row>
    <row r="28" spans="1:44" ht="15.75" customHeight="1" x14ac:dyDescent="0.45">
      <c r="E28" s="304" t="str">
        <f t="shared" si="16"/>
        <v>Anta Sports</v>
      </c>
      <c r="F28" s="309"/>
      <c r="G28" s="309"/>
      <c r="H28" s="302">
        <f t="shared" si="17"/>
        <v>7.9808832204409275E-4</v>
      </c>
      <c r="I28" s="311"/>
      <c r="J28" s="270">
        <f t="shared" si="18"/>
        <v>0.1576317568113248</v>
      </c>
      <c r="K28" s="300">
        <f t="shared" si="19"/>
        <v>0.21377551273697781</v>
      </c>
      <c r="AD28" s="264"/>
      <c r="AE28" s="264"/>
      <c r="AR28" s="390"/>
    </row>
    <row r="29" spans="1:44" x14ac:dyDescent="0.45">
      <c r="E29" s="303" t="str">
        <f t="shared" si="16"/>
        <v>Asics</v>
      </c>
      <c r="F29" s="269"/>
      <c r="G29" s="269"/>
      <c r="H29" s="302">
        <f t="shared" si="17"/>
        <v>7.8915405452259682E-2</v>
      </c>
      <c r="I29" s="299"/>
      <c r="J29" s="270">
        <f t="shared" si="18"/>
        <v>9.1205211726384405E-2</v>
      </c>
      <c r="K29" s="300">
        <f t="shared" si="19"/>
        <v>0.15182741843273928</v>
      </c>
      <c r="AR29" s="390"/>
    </row>
    <row r="30" spans="1:44" x14ac:dyDescent="0.45">
      <c r="E30" s="304" t="s">
        <v>201</v>
      </c>
      <c r="F30" s="309"/>
      <c r="G30" s="309"/>
      <c r="H30" s="310">
        <f>K11/T11</f>
        <v>-3.7027836582542446</v>
      </c>
      <c r="I30" s="311"/>
      <c r="J30" s="270">
        <f t="shared" si="18"/>
        <v>0.1713942884577111</v>
      </c>
      <c r="K30" s="300">
        <f>(T11/R11)^0.5-1</f>
        <v>0.46631462438814864</v>
      </c>
      <c r="Z30" s="260"/>
      <c r="AA30" s="260"/>
      <c r="AB30" s="260"/>
      <c r="AC30" s="260"/>
      <c r="AD30" s="260"/>
      <c r="AE30" s="260"/>
      <c r="AR30" s="390"/>
    </row>
    <row r="31" spans="1:44" x14ac:dyDescent="0.45">
      <c r="E31" s="304" t="s">
        <v>468</v>
      </c>
      <c r="H31" s="310">
        <f>K12/T12</f>
        <v>0</v>
      </c>
      <c r="K31" s="300">
        <f t="shared" si="19"/>
        <v>-0.71748129225458102</v>
      </c>
      <c r="L31" s="340"/>
      <c r="AR31" s="390"/>
    </row>
    <row r="32" spans="1:44" x14ac:dyDescent="0.45">
      <c r="E32" s="305" t="s">
        <v>293</v>
      </c>
      <c r="F32" s="307" t="e">
        <f>AVERAGE(F23:F29)</f>
        <v>#DIV/0!</v>
      </c>
      <c r="G32" s="271" t="e">
        <f>AVERAGE(G23:G29)</f>
        <v>#DIV/0!</v>
      </c>
      <c r="H32" s="308" t="e">
        <f>AVERAGE(H23:H29)</f>
        <v>#REF!</v>
      </c>
      <c r="I32" s="301"/>
      <c r="J32" s="301"/>
      <c r="K32" s="306" t="e">
        <f>AVERAGE(K23:K29)</f>
        <v>#REF!</v>
      </c>
      <c r="AR32" s="390"/>
    </row>
    <row r="33" spans="2:44" x14ac:dyDescent="0.45">
      <c r="AR33" s="390"/>
    </row>
    <row r="34" spans="2:44" x14ac:dyDescent="0.45">
      <c r="B34" s="272"/>
      <c r="H34" s="315">
        <v>49.433633066442901</v>
      </c>
      <c r="AR34" s="390"/>
    </row>
    <row r="35" spans="2:44" x14ac:dyDescent="0.45">
      <c r="B35" s="275"/>
      <c r="J35" s="273"/>
      <c r="K35" s="273"/>
      <c r="L35" s="274"/>
      <c r="M35" s="273"/>
      <c r="AR35" s="390"/>
    </row>
    <row r="36" spans="2:44" x14ac:dyDescent="0.45">
      <c r="AR36" s="390"/>
    </row>
    <row r="38" spans="2:44" x14ac:dyDescent="0.45">
      <c r="C38" s="276"/>
      <c r="D38" s="276"/>
    </row>
    <row r="39" spans="2:44" x14ac:dyDescent="0.45">
      <c r="C39" s="276"/>
    </row>
    <row r="41" spans="2:44" x14ac:dyDescent="0.45">
      <c r="C41" s="255" t="s">
        <v>392</v>
      </c>
    </row>
    <row r="42" spans="2:44" x14ac:dyDescent="0.45">
      <c r="C42" s="276" t="s">
        <v>297</v>
      </c>
      <c r="D42" s="276"/>
    </row>
    <row r="43" spans="2:44" x14ac:dyDescent="0.45">
      <c r="C43" s="276" t="s">
        <v>298</v>
      </c>
      <c r="D43" s="276"/>
    </row>
    <row r="44" spans="2:44" x14ac:dyDescent="0.45">
      <c r="C44" s="276" t="s">
        <v>299</v>
      </c>
      <c r="D44" s="276"/>
      <c r="S44" s="276"/>
      <c r="T44" s="276"/>
    </row>
    <row r="45" spans="2:44" x14ac:dyDescent="0.45">
      <c r="C45" s="276" t="s">
        <v>300</v>
      </c>
      <c r="D45" s="276"/>
      <c r="S45" s="276"/>
      <c r="T45" s="276"/>
    </row>
    <row r="46" spans="2:44" x14ac:dyDescent="0.45">
      <c r="C46" s="276" t="s">
        <v>301</v>
      </c>
      <c r="D46" s="276"/>
    </row>
    <row r="47" spans="2:44" x14ac:dyDescent="0.45">
      <c r="M47" s="279"/>
      <c r="N47" s="279"/>
      <c r="O47" s="279"/>
      <c r="P47" s="279"/>
      <c r="Q47" s="279"/>
    </row>
    <row r="49" spans="3:26" x14ac:dyDescent="0.45">
      <c r="C49" s="277"/>
      <c r="D49" s="277"/>
      <c r="E49" s="278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Z49" s="280"/>
    </row>
    <row r="50" spans="3:26" x14ac:dyDescent="0.45">
      <c r="C50" s="285" t="s">
        <v>393</v>
      </c>
      <c r="D50" s="285"/>
      <c r="E50" s="285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Z50" s="280"/>
    </row>
    <row r="51" spans="3:26" x14ac:dyDescent="0.45">
      <c r="C51" s="289" t="str">
        <f>_xll.Thomson.Reuters.AFOSpreadSheetFormulas.DSGRID("EUDOLLR,BRECBSP,POEURSP,RCNYEUR,TSEURSP,JPEURSP,CHHKDSP"," ","Latest Value","","","RowHeader=true;ColHeader=true;DispSeriesDescription=true;DispDatatypeDescription=true","")</f>
        <v>Type</v>
      </c>
      <c r="D51" s="292" t="s">
        <v>266</v>
      </c>
      <c r="E51" s="285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Z51" s="280"/>
    </row>
    <row r="52" spans="3:26" x14ac:dyDescent="0.45">
      <c r="C52" s="292" t="s">
        <v>302</v>
      </c>
      <c r="D52" s="285">
        <v>0.87707999999999997</v>
      </c>
      <c r="E52" s="285"/>
      <c r="F52" s="292" t="s">
        <v>316</v>
      </c>
      <c r="G52" s="293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Z52" s="280"/>
    </row>
    <row r="53" spans="3:26" x14ac:dyDescent="0.45">
      <c r="C53" s="292" t="s">
        <v>303</v>
      </c>
      <c r="D53" s="285">
        <v>5.8563999999999998</v>
      </c>
      <c r="E53" s="285"/>
      <c r="F53" s="285"/>
    </row>
    <row r="54" spans="3:26" x14ac:dyDescent="0.45">
      <c r="C54" s="292" t="s">
        <v>304</v>
      </c>
      <c r="D54" s="285">
        <v>4.3789999999999996</v>
      </c>
      <c r="E54" s="285"/>
      <c r="F54" s="285" t="s">
        <v>305</v>
      </c>
    </row>
    <row r="55" spans="3:26" x14ac:dyDescent="0.45">
      <c r="C55" s="292" t="s">
        <v>306</v>
      </c>
      <c r="D55" s="285">
        <v>0.13091</v>
      </c>
      <c r="E55" s="285"/>
      <c r="F55" s="285" t="s">
        <v>314</v>
      </c>
      <c r="L55" s="281"/>
    </row>
    <row r="56" spans="3:26" x14ac:dyDescent="0.45">
      <c r="C56" s="292" t="s">
        <v>307</v>
      </c>
      <c r="D56" s="285">
        <v>1.1634</v>
      </c>
      <c r="E56" s="285"/>
      <c r="F56" s="292" t="s">
        <v>315</v>
      </c>
      <c r="M56" s="282"/>
      <c r="N56" s="282"/>
      <c r="O56" s="282"/>
      <c r="P56" s="282"/>
      <c r="Q56" s="282"/>
    </row>
    <row r="57" spans="3:26" x14ac:dyDescent="0.45">
      <c r="C57" s="276" t="s">
        <v>317</v>
      </c>
      <c r="D57" s="255">
        <v>180.38884999999999</v>
      </c>
      <c r="E57" s="285"/>
      <c r="F57" s="255" t="s">
        <v>318</v>
      </c>
    </row>
    <row r="58" spans="3:26" ht="15" customHeight="1" x14ac:dyDescent="0.45">
      <c r="C58" s="276" t="s">
        <v>319</v>
      </c>
      <c r="D58" s="285">
        <v>0.85580000000000001</v>
      </c>
      <c r="E58" s="285"/>
      <c r="F58" s="255" t="s">
        <v>320</v>
      </c>
    </row>
    <row r="59" spans="3:26" x14ac:dyDescent="0.45">
      <c r="C59" s="255" t="s">
        <v>361</v>
      </c>
      <c r="D59" s="255">
        <v>1.0382</v>
      </c>
      <c r="F59" s="255" t="s">
        <v>362</v>
      </c>
    </row>
    <row r="60" spans="3:26" x14ac:dyDescent="0.45">
      <c r="C60" s="285" t="s">
        <v>313</v>
      </c>
      <c r="E60" s="285"/>
      <c r="L60" s="281"/>
    </row>
    <row r="61" spans="3:26" x14ac:dyDescent="0.45">
      <c r="D61" s="285"/>
      <c r="E61" s="285"/>
      <c r="L61" s="283"/>
    </row>
    <row r="62" spans="3:26" x14ac:dyDescent="0.45">
      <c r="C62" s="285"/>
      <c r="D62" s="285"/>
      <c r="E62" s="285"/>
      <c r="L62" s="284"/>
    </row>
    <row r="63" spans="3:26" x14ac:dyDescent="0.45">
      <c r="C63" s="285"/>
      <c r="D63" s="285"/>
      <c r="E63" s="285"/>
    </row>
    <row r="64" spans="3:26" x14ac:dyDescent="0.45">
      <c r="C64" s="285"/>
      <c r="D64" s="285"/>
      <c r="E64" s="285"/>
      <c r="F64" s="470">
        <f>670/550-1</f>
        <v>0.21818181818181825</v>
      </c>
      <c r="G64" s="471">
        <f>550*4.33333</f>
        <v>2383.3315000000002</v>
      </c>
      <c r="H64" s="471">
        <f>670*4.333333</f>
        <v>2903.3331099999996</v>
      </c>
    </row>
    <row r="65" spans="3:8" x14ac:dyDescent="0.45">
      <c r="C65" s="285"/>
      <c r="D65" s="285"/>
      <c r="E65" s="285"/>
      <c r="G65" s="472"/>
      <c r="H65" s="255">
        <f>1258*(1+F64)</f>
        <v>1532.4727272727273</v>
      </c>
    </row>
    <row r="66" spans="3:8" x14ac:dyDescent="0.45">
      <c r="C66" s="285"/>
      <c r="D66" s="285"/>
      <c r="H66" s="473">
        <f>1533-1258</f>
        <v>275</v>
      </c>
    </row>
  </sheetData>
  <mergeCells count="11">
    <mergeCell ref="A2:A3"/>
    <mergeCell ref="B2:B3"/>
    <mergeCell ref="C2:C3"/>
    <mergeCell ref="D2:D3"/>
    <mergeCell ref="Q2:T2"/>
    <mergeCell ref="F21:H21"/>
    <mergeCell ref="I21:K21"/>
    <mergeCell ref="E2:E3"/>
    <mergeCell ref="L2:O2"/>
    <mergeCell ref="F2:F3"/>
    <mergeCell ref="G2:G3"/>
  </mergeCells>
  <phoneticPr fontId="45" type="noConversion"/>
  <dataValidations disablePrompts="1" count="1">
    <dataValidation allowBlank="1" showErrorMessage="1" promptTitle="TRAFO" prompt="$C$51:$D$58" sqref="C51" xr:uid="{9731B78F-6D96-46D3-9257-455D23844448}"/>
  </dataValidations>
  <printOptions horizontalCentered="1" verticalCentered="1"/>
  <pageMargins left="0.7" right="0.7" top="0.75" bottom="0.75" header="0.3" footer="0.3"/>
  <pageSetup paperSize="9" scale="15" orientation="portrait" r:id="rId1"/>
  <customProperties>
    <customPr name="Qube.Worksheet.ID" r:id="rId2"/>
    <customPr name="Qube.Worksheet.Visibility" r:id="rId3"/>
    <customPr name="REFI_OFFICE_FUNCTION_DATA" r:id="rId4"/>
  </customProperties>
  <drawing r:id="rId5"/>
  <legacy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FC6A-AB38-47B0-908B-08ADD5F04F97}">
  <dimension ref="B2:E12"/>
  <sheetViews>
    <sheetView workbookViewId="0">
      <selection activeCell="U16" sqref="U16"/>
    </sheetView>
  </sheetViews>
  <sheetFormatPr defaultRowHeight="15.75" x14ac:dyDescent="0.5"/>
  <cols>
    <col min="2" max="2" width="11.75" bestFit="1" customWidth="1"/>
  </cols>
  <sheetData>
    <row r="2" spans="2:5" x14ac:dyDescent="0.5">
      <c r="C2">
        <v>2022</v>
      </c>
      <c r="D2">
        <v>2023</v>
      </c>
      <c r="E2">
        <v>2024</v>
      </c>
    </row>
    <row r="3" spans="2:5" x14ac:dyDescent="0.5">
      <c r="B3" t="s">
        <v>539</v>
      </c>
      <c r="C3">
        <v>763.8</v>
      </c>
      <c r="D3">
        <v>1162.2</v>
      </c>
      <c r="E3">
        <v>1480.3</v>
      </c>
    </row>
    <row r="4" spans="2:5" x14ac:dyDescent="0.5">
      <c r="B4" t="s">
        <v>543</v>
      </c>
      <c r="D4" s="408">
        <f>D3/C3-1</f>
        <v>0.52160251374705435</v>
      </c>
      <c r="E4" s="408">
        <f>E3/D3-1</f>
        <v>0.273705042161418</v>
      </c>
    </row>
    <row r="5" spans="2:5" x14ac:dyDescent="0.5">
      <c r="B5" s="545" t="s">
        <v>540</v>
      </c>
      <c r="C5">
        <v>718.5</v>
      </c>
      <c r="D5">
        <v>1082.0999999999999</v>
      </c>
      <c r="E5">
        <v>1367.7</v>
      </c>
    </row>
    <row r="6" spans="2:5" x14ac:dyDescent="0.5">
      <c r="B6" t="s">
        <v>543</v>
      </c>
      <c r="D6" s="408">
        <f>D5/C5-1</f>
        <v>0.50605427974947803</v>
      </c>
      <c r="E6" s="408">
        <f>E5/D5-1</f>
        <v>0.26393124480177454</v>
      </c>
    </row>
    <row r="7" spans="2:5" x14ac:dyDescent="0.5">
      <c r="B7" t="s">
        <v>541</v>
      </c>
      <c r="C7">
        <v>378.1</v>
      </c>
      <c r="D7">
        <v>488.7</v>
      </c>
      <c r="E7">
        <v>577.79999999999995</v>
      </c>
    </row>
    <row r="8" spans="2:5" x14ac:dyDescent="0.5">
      <c r="B8" s="545" t="s">
        <v>542</v>
      </c>
      <c r="C8">
        <v>51.5</v>
      </c>
      <c r="D8">
        <v>46</v>
      </c>
      <c r="E8">
        <v>38.700000000000003</v>
      </c>
    </row>
    <row r="9" spans="2:5" x14ac:dyDescent="0.5">
      <c r="B9" t="s">
        <v>543</v>
      </c>
      <c r="D9" s="408">
        <f>D8/C8-1</f>
        <v>-0.10679611650485432</v>
      </c>
      <c r="E9" s="408">
        <f>E8/D8-1</f>
        <v>-0.15869565217391302</v>
      </c>
    </row>
    <row r="10" spans="2:5" x14ac:dyDescent="0.5">
      <c r="B10" t="s">
        <v>3</v>
      </c>
      <c r="C10">
        <v>80.2</v>
      </c>
      <c r="D10">
        <v>141.1</v>
      </c>
      <c r="E10">
        <v>260.2</v>
      </c>
    </row>
    <row r="11" spans="2:5" x14ac:dyDescent="0.5">
      <c r="B11" t="s">
        <v>543</v>
      </c>
      <c r="D11" s="408">
        <f>D10/C10-1</f>
        <v>0.75935162094763076</v>
      </c>
      <c r="E11" s="408">
        <f>E10/D10-1</f>
        <v>0.84408221119773219</v>
      </c>
    </row>
    <row r="12" spans="2:5" x14ac:dyDescent="0.5">
      <c r="B12" t="s">
        <v>459</v>
      </c>
      <c r="C12">
        <f>C3+C7+C10</f>
        <v>1222.1000000000001</v>
      </c>
      <c r="D12">
        <f t="shared" ref="D12:E12" si="0">D3+D7+D10</f>
        <v>1792</v>
      </c>
      <c r="E12">
        <f t="shared" si="0"/>
        <v>2318.2999999999997</v>
      </c>
    </row>
  </sheetData>
  <pageMargins left="0.7" right="0.7" top="0.75" bottom="0.75" header="0.3" footer="0.3"/>
  <customProperties>
    <customPr name="Qube.Worksheet.Visibility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A0FD84-EDF5-4983-B5E4-28E9F1F9144E}">
  <ds:schemaRefs>
    <ds:schemaRef ds:uri="http://www.w3.org/2001/XMLSchema"/>
    <ds:schemaRef ds:uri="Exchange-SubmissionSheetWrapper"/>
  </ds:schemaRefs>
</ds:datastoreItem>
</file>

<file path=docMetadata/LabelInfo.xml><?xml version="1.0" encoding="utf-8"?>
<clbl:labelList xmlns:clbl="http://schemas.microsoft.com/office/2020/mipLabelMetadata">
  <clbl:label id="{a64882d5-5c68-43ae-b974-91da18426e9b}" enabled="1" method="Standard" siteId="{38651f6f-836b-4bdf-9615-4e255c290f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358</vt:i4>
      </vt:variant>
    </vt:vector>
  </HeadingPairs>
  <TitlesOfParts>
    <vt:vector size="371" baseType="lpstr">
      <vt:lpstr>Cover Sheet</vt:lpstr>
      <vt:lpstr>ITX.MC_Validation_Sheet</vt:lpstr>
      <vt:lpstr>MODEL</vt:lpstr>
      <vt:lpstr>GSe vs Cons</vt:lpstr>
      <vt:lpstr>FX</vt:lpstr>
      <vt:lpstr>Worksheet</vt:lpstr>
      <vt:lpstr>Vs consensus</vt:lpstr>
      <vt:lpstr>Stat Ab</vt:lpstr>
      <vt:lpstr>Valuation</vt:lpstr>
      <vt:lpstr>Mkt share</vt:lpstr>
      <vt:lpstr>Sales growth comparative</vt:lpstr>
      <vt:lpstr>Comps</vt:lpstr>
      <vt:lpstr>GEOS</vt:lpstr>
      <vt:lpstr>ITX.MC_Validation_Sheet!V_ALL_KEYWORDS_TYPE_ScalarContributed_ISSR_208001535</vt:lpstr>
      <vt:lpstr>ITX.MC_Validation_Sheet!V_ALL_KEYWORDS_TYPE_ScalarReference_ISSR_208001535</vt:lpstr>
      <vt:lpstr>ITX.MC_Validation_Sheet!V_ALL_KEYWORDS_TYPE_Vector_ISSR_208001535</vt:lpstr>
      <vt:lpstr>ITX.MC_Validation_Sheet!V_ALL_PERIODS_ITX.MC</vt:lpstr>
      <vt:lpstr>ITX.MC_Validation_Sheet!V_ALL_SECTION_KEYWORDS_ISSR_208001535_1314</vt:lpstr>
      <vt:lpstr>ITX.MC_Validation_Sheet!V_ALL_SECTION_KEYWORDS_ISSR_208001535_13168</vt:lpstr>
      <vt:lpstr>ITX.MC_Validation_Sheet!V_ALL_SECTION_KEYWORDS_ISSR_208001535_1316S</vt:lpstr>
      <vt:lpstr>ITX.MC_Validation_Sheet!V_ALL_SECTION_KEYWORDS_ISSR_208001535_1316T</vt:lpstr>
      <vt:lpstr>ITX.MC_Validation_Sheet!V_ALL_SECTION_KEYWORDS_ISSR_208001535_1319</vt:lpstr>
      <vt:lpstr>ITX.MC_Validation_Sheet!V_ALL_SECTION_KEYWORDS_ISSR_208001535_131E</vt:lpstr>
      <vt:lpstr>ITX.MC_Validation_Sheet!V_ALL_SECTION_KEYWORDS_ISSR_208001535_131J</vt:lpstr>
      <vt:lpstr>ITX.MC_Validation_Sheet!V_ALL_SECTION_KEYWORDS_ISSR_208001535_131O</vt:lpstr>
      <vt:lpstr>ITX.MC_Validation_Sheet!V_ALL_SECTION_KEYWORDS_ISSR_208001535_131P</vt:lpstr>
      <vt:lpstr>ITX.MC_Validation_Sheet!V_ALL_SECTION_KEYWORDS_ISSR_208001535_13A</vt:lpstr>
      <vt:lpstr>ITX.MC_Validation_Sheet!V_ALL_SECTION_KEYWORDS_ISSR_208001535_13U</vt:lpstr>
      <vt:lpstr>ITX.MC_Validation_Sheet!V_ALL_SECTION_KEYWORDS_ISSR_208001535_13V</vt:lpstr>
      <vt:lpstr>ITX.MC_Validation_Sheet!V_ALL_SECTION_KEYWORDS_ISSR_208001535_Reference_Data</vt:lpstr>
      <vt:lpstr>ITX.MC_Validation_Sheet!V_ALL_SECTIONS_ISSR_208001535</vt:lpstr>
      <vt:lpstr>ITX.MC_Validation_Sheet!V_CURRENCY_ISSR_208001535_REP</vt:lpstr>
      <vt:lpstr>ITX.MC_Validation_Sheet!V_ENTITY_DATA_ISSR_208001535</vt:lpstr>
      <vt:lpstr>ITX.MC_Validation_Sheet!V_KEYWORD_ISSR_208001535_ACC_AMORT</vt:lpstr>
      <vt:lpstr>ITX.MC_Validation_Sheet!V_KEYWORD_ISSR_208001535_ACC_DDA</vt:lpstr>
      <vt:lpstr>ITX.MC_Validation_Sheet!V_KEYWORD_ISSR_208001535_ACC_END_DATE</vt:lpstr>
      <vt:lpstr>ITX.MC_Validation_Sheet!V_KEYWORD_ISSR_208001535_ACC_PAY_GQ</vt:lpstr>
      <vt:lpstr>ITX.MC_Validation_Sheet!V_KEYWORD_ISSR_208001535_ACQ</vt:lpstr>
      <vt:lpstr>ITX.MC_Validation_Sheet!V_KEYWORD_ISSR_208001535_ADJ_UNF_PENS_GOOD</vt:lpstr>
      <vt:lpstr>ITX.MC_Validation_Sheet!V_KEYWORD_ISSR_208001535_ASSOC_JV_ADDBK</vt:lpstr>
      <vt:lpstr>ITX.MC_Validation_Sheet!V_KEYWORD_ISSR_208001535_ASSOCIATE</vt:lpstr>
      <vt:lpstr>ITX.MC_Validation_Sheet!V_KEYWORD_ISSR_208001535_ASSOCIATE_OP</vt:lpstr>
      <vt:lpstr>ITX.MC_Validation_Sheet!V_KEYWORD_ISSR_208001535_BAL_MINO_INT</vt:lpstr>
      <vt:lpstr>ITX.MC_Validation_Sheet!V_KEYWORD_ISSR_208001535_CAP_LEASES</vt:lpstr>
      <vt:lpstr>ITX.MC_Validation_Sheet!V_KEYWORD_ISSR_208001535_CAPEX</vt:lpstr>
      <vt:lpstr>ITX.MC_Validation_Sheet!V_KEYWORD_ISSR_208001535_CAPEX_EXPANSION</vt:lpstr>
      <vt:lpstr>ITX.MC_Validation_Sheet!V_KEYWORD_ISSR_208001535_CAPEX_MAINTENANCE</vt:lpstr>
      <vt:lpstr>ITX.MC_Validation_Sheet!V_KEYWORD_ISSR_208001535_CASH_EQ</vt:lpstr>
      <vt:lpstr>ITX.MC_Validation_Sheet!V_KEYWORD_ISSR_208001535_CASH_INT_EXP</vt:lpstr>
      <vt:lpstr>ITX.MC_Validation_Sheet!V_KEYWORD_ISSR_208001535_CASH_INT_INC_EXP</vt:lpstr>
      <vt:lpstr>ITX.MC_Validation_Sheet!V_KEYWORD_ISSR_208001535_CASH_TAX_EXP</vt:lpstr>
      <vt:lpstr>ITX.MC_Validation_Sheet!V_KEYWORD_ISSR_208001535_CASH_TAX_PD</vt:lpstr>
      <vt:lpstr>ITX.MC_Validation_Sheet!V_KEYWORD_ISSR_208001535_CF_FIN</vt:lpstr>
      <vt:lpstr>ITX.MC_Validation_Sheet!V_KEYWORD_ISSR_208001535_CF_INC_MINORITY</vt:lpstr>
      <vt:lpstr>ITX.MC_Validation_Sheet!V_KEYWORD_ISSR_208001535_CF_INV</vt:lpstr>
      <vt:lpstr>ITX.MC_Validation_Sheet!V_KEYWORD_ISSR_208001535_CF_OPS</vt:lpstr>
      <vt:lpstr>ITX.MC_Validation_Sheet!V_KEYWORD_ISSR_208001535_CHG_LT_DEBT</vt:lpstr>
      <vt:lpstr>ITX.MC_Validation_Sheet!V_KEYWORD_ISSR_208001535_CO_BOR_MARGIN</vt:lpstr>
      <vt:lpstr>ITX.MC_Validation_Sheet!V_KEYWORD_ISSR_208001535_COGS_PCT_ROW</vt:lpstr>
      <vt:lpstr>ITX.MC_Validation_Sheet!V_KEYWORD_ISSR_208001535_COGS_PCT_US</vt:lpstr>
      <vt:lpstr>ITX.MC_Validation_Sheet!V_KEYWORD_ISSR_208001535_COST_GD_SD</vt:lpstr>
      <vt:lpstr>ITX.MC_Validation_Sheet!V_KEYWORD_ISSR_208001535_CUR_ASS</vt:lpstr>
      <vt:lpstr>ITX.MC_Validation_Sheet!V_KEYWORD_ISSR_208001535_CURRENCY_ISO</vt:lpstr>
      <vt:lpstr>ITX.MC_Validation_Sheet!V_KEYWORD_ISSR_208001535_DEBTORS</vt:lpstr>
      <vt:lpstr>ITX.MC_Validation_Sheet!V_KEYWORD_ISSR_208001535_DEF_INC_TAX</vt:lpstr>
      <vt:lpstr>ITX.MC_Validation_Sheet!V_KEYWORD_ISSR_208001535_DEPR_AMORT</vt:lpstr>
      <vt:lpstr>ITX.MC_Validation_Sheet!V_KEYWORD_ISSR_208001535_DEPR_ROU_ASSETS</vt:lpstr>
      <vt:lpstr>ITX.MC_Validation_Sheet!V_KEYWORD_ISSR_208001535_DEPREC</vt:lpstr>
      <vt:lpstr>ITX.MC_Validation_Sheet!V_KEYWORD_ISSR_208001535_DIV_PAID</vt:lpstr>
      <vt:lpstr>ITX.MC_Validation_Sheet!V_KEYWORD_ISSR_208001535_DIVDS_ASSOC_JV</vt:lpstr>
      <vt:lpstr>ITX.MC_Validation_Sheet!V_KEYWORD_ISSR_208001535_DIVDS_PD_MINORITIES</vt:lpstr>
      <vt:lpstr>ITX.MC_Validation_Sheet!V_KEYWORD_ISSR_208001535_DIVEST</vt:lpstr>
      <vt:lpstr>ITX.MC_Validation_Sheet!V_KEYWORD_ISSR_208001535_EBIT</vt:lpstr>
      <vt:lpstr>ITX.MC_Validation_Sheet!V_KEYWORD_ISSR_208001535_EBITDA_CALC</vt:lpstr>
      <vt:lpstr>ITX.MC_Validation_Sheet!V_KEYWORD_ISSR_208001535_EMPLOYEES</vt:lpstr>
      <vt:lpstr>ITX.MC_Validation_Sheet!V_KEYWORD_ISSR_208001535_EQ</vt:lpstr>
      <vt:lpstr>ITX.MC_Validation_Sheet!V_KEYWORD_ISSR_208001535_EXP_ALUMINIUM</vt:lpstr>
      <vt:lpstr>ITX.MC_Validation_Sheet!V_KEYWORD_ISSR_208001535_EXP_BEEF</vt:lpstr>
      <vt:lpstr>ITX.MC_Validation_Sheet!V_KEYWORD_ISSR_208001535_EXP_CHICKEN</vt:lpstr>
      <vt:lpstr>ITX.MC_Validation_Sheet!V_KEYWORD_ISSR_208001535_EXP_COCOA</vt:lpstr>
      <vt:lpstr>ITX.MC_Validation_Sheet!V_KEYWORD_ISSR_208001535_EXP_COFFEE</vt:lpstr>
      <vt:lpstr>ITX.MC_Validation_Sheet!V_KEYWORD_ISSR_208001535_EXP_COPPER</vt:lpstr>
      <vt:lpstr>ITX.MC_Validation_Sheet!V_KEYWORD_ISSR_208001535_EXP_CORN</vt:lpstr>
      <vt:lpstr>ITX.MC_Validation_Sheet!V_KEYWORD_ISSR_208001535_EXP_COTTON</vt:lpstr>
      <vt:lpstr>ITX.MC_Validation_Sheet!V_KEYWORD_ISSR_208001535_EXP_DAIRY</vt:lpstr>
      <vt:lpstr>ITX.MC_Validation_Sheet!V_KEYWORD_ISSR_208001535_EXP_DIAMONDS</vt:lpstr>
      <vt:lpstr>ITX.MC_Validation_Sheet!V_KEYWORD_ISSR_208001535_EXP_GOLD</vt:lpstr>
      <vt:lpstr>ITX.MC_Validation_Sheet!V_KEYWORD_ISSR_208001535_EXP_NUTS</vt:lpstr>
      <vt:lpstr>ITX.MC_Validation_Sheet!V_KEYWORD_ISSR_208001535_EXP_OIL_DERIV_NGLS_PLASTICS</vt:lpstr>
      <vt:lpstr>ITX.MC_Validation_Sheet!V_KEYWORD_ISSR_208001535_EXP_OIL_PETRO_FUEL</vt:lpstr>
      <vt:lpstr>ITX.MC_Validation_Sheet!V_KEYWORD_ISSR_208001535_EXP_OTH_COMMODITY</vt:lpstr>
      <vt:lpstr>ITX.MC_Validation_Sheet!V_KEYWORD_ISSR_208001535_EXP_OTH_COST</vt:lpstr>
      <vt:lpstr>ITX.MC_Validation_Sheet!V_KEYWORD_ISSR_208001535_EXP_PALM_OIL</vt:lpstr>
      <vt:lpstr>ITX.MC_Validation_Sheet!V_KEYWORD_ISSR_208001535_EXP_PAPER_PULP</vt:lpstr>
      <vt:lpstr>ITX.MC_Validation_Sheet!V_KEYWORD_ISSR_208001535_EXP_PLATINUM</vt:lpstr>
      <vt:lpstr>ITX.MC_Validation_Sheet!V_KEYWORD_ISSR_208001535_EXP_PORK</vt:lpstr>
      <vt:lpstr>ITX.MC_Validation_Sheet!V_KEYWORD_ISSR_208001535_EXP_SILVER</vt:lpstr>
      <vt:lpstr>ITX.MC_Validation_Sheet!V_KEYWORD_ISSR_208001535_EXP_SOYBEAN</vt:lpstr>
      <vt:lpstr>ITX.MC_Validation_Sheet!V_KEYWORD_ISSR_208001535_EXP_SUGAR</vt:lpstr>
      <vt:lpstr>ITX.MC_Validation_Sheet!V_KEYWORD_ISSR_208001535_EXP_TOBACCO_LEAF</vt:lpstr>
      <vt:lpstr>ITX.MC_Validation_Sheet!V_KEYWORD_ISSR_208001535_EXP_WATER</vt:lpstr>
      <vt:lpstr>ITX.MC_Validation_Sheet!V_KEYWORD_ISSR_208001535_EXP_WHEAT</vt:lpstr>
      <vt:lpstr>ITX.MC_Validation_Sheet!V_KEYWORD_ISSR_208001535_FIX_ASS_INV</vt:lpstr>
      <vt:lpstr>ITX.MC_Validation_Sheet!V_KEYWORD_ISSR_208001535_FLOATING_PCT_LOCAL_DEBT</vt:lpstr>
      <vt:lpstr>ITX.MC_Validation_Sheet!V_KEYWORD_ISSR_208001535_FLOATING_PCT_LOCAL_DEBT_HEDGED</vt:lpstr>
      <vt:lpstr>ITX.MC_Validation_Sheet!V_KEYWORD_ISSR_208001535_GCI_INFL</vt:lpstr>
      <vt:lpstr>ITX.MC_Validation_Sheet!V_KEYWORD_ISSR_208001535_GOODWILL_AMORT</vt:lpstr>
      <vt:lpstr>ITX.MC_Validation_Sheet!V_KEYWORD_ISSR_208001535_GR_FIX_ASS</vt:lpstr>
      <vt:lpstr>ITX.MC_Validation_Sheet!V_KEYWORD_ISSR_208001535_GR_INTANG</vt:lpstr>
      <vt:lpstr>ITX.MC_Validation_Sheet!V_KEYWORD_ISSR_208001535_GW_AMORT</vt:lpstr>
      <vt:lpstr>ITX.MC_Validation_Sheet!V_KEYWORD_ISSR_208001535_INT_EXP_IND</vt:lpstr>
      <vt:lpstr>ITX.MC_Validation_Sheet!V_KEYWORD_ISSR_208001535_INT_INC_IND</vt:lpstr>
      <vt:lpstr>ITX.MC_Validation_Sheet!V_KEYWORD_ISSR_208001535_INV_SECUR</vt:lpstr>
      <vt:lpstr>ITX.MC_Validation_Sheet!V_KEYWORD_ISSR_208001535_Issuer_Name</vt:lpstr>
      <vt:lpstr>ITX.MC_Validation_Sheet!V_KEYWORD_ISSR_208001535_LEASE_ADOPT</vt:lpstr>
      <vt:lpstr>ITX.MC_Validation_Sheet!V_KEYWORD_ISSR_208001535_LEASE_DEEM_DEPR</vt:lpstr>
      <vt:lpstr>ITX.MC_Validation_Sheet!V_KEYWORD_ISSR_208001535_LEASE_DEEM_INT</vt:lpstr>
      <vt:lpstr>ITX.MC_Validation_Sheet!V_KEYWORD_ISSR_208001535_LEASE_INT_CHG</vt:lpstr>
      <vt:lpstr>ITX.MC_Validation_Sheet!V_KEYWORD_ISSR_208001535_LEASE_PAY</vt:lpstr>
      <vt:lpstr>ITX.MC_Validation_Sheet!V_KEYWORD_ISSR_208001535_LEASE_PRINCIPAL_CASH</vt:lpstr>
      <vt:lpstr>ITX.MC_Validation_Sheet!V_KEYWORD_ISSR_208001535_LT_DEBT</vt:lpstr>
      <vt:lpstr>ITX.MC_Validation_Sheet!V_KEYWORD_ISSR_208001535_LT_LEASE_LIAB</vt:lpstr>
      <vt:lpstr>ITX.MC_Validation_Sheet!V_KEYWORD_ISSR_208001535_MA_PROB</vt:lpstr>
      <vt:lpstr>ITX.MC_Validation_Sheet!V_KEYWORD_ISSR_208001535_MINORITIES</vt:lpstr>
      <vt:lpstr>ITX.MC_Validation_Sheet!V_KEYWORD_ISSR_208001535_MV_ASSOCIATES</vt:lpstr>
      <vt:lpstr>ITX.MC_Validation_Sheet!V_KEYWORD_ISSR_208001535_NET_DEBT</vt:lpstr>
      <vt:lpstr>ITX.MC_Validation_Sheet!V_KEYWORD_ISSR_208001535_NET_DEBT_ADJ</vt:lpstr>
      <vt:lpstr>ITX.MC_Validation_Sheet!V_KEYWORD_ISSR_208001535_NET_FIX_ASS</vt:lpstr>
      <vt:lpstr>ITX.MC_Validation_Sheet!V_KEYWORD_ISSR_208001535_NET_INT_CH</vt:lpstr>
      <vt:lpstr>ITX.MC_Validation_Sheet!V_KEYWORD_ISSR_208001535_NET_INT_EXP</vt:lpstr>
      <vt:lpstr>ITX.MC_Validation_Sheet!V_KEYWORD_ISSR_208001535_NET_INTANG</vt:lpstr>
      <vt:lpstr>ITX.MC_Validation_Sheet!V_KEYWORD_ISSR_208001535_NONPPE_CAPEX</vt:lpstr>
      <vt:lpstr>ITX.MC_Validation_Sheet!V_KEYWORD_ISSR_208001535_OP_COST</vt:lpstr>
      <vt:lpstr>ITX.MC_Validation_Sheet!V_KEYWORD_ISSR_208001535_ORD_SH_FUND</vt:lpstr>
      <vt:lpstr>ITX.MC_Validation_Sheet!V_KEYWORD_ISSR_208001535_ORG_REV</vt:lpstr>
      <vt:lpstr>ITX.MC_Validation_Sheet!V_KEYWORD_ISSR_208001535_ORG_REV_GRTH</vt:lpstr>
      <vt:lpstr>ITX.MC_Validation_Sheet!V_KEYWORD_ISSR_208001535_OTH_COST_INC</vt:lpstr>
      <vt:lpstr>ITX.MC_Validation_Sheet!V_KEYWORD_ISSR_208001535_OTH_CUR_ASS</vt:lpstr>
      <vt:lpstr>ITX.MC_Validation_Sheet!V_KEYWORD_ISSR_208001535_OTH_CUR_LIABS</vt:lpstr>
      <vt:lpstr>ITX.MC_Validation_Sheet!V_KEYWORD_ISSR_208001535_OTH_DACF_ADJ</vt:lpstr>
      <vt:lpstr>ITX.MC_Validation_Sheet!V_KEYWORD_ISSR_208001535_OTH_FIN_CF</vt:lpstr>
      <vt:lpstr>ITX.MC_Validation_Sheet!V_KEYWORD_ISSR_208001535_OTH_GCI_ADJ</vt:lpstr>
      <vt:lpstr>ITX.MC_Validation_Sheet!V_KEYWORD_ISSR_208001535_OTH_INT_AMORT</vt:lpstr>
      <vt:lpstr>ITX.MC_Validation_Sheet!V_KEYWORD_ISSR_208001535_OTH_INV_CF</vt:lpstr>
      <vt:lpstr>ITX.MC_Validation_Sheet!V_KEYWORD_ISSR_208001535_OTH_ITEM_NCF</vt:lpstr>
      <vt:lpstr>ITX.MC_Validation_Sheet!V_KEYWORD_ISSR_208001535_OTH_LT_ASS</vt:lpstr>
      <vt:lpstr>ITX.MC_Validation_Sheet!V_KEYWORD_ISSR_208001535_OTH_LT_CRED_GQ</vt:lpstr>
      <vt:lpstr>ITX.MC_Validation_Sheet!V_KEYWORD_ISSR_208001535_OTH_NONCASH_ADJ</vt:lpstr>
      <vt:lpstr>ITX.MC_Validation_Sheet!V_KEYWORD_ISSR_208001535_OTH_OP_CF</vt:lpstr>
      <vt:lpstr>ITX.MC_Validation_Sheet!V_KEYWORD_ISSR_208001535_OTH_OP_INC_EXP</vt:lpstr>
      <vt:lpstr>ITX.MC_Validation_Sheet!V_KEYWORD_ISSR_208001535_PERIOD_MILESTONE</vt:lpstr>
      <vt:lpstr>ITX.MC_Validation_Sheet!V_KEYWORD_ISSR_208001535_PL_SALE_ASSETS</vt:lpstr>
      <vt:lpstr>ITX.MC_Validation_Sheet!V_KEYWORD_ISSR_208001535_PREF_SH</vt:lpstr>
      <vt:lpstr>ITX.MC_Validation_Sheet!V_KEYWORD_ISSR_208001535_PROFIT_ON_DISP</vt:lpstr>
      <vt:lpstr>ITX.MC_Validation_Sheet!V_KEYWORD_ISSR_208001535_PT_PROF</vt:lpstr>
      <vt:lpstr>ITX.MC_Validation_Sheet!V_KEYWORD_ISSR_208001535_RD_EXP</vt:lpstr>
      <vt:lpstr>ITX.MC_Validation_Sheet!V_KEYWORD_ISSR_208001535_RETAIL_SSS_PCT_CHG</vt:lpstr>
      <vt:lpstr>ITX.MC_Validation_Sheet!V_KEYWORD_ISSR_208001535_ROU_ASSET</vt:lpstr>
      <vt:lpstr>ITX.MC_Validation_Sheet!V_KEYWORD_ISSR_208001535_SALES</vt:lpstr>
      <vt:lpstr>ITX.MC_Validation_Sheet!V_KEYWORD_ISSR_208001535_SALES_ARGENTINA</vt:lpstr>
      <vt:lpstr>ITX.MC_Validation_Sheet!V_KEYWORD_ISSR_208001535_SALES_AUSTRA</vt:lpstr>
      <vt:lpstr>ITX.MC_Validation_Sheet!V_KEYWORD_ISSR_208001535_SALES_AUSTRIA</vt:lpstr>
      <vt:lpstr>ITX.MC_Validation_Sheet!V_KEYWORD_ISSR_208001535_SALES_BEL</vt:lpstr>
      <vt:lpstr>ITX.MC_Validation_Sheet!V_KEYWORD_ISSR_208001535_SALES_BRAZIL</vt:lpstr>
      <vt:lpstr>ITX.MC_Validation_Sheet!V_KEYWORD_ISSR_208001535_SALES_CANADA</vt:lpstr>
      <vt:lpstr>ITX.MC_Validation_Sheet!V_KEYWORD_ISSR_208001535_SALES_CEMENT</vt:lpstr>
      <vt:lpstr>ITX.MC_Validation_Sheet!V_KEYWORD_ISSR_208001535_SALES_CHILE</vt:lpstr>
      <vt:lpstr>ITX.MC_Validation_Sheet!V_KEYWORD_ISSR_208001535_SALES_CHINA</vt:lpstr>
      <vt:lpstr>ITX.MC_Validation_Sheet!V_KEYWORD_ISSR_208001535_SALES_COLOMBIA</vt:lpstr>
      <vt:lpstr>ITX.MC_Validation_Sheet!V_KEYWORD_ISSR_208001535_SALES_CONS</vt:lpstr>
      <vt:lpstr>ITX.MC_Validation_Sheet!V_KEYWORD_ISSR_208001535_SALES_FINAN</vt:lpstr>
      <vt:lpstr>ITX.MC_Validation_Sheet!V_KEYWORD_ISSR_208001535_SALES_FRA</vt:lpstr>
      <vt:lpstr>ITX.MC_Validation_Sheet!V_KEYWORD_ISSR_208001535_SALES_FX_EUR</vt:lpstr>
      <vt:lpstr>ITX.MC_Validation_Sheet!V_KEYWORD_ISSR_208001535_SALES_FX_GPB</vt:lpstr>
      <vt:lpstr>ITX.MC_Validation_Sheet!V_KEYWORD_ISSR_208001535_SALES_GER</vt:lpstr>
      <vt:lpstr>ITX.MC_Validation_Sheet!V_KEYWORD_ISSR_208001535_SALES_GLASS</vt:lpstr>
      <vt:lpstr>ITX.MC_Validation_Sheet!V_KEYWORD_ISSR_208001535_SALES_GOV</vt:lpstr>
      <vt:lpstr>ITX.MC_Validation_Sheet!V_KEYWORD_ISSR_208001535_SALES_GRE</vt:lpstr>
      <vt:lpstr>ITX.MC_Validation_Sheet!V_KEYWORD_ISSR_208001535_SALES_HONG_KONG</vt:lpstr>
      <vt:lpstr>ITX.MC_Validation_Sheet!V_KEYWORD_ISSR_208001535_SALES_IND</vt:lpstr>
      <vt:lpstr>ITX.MC_Validation_Sheet!V_KEYWORD_ISSR_208001535_SALES_INDIA</vt:lpstr>
      <vt:lpstr>ITX.MC_Validation_Sheet!V_KEYWORD_ISSR_208001535_SALES_INDONESIA</vt:lpstr>
      <vt:lpstr>ITX.MC_Validation_Sheet!V_KEYWORD_ISSR_208001535_SALES_IRE</vt:lpstr>
      <vt:lpstr>ITX.MC_Validation_Sheet!V_KEYWORD_ISSR_208001535_SALES_ITA</vt:lpstr>
      <vt:lpstr>ITX.MC_Validation_Sheet!V_KEYWORD_ISSR_208001535_SALES_JAPAN</vt:lpstr>
      <vt:lpstr>ITX.MC_Validation_Sheet!V_KEYWORD_ISSR_208001535_SALES_LUMBER</vt:lpstr>
      <vt:lpstr>ITX.MC_Validation_Sheet!V_KEYWORD_ISSR_208001535_SALES_MEXICO</vt:lpstr>
      <vt:lpstr>ITX.MC_Validation_Sheet!V_KEYWORD_ISSR_208001535_SALES_NETH</vt:lpstr>
      <vt:lpstr>ITX.MC_Validation_Sheet!V_KEYWORD_ISSR_208001535_SALES_NIGERIA</vt:lpstr>
      <vt:lpstr>ITX.MC_Validation_Sheet!V_KEYWORD_ISSR_208001535_SALES_NOR</vt:lpstr>
      <vt:lpstr>ITX.MC_Validation_Sheet!V_KEYWORD_ISSR_208001535_SALES_NZ</vt:lpstr>
      <vt:lpstr>ITX.MC_Validation_Sheet!V_KEYWORD_ISSR_208001535_SALES_OIL_GAS</vt:lpstr>
      <vt:lpstr>ITX.MC_Validation_Sheet!V_KEYWORD_ISSR_208001535_SALES_OIL_PETRO_FUEL</vt:lpstr>
      <vt:lpstr>ITX.MC_Validation_Sheet!V_KEYWORD_ISSR_208001535_SALES_OTH_AFRICA</vt:lpstr>
      <vt:lpstr>ITX.MC_Validation_Sheet!V_KEYWORD_ISSR_208001535_SALES_OTH_CEE</vt:lpstr>
      <vt:lpstr>ITX.MC_Validation_Sheet!V_KEYWORD_ISSR_208001535_SALES_OTH_COMMODITY</vt:lpstr>
      <vt:lpstr>ITX.MC_Validation_Sheet!V_KEYWORD_ISSR_208001535_SALES_OTH_DEV_ASIA</vt:lpstr>
      <vt:lpstr>ITX.MC_Validation_Sheet!V_KEYWORD_ISSR_208001535_SALES_OTH_EMERG_ASIA</vt:lpstr>
      <vt:lpstr>ITX.MC_Validation_Sheet!V_KEYWORD_ISSR_208001535_SALES_OTH_LATAM</vt:lpstr>
      <vt:lpstr>ITX.MC_Validation_Sheet!V_KEYWORD_ISSR_208001535_SALES_OTH_ME</vt:lpstr>
      <vt:lpstr>ITX.MC_Validation_Sheet!V_KEYWORD_ISSR_208001535_SALES_OTH_NO_AMER</vt:lpstr>
      <vt:lpstr>ITX.MC_Validation_Sheet!V_KEYWORD_ISSR_208001535_SALES_OTH_SALES_SOURCES</vt:lpstr>
      <vt:lpstr>ITX.MC_Validation_Sheet!V_KEYWORD_ISSR_208001535_SALES_OTH_WEST_EURO</vt:lpstr>
      <vt:lpstr>ITX.MC_Validation_Sheet!V_KEYWORD_ISSR_208001535_SALES_OTHER</vt:lpstr>
      <vt:lpstr>ITX.MC_Validation_Sheet!V_KEYWORD_ISSR_208001535_SALES_PAPER_PULP</vt:lpstr>
      <vt:lpstr>ITX.MC_Validation_Sheet!V_KEYWORD_ISSR_208001535_SALES_POLAND</vt:lpstr>
      <vt:lpstr>ITX.MC_Validation_Sheet!V_KEYWORD_ISSR_208001535_SALES_POR</vt:lpstr>
      <vt:lpstr>ITX.MC_Validation_Sheet!V_KEYWORD_ISSR_208001535_SALES_RUSSIA</vt:lpstr>
      <vt:lpstr>ITX.MC_Validation_Sheet!V_KEYWORD_ISSR_208001535_SALES_SAUDI_ARABIA</vt:lpstr>
      <vt:lpstr>ITX.MC_Validation_Sheet!V_KEYWORD_ISSR_208001535_SALES_SINGAPORE</vt:lpstr>
      <vt:lpstr>ITX.MC_Validation_Sheet!V_KEYWORD_ISSR_208001535_SALES_SK</vt:lpstr>
      <vt:lpstr>ITX.MC_Validation_Sheet!V_KEYWORD_ISSR_208001535_SALES_SO_AFRICA</vt:lpstr>
      <vt:lpstr>ITX.MC_Validation_Sheet!V_KEYWORD_ISSR_208001535_SALES_SPA</vt:lpstr>
      <vt:lpstr>ITX.MC_Validation_Sheet!V_KEYWORD_ISSR_208001535_SALES_STEEL</vt:lpstr>
      <vt:lpstr>ITX.MC_Validation_Sheet!V_KEYWORD_ISSR_208001535_SALES_SWE</vt:lpstr>
      <vt:lpstr>ITX.MC_Validation_Sheet!V_KEYWORD_ISSR_208001535_SALES_SWIT</vt:lpstr>
      <vt:lpstr>ITX.MC_Validation_Sheet!V_KEYWORD_ISSR_208001535_SALES_TAIWAN</vt:lpstr>
      <vt:lpstr>ITX.MC_Validation_Sheet!V_KEYWORD_ISSR_208001535_SALES_THAILAND</vt:lpstr>
      <vt:lpstr>ITX.MC_Validation_Sheet!V_KEYWORD_ISSR_208001535_SALES_TOBACCO_LEAF</vt:lpstr>
      <vt:lpstr>ITX.MC_Validation_Sheet!V_KEYWORD_ISSR_208001535_SALES_TURKEY</vt:lpstr>
      <vt:lpstr>ITX.MC_Validation_Sheet!V_KEYWORD_ISSR_208001535_SALES_UAE</vt:lpstr>
      <vt:lpstr>ITX.MC_Validation_Sheet!V_KEYWORD_ISSR_208001535_SALES_UK</vt:lpstr>
      <vt:lpstr>ITX.MC_Validation_Sheet!V_KEYWORD_ISSR_208001535_SALES_US</vt:lpstr>
      <vt:lpstr>ITX.MC_Validation_Sheet!V_KEYWORD_ISSR_208001535_SALES_VENEZUELA</vt:lpstr>
      <vt:lpstr>ITX.MC_Validation_Sheet!V_KEYWORD_ISSR_208001535_SEL_GL_AD</vt:lpstr>
      <vt:lpstr>ITX.MC_Validation_Sheet!V_KEYWORD_ISSR_208001535_SGA_PCT_ROW</vt:lpstr>
      <vt:lpstr>ITX.MC_Validation_Sheet!V_KEYWORD_ISSR_208001535_SGA_PCT_US</vt:lpstr>
      <vt:lpstr>ITX.MC_Validation_Sheet!V_KEYWORD_ISSR_208001535_SH_REPUR</vt:lpstr>
      <vt:lpstr>ITX.MC_Validation_Sheet!V_KEYWORD_ISSR_208001535_SHORT_T_DEBT</vt:lpstr>
      <vt:lpstr>ITX.MC_Validation_Sheet!V_KEYWORD_ISSR_208001535_SHORT_TERM_LIABS</vt:lpstr>
      <vt:lpstr>ITX.MC_Validation_Sheet!V_KEYWORD_ISSR_208001535_ST_LEASE_LIAB</vt:lpstr>
      <vt:lpstr>ITX.MC_Validation_Sheet!V_KEYWORD_ISSR_208001535_STOCKS</vt:lpstr>
      <vt:lpstr>ITX.MC_Validation_Sheet!V_KEYWORD_ISSR_208001535_TOT_ASSET</vt:lpstr>
      <vt:lpstr>ITX.MC_Validation_Sheet!V_KEYWORD_ISSR_208001535_TOT_CF</vt:lpstr>
      <vt:lpstr>ITX.MC_Validation_Sheet!V_KEYWORD_ISSR_208001535_TOT_LIAB</vt:lpstr>
      <vt:lpstr>ITX.MC_Validation_Sheet!V_KEYWORD_ISSR_208001535_TOT_LIAB_EQ</vt:lpstr>
      <vt:lpstr>ITX.MC_Validation_Sheet!V_KEYWORD_ISSR_208001535_TOT_LT_LIAB</vt:lpstr>
      <vt:lpstr>ITX.MC_Validation_Sheet!V_KEYWORD_ISSR_208001535_TOT_OPS_EXP</vt:lpstr>
      <vt:lpstr>ITX.MC_Validation_Sheet!V_KEYWORD_ISSR_208001535_TOT_OPS_EXP_DDA</vt:lpstr>
      <vt:lpstr>ITX.MC_Validation_Sheet!V_KEYWORD_ISSR_208001535_TOT_PCT_USD_DEBT_HEDGED</vt:lpstr>
      <vt:lpstr>ITX.MC_Validation_Sheet!V_KEYWORD_ISSR_208001535_TOT_USD_DEBT</vt:lpstr>
      <vt:lpstr>ITX.MC_Validation_Sheet!V_KEYWORD_ISSR_208001535_UNF_PENS</vt:lpstr>
      <vt:lpstr>ITX.MC_Validation_Sheet!V_KEYWORD_ISSR_208001535_UNF_PENS_LIAB_OTH</vt:lpstr>
      <vt:lpstr>ITX.MC_Validation_Sheet!V_KEYWORD_ISSR_208001535_UNF_PENS_OFF</vt:lpstr>
      <vt:lpstr>ITX.MC_Validation_Sheet!V_KEYWORD_ISSR_208001535_WORK_CAP</vt:lpstr>
      <vt:lpstr>ITX.MC_Validation_Sheet!V_LIVEDATA_ISSR_208001535</vt:lpstr>
      <vt:lpstr>ITX.MC_Validation_Sheet!V_PERIOD_1997</vt:lpstr>
      <vt:lpstr>ITX.MC_Validation_Sheet!V_PERIOD_1998</vt:lpstr>
      <vt:lpstr>ITX.MC_Validation_Sheet!V_PERIOD_1999</vt:lpstr>
      <vt:lpstr>ITX.MC_Validation_Sheet!V_PERIOD_2000</vt:lpstr>
      <vt:lpstr>ITX.MC_Validation_Sheet!V_PERIOD_2001</vt:lpstr>
      <vt:lpstr>ITX.MC_Validation_Sheet!V_PERIOD_2002</vt:lpstr>
      <vt:lpstr>ITX.MC_Validation_Sheet!V_PERIOD_2003</vt:lpstr>
      <vt:lpstr>ITX.MC_Validation_Sheet!V_PERIOD_2004</vt:lpstr>
      <vt:lpstr>ITX.MC_Validation_Sheet!V_PERIOD_2004_Q1</vt:lpstr>
      <vt:lpstr>ITX.MC_Validation_Sheet!V_PERIOD_2004_Q2</vt:lpstr>
      <vt:lpstr>ITX.MC_Validation_Sheet!V_PERIOD_2004_Q3</vt:lpstr>
      <vt:lpstr>ITX.MC_Validation_Sheet!V_PERIOD_2004_Q4</vt:lpstr>
      <vt:lpstr>ITX.MC_Validation_Sheet!V_PERIOD_2005</vt:lpstr>
      <vt:lpstr>ITX.MC_Validation_Sheet!V_PERIOD_2005_Q1</vt:lpstr>
      <vt:lpstr>ITX.MC_Validation_Sheet!V_PERIOD_2005_Q2</vt:lpstr>
      <vt:lpstr>ITX.MC_Validation_Sheet!V_PERIOD_2005_Q3</vt:lpstr>
      <vt:lpstr>ITX.MC_Validation_Sheet!V_PERIOD_2005_Q4</vt:lpstr>
      <vt:lpstr>ITX.MC_Validation_Sheet!V_PERIOD_2006</vt:lpstr>
      <vt:lpstr>ITX.MC_Validation_Sheet!V_PERIOD_2006_Q1</vt:lpstr>
      <vt:lpstr>ITX.MC_Validation_Sheet!V_PERIOD_2006_Q2</vt:lpstr>
      <vt:lpstr>ITX.MC_Validation_Sheet!V_PERIOD_2006_Q3</vt:lpstr>
      <vt:lpstr>ITX.MC_Validation_Sheet!V_PERIOD_2006_Q4</vt:lpstr>
      <vt:lpstr>ITX.MC_Validation_Sheet!V_PERIOD_2007</vt:lpstr>
      <vt:lpstr>ITX.MC_Validation_Sheet!V_PERIOD_2007_Q1</vt:lpstr>
      <vt:lpstr>ITX.MC_Validation_Sheet!V_PERIOD_2007_Q2</vt:lpstr>
      <vt:lpstr>ITX.MC_Validation_Sheet!V_PERIOD_2007_Q3</vt:lpstr>
      <vt:lpstr>ITX.MC_Validation_Sheet!V_PERIOD_2007_Q4</vt:lpstr>
      <vt:lpstr>ITX.MC_Validation_Sheet!V_PERIOD_2008</vt:lpstr>
      <vt:lpstr>ITX.MC_Validation_Sheet!V_PERIOD_2008_Q1</vt:lpstr>
      <vt:lpstr>ITX.MC_Validation_Sheet!V_PERIOD_2008_Q2</vt:lpstr>
      <vt:lpstr>ITX.MC_Validation_Sheet!V_PERIOD_2008_Q3</vt:lpstr>
      <vt:lpstr>ITX.MC_Validation_Sheet!V_PERIOD_2008_Q4</vt:lpstr>
      <vt:lpstr>ITX.MC_Validation_Sheet!V_PERIOD_2009</vt:lpstr>
      <vt:lpstr>ITX.MC_Validation_Sheet!V_PERIOD_2009_Q1</vt:lpstr>
      <vt:lpstr>ITX.MC_Validation_Sheet!V_PERIOD_2009_Q2</vt:lpstr>
      <vt:lpstr>ITX.MC_Validation_Sheet!V_PERIOD_2009_Q3</vt:lpstr>
      <vt:lpstr>ITX.MC_Validation_Sheet!V_PERIOD_2009_Q4</vt:lpstr>
      <vt:lpstr>ITX.MC_Validation_Sheet!V_PERIOD_2010</vt:lpstr>
      <vt:lpstr>ITX.MC_Validation_Sheet!V_PERIOD_2010_Q1</vt:lpstr>
      <vt:lpstr>ITX.MC_Validation_Sheet!V_PERIOD_2010_Q2</vt:lpstr>
      <vt:lpstr>ITX.MC_Validation_Sheet!V_PERIOD_2010_Q3</vt:lpstr>
      <vt:lpstr>ITX.MC_Validation_Sheet!V_PERIOD_2010_Q4</vt:lpstr>
      <vt:lpstr>ITX.MC_Validation_Sheet!V_PERIOD_2011</vt:lpstr>
      <vt:lpstr>ITX.MC_Validation_Sheet!V_PERIOD_2011_Q1</vt:lpstr>
      <vt:lpstr>ITX.MC_Validation_Sheet!V_PERIOD_2011_Q2</vt:lpstr>
      <vt:lpstr>ITX.MC_Validation_Sheet!V_PERIOD_2011_Q3</vt:lpstr>
      <vt:lpstr>ITX.MC_Validation_Sheet!V_PERIOD_2011_Q4</vt:lpstr>
      <vt:lpstr>ITX.MC_Validation_Sheet!V_PERIOD_2012</vt:lpstr>
      <vt:lpstr>ITX.MC_Validation_Sheet!V_PERIOD_2012_Q1</vt:lpstr>
      <vt:lpstr>ITX.MC_Validation_Sheet!V_PERIOD_2012_Q2</vt:lpstr>
      <vt:lpstr>ITX.MC_Validation_Sheet!V_PERIOD_2012_Q3</vt:lpstr>
      <vt:lpstr>ITX.MC_Validation_Sheet!V_PERIOD_2012_Q4</vt:lpstr>
      <vt:lpstr>ITX.MC_Validation_Sheet!V_PERIOD_2013</vt:lpstr>
      <vt:lpstr>ITX.MC_Validation_Sheet!V_PERIOD_2013_Q1</vt:lpstr>
      <vt:lpstr>ITX.MC_Validation_Sheet!V_PERIOD_2013_Q2</vt:lpstr>
      <vt:lpstr>ITX.MC_Validation_Sheet!V_PERIOD_2013_Q3</vt:lpstr>
      <vt:lpstr>ITX.MC_Validation_Sheet!V_PERIOD_2013_Q4</vt:lpstr>
      <vt:lpstr>ITX.MC_Validation_Sheet!V_PERIOD_2014</vt:lpstr>
      <vt:lpstr>ITX.MC_Validation_Sheet!V_PERIOD_2014_Q1</vt:lpstr>
      <vt:lpstr>ITX.MC_Validation_Sheet!V_PERIOD_2014_Q2</vt:lpstr>
      <vt:lpstr>ITX.MC_Validation_Sheet!V_PERIOD_2014_Q3</vt:lpstr>
      <vt:lpstr>ITX.MC_Validation_Sheet!V_PERIOD_2014_Q4</vt:lpstr>
      <vt:lpstr>ITX.MC_Validation_Sheet!V_PERIOD_2015</vt:lpstr>
      <vt:lpstr>ITX.MC_Validation_Sheet!V_PERIOD_2015_Q1</vt:lpstr>
      <vt:lpstr>ITX.MC_Validation_Sheet!V_PERIOD_2015_Q2</vt:lpstr>
      <vt:lpstr>ITX.MC_Validation_Sheet!V_PERIOD_2015_Q3</vt:lpstr>
      <vt:lpstr>ITX.MC_Validation_Sheet!V_PERIOD_2015_Q4</vt:lpstr>
      <vt:lpstr>ITX.MC_Validation_Sheet!V_PERIOD_2016</vt:lpstr>
      <vt:lpstr>ITX.MC_Validation_Sheet!V_PERIOD_2016_Q1</vt:lpstr>
      <vt:lpstr>ITX.MC_Validation_Sheet!V_PERIOD_2016_Q2</vt:lpstr>
      <vt:lpstr>ITX.MC_Validation_Sheet!V_PERIOD_2016_Q3</vt:lpstr>
      <vt:lpstr>ITX.MC_Validation_Sheet!V_PERIOD_2016_Q4</vt:lpstr>
      <vt:lpstr>ITX.MC_Validation_Sheet!V_PERIOD_2017</vt:lpstr>
      <vt:lpstr>ITX.MC_Validation_Sheet!V_PERIOD_2017_Q1</vt:lpstr>
      <vt:lpstr>ITX.MC_Validation_Sheet!V_PERIOD_2017_Q2</vt:lpstr>
      <vt:lpstr>ITX.MC_Validation_Sheet!V_PERIOD_2017_Q3</vt:lpstr>
      <vt:lpstr>ITX.MC_Validation_Sheet!V_PERIOD_2017_Q4</vt:lpstr>
      <vt:lpstr>ITX.MC_Validation_Sheet!V_PERIOD_2018</vt:lpstr>
      <vt:lpstr>ITX.MC_Validation_Sheet!V_PERIOD_2018_Q1</vt:lpstr>
      <vt:lpstr>ITX.MC_Validation_Sheet!V_PERIOD_2018_Q2</vt:lpstr>
      <vt:lpstr>ITX.MC_Validation_Sheet!V_PERIOD_2018_Q3</vt:lpstr>
      <vt:lpstr>ITX.MC_Validation_Sheet!V_PERIOD_2018_Q4</vt:lpstr>
      <vt:lpstr>ITX.MC_Validation_Sheet!V_PERIOD_2019</vt:lpstr>
      <vt:lpstr>ITX.MC_Validation_Sheet!V_PERIOD_2019_Q1</vt:lpstr>
      <vt:lpstr>ITX.MC_Validation_Sheet!V_PERIOD_2019_Q2</vt:lpstr>
      <vt:lpstr>ITX.MC_Validation_Sheet!V_PERIOD_2019_Q3</vt:lpstr>
      <vt:lpstr>ITX.MC_Validation_Sheet!V_PERIOD_2019_Q4</vt:lpstr>
      <vt:lpstr>ITX.MC_Validation_Sheet!V_PERIOD_2020</vt:lpstr>
      <vt:lpstr>ITX.MC_Validation_Sheet!V_PERIOD_2020_Q1</vt:lpstr>
      <vt:lpstr>ITX.MC_Validation_Sheet!V_PERIOD_2020_Q2</vt:lpstr>
      <vt:lpstr>ITX.MC_Validation_Sheet!V_PERIOD_2020_Q3</vt:lpstr>
      <vt:lpstr>ITX.MC_Validation_Sheet!V_PERIOD_2020_Q4</vt:lpstr>
      <vt:lpstr>ITX.MC_Validation_Sheet!V_PERIOD_2021</vt:lpstr>
      <vt:lpstr>ITX.MC_Validation_Sheet!V_PERIOD_2021_Q1</vt:lpstr>
      <vt:lpstr>ITX.MC_Validation_Sheet!V_PERIOD_2021_Q2</vt:lpstr>
      <vt:lpstr>ITX.MC_Validation_Sheet!V_PERIOD_2021_Q3</vt:lpstr>
      <vt:lpstr>ITX.MC_Validation_Sheet!V_PERIOD_2021_Q4</vt:lpstr>
      <vt:lpstr>ITX.MC_Validation_Sheet!V_PERIOD_2022</vt:lpstr>
      <vt:lpstr>ITX.MC_Validation_Sheet!V_PERIOD_2022_Q1</vt:lpstr>
      <vt:lpstr>ITX.MC_Validation_Sheet!V_PERIOD_2022_Q2</vt:lpstr>
      <vt:lpstr>ITX.MC_Validation_Sheet!V_PERIOD_2022_Q3</vt:lpstr>
      <vt:lpstr>ITX.MC_Validation_Sheet!V_PERIOD_2022_Q4</vt:lpstr>
      <vt:lpstr>ITX.MC_Validation_Sheet!V_PERIOD_2023</vt:lpstr>
      <vt:lpstr>ITX.MC_Validation_Sheet!V_PERIOD_2023_Q1</vt:lpstr>
      <vt:lpstr>ITX.MC_Validation_Sheet!V_PERIOD_2023_Q2</vt:lpstr>
      <vt:lpstr>ITX.MC_Validation_Sheet!V_PERIOD_2023_Q3</vt:lpstr>
      <vt:lpstr>ITX.MC_Validation_Sheet!V_PERIOD_2023_Q4</vt:lpstr>
      <vt:lpstr>ITX.MC_Validation_Sheet!V_PERIOD_2024</vt:lpstr>
      <vt:lpstr>ITX.MC_Validation_Sheet!V_PERIOD_2025</vt:lpstr>
      <vt:lpstr>ITX.MC_Validation_Sheet!V_PERIOD_2026</vt:lpstr>
      <vt:lpstr>ITX.MC_Validation_Sheet!V_SECTION_ISSR_208001535_1314</vt:lpstr>
      <vt:lpstr>ITX.MC_Validation_Sheet!V_SECTION_ISSR_208001535_13168</vt:lpstr>
      <vt:lpstr>ITX.MC_Validation_Sheet!V_SECTION_ISSR_208001535_1316S</vt:lpstr>
      <vt:lpstr>ITX.MC_Validation_Sheet!V_SECTION_ISSR_208001535_1316T</vt:lpstr>
      <vt:lpstr>ITX.MC_Validation_Sheet!V_SECTION_ISSR_208001535_1316U</vt:lpstr>
      <vt:lpstr>ITX.MC_Validation_Sheet!V_SECTION_ISSR_208001535_1319</vt:lpstr>
      <vt:lpstr>ITX.MC_Validation_Sheet!V_SECTION_ISSR_208001535_131E</vt:lpstr>
      <vt:lpstr>ITX.MC_Validation_Sheet!V_SECTION_ISSR_208001535_131J</vt:lpstr>
      <vt:lpstr>ITX.MC_Validation_Sheet!V_SECTION_ISSR_208001535_131O</vt:lpstr>
      <vt:lpstr>ITX.MC_Validation_Sheet!V_SECTION_ISSR_208001535_131P</vt:lpstr>
      <vt:lpstr>ITX.MC_Validation_Sheet!V_SECTION_ISSR_208001535_13A</vt:lpstr>
      <vt:lpstr>ITX.MC_Validation_Sheet!V_SECTION_ISSR_208001535_13U</vt:lpstr>
      <vt:lpstr>ITX.MC_Validation_Sheet!V_SECTION_ISSR_208001535_13V</vt:lpstr>
      <vt:lpstr>ITX.MC_Validation_Sheet!V_SECTION_ISSR_208001535_Reference_Data</vt:lpstr>
      <vt:lpstr>ITX.MC_Validation_Sheet!V_TEMPLATEHASH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Hoffmann</dc:creator>
  <cp:lastModifiedBy>Edwards, Richard D F [GIR]</cp:lastModifiedBy>
  <cp:lastPrinted>2026-09-24T13:29:20Z</cp:lastPrinted>
  <dcterms:created xsi:type="dcterms:W3CDTF">2019-06-10T15:55:41Z</dcterms:created>
  <dcterms:modified xsi:type="dcterms:W3CDTF">2026-09-24T15:01:14Z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65458f74-0667-46be-a1f9-c890063ea06d</vt:lpwstr>
  </property>
  <property fmtid="{D5CDD505-2E9C-101B-9397-08002B2CF9AE}" pid="3" name="Classification">
    <vt:lpwstr>I</vt:lpwstr>
  </property>
  <property fmtid="{D5CDD505-2E9C-101B-9397-08002B2CF9AE}" pid="4" name="GSRUdf">
    <vt:lpwstr>True</vt:lpwstr>
  </property>
  <property fmtid="{D5CDD505-2E9C-101B-9397-08002B2CF9AE}" pid="5" name="DocNoClass">
    <vt:lpwstr>Not In Use</vt:lpwstr>
  </property>
</Properties>
</file>