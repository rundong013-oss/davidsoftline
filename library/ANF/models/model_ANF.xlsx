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40" tabRatio="742"/>
  </bookViews>
  <sheets>
    <sheet name="Cover" sheetId="18" r:id="rId1"/>
    <sheet name="Rev Driver" sheetId="1" r:id="rId2"/>
    <sheet name="IS" sheetId="2" r:id="rId3"/>
    <sheet name="BS" sheetId="7" r:id="rId4"/>
    <sheet name="SCF" sheetId="9" r:id="rId5"/>
  </sheets>
  <definedNames>
    <definedName name="A_ALL_ANF">#REF!</definedName>
    <definedName name="E_ALL_ANF">#REF!</definedName>
    <definedName name="L_ALL_ANF">#REF!</definedName>
    <definedName name="_xlnm.Print_Area" localSheetId="2">IS!$A$1:$AY$46</definedName>
    <definedName name="_xlnm.Print_Area" localSheetId="1">'Rev Driver'!$A$1:$AY$45</definedName>
    <definedName name="V_ALL_AN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<sst xmlns="http://schemas.openxmlformats.org/spreadsheetml/2006/main" count="627" uniqueCount="334">
  <si>
    <t>Abercrombie &amp; Fitch (ANF)</t>
  </si>
  <si>
    <t>COMPANY MODEL</t>
  </si>
  <si>
    <t>Sources: Company data, Goldman Sachs Global Investment Research</t>
  </si>
  <si>
    <t>Date: September 08, 2026</t>
  </si>
  <si>
    <t>Jon Keypour</t>
  </si>
  <si>
    <t>Vice President</t>
  </si>
  <si>
    <t>tel: 212-934-0334</t>
  </si>
  <si>
    <t>jon.keypour@gs.com</t>
  </si>
  <si>
    <t>Kareem Elbadrawi</t>
  </si>
  <si>
    <t>Analyst</t>
  </si>
  <si>
    <t>tel: 212-902-7320</t>
  </si>
  <si>
    <t>kareem.elbadrawi@gs.com</t>
  </si>
  <si>
    <t>ANF Rev. Driver</t>
  </si>
  <si>
    <t>Period</t>
  </si>
  <si>
    <t>FY15</t>
  </si>
  <si>
    <t>FY16</t>
  </si>
  <si>
    <t>FY17</t>
  </si>
  <si>
    <t>FY18</t>
  </si>
  <si>
    <t>FY19</t>
  </si>
  <si>
    <t>1Q20</t>
  </si>
  <si>
    <t>2Q20</t>
  </si>
  <si>
    <t>3Q20</t>
  </si>
  <si>
    <t>4Q20</t>
  </si>
  <si>
    <t>FY20</t>
  </si>
  <si>
    <t>1Q21</t>
  </si>
  <si>
    <t>2Q21</t>
  </si>
  <si>
    <t>3Q21</t>
  </si>
  <si>
    <t>4Q21</t>
  </si>
  <si>
    <t>FY21</t>
  </si>
  <si>
    <t>1Q22</t>
  </si>
  <si>
    <t>2Q22</t>
  </si>
  <si>
    <t>3Q22</t>
  </si>
  <si>
    <t>4Q22</t>
  </si>
  <si>
    <t>FY22</t>
  </si>
  <si>
    <t>1Q23</t>
  </si>
  <si>
    <t>2Q23</t>
  </si>
  <si>
    <t>3Q23</t>
  </si>
  <si>
    <t>4Q23</t>
  </si>
  <si>
    <t>FY23</t>
  </si>
  <si>
    <t>1Q24</t>
  </si>
  <si>
    <t>2Q24</t>
  </si>
  <si>
    <t>3Q24</t>
  </si>
  <si>
    <t>4Q24</t>
  </si>
  <si>
    <t>FY24</t>
  </si>
  <si>
    <t>1Q25</t>
  </si>
  <si>
    <t>2Q25</t>
  </si>
  <si>
    <t>3Q25</t>
  </si>
  <si>
    <t>4Q25</t>
  </si>
  <si>
    <t>FY25</t>
  </si>
  <si>
    <t>1Q26</t>
  </si>
  <si>
    <t>2Q26</t>
  </si>
  <si>
    <t>3Q26E</t>
  </si>
  <si>
    <t>4Q26E</t>
  </si>
  <si>
    <t>FY26E</t>
  </si>
  <si>
    <t>1Q27E</t>
  </si>
  <si>
    <t>2Q27E</t>
  </si>
  <si>
    <t>3Q27E</t>
  </si>
  <si>
    <t>4Q27E</t>
  </si>
  <si>
    <t>FY27E</t>
  </si>
  <si>
    <t>1Q28E</t>
  </si>
  <si>
    <t>2Q28E</t>
  </si>
  <si>
    <t>3Q28E</t>
  </si>
  <si>
    <t>4Q28E</t>
  </si>
  <si>
    <t>FY28E</t>
  </si>
  <si>
    <t>End Date</t>
  </si>
  <si>
    <t>Wks. In Q</t>
  </si>
  <si>
    <t>Segments by Brand</t>
  </si>
  <si>
    <t>x</t>
  </si>
  <si>
    <t>Abercrombie</t>
  </si>
  <si>
    <t>Hollister</t>
  </si>
  <si>
    <t>Total</t>
  </si>
  <si>
    <t>Check</t>
  </si>
  <si>
    <t>Sales Drivers</t>
  </si>
  <si>
    <t>Net Sales</t>
  </si>
  <si>
    <t>Total ANF</t>
  </si>
  <si>
    <t>Comparable Sales</t>
  </si>
  <si>
    <t>FX $ Impact</t>
  </si>
  <si>
    <t>Assumed</t>
  </si>
  <si>
    <t>FX % Impact</t>
  </si>
  <si>
    <t>Non-Comp/Other Impact</t>
  </si>
  <si>
    <t>Sales Weights</t>
  </si>
  <si>
    <t>Seasonality</t>
  </si>
  <si>
    <t>Segments by Geography (NON-DRIVER)</t>
  </si>
  <si>
    <t>Americas</t>
  </si>
  <si>
    <t>EMEA</t>
  </si>
  <si>
    <t>APAC</t>
  </si>
  <si>
    <t>N/A</t>
  </si>
  <si>
    <t>Non-Comp/Other</t>
  </si>
  <si>
    <t>FX</t>
  </si>
  <si>
    <t>Operating Income &amp; Margin</t>
  </si>
  <si>
    <t>Operating Income</t>
  </si>
  <si>
    <t>Not attributable</t>
  </si>
  <si>
    <t>Operating Margin</t>
  </si>
  <si>
    <t>Margin Bps. Chg. YoY</t>
  </si>
  <si>
    <t>OI % Chg. YoY</t>
  </si>
  <si>
    <t>Stores &amp; Distrib.</t>
  </si>
  <si>
    <t>MG&amp;A</t>
  </si>
  <si>
    <t>COGS (excl D&amp;A) by Region</t>
  </si>
  <si>
    <t>COGS Margin by Region</t>
  </si>
  <si>
    <t>Selling Exp by Region</t>
  </si>
  <si>
    <t>Selling Exp Margin by Region</t>
  </si>
  <si>
    <t>Store Counts</t>
  </si>
  <si>
    <t>Abercrombie Additions</t>
  </si>
  <si>
    <t>Hollister Additions</t>
  </si>
  <si>
    <t>Net Addition</t>
  </si>
  <si>
    <t>Square Footage (in thousands)</t>
  </si>
  <si>
    <t>Store Counts OLD SPLIT</t>
  </si>
  <si>
    <t>US</t>
  </si>
  <si>
    <t>International</t>
  </si>
  <si>
    <t>Total Abercrombie</t>
  </si>
  <si>
    <t>Total Hollister</t>
  </si>
  <si>
    <t>Store Economics</t>
  </si>
  <si>
    <t>$ Sales/Store</t>
  </si>
  <si>
    <t>% Chg. YoY</t>
  </si>
  <si>
    <t>$ Sales/Sq ft</t>
  </si>
  <si>
    <t>Avg. Sq ft/Store</t>
  </si>
  <si>
    <t>Avg. Size of New Builds</t>
  </si>
  <si>
    <t>Three Year Comp Sales Growth</t>
  </si>
  <si>
    <t>Abercrombie compounded growth</t>
  </si>
  <si>
    <t>Hollister compounded growth</t>
  </si>
  <si>
    <t>Employee Count</t>
  </si>
  <si>
    <t>Total associates</t>
  </si>
  <si>
    <t>Part-time</t>
  </si>
  <si>
    <t>Full-time</t>
  </si>
  <si>
    <t>Consensus</t>
  </si>
  <si>
    <t>Current GSe</t>
  </si>
  <si>
    <t>Abercrombie Sales</t>
  </si>
  <si>
    <t>Comp</t>
  </si>
  <si>
    <t>Non-Comp (inc FX)</t>
  </si>
  <si>
    <t>Hollister Sales</t>
  </si>
  <si>
    <t>Total Sales</t>
  </si>
  <si>
    <t>Current VAe</t>
  </si>
  <si>
    <t>3Q27</t>
  </si>
  <si>
    <t>4Q27</t>
  </si>
  <si>
    <t>FY27</t>
  </si>
  <si>
    <t>1Q28</t>
  </si>
  <si>
    <t>2Q28</t>
  </si>
  <si>
    <t>3Q28</t>
  </si>
  <si>
    <t>4Q28</t>
  </si>
  <si>
    <t>FY28</t>
  </si>
  <si>
    <t>1Q29</t>
  </si>
  <si>
    <t>2Q29</t>
  </si>
  <si>
    <t>3Q29</t>
  </si>
  <si>
    <t>4Q29</t>
  </si>
  <si>
    <t>FY29</t>
  </si>
  <si>
    <t>Current GSe vs VAe</t>
  </si>
  <si>
    <t xml:space="preserve">Prior GSe </t>
  </si>
  <si>
    <t>Current GSe vs Prior</t>
  </si>
  <si>
    <t>ANF P&amp;L</t>
  </si>
  <si>
    <t>Old Opex &lt;-|</t>
  </si>
  <si>
    <t>|-&gt; New Opex</t>
  </si>
  <si>
    <t>Date end</t>
  </si>
  <si>
    <t># Weeks</t>
  </si>
  <si>
    <t>COGS</t>
  </si>
  <si>
    <t>Adj. Gross Profit</t>
  </si>
  <si>
    <t>Selling Exp.</t>
  </si>
  <si>
    <t>G&amp;A Exp.</t>
  </si>
  <si>
    <t>Other Loss/(Inc.)</t>
  </si>
  <si>
    <t>Adj. Operating Income</t>
  </si>
  <si>
    <t>Interest Exp. Net</t>
  </si>
  <si>
    <t>Adj. Pre-Tax Income</t>
  </si>
  <si>
    <t>Tax</t>
  </si>
  <si>
    <t>NCI</t>
  </si>
  <si>
    <t>Adj. Net Income</t>
  </si>
  <si>
    <t>Diluted EPS</t>
  </si>
  <si>
    <t>Diluted Shares Out</t>
  </si>
  <si>
    <t>Adj. to Net Income</t>
  </si>
  <si>
    <t>GAAP Net Income</t>
  </si>
  <si>
    <t>GAAP EPS</t>
  </si>
  <si>
    <t>Margin Analysis</t>
  </si>
  <si>
    <t>Gross Margin</t>
  </si>
  <si>
    <t>YoY Chg.</t>
  </si>
  <si>
    <t>Selling Margin</t>
  </si>
  <si>
    <t>Marketing</t>
  </si>
  <si>
    <t>Store Expense</t>
  </si>
  <si>
    <t xml:space="preserve">Fulfillment </t>
  </si>
  <si>
    <t>Other</t>
  </si>
  <si>
    <t>G&amp;A Margin</t>
  </si>
  <si>
    <t>Employee comp</t>
  </si>
  <si>
    <t>Outside services</t>
  </si>
  <si>
    <t>Tax Rate</t>
  </si>
  <si>
    <t>NCI % of Pretax</t>
  </si>
  <si>
    <t>Gross Profit</t>
  </si>
  <si>
    <t>G&amp;A</t>
  </si>
  <si>
    <t>Pre-Tax Income</t>
  </si>
  <si>
    <t>Net Income</t>
  </si>
  <si>
    <t>EPS</t>
  </si>
  <si>
    <t>EBITDA/R</t>
  </si>
  <si>
    <t>D&amp;A</t>
  </si>
  <si>
    <t>Adj. EBITDA</t>
  </si>
  <si>
    <t>Margin</t>
  </si>
  <si>
    <t>Chg. YoY</t>
  </si>
  <si>
    <t>EBITDAR</t>
  </si>
  <si>
    <t>Operating Lease (excl. impairment)</t>
  </si>
  <si>
    <t>Op. Lease Margin</t>
  </si>
  <si>
    <t>Est. Tariff $ Impact ($mil)</t>
  </si>
  <si>
    <t>Bps impact (benefit) to GM</t>
  </si>
  <si>
    <t>Interest expense, net</t>
  </si>
  <si>
    <t>Interest expense</t>
  </si>
  <si>
    <t>Interest income</t>
  </si>
  <si>
    <t>Interest expense (income), net</t>
  </si>
  <si>
    <t>GSe</t>
  </si>
  <si>
    <t>EBIT</t>
  </si>
  <si>
    <t>EBITDA</t>
  </si>
  <si>
    <t>VAe</t>
  </si>
  <si>
    <t>GSe vs VAe</t>
  </si>
  <si>
    <t>Prior GSe</t>
  </si>
  <si>
    <t>Current vs Prior GSe</t>
  </si>
  <si>
    <t>FactSet</t>
  </si>
  <si>
    <t>3Q26</t>
  </si>
  <si>
    <t>4Q26</t>
  </si>
  <si>
    <t>FY26</t>
  </si>
  <si>
    <t>1Q27</t>
  </si>
  <si>
    <t>2Q27</t>
  </si>
  <si>
    <t>ANF Balance Sheet</t>
  </si>
  <si>
    <t>Cash &amp; Equiv.</t>
  </si>
  <si>
    <t>Marketable Securities</t>
  </si>
  <si>
    <t>Receivables</t>
  </si>
  <si>
    <t>Inventories</t>
  </si>
  <si>
    <t>Other CA</t>
  </si>
  <si>
    <t>Total CA</t>
  </si>
  <si>
    <t>PP&amp;E</t>
  </si>
  <si>
    <t>Op. Lease ROU</t>
  </si>
  <si>
    <t>Other NCA</t>
  </si>
  <si>
    <t>Total Assets</t>
  </si>
  <si>
    <t>Acc. Payable</t>
  </si>
  <si>
    <t>Accrued Exp.</t>
  </si>
  <si>
    <t>ST of Op. Lease Liabilities</t>
  </si>
  <si>
    <t>ST of deferred lease credits</t>
  </si>
  <si>
    <t>ST of borrowings</t>
  </si>
  <si>
    <t>Taxes Payable</t>
  </si>
  <si>
    <t>Total CL</t>
  </si>
  <si>
    <t>LT of Op. Lease Liabilities</t>
  </si>
  <si>
    <t>LT borrowings, net</t>
  </si>
  <si>
    <t>Other LT liabilities</t>
  </si>
  <si>
    <t>Total Liabilities</t>
  </si>
  <si>
    <t>Shareholder's Equity</t>
  </si>
  <si>
    <t>Total Liabilities + SE</t>
  </si>
  <si>
    <t>Income Statement items</t>
  </si>
  <si>
    <t>Sales</t>
  </si>
  <si>
    <t>TTM Sales</t>
  </si>
  <si>
    <t>TTM COGS</t>
  </si>
  <si>
    <t>Cash Conversion</t>
  </si>
  <si>
    <t>Inventory Analysis</t>
  </si>
  <si>
    <t>Inventory Growth YoY</t>
  </si>
  <si>
    <t>Avg. Inventory YoY</t>
  </si>
  <si>
    <t>Inventory Turns</t>
  </si>
  <si>
    <t>Days Inventory</t>
  </si>
  <si>
    <t>Receivables Analysis</t>
  </si>
  <si>
    <t>Receivables Growth YoY</t>
  </si>
  <si>
    <t>Avg. Receivables YoY</t>
  </si>
  <si>
    <t>Receivables Turns</t>
  </si>
  <si>
    <t>Days Receivable</t>
  </si>
  <si>
    <t>Payables Analysis</t>
  </si>
  <si>
    <t>Payables Growth YoY</t>
  </si>
  <si>
    <t>Avg. Payables YoY</t>
  </si>
  <si>
    <t>Payables Turns</t>
  </si>
  <si>
    <t>Days Payable</t>
  </si>
  <si>
    <t>Operating Cashflow</t>
  </si>
  <si>
    <t>Free Cashflow</t>
  </si>
  <si>
    <t>Cash Conversion Cycle</t>
  </si>
  <si>
    <t>Lease Right of Use Items</t>
  </si>
  <si>
    <t>Asset Seq. chg</t>
  </si>
  <si>
    <t>Liability Seq. chg</t>
  </si>
  <si>
    <t>ST proportion of Liability</t>
  </si>
  <si>
    <t xml:space="preserve">Ratio Analysis </t>
  </si>
  <si>
    <t>Cash and Cash Equivalents</t>
  </si>
  <si>
    <t>Cash as a % of TTM Net Sales</t>
  </si>
  <si>
    <t>Cash Per Share</t>
  </si>
  <si>
    <t>Book Value Per Share</t>
  </si>
  <si>
    <t>Working Capital</t>
  </si>
  <si>
    <t>Return on Average Assets (ROA)</t>
  </si>
  <si>
    <t>Return on Average Equity (ROE)</t>
  </si>
  <si>
    <t>Return on Invested Capital (ROIC)</t>
  </si>
  <si>
    <t>Current Ratio</t>
  </si>
  <si>
    <t>Quick Ratio</t>
  </si>
  <si>
    <t>Interest Coverage</t>
  </si>
  <si>
    <t>Debt/Equity</t>
  </si>
  <si>
    <t>Debt/Total Capital</t>
  </si>
  <si>
    <t>Leverage Ratios:</t>
  </si>
  <si>
    <t>Total Debt</t>
  </si>
  <si>
    <t>Cash</t>
  </si>
  <si>
    <t>Net Debt</t>
  </si>
  <si>
    <t>Net Interest Expense. (Income)</t>
  </si>
  <si>
    <t>Effective Int. Rate</t>
  </si>
  <si>
    <t>Total Adj. Debt (incl. op lease liabilities)</t>
  </si>
  <si>
    <t>Net Adj. Debt (incl. op lease liabilities)</t>
  </si>
  <si>
    <t>TTM EBITDA</t>
  </si>
  <si>
    <t>Leverage Ratio (Total Debt/EBITDA)</t>
  </si>
  <si>
    <t>Net Leverage Ratio (Net Debt / EBITDA)</t>
  </si>
  <si>
    <t>Inventory Cost Grw</t>
  </si>
  <si>
    <t>Inventory Unity Grw</t>
  </si>
  <si>
    <t>Unit Cost Grw</t>
  </si>
  <si>
    <t>ANF Statement of Cash Flow</t>
  </si>
  <si>
    <t>Other amort, impairment, disposal</t>
  </si>
  <si>
    <t>Provision for Def. Tax</t>
  </si>
  <si>
    <t>Share-based Comp</t>
  </si>
  <si>
    <t>Loss on ext. of debt</t>
  </si>
  <si>
    <t>A/P &amp; Accrued Exp.</t>
  </si>
  <si>
    <t>Op. lease ROU Assets + Liab.</t>
  </si>
  <si>
    <t>Income taxes</t>
  </si>
  <si>
    <t>All Other</t>
  </si>
  <si>
    <t>Cash from Operations</t>
  </si>
  <si>
    <t>Proceeds from maturities</t>
  </si>
  <si>
    <t>Proceeds from sale of property and equipment</t>
  </si>
  <si>
    <t>Other investing activities</t>
  </si>
  <si>
    <t>CAPEX</t>
  </si>
  <si>
    <t>Cash from Investing</t>
  </si>
  <si>
    <t>Debt</t>
  </si>
  <si>
    <t>Stock Repurchase</t>
  </si>
  <si>
    <t>for Tax Withholding</t>
  </si>
  <si>
    <t>Other Financing</t>
  </si>
  <si>
    <t>Cash from Financing</t>
  </si>
  <si>
    <t>FX:</t>
  </si>
  <si>
    <t>Net Chg. In Cash</t>
  </si>
  <si>
    <t>Starting Cash</t>
  </si>
  <si>
    <t>Ending Cash</t>
  </si>
  <si>
    <t>-Less Restricted Cash</t>
  </si>
  <si>
    <t>Cash on Balance Sheet</t>
  </si>
  <si>
    <t>PP&amp;E accrued in A/P</t>
  </si>
  <si>
    <t>Op. lease ROU asset additions, net</t>
  </si>
  <si>
    <t>D&amp;A to TTM Sales</t>
  </si>
  <si>
    <t>CAPEX to TTM Sales</t>
  </si>
  <si>
    <t>SBC to Sales (Q)</t>
  </si>
  <si>
    <t>FCF</t>
  </si>
  <si>
    <t>FCF Conversion</t>
  </si>
  <si>
    <t>FCF per Share</t>
  </si>
  <si>
    <t>Share Repurchase</t>
  </si>
  <si>
    <t>Diluted Shares Outstanding</t>
  </si>
  <si>
    <t>Dollar value of Buybacks</t>
  </si>
  <si>
    <t>Shares Repurchased (000s)</t>
  </si>
  <si>
    <t>Implied avg. cost per share</t>
  </si>
  <si>
    <t>Sequential chg. In shares</t>
  </si>
  <si>
    <t>Other Dilutive/(Accretive) Impact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</si>
</sst>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[$-409]d\-mmm\-yy;@"/>
    <numFmt numFmtId="178" formatCode="0.0%"/>
    <numFmt numFmtId="179" formatCode="&quot;$&quot;#,##0_);\(&quot;$&quot;#,##0\)"/>
    <numFmt numFmtId="180" formatCode="&quot;$&quot;#,##0.00_);\(&quot;$&quot;#,##0.00\)"/>
    <numFmt numFmtId="181" formatCode="0.0&quot;x&quot;"/>
    <numFmt numFmtId="182" formatCode="#,##0.0_);\(#,##0.0\)"/>
    <numFmt numFmtId="183" formatCode="0.0"/>
    <numFmt numFmtId="184" formatCode="0.00_);\(0.00\)"/>
    <numFmt numFmtId="185" formatCode="#,##0.00\x_);\(#,##0.00\x\)"/>
    <numFmt numFmtId="186" formatCode="_(* #,##0_);_(* \(#,##0\);_(* &quot;-&quot;??_);_(@_)"/>
    <numFmt numFmtId="187" formatCode="#,##0_)&quot;bps&quot;;\(#,##0&quot; bps&quot;\)"/>
    <numFmt numFmtId="188" formatCode="_(* #,##0.0_);_(* \(#,##0.0\);_(* &quot;-&quot;??_);_(@_)"/>
    <numFmt numFmtId="189" formatCode="_(* #,##0.0_);_(* \(#,##0.0\);_(* &quot;-&quot;?_);_(@_)"/>
    <numFmt numFmtId="190" formatCode="#,##0.00;[Red]\(#,##0.00\)"/>
    <numFmt numFmtId="191" formatCode="0.0000%"/>
  </numFmts>
  <fonts count="53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b/>
      <sz val="20"/>
      <color theme="0"/>
      <name val="Arial"/>
      <charset val="134"/>
    </font>
    <font>
      <b/>
      <sz val="9"/>
      <color theme="0"/>
      <name val="Arial"/>
      <charset val="134"/>
    </font>
    <font>
      <sz val="9"/>
      <color theme="0"/>
      <name val="Arial"/>
      <charset val="134"/>
    </font>
    <font>
      <sz val="9"/>
      <color rgb="FF00B050"/>
      <name val="Arial"/>
      <charset val="134"/>
    </font>
    <font>
      <b/>
      <sz val="9"/>
      <color rgb="FF0000FF"/>
      <name val="Arial"/>
      <charset val="134"/>
    </font>
    <font>
      <sz val="9"/>
      <name val="Arial"/>
      <charset val="134"/>
    </font>
    <font>
      <b/>
      <u/>
      <sz val="9"/>
      <color theme="1"/>
      <name val="Arial"/>
      <charset val="134"/>
    </font>
    <font>
      <u/>
      <sz val="9"/>
      <color theme="1"/>
      <name val="Arial"/>
      <charset val="134"/>
    </font>
    <font>
      <u/>
      <sz val="9"/>
      <color rgb="FF00B050"/>
      <name val="Arial"/>
      <charset val="134"/>
    </font>
    <font>
      <u/>
      <sz val="9"/>
      <name val="Arial"/>
      <charset val="134"/>
    </font>
    <font>
      <i/>
      <sz val="9"/>
      <color theme="1"/>
      <name val="Arial"/>
      <charset val="134"/>
    </font>
    <font>
      <b/>
      <sz val="9"/>
      <name val="Arial"/>
      <charset val="134"/>
    </font>
    <font>
      <sz val="10"/>
      <color theme="1"/>
      <name val="Arial"/>
      <charset val="134"/>
    </font>
    <font>
      <sz val="9"/>
      <color theme="0" tint="-0.149998474074526"/>
      <name val="Arial"/>
      <charset val="134"/>
    </font>
    <font>
      <b/>
      <u/>
      <sz val="9"/>
      <color rgb="FF0000FF"/>
      <name val="Arial"/>
      <charset val="134"/>
    </font>
    <font>
      <b/>
      <u/>
      <sz val="9"/>
      <name val="Arial"/>
      <charset val="134"/>
    </font>
    <font>
      <b/>
      <sz val="9"/>
      <color rgb="FF00B050"/>
      <name val="Arial"/>
      <charset val="134"/>
    </font>
    <font>
      <sz val="9"/>
      <color theme="9"/>
      <name val="Arial"/>
      <charset val="134"/>
    </font>
    <font>
      <sz val="9"/>
      <color rgb="FF0000FF"/>
      <name val="Arial"/>
      <charset val="134"/>
    </font>
    <font>
      <sz val="9"/>
      <color rgb="FF000000"/>
      <name val="Arial"/>
      <charset val="134"/>
    </font>
    <font>
      <u/>
      <sz val="9"/>
      <color rgb="FF000000"/>
      <name val="Arial"/>
      <charset val="134"/>
    </font>
    <font>
      <b/>
      <sz val="9"/>
      <color rgb="FF000000"/>
      <name val="Arial"/>
      <charset val="134"/>
    </font>
    <font>
      <u val="singleAccounting"/>
      <sz val="9"/>
      <color theme="1"/>
      <name val="Arial"/>
      <charset val="134"/>
    </font>
    <font>
      <sz val="10"/>
      <color theme="0"/>
      <name val="Arial"/>
      <charset val="134"/>
    </font>
    <font>
      <b/>
      <sz val="30"/>
      <color theme="0"/>
      <name val="Arial"/>
      <charset val="134"/>
    </font>
    <font>
      <b/>
      <sz val="14"/>
      <color theme="0"/>
      <name val="Arial"/>
      <charset val="134"/>
    </font>
    <font>
      <b/>
      <sz val="10"/>
      <color theme="0"/>
      <name val="Arial"/>
      <charset val="134"/>
    </font>
    <font>
      <i/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89999084444715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E9F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/>
    <xf numFmtId="44" fontId="3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5" borderId="15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6" borderId="18" applyNumberFormat="0" applyAlignment="0" applyProtection="0">
      <alignment vertical="center"/>
    </xf>
    <xf numFmtId="0" fontId="42" fillId="17" borderId="19" applyNumberFormat="0" applyAlignment="0" applyProtection="0">
      <alignment vertical="center"/>
    </xf>
    <xf numFmtId="0" fontId="43" fillId="17" borderId="18" applyNumberFormat="0" applyAlignment="0" applyProtection="0">
      <alignment vertical="center"/>
    </xf>
    <xf numFmtId="0" fontId="44" fillId="18" borderId="20" applyNumberFormat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0" fillId="0" borderId="0"/>
    <xf numFmtId="0" fontId="15" fillId="0" borderId="0"/>
    <xf numFmtId="0" fontId="15" fillId="0" borderId="0"/>
    <xf numFmtId="0" fontId="52" fillId="0" borderId="0"/>
  </cellStyleXfs>
  <cellXfs count="473">
    <xf numFmtId="0" fontId="0" fillId="0" borderId="0" xfId="0"/>
    <xf numFmtId="0" fontId="1" fillId="2" borderId="0" xfId="0" applyFont="1" applyFill="1" applyAlignment="1">
      <alignment horizontal="right"/>
    </xf>
    <xf numFmtId="0" fontId="2" fillId="2" borderId="0" xfId="0" applyFont="1" applyFill="1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37" fontId="1" fillId="2" borderId="0" xfId="0" applyNumberFormat="1" applyFont="1" applyFill="1" applyAlignment="1">
      <alignment horizontal="right"/>
    </xf>
    <xf numFmtId="0" fontId="3" fillId="3" borderId="0" xfId="0" applyFont="1" applyFill="1"/>
    <xf numFmtId="0" fontId="3" fillId="3" borderId="2" xfId="0" applyFont="1" applyFill="1" applyBorder="1"/>
    <xf numFmtId="0" fontId="4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37" fontId="4" fillId="3" borderId="0" xfId="0" applyNumberFormat="1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/>
    <xf numFmtId="0" fontId="4" fillId="3" borderId="1" xfId="0" applyFont="1" applyFill="1" applyBorder="1"/>
    <xf numFmtId="0" fontId="4" fillId="4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3" borderId="0" xfId="0" applyFont="1" applyFill="1"/>
    <xf numFmtId="177" fontId="5" fillId="3" borderId="1" xfId="0" applyNumberFormat="1" applyFont="1" applyFill="1" applyBorder="1" applyAlignment="1">
      <alignment horizontal="center"/>
    </xf>
    <xf numFmtId="177" fontId="5" fillId="3" borderId="0" xfId="0" applyNumberFormat="1" applyFont="1" applyFill="1" applyAlignment="1">
      <alignment horizontal="center"/>
    </xf>
    <xf numFmtId="177" fontId="5" fillId="4" borderId="0" xfId="0" applyNumberFormat="1" applyFont="1" applyFill="1" applyAlignment="1">
      <alignment horizontal="center"/>
    </xf>
    <xf numFmtId="177" fontId="5" fillId="4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37" fontId="1" fillId="2" borderId="1" xfId="0" applyNumberFormat="1" applyFont="1" applyFill="1" applyBorder="1"/>
    <xf numFmtId="37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37" fontId="6" fillId="2" borderId="1" xfId="0" applyNumberFormat="1" applyFont="1" applyFill="1" applyBorder="1"/>
    <xf numFmtId="37" fontId="6" fillId="2" borderId="0" xfId="0" applyNumberFormat="1" applyFont="1" applyFill="1"/>
    <xf numFmtId="37" fontId="7" fillId="2" borderId="0" xfId="0" applyNumberFormat="1" applyFont="1" applyFill="1"/>
    <xf numFmtId="37" fontId="6" fillId="0" borderId="0" xfId="0" applyNumberFormat="1" applyFont="1"/>
    <xf numFmtId="37" fontId="2" fillId="2" borderId="1" xfId="0" applyNumberFormat="1" applyFont="1" applyFill="1" applyBorder="1"/>
    <xf numFmtId="37" fontId="2" fillId="2" borderId="0" xfId="0" applyNumberFormat="1" applyFont="1" applyFill="1"/>
    <xf numFmtId="37" fontId="2" fillId="0" borderId="0" xfId="0" applyNumberFormat="1" applyFont="1"/>
    <xf numFmtId="10" fontId="1" fillId="2" borderId="0" xfId="3" applyNumberFormat="1" applyFont="1" applyFill="1" applyAlignment="1">
      <alignment horizontal="left" indent="1"/>
    </xf>
    <xf numFmtId="0" fontId="1" fillId="2" borderId="3" xfId="0" applyFont="1" applyFill="1" applyBorder="1"/>
    <xf numFmtId="37" fontId="6" fillId="2" borderId="4" xfId="0" applyNumberFormat="1" applyFont="1" applyFill="1" applyBorder="1"/>
    <xf numFmtId="37" fontId="6" fillId="2" borderId="3" xfId="0" applyNumberFormat="1" applyFont="1" applyFill="1" applyBorder="1"/>
    <xf numFmtId="37" fontId="1" fillId="2" borderId="3" xfId="0" applyNumberFormat="1" applyFont="1" applyFill="1" applyBorder="1"/>
    <xf numFmtId="37" fontId="6" fillId="0" borderId="4" xfId="0" applyNumberFormat="1" applyFont="1" applyBorder="1"/>
    <xf numFmtId="37" fontId="7" fillId="2" borderId="3" xfId="0" applyNumberFormat="1" applyFont="1" applyFill="1" applyBorder="1"/>
    <xf numFmtId="37" fontId="1" fillId="2" borderId="4" xfId="0" applyNumberFormat="1" applyFont="1" applyFill="1" applyBorder="1"/>
    <xf numFmtId="0" fontId="1" fillId="0" borderId="0" xfId="0" applyFont="1" applyAlignment="1">
      <alignment horizontal="right"/>
    </xf>
    <xf numFmtId="37" fontId="8" fillId="0" borderId="0" xfId="0" applyNumberFormat="1" applyFont="1"/>
    <xf numFmtId="37" fontId="6" fillId="0" borderId="3" xfId="0" applyNumberFormat="1" applyFont="1" applyBorder="1"/>
    <xf numFmtId="37" fontId="8" fillId="0" borderId="3" xfId="0" applyNumberFormat="1" applyFont="1" applyBorder="1"/>
    <xf numFmtId="37" fontId="1" fillId="0" borderId="0" xfId="0" applyNumberFormat="1" applyFont="1"/>
    <xf numFmtId="37" fontId="8" fillId="2" borderId="1" xfId="0" applyNumberFormat="1" applyFont="1" applyFill="1" applyBorder="1"/>
    <xf numFmtId="37" fontId="1" fillId="0" borderId="4" xfId="0" applyNumberFormat="1" applyFont="1" applyBorder="1"/>
    <xf numFmtId="37" fontId="1" fillId="0" borderId="3" xfId="0" applyNumberFormat="1" applyFont="1" applyBorder="1"/>
    <xf numFmtId="0" fontId="2" fillId="2" borderId="5" xfId="0" applyFont="1" applyFill="1" applyBorder="1"/>
    <xf numFmtId="37" fontId="2" fillId="2" borderId="6" xfId="0" applyNumberFormat="1" applyFont="1" applyFill="1" applyBorder="1"/>
    <xf numFmtId="37" fontId="2" fillId="2" borderId="5" xfId="0" applyNumberFormat="1" applyFont="1" applyFill="1" applyBorder="1"/>
    <xf numFmtId="0" fontId="9" fillId="2" borderId="7" xfId="0" applyFont="1" applyFill="1" applyBorder="1"/>
    <xf numFmtId="0" fontId="9" fillId="2" borderId="2" xfId="0" applyFont="1" applyFill="1" applyBorder="1"/>
    <xf numFmtId="0" fontId="1" fillId="2" borderId="7" xfId="0" applyFont="1" applyFill="1" applyBorder="1"/>
    <xf numFmtId="0" fontId="1" fillId="2" borderId="2" xfId="0" applyFont="1" applyFill="1" applyBorder="1"/>
    <xf numFmtId="37" fontId="1" fillId="2" borderId="2" xfId="0" applyNumberFormat="1" applyFont="1" applyFill="1" applyBorder="1"/>
    <xf numFmtId="37" fontId="1" fillId="2" borderId="7" xfId="0" applyNumberFormat="1" applyFont="1" applyFill="1" applyBorder="1"/>
    <xf numFmtId="0" fontId="1" fillId="3" borderId="0" xfId="0" applyFont="1" applyFill="1"/>
    <xf numFmtId="0" fontId="1" fillId="3" borderId="1" xfId="0" applyFont="1" applyFill="1" applyBorder="1"/>
    <xf numFmtId="178" fontId="1" fillId="2" borderId="1" xfId="3" applyNumberFormat="1" applyFont="1" applyFill="1" applyBorder="1" applyAlignment="1"/>
    <xf numFmtId="9" fontId="1" fillId="2" borderId="0" xfId="3" applyFont="1" applyFill="1" applyAlignment="1"/>
    <xf numFmtId="178" fontId="1" fillId="2" borderId="0" xfId="3" applyNumberFormat="1" applyFont="1" applyFill="1" applyAlignment="1"/>
    <xf numFmtId="178" fontId="7" fillId="2" borderId="0" xfId="3" applyNumberFormat="1" applyFont="1" applyFill="1" applyAlignment="1"/>
    <xf numFmtId="39" fontId="1" fillId="2" borderId="1" xfId="0" applyNumberFormat="1" applyFont="1" applyFill="1" applyBorder="1"/>
    <xf numFmtId="39" fontId="1" fillId="2" borderId="0" xfId="0" applyNumberFormat="1" applyFont="1" applyFill="1"/>
    <xf numFmtId="37" fontId="8" fillId="2" borderId="0" xfId="0" applyNumberFormat="1" applyFont="1" applyFill="1"/>
    <xf numFmtId="179" fontId="1" fillId="2" borderId="0" xfId="0" applyNumberFormat="1" applyFont="1" applyFill="1"/>
    <xf numFmtId="179" fontId="1" fillId="2" borderId="1" xfId="0" applyNumberFormat="1" applyFont="1" applyFill="1" applyBorder="1"/>
    <xf numFmtId="179" fontId="7" fillId="2" borderId="0" xfId="0" applyNumberFormat="1" applyFont="1" applyFill="1"/>
    <xf numFmtId="0" fontId="7" fillId="2" borderId="0" xfId="0" applyFont="1" applyFill="1"/>
    <xf numFmtId="0" fontId="2" fillId="5" borderId="8" xfId="0" applyFont="1" applyFill="1" applyBorder="1"/>
    <xf numFmtId="180" fontId="2" fillId="5" borderId="9" xfId="0" applyNumberFormat="1" applyFont="1" applyFill="1" applyBorder="1"/>
    <xf numFmtId="180" fontId="2" fillId="5" borderId="10" xfId="0" applyNumberFormat="1" applyFont="1" applyFill="1" applyBorder="1" applyAlignment="1">
      <alignment horizontal="right"/>
    </xf>
    <xf numFmtId="180" fontId="2" fillId="5" borderId="9" xfId="0" applyNumberFormat="1" applyFont="1" applyFill="1" applyBorder="1" applyAlignment="1">
      <alignment horizontal="right"/>
    </xf>
    <xf numFmtId="37" fontId="1" fillId="2" borderId="1" xfId="0" applyNumberFormat="1" applyFont="1" applyFill="1" applyBorder="1" applyAlignment="1">
      <alignment horizontal="right"/>
    </xf>
    <xf numFmtId="39" fontId="1" fillId="2" borderId="0" xfId="0" applyNumberFormat="1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39" fontId="1" fillId="2" borderId="1" xfId="0" applyNumberFormat="1" applyFont="1" applyFill="1" applyBorder="1" applyAlignment="1">
      <alignment horizontal="right"/>
    </xf>
    <xf numFmtId="178" fontId="1" fillId="2" borderId="1" xfId="3" applyNumberFormat="1" applyFont="1" applyFill="1" applyBorder="1" applyAlignment="1">
      <alignment horizontal="right"/>
    </xf>
    <xf numFmtId="0" fontId="1" fillId="2" borderId="4" xfId="0" applyFont="1" applyFill="1" applyBorder="1"/>
    <xf numFmtId="37" fontId="1" fillId="2" borderId="3" xfId="0" applyNumberFormat="1" applyFont="1" applyFill="1" applyBorder="1" applyAlignment="1">
      <alignment horizontal="right"/>
    </xf>
    <xf numFmtId="37" fontId="1" fillId="2" borderId="4" xfId="0" applyNumberFormat="1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37" fontId="8" fillId="2" borderId="1" xfId="0" applyNumberFormat="1" applyFont="1" applyFill="1" applyBorder="1" applyAlignment="1">
      <alignment horizontal="right"/>
    </xf>
    <xf numFmtId="37" fontId="8" fillId="2" borderId="0" xfId="0" applyNumberFormat="1" applyFont="1" applyFill="1" applyAlignment="1">
      <alignment horizontal="right"/>
    </xf>
    <xf numFmtId="37" fontId="6" fillId="2" borderId="1" xfId="0" applyNumberFormat="1" applyFont="1" applyFill="1" applyBorder="1" applyAlignment="1">
      <alignment horizontal="right"/>
    </xf>
    <xf numFmtId="37" fontId="6" fillId="2" borderId="0" xfId="0" applyNumberFormat="1" applyFont="1" applyFill="1" applyAlignment="1">
      <alignment horizontal="right"/>
    </xf>
    <xf numFmtId="37" fontId="6" fillId="2" borderId="1" xfId="3" applyNumberFormat="1" applyFont="1" applyFill="1" applyBorder="1" applyAlignment="1">
      <alignment horizontal="right"/>
    </xf>
    <xf numFmtId="37" fontId="6" fillId="2" borderId="0" xfId="3" applyNumberFormat="1" applyFont="1" applyFill="1" applyAlignment="1">
      <alignment horizontal="right"/>
    </xf>
    <xf numFmtId="37" fontId="8" fillId="2" borderId="0" xfId="3" applyNumberFormat="1" applyFont="1" applyFill="1" applyAlignment="1">
      <alignment horizontal="right"/>
    </xf>
    <xf numFmtId="0" fontId="10" fillId="2" borderId="0" xfId="0" applyFont="1" applyFill="1" applyAlignment="1">
      <alignment horizontal="left" indent="1"/>
    </xf>
    <xf numFmtId="37" fontId="11" fillId="2" borderId="1" xfId="0" applyNumberFormat="1" applyFont="1" applyFill="1" applyBorder="1" applyAlignment="1">
      <alignment horizontal="right"/>
    </xf>
    <xf numFmtId="37" fontId="11" fillId="2" borderId="0" xfId="0" applyNumberFormat="1" applyFont="1" applyFill="1" applyAlignment="1">
      <alignment horizontal="right"/>
    </xf>
    <xf numFmtId="37" fontId="10" fillId="2" borderId="1" xfId="0" applyNumberFormat="1" applyFont="1" applyFill="1" applyBorder="1" applyAlignment="1">
      <alignment horizontal="right"/>
    </xf>
    <xf numFmtId="37" fontId="12" fillId="2" borderId="0" xfId="0" applyNumberFormat="1" applyFont="1" applyFill="1" applyAlignment="1">
      <alignment horizontal="right"/>
    </xf>
    <xf numFmtId="37" fontId="2" fillId="2" borderId="1" xfId="0" applyNumberFormat="1" applyFont="1" applyFill="1" applyBorder="1" applyAlignment="1">
      <alignment horizontal="right"/>
    </xf>
    <xf numFmtId="37" fontId="2" fillId="2" borderId="0" xfId="0" applyNumberFormat="1" applyFont="1" applyFill="1" applyAlignment="1">
      <alignment horizontal="right"/>
    </xf>
    <xf numFmtId="0" fontId="2" fillId="2" borderId="10" xfId="0" applyFont="1" applyFill="1" applyBorder="1"/>
    <xf numFmtId="37" fontId="2" fillId="2" borderId="9" xfId="0" applyNumberFormat="1" applyFont="1" applyFill="1" applyBorder="1" applyAlignment="1">
      <alignment horizontal="right"/>
    </xf>
    <xf numFmtId="37" fontId="2" fillId="2" borderId="10" xfId="0" applyNumberFormat="1" applyFont="1" applyFill="1" applyBorder="1" applyAlignment="1">
      <alignment horizontal="right"/>
    </xf>
    <xf numFmtId="37" fontId="7" fillId="2" borderId="0" xfId="0" applyNumberFormat="1" applyFont="1" applyFill="1" applyAlignment="1">
      <alignment horizontal="right"/>
    </xf>
    <xf numFmtId="37" fontId="2" fillId="2" borderId="6" xfId="0" applyNumberFormat="1" applyFont="1" applyFill="1" applyBorder="1" applyAlignment="1">
      <alignment horizontal="right"/>
    </xf>
    <xf numFmtId="37" fontId="2" fillId="2" borderId="5" xfId="0" applyNumberFormat="1" applyFont="1" applyFill="1" applyBorder="1" applyAlignment="1">
      <alignment horizontal="right"/>
    </xf>
    <xf numFmtId="0" fontId="13" fillId="2" borderId="0" xfId="0" applyFont="1" applyFill="1"/>
    <xf numFmtId="0" fontId="1" fillId="2" borderId="7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1" xfId="0" applyFont="1" applyFill="1" applyBorder="1" applyAlignment="1">
      <alignment horizontal="right"/>
    </xf>
    <xf numFmtId="0" fontId="5" fillId="3" borderId="0" xfId="0" applyFont="1" applyFill="1" applyAlignment="1">
      <alignment horizontal="right"/>
    </xf>
    <xf numFmtId="0" fontId="9" fillId="2" borderId="0" xfId="0" applyFont="1" applyFill="1"/>
    <xf numFmtId="0" fontId="9" fillId="2" borderId="1" xfId="0" applyFont="1" applyFill="1" applyBorder="1"/>
    <xf numFmtId="178" fontId="1" fillId="2" borderId="1" xfId="3" applyNumberFormat="1" applyFont="1" applyFill="1" applyBorder="1"/>
    <xf numFmtId="178" fontId="1" fillId="2" borderId="0" xfId="3" applyNumberFormat="1" applyFont="1" applyFill="1" applyAlignment="1">
      <alignment horizontal="right"/>
    </xf>
    <xf numFmtId="181" fontId="1" fillId="2" borderId="1" xfId="0" applyNumberFormat="1" applyFont="1" applyFill="1" applyBorder="1" applyAlignment="1">
      <alignment horizontal="right"/>
    </xf>
    <xf numFmtId="181" fontId="1" fillId="2" borderId="0" xfId="0" applyNumberFormat="1" applyFont="1" applyFill="1" applyAlignment="1">
      <alignment horizontal="right"/>
    </xf>
    <xf numFmtId="182" fontId="1" fillId="2" borderId="1" xfId="0" applyNumberFormat="1" applyFont="1" applyFill="1" applyBorder="1" applyAlignment="1">
      <alignment horizontal="right"/>
    </xf>
    <xf numFmtId="182" fontId="1" fillId="2" borderId="0" xfId="0" applyNumberFormat="1" applyFont="1" applyFill="1" applyAlignment="1">
      <alignment horizontal="right"/>
    </xf>
    <xf numFmtId="183" fontId="7" fillId="2" borderId="0" xfId="0" applyNumberFormat="1" applyFont="1" applyFill="1" applyAlignment="1">
      <alignment horizontal="right"/>
    </xf>
    <xf numFmtId="182" fontId="7" fillId="2" borderId="0" xfId="0" applyNumberFormat="1" applyFont="1" applyFill="1" applyAlignment="1">
      <alignment horizontal="right"/>
    </xf>
    <xf numFmtId="0" fontId="2" fillId="5" borderId="7" xfId="0" applyFont="1" applyFill="1" applyBorder="1"/>
    <xf numFmtId="37" fontId="2" fillId="5" borderId="2" xfId="0" applyNumberFormat="1" applyFont="1" applyFill="1" applyBorder="1" applyAlignment="1">
      <alignment horizontal="right"/>
    </xf>
    <xf numFmtId="37" fontId="2" fillId="5" borderId="7" xfId="0" applyNumberFormat="1" applyFont="1" applyFill="1" applyBorder="1" applyAlignment="1">
      <alignment horizontal="right"/>
    </xf>
    <xf numFmtId="0" fontId="2" fillId="5" borderId="0" xfId="0" applyFont="1" applyFill="1"/>
    <xf numFmtId="37" fontId="2" fillId="5" borderId="1" xfId="0" applyNumberFormat="1" applyFont="1" applyFill="1" applyBorder="1" applyAlignment="1">
      <alignment horizontal="right"/>
    </xf>
    <xf numFmtId="37" fontId="2" fillId="5" borderId="0" xfId="0" applyNumberFormat="1" applyFont="1" applyFill="1" applyAlignment="1">
      <alignment horizontal="right"/>
    </xf>
    <xf numFmtId="182" fontId="2" fillId="2" borderId="9" xfId="0" applyNumberFormat="1" applyFont="1" applyFill="1" applyBorder="1" applyAlignment="1">
      <alignment horizontal="right"/>
    </xf>
    <xf numFmtId="182" fontId="2" fillId="2" borderId="10" xfId="0" applyNumberFormat="1" applyFont="1" applyFill="1" applyBorder="1" applyAlignment="1">
      <alignment horizontal="right"/>
    </xf>
    <xf numFmtId="178" fontId="7" fillId="2" borderId="0" xfId="0" applyNumberFormat="1" applyFont="1" applyFill="1" applyAlignment="1">
      <alignment horizontal="right"/>
    </xf>
    <xf numFmtId="0" fontId="1" fillId="2" borderId="1" xfId="0" applyFont="1" applyFill="1" applyBorder="1" applyAlignment="1">
      <alignment horizontal="left" indent="1"/>
    </xf>
    <xf numFmtId="178" fontId="1" fillId="2" borderId="0" xfId="0" applyNumberFormat="1" applyFont="1" applyFill="1" applyAlignment="1">
      <alignment horizontal="right"/>
    </xf>
    <xf numFmtId="9" fontId="1" fillId="2" borderId="1" xfId="3" applyFont="1" applyFill="1" applyBorder="1" applyAlignment="1">
      <alignment horizontal="right"/>
    </xf>
    <xf numFmtId="9" fontId="1" fillId="2" borderId="0" xfId="3" applyFont="1" applyFill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9" fontId="1" fillId="2" borderId="0" xfId="3" applyFont="1" applyFill="1" applyBorder="1" applyAlignment="1">
      <alignment horizontal="right"/>
    </xf>
    <xf numFmtId="184" fontId="8" fillId="2" borderId="11" xfId="52" applyNumberFormat="1" applyFont="1" applyFill="1" applyBorder="1"/>
    <xf numFmtId="184" fontId="14" fillId="2" borderId="8" xfId="52" applyNumberFormat="1" applyFont="1" applyFill="1" applyBorder="1"/>
    <xf numFmtId="0" fontId="2" fillId="2" borderId="8" xfId="0" applyFont="1" applyFill="1" applyBorder="1"/>
    <xf numFmtId="184" fontId="8" fillId="0" borderId="11" xfId="52" applyNumberFormat="1" applyFont="1" applyBorder="1"/>
    <xf numFmtId="185" fontId="1" fillId="2" borderId="1" xfId="0" applyNumberFormat="1" applyFont="1" applyFill="1" applyBorder="1" applyAlignment="1">
      <alignment horizontal="right"/>
    </xf>
    <xf numFmtId="185" fontId="1" fillId="2" borderId="0" xfId="0" applyNumberFormat="1" applyFont="1" applyFill="1" applyAlignment="1">
      <alignment horizontal="right"/>
    </xf>
    <xf numFmtId="178" fontId="8" fillId="2" borderId="0" xfId="0" applyNumberFormat="1" applyFont="1" applyFill="1" applyAlignment="1">
      <alignment horizontal="right"/>
    </xf>
    <xf numFmtId="0" fontId="10" fillId="2" borderId="0" xfId="0" applyFont="1" applyFill="1"/>
    <xf numFmtId="0" fontId="10" fillId="2" borderId="1" xfId="0" applyFont="1" applyFill="1" applyBorder="1"/>
    <xf numFmtId="0" fontId="10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right"/>
    </xf>
    <xf numFmtId="178" fontId="11" fillId="6" borderId="0" xfId="0" applyNumberFormat="1" applyFont="1" applyFill="1" applyAlignment="1">
      <alignment horizontal="right"/>
    </xf>
    <xf numFmtId="178" fontId="11" fillId="2" borderId="0" xfId="0" applyNumberFormat="1" applyFont="1" applyFill="1" applyAlignment="1">
      <alignment horizontal="right"/>
    </xf>
    <xf numFmtId="0" fontId="10" fillId="2" borderId="1" xfId="0" applyFont="1" applyFill="1" applyBorder="1" applyAlignment="1">
      <alignment horizontal="right"/>
    </xf>
    <xf numFmtId="178" fontId="1" fillId="6" borderId="0" xfId="3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76" fontId="4" fillId="3" borderId="1" xfId="1" applyFont="1" applyFill="1" applyBorder="1" applyAlignment="1">
      <alignment horizontal="center"/>
    </xf>
    <xf numFmtId="186" fontId="4" fillId="3" borderId="0" xfId="1" applyNumberFormat="1" applyFont="1" applyFill="1" applyAlignment="1">
      <alignment horizontal="center"/>
    </xf>
    <xf numFmtId="176" fontId="4" fillId="3" borderId="0" xfId="1" applyFont="1" applyFill="1" applyAlignment="1">
      <alignment horizontal="center"/>
    </xf>
    <xf numFmtId="178" fontId="4" fillId="3" borderId="0" xfId="3" applyNumberFormat="1" applyFont="1" applyFill="1" applyAlignment="1">
      <alignment horizontal="center"/>
    </xf>
    <xf numFmtId="10" fontId="4" fillId="3" borderId="0" xfId="3" applyNumberFormat="1" applyFont="1" applyFill="1" applyAlignment="1">
      <alignment horizontal="center"/>
    </xf>
    <xf numFmtId="176" fontId="4" fillId="3" borderId="2" xfId="1" applyFont="1" applyFill="1" applyBorder="1" applyAlignment="1">
      <alignment horizontal="center"/>
    </xf>
    <xf numFmtId="39" fontId="4" fillId="3" borderId="0" xfId="0" applyNumberFormat="1" applyFont="1" applyFill="1" applyAlignment="1">
      <alignment horizontal="center"/>
    </xf>
    <xf numFmtId="176" fontId="4" fillId="3" borderId="0" xfId="0" applyNumberFormat="1" applyFont="1" applyFill="1" applyAlignment="1">
      <alignment horizontal="center"/>
    </xf>
    <xf numFmtId="9" fontId="4" fillId="3" borderId="2" xfId="3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37" fontId="4" fillId="3" borderId="1" xfId="0" applyNumberFormat="1" applyFont="1" applyFill="1" applyBorder="1" applyAlignment="1">
      <alignment horizontal="center"/>
    </xf>
    <xf numFmtId="176" fontId="4" fillId="3" borderId="1" xfId="0" applyNumberFormat="1" applyFont="1" applyFill="1" applyBorder="1" applyAlignment="1">
      <alignment horizontal="center"/>
    </xf>
    <xf numFmtId="14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8" borderId="10" xfId="0" applyFont="1" applyFill="1" applyBorder="1"/>
    <xf numFmtId="37" fontId="14" fillId="8" borderId="9" xfId="0" applyNumberFormat="1" applyFont="1" applyFill="1" applyBorder="1" applyAlignment="1">
      <alignment horizontal="right"/>
    </xf>
    <xf numFmtId="37" fontId="14" fillId="8" borderId="10" xfId="0" applyNumberFormat="1" applyFont="1" applyFill="1" applyBorder="1" applyAlignment="1">
      <alignment horizontal="right"/>
    </xf>
    <xf numFmtId="37" fontId="2" fillId="8" borderId="9" xfId="0" applyNumberFormat="1" applyFont="1" applyFill="1" applyBorder="1" applyAlignment="1">
      <alignment horizontal="right"/>
    </xf>
    <xf numFmtId="37" fontId="2" fillId="8" borderId="10" xfId="0" applyNumberFormat="1" applyFont="1" applyFill="1" applyBorder="1" applyAlignment="1">
      <alignment horizontal="right"/>
    </xf>
    <xf numFmtId="37" fontId="10" fillId="2" borderId="0" xfId="0" applyNumberFormat="1" applyFont="1" applyFill="1" applyAlignment="1">
      <alignment horizontal="right"/>
    </xf>
    <xf numFmtId="0" fontId="2" fillId="5" borderId="10" xfId="0" applyFont="1" applyFill="1" applyBorder="1"/>
    <xf numFmtId="9" fontId="1" fillId="2" borderId="0" xfId="0" applyNumberFormat="1" applyFont="1" applyFill="1" applyAlignment="1">
      <alignment horizontal="right" vertical="center"/>
    </xf>
    <xf numFmtId="0" fontId="1" fillId="2" borderId="12" xfId="0" applyFont="1" applyFill="1" applyBorder="1"/>
    <xf numFmtId="37" fontId="6" fillId="2" borderId="2" xfId="0" applyNumberFormat="1" applyFont="1" applyFill="1" applyBorder="1" applyAlignment="1">
      <alignment horizontal="right"/>
    </xf>
    <xf numFmtId="37" fontId="6" fillId="2" borderId="7" xfId="0" applyNumberFormat="1" applyFont="1" applyFill="1" applyBorder="1" applyAlignment="1">
      <alignment horizontal="right"/>
    </xf>
    <xf numFmtId="37" fontId="8" fillId="2" borderId="2" xfId="0" applyNumberFormat="1" applyFont="1" applyFill="1" applyBorder="1" applyAlignment="1">
      <alignment horizontal="right"/>
    </xf>
    <xf numFmtId="37" fontId="6" fillId="0" borderId="7" xfId="0" applyNumberFormat="1" applyFont="1" applyBorder="1" applyAlignment="1">
      <alignment horizontal="right"/>
    </xf>
    <xf numFmtId="37" fontId="7" fillId="2" borderId="7" xfId="0" applyNumberFormat="1" applyFont="1" applyFill="1" applyBorder="1" applyAlignment="1">
      <alignment horizontal="right"/>
    </xf>
    <xf numFmtId="0" fontId="1" fillId="2" borderId="11" xfId="0" applyFont="1" applyFill="1" applyBorder="1"/>
    <xf numFmtId="0" fontId="1" fillId="2" borderId="13" xfId="0" applyFont="1" applyFill="1" applyBorder="1"/>
    <xf numFmtId="180" fontId="8" fillId="2" borderId="4" xfId="0" applyNumberFormat="1" applyFont="1" applyFill="1" applyBorder="1" applyAlignment="1">
      <alignment horizontal="right"/>
    </xf>
    <xf numFmtId="180" fontId="8" fillId="2" borderId="3" xfId="0" applyNumberFormat="1" applyFont="1" applyFill="1" applyBorder="1" applyAlignment="1">
      <alignment horizontal="right"/>
    </xf>
    <xf numFmtId="0" fontId="4" fillId="3" borderId="0" xfId="0" applyFont="1" applyFill="1" applyAlignment="1">
      <alignment horizontal="right"/>
    </xf>
    <xf numFmtId="0" fontId="4" fillId="3" borderId="1" xfId="0" applyFont="1" applyFill="1" applyBorder="1" applyAlignment="1">
      <alignment horizontal="right"/>
    </xf>
    <xf numFmtId="0" fontId="2" fillId="8" borderId="0" xfId="0" applyFont="1" applyFill="1"/>
    <xf numFmtId="178" fontId="2" fillId="8" borderId="1" xfId="3" applyNumberFormat="1" applyFont="1" applyFill="1" applyBorder="1" applyAlignment="1">
      <alignment horizontal="right"/>
    </xf>
    <xf numFmtId="178" fontId="2" fillId="8" borderId="0" xfId="3" applyNumberFormat="1" applyFont="1" applyFill="1" applyAlignment="1">
      <alignment horizontal="right"/>
    </xf>
    <xf numFmtId="0" fontId="1" fillId="2" borderId="0" xfId="0" applyFont="1" applyFill="1" applyAlignment="1">
      <alignment horizontal="left" indent="2"/>
    </xf>
    <xf numFmtId="0" fontId="1" fillId="2" borderId="1" xfId="0" applyFont="1" applyFill="1" applyBorder="1" applyAlignment="1">
      <alignment horizontal="left" indent="2"/>
    </xf>
    <xf numFmtId="187" fontId="1" fillId="2" borderId="1" xfId="0" applyNumberFormat="1" applyFont="1" applyFill="1" applyBorder="1" applyAlignment="1">
      <alignment horizontal="right"/>
    </xf>
    <xf numFmtId="187" fontId="1" fillId="2" borderId="0" xfId="0" applyNumberFormat="1" applyFont="1" applyFill="1" applyAlignment="1">
      <alignment horizontal="right"/>
    </xf>
    <xf numFmtId="187" fontId="7" fillId="2" borderId="0" xfId="0" applyNumberFormat="1" applyFont="1" applyFill="1" applyAlignment="1">
      <alignment horizontal="right"/>
    </xf>
    <xf numFmtId="178" fontId="2" fillId="2" borderId="1" xfId="3" applyNumberFormat="1" applyFont="1" applyFill="1" applyBorder="1" applyAlignment="1">
      <alignment horizontal="right"/>
    </xf>
    <xf numFmtId="178" fontId="2" fillId="2" borderId="0" xfId="3" applyNumberFormat="1" applyFont="1" applyFill="1" applyAlignment="1">
      <alignment horizontal="right"/>
    </xf>
    <xf numFmtId="187" fontId="6" fillId="2" borderId="0" xfId="0" applyNumberFormat="1" applyFont="1" applyFill="1" applyAlignment="1">
      <alignment horizontal="right"/>
    </xf>
    <xf numFmtId="187" fontId="2" fillId="2" borderId="1" xfId="0" applyNumberFormat="1" applyFont="1" applyFill="1" applyBorder="1" applyAlignment="1">
      <alignment horizontal="right"/>
    </xf>
    <xf numFmtId="187" fontId="8" fillId="2" borderId="0" xfId="0" applyNumberFormat="1" applyFont="1" applyFill="1" applyAlignment="1">
      <alignment horizontal="right"/>
    </xf>
    <xf numFmtId="0" fontId="2" fillId="8" borderId="7" xfId="0" applyFont="1" applyFill="1" applyBorder="1"/>
    <xf numFmtId="178" fontId="2" fillId="8" borderId="2" xfId="3" applyNumberFormat="1" applyFont="1" applyFill="1" applyBorder="1" applyAlignment="1">
      <alignment horizontal="right"/>
    </xf>
    <xf numFmtId="178" fontId="2" fillId="8" borderId="7" xfId="3" applyNumberFormat="1" applyFont="1" applyFill="1" applyBorder="1" applyAlignment="1">
      <alignment horizontal="right"/>
    </xf>
    <xf numFmtId="0" fontId="1" fillId="2" borderId="0" xfId="0" applyFont="1" applyFill="1" applyAlignment="1">
      <alignment horizontal="left"/>
    </xf>
    <xf numFmtId="178" fontId="1" fillId="2" borderId="0" xfId="3" applyNumberFormat="1" applyFont="1" applyFill="1" applyBorder="1" applyAlignment="1">
      <alignment horizontal="right"/>
    </xf>
    <xf numFmtId="0" fontId="1" fillId="2" borderId="3" xfId="0" applyFont="1" applyFill="1" applyBorder="1" applyAlignment="1">
      <alignment horizontal="left"/>
    </xf>
    <xf numFmtId="178" fontId="1" fillId="2" borderId="4" xfId="3" applyNumberFormat="1" applyFont="1" applyFill="1" applyBorder="1" applyAlignment="1">
      <alignment horizontal="right"/>
    </xf>
    <xf numFmtId="178" fontId="1" fillId="2" borderId="3" xfId="3" applyNumberFormat="1" applyFont="1" applyFill="1" applyBorder="1" applyAlignment="1">
      <alignment horizontal="right"/>
    </xf>
    <xf numFmtId="178" fontId="7" fillId="2" borderId="3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88" fontId="15" fillId="2" borderId="0" xfId="1" applyNumberFormat="1" applyFont="1" applyFill="1" applyBorder="1" applyAlignment="1">
      <alignment horizontal="right"/>
    </xf>
    <xf numFmtId="189" fontId="1" fillId="2" borderId="0" xfId="0" applyNumberFormat="1" applyFont="1" applyFill="1" applyAlignment="1">
      <alignment horizontal="right"/>
    </xf>
    <xf numFmtId="188" fontId="1" fillId="2" borderId="0" xfId="0" applyNumberFormat="1" applyFont="1" applyFill="1" applyAlignment="1">
      <alignment horizontal="right"/>
    </xf>
    <xf numFmtId="0" fontId="2" fillId="8" borderId="1" xfId="0" applyFont="1" applyFill="1" applyBorder="1"/>
    <xf numFmtId="0" fontId="2" fillId="8" borderId="0" xfId="0" applyFont="1" applyFill="1" applyAlignment="1">
      <alignment horizontal="right"/>
    </xf>
    <xf numFmtId="10" fontId="1" fillId="2" borderId="0" xfId="0" applyNumberFormat="1" applyFont="1" applyFill="1" applyAlignment="1">
      <alignment horizontal="right"/>
    </xf>
    <xf numFmtId="0" fontId="2" fillId="5" borderId="1" xfId="0" applyFont="1" applyFill="1" applyBorder="1"/>
    <xf numFmtId="178" fontId="2" fillId="5" borderId="1" xfId="3" applyNumberFormat="1" applyFont="1" applyFill="1" applyBorder="1" applyAlignment="1">
      <alignment horizontal="right"/>
    </xf>
    <xf numFmtId="0" fontId="2" fillId="5" borderId="0" xfId="0" applyFont="1" applyFill="1" applyAlignment="1">
      <alignment horizontal="right"/>
    </xf>
    <xf numFmtId="178" fontId="2" fillId="5" borderId="0" xfId="3" applyNumberFormat="1" applyFont="1" applyFill="1" applyAlignment="1">
      <alignment horizontal="right"/>
    </xf>
    <xf numFmtId="37" fontId="1" fillId="2" borderId="2" xfId="0" applyNumberFormat="1" applyFont="1" applyFill="1" applyBorder="1" applyAlignment="1">
      <alignment horizontal="right"/>
    </xf>
    <xf numFmtId="37" fontId="1" fillId="2" borderId="9" xfId="0" applyNumberFormat="1" applyFont="1" applyFill="1" applyBorder="1" applyAlignment="1">
      <alignment horizontal="right"/>
    </xf>
    <xf numFmtId="37" fontId="6" fillId="2" borderId="10" xfId="0" applyNumberFormat="1" applyFont="1" applyFill="1" applyBorder="1" applyAlignment="1">
      <alignment horizontal="right"/>
    </xf>
    <xf numFmtId="37" fontId="1" fillId="2" borderId="10" xfId="0" applyNumberFormat="1" applyFont="1" applyFill="1" applyBorder="1" applyAlignment="1">
      <alignment horizontal="right"/>
    </xf>
    <xf numFmtId="0" fontId="1" fillId="2" borderId="11" xfId="0" applyFont="1" applyFill="1" applyBorder="1" applyAlignment="1">
      <alignment horizontal="left" indent="1"/>
    </xf>
    <xf numFmtId="9" fontId="1" fillId="2" borderId="0" xfId="0" applyNumberFormat="1" applyFont="1" applyFill="1" applyAlignment="1">
      <alignment horizontal="right"/>
    </xf>
    <xf numFmtId="0" fontId="1" fillId="2" borderId="13" xfId="0" applyFont="1" applyFill="1" applyBorder="1" applyAlignment="1">
      <alignment horizontal="left" indent="1"/>
    </xf>
    <xf numFmtId="0" fontId="1" fillId="2" borderId="4" xfId="0" applyFont="1" applyFill="1" applyBorder="1" applyAlignment="1">
      <alignment horizontal="left" indent="1"/>
    </xf>
    <xf numFmtId="0" fontId="1" fillId="2" borderId="4" xfId="0" applyFont="1" applyFill="1" applyBorder="1" applyAlignment="1">
      <alignment horizontal="right"/>
    </xf>
    <xf numFmtId="187" fontId="1" fillId="2" borderId="3" xfId="0" applyNumberFormat="1" applyFont="1" applyFill="1" applyBorder="1" applyAlignment="1">
      <alignment horizontal="right"/>
    </xf>
    <xf numFmtId="187" fontId="1" fillId="2" borderId="4" xfId="0" applyNumberFormat="1" applyFont="1" applyFill="1" applyBorder="1" applyAlignment="1">
      <alignment horizontal="right"/>
    </xf>
    <xf numFmtId="0" fontId="6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10" fontId="1" fillId="2" borderId="0" xfId="3" applyNumberFormat="1" applyFont="1" applyFill="1" applyAlignment="1">
      <alignment horizontal="right"/>
    </xf>
    <xf numFmtId="178" fontId="1" fillId="3" borderId="0" xfId="3" applyNumberFormat="1" applyFont="1" applyFill="1" applyAlignment="1">
      <alignment horizontal="right"/>
    </xf>
    <xf numFmtId="0" fontId="2" fillId="6" borderId="0" xfId="0" applyFont="1" applyFill="1"/>
    <xf numFmtId="0" fontId="2" fillId="6" borderId="1" xfId="0" applyFont="1" applyFill="1" applyBorder="1"/>
    <xf numFmtId="0" fontId="1" fillId="6" borderId="0" xfId="0" applyFont="1" applyFill="1" applyAlignment="1">
      <alignment horizontal="right"/>
    </xf>
    <xf numFmtId="0" fontId="1" fillId="6" borderId="1" xfId="0" applyFont="1" applyFill="1" applyBorder="1" applyAlignment="1">
      <alignment horizontal="right"/>
    </xf>
    <xf numFmtId="178" fontId="1" fillId="2" borderId="1" xfId="0" applyNumberFormat="1" applyFont="1" applyFill="1" applyBorder="1" applyAlignment="1">
      <alignment horizontal="right"/>
    </xf>
    <xf numFmtId="180" fontId="1" fillId="2" borderId="0" xfId="0" applyNumberFormat="1" applyFont="1" applyFill="1" applyAlignment="1">
      <alignment horizontal="right"/>
    </xf>
    <xf numFmtId="180" fontId="1" fillId="2" borderId="1" xfId="0" applyNumberFormat="1" applyFont="1" applyFill="1" applyBorder="1" applyAlignment="1">
      <alignment horizontal="right"/>
    </xf>
    <xf numFmtId="0" fontId="16" fillId="6" borderId="0" xfId="0" applyFont="1" applyFill="1" applyAlignment="1">
      <alignment horizontal="right"/>
    </xf>
    <xf numFmtId="0" fontId="16" fillId="6" borderId="1" xfId="0" applyFont="1" applyFill="1" applyBorder="1" applyAlignment="1">
      <alignment horizontal="right"/>
    </xf>
    <xf numFmtId="190" fontId="1" fillId="2" borderId="0" xfId="0" applyNumberFormat="1" applyFont="1" applyFill="1" applyAlignment="1">
      <alignment horizontal="right"/>
    </xf>
    <xf numFmtId="0" fontId="1" fillId="9" borderId="0" xfId="0" applyFont="1" applyFill="1"/>
    <xf numFmtId="0" fontId="1" fillId="9" borderId="1" xfId="0" applyFont="1" applyFill="1" applyBorder="1"/>
    <xf numFmtId="0" fontId="1" fillId="9" borderId="0" xfId="0" applyFont="1" applyFill="1" applyAlignment="1">
      <alignment horizontal="right"/>
    </xf>
    <xf numFmtId="0" fontId="1" fillId="9" borderId="1" xfId="0" applyFont="1" applyFill="1" applyBorder="1" applyAlignment="1">
      <alignment horizontal="right"/>
    </xf>
    <xf numFmtId="176" fontId="1" fillId="10" borderId="1" xfId="1" applyFont="1" applyFill="1" applyBorder="1" applyAlignment="1">
      <alignment horizontal="right"/>
    </xf>
    <xf numFmtId="0" fontId="1" fillId="10" borderId="1" xfId="0" applyFont="1" applyFill="1" applyBorder="1" applyAlignment="1">
      <alignment horizontal="right"/>
    </xf>
    <xf numFmtId="0" fontId="5" fillId="2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186" fontId="4" fillId="3" borderId="0" xfId="1" applyNumberFormat="1" applyFont="1" applyFill="1" applyBorder="1" applyAlignment="1">
      <alignment horizontal="center"/>
    </xf>
    <xf numFmtId="180" fontId="4" fillId="3" borderId="0" xfId="0" applyNumberFormat="1" applyFont="1" applyFill="1" applyAlignment="1">
      <alignment horizontal="center"/>
    </xf>
    <xf numFmtId="0" fontId="4" fillId="3" borderId="7" xfId="0" applyFont="1" applyFill="1" applyBorder="1"/>
    <xf numFmtId="0" fontId="4" fillId="3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1" fontId="5" fillId="3" borderId="0" xfId="0" applyNumberFormat="1" applyFont="1" applyFill="1" applyAlignment="1">
      <alignment horizontal="center"/>
    </xf>
    <xf numFmtId="0" fontId="4" fillId="11" borderId="0" xfId="0" applyFont="1" applyFill="1"/>
    <xf numFmtId="0" fontId="4" fillId="11" borderId="1" xfId="0" applyFont="1" applyFill="1" applyBorder="1"/>
    <xf numFmtId="0" fontId="4" fillId="11" borderId="0" xfId="0" applyFont="1" applyFill="1" applyAlignment="1">
      <alignment horizontal="center"/>
    </xf>
    <xf numFmtId="0" fontId="4" fillId="11" borderId="1" xfId="0" applyFont="1" applyFill="1" applyBorder="1" applyAlignment="1">
      <alignment horizontal="center"/>
    </xf>
    <xf numFmtId="3" fontId="6" fillId="2" borderId="1" xfId="0" applyNumberFormat="1" applyFont="1" applyFill="1" applyBorder="1"/>
    <xf numFmtId="3" fontId="6" fillId="2" borderId="0" xfId="0" applyNumberFormat="1" applyFont="1" applyFill="1"/>
    <xf numFmtId="3" fontId="1" fillId="2" borderId="1" xfId="0" applyNumberFormat="1" applyFont="1" applyFill="1" applyBorder="1"/>
    <xf numFmtId="3" fontId="8" fillId="2" borderId="0" xfId="0" applyNumberFormat="1" applyFont="1" applyFill="1"/>
    <xf numFmtId="3" fontId="6" fillId="2" borderId="4" xfId="0" applyNumberFormat="1" applyFont="1" applyFill="1" applyBorder="1"/>
    <xf numFmtId="3" fontId="6" fillId="2" borderId="3" xfId="0" applyNumberFormat="1" applyFont="1" applyFill="1" applyBorder="1"/>
    <xf numFmtId="3" fontId="1" fillId="2" borderId="4" xfId="0" applyNumberFormat="1" applyFont="1" applyFill="1" applyBorder="1"/>
    <xf numFmtId="3" fontId="8" fillId="2" borderId="3" xfId="0" applyNumberFormat="1" applyFont="1" applyFill="1" applyBorder="1"/>
    <xf numFmtId="0" fontId="13" fillId="2" borderId="1" xfId="0" applyFont="1" applyFill="1" applyBorder="1"/>
    <xf numFmtId="186" fontId="1" fillId="2" borderId="0" xfId="1" applyNumberFormat="1" applyFont="1" applyFill="1" applyAlignment="1"/>
    <xf numFmtId="186" fontId="1" fillId="2" borderId="1" xfId="1" applyNumberFormat="1" applyFont="1" applyFill="1" applyBorder="1" applyAlignment="1"/>
    <xf numFmtId="178" fontId="1" fillId="2" borderId="0" xfId="3" applyNumberFormat="1" applyFont="1" applyFill="1"/>
    <xf numFmtId="3" fontId="5" fillId="3" borderId="0" xfId="0" applyNumberFormat="1" applyFont="1" applyFill="1"/>
    <xf numFmtId="3" fontId="5" fillId="3" borderId="1" xfId="0" applyNumberFormat="1" applyFont="1" applyFill="1" applyBorder="1"/>
    <xf numFmtId="0" fontId="2" fillId="6" borderId="3" xfId="0" applyFont="1" applyFill="1" applyBorder="1"/>
    <xf numFmtId="0" fontId="2" fillId="6" borderId="4" xfId="0" applyFont="1" applyFill="1" applyBorder="1"/>
    <xf numFmtId="3" fontId="1" fillId="6" borderId="3" xfId="0" applyNumberFormat="1" applyFont="1" applyFill="1" applyBorder="1"/>
    <xf numFmtId="3" fontId="1" fillId="6" borderId="4" xfId="0" applyNumberFormat="1" applyFont="1" applyFill="1" applyBorder="1"/>
    <xf numFmtId="9" fontId="1" fillId="2" borderId="1" xfId="3" applyFont="1" applyFill="1" applyBorder="1" applyAlignment="1"/>
    <xf numFmtId="3" fontId="1" fillId="2" borderId="0" xfId="0" applyNumberFormat="1" applyFont="1" applyFill="1"/>
    <xf numFmtId="0" fontId="10" fillId="2" borderId="1" xfId="0" applyFont="1" applyFill="1" applyBorder="1" applyAlignment="1">
      <alignment horizontal="left" indent="1"/>
    </xf>
    <xf numFmtId="9" fontId="10" fillId="2" borderId="1" xfId="3" applyFont="1" applyFill="1" applyBorder="1" applyAlignment="1"/>
    <xf numFmtId="3" fontId="10" fillId="2" borderId="0" xfId="0" applyNumberFormat="1" applyFont="1" applyFill="1"/>
    <xf numFmtId="9" fontId="10" fillId="2" borderId="0" xfId="3" applyFont="1" applyFill="1" applyAlignment="1"/>
    <xf numFmtId="0" fontId="2" fillId="2" borderId="1" xfId="0" applyFont="1" applyFill="1" applyBorder="1"/>
    <xf numFmtId="9" fontId="2" fillId="2" borderId="1" xfId="3" applyFont="1" applyFill="1" applyBorder="1" applyAlignment="1"/>
    <xf numFmtId="3" fontId="2" fillId="2" borderId="0" xfId="0" applyNumberFormat="1" applyFont="1" applyFill="1"/>
    <xf numFmtId="9" fontId="2" fillId="2" borderId="0" xfId="3" applyFont="1" applyFill="1" applyAlignment="1"/>
    <xf numFmtId="9" fontId="6" fillId="2" borderId="1" xfId="3" applyFont="1" applyFill="1" applyBorder="1" applyAlignment="1"/>
    <xf numFmtId="3" fontId="1" fillId="12" borderId="0" xfId="0" applyNumberFormat="1" applyFont="1" applyFill="1"/>
    <xf numFmtId="9" fontId="1" fillId="12" borderId="0" xfId="3" applyFont="1" applyFill="1" applyAlignment="1"/>
    <xf numFmtId="3" fontId="1" fillId="12" borderId="1" xfId="0" applyNumberFormat="1" applyFont="1" applyFill="1" applyBorder="1"/>
    <xf numFmtId="9" fontId="6" fillId="2" borderId="0" xfId="3" applyFont="1" applyFill="1" applyAlignment="1"/>
    <xf numFmtId="9" fontId="7" fillId="2" borderId="0" xfId="3" applyFont="1" applyFill="1" applyAlignment="1"/>
    <xf numFmtId="9" fontId="14" fillId="2" borderId="1" xfId="3" applyFont="1" applyFill="1" applyBorder="1" applyAlignment="1"/>
    <xf numFmtId="9" fontId="11" fillId="2" borderId="1" xfId="3" applyFont="1" applyFill="1" applyBorder="1" applyAlignment="1"/>
    <xf numFmtId="3" fontId="10" fillId="12" borderId="0" xfId="0" applyNumberFormat="1" applyFont="1" applyFill="1"/>
    <xf numFmtId="9" fontId="10" fillId="12" borderId="0" xfId="3" applyFont="1" applyFill="1" applyAlignment="1"/>
    <xf numFmtId="3" fontId="10" fillId="12" borderId="1" xfId="0" applyNumberFormat="1" applyFont="1" applyFill="1" applyBorder="1"/>
    <xf numFmtId="9" fontId="11" fillId="2" borderId="0" xfId="3" applyFont="1" applyFill="1" applyAlignment="1"/>
    <xf numFmtId="9" fontId="17" fillId="2" borderId="0" xfId="3" applyFont="1" applyFill="1" applyAlignment="1"/>
    <xf numFmtId="9" fontId="18" fillId="2" borderId="1" xfId="3" applyFont="1" applyFill="1" applyBorder="1" applyAlignment="1"/>
    <xf numFmtId="9" fontId="19" fillId="2" borderId="1" xfId="3" applyFont="1" applyFill="1" applyBorder="1" applyAlignment="1"/>
    <xf numFmtId="3" fontId="2" fillId="12" borderId="0" xfId="0" applyNumberFormat="1" applyFont="1" applyFill="1"/>
    <xf numFmtId="9" fontId="2" fillId="12" borderId="0" xfId="3" applyFont="1" applyFill="1" applyAlignment="1"/>
    <xf numFmtId="3" fontId="2" fillId="12" borderId="1" xfId="0" applyNumberFormat="1" applyFont="1" applyFill="1" applyBorder="1"/>
    <xf numFmtId="9" fontId="19" fillId="2" borderId="0" xfId="3" applyFont="1" applyFill="1" applyAlignment="1"/>
    <xf numFmtId="9" fontId="14" fillId="2" borderId="0" xfId="3" applyFont="1" applyFill="1" applyAlignment="1"/>
    <xf numFmtId="191" fontId="1" fillId="2" borderId="0" xfId="0" applyNumberFormat="1" applyFont="1" applyFill="1"/>
    <xf numFmtId="3" fontId="1" fillId="6" borderId="3" xfId="0" applyNumberFormat="1" applyFont="1" applyFill="1" applyBorder="1" applyAlignment="1">
      <alignment horizontal="right"/>
    </xf>
    <xf numFmtId="37" fontId="20" fillId="12" borderId="0" xfId="0" applyNumberFormat="1" applyFont="1" applyFill="1"/>
    <xf numFmtId="37" fontId="8" fillId="12" borderId="1" xfId="0" applyNumberFormat="1" applyFont="1" applyFill="1" applyBorder="1"/>
    <xf numFmtId="37" fontId="8" fillId="6" borderId="0" xfId="0" applyNumberFormat="1" applyFont="1" applyFill="1"/>
    <xf numFmtId="37" fontId="10" fillId="12" borderId="0" xfId="0" applyNumberFormat="1" applyFont="1" applyFill="1"/>
    <xf numFmtId="37" fontId="10" fillId="12" borderId="1" xfId="0" applyNumberFormat="1" applyFont="1" applyFill="1" applyBorder="1"/>
    <xf numFmtId="37" fontId="11" fillId="2" borderId="0" xfId="0" applyNumberFormat="1" applyFont="1" applyFill="1"/>
    <xf numFmtId="37" fontId="11" fillId="2" borderId="1" xfId="0" applyNumberFormat="1" applyFont="1" applyFill="1" applyBorder="1"/>
    <xf numFmtId="37" fontId="12" fillId="2" borderId="1" xfId="0" applyNumberFormat="1" applyFont="1" applyFill="1" applyBorder="1"/>
    <xf numFmtId="37" fontId="12" fillId="6" borderId="0" xfId="0" applyNumberFormat="1" applyFont="1" applyFill="1"/>
    <xf numFmtId="37" fontId="12" fillId="2" borderId="0" xfId="0" applyNumberFormat="1" applyFont="1" applyFill="1"/>
    <xf numFmtId="37" fontId="1" fillId="12" borderId="0" xfId="0" applyNumberFormat="1" applyFont="1" applyFill="1"/>
    <xf numFmtId="37" fontId="1" fillId="12" borderId="1" xfId="0" applyNumberFormat="1" applyFont="1" applyFill="1" applyBorder="1"/>
    <xf numFmtId="37" fontId="6" fillId="6" borderId="0" xfId="0" applyNumberFormat="1" applyFont="1" applyFill="1"/>
    <xf numFmtId="3" fontId="20" fillId="12" borderId="0" xfId="0" applyNumberFormat="1" applyFont="1" applyFill="1"/>
    <xf numFmtId="3" fontId="8" fillId="12" borderId="1" xfId="0" applyNumberFormat="1" applyFont="1" applyFill="1" applyBorder="1"/>
    <xf numFmtId="3" fontId="20" fillId="2" borderId="0" xfId="0" applyNumberFormat="1" applyFont="1" applyFill="1"/>
    <xf numFmtId="9" fontId="8" fillId="2" borderId="0" xfId="3" applyFont="1" applyFill="1" applyAlignment="1"/>
    <xf numFmtId="9" fontId="8" fillId="2" borderId="1" xfId="3" applyFont="1" applyFill="1" applyBorder="1" applyAlignment="1"/>
    <xf numFmtId="0" fontId="10" fillId="12" borderId="0" xfId="0" applyFont="1" applyFill="1"/>
    <xf numFmtId="0" fontId="10" fillId="12" borderId="1" xfId="0" applyFont="1" applyFill="1" applyBorder="1"/>
    <xf numFmtId="9" fontId="12" fillId="2" borderId="0" xfId="3" applyFont="1" applyFill="1" applyAlignment="1"/>
    <xf numFmtId="9" fontId="12" fillId="2" borderId="1" xfId="3" applyFont="1" applyFill="1" applyBorder="1" applyAlignment="1"/>
    <xf numFmtId="0" fontId="1" fillId="12" borderId="0" xfId="0" applyFont="1" applyFill="1"/>
    <xf numFmtId="0" fontId="1" fillId="12" borderId="1" xfId="0" applyFont="1" applyFill="1" applyBorder="1"/>
    <xf numFmtId="178" fontId="14" fillId="2" borderId="1" xfId="3" applyNumberFormat="1" applyFont="1" applyFill="1" applyBorder="1" applyAlignment="1"/>
    <xf numFmtId="9" fontId="8" fillId="2" borderId="0" xfId="0" applyNumberFormat="1" applyFont="1" applyFill="1"/>
    <xf numFmtId="9" fontId="1" fillId="6" borderId="3" xfId="0" applyNumberFormat="1" applyFont="1" applyFill="1" applyBorder="1"/>
    <xf numFmtId="3" fontId="1" fillId="6" borderId="0" xfId="0" applyNumberFormat="1" applyFont="1" applyFill="1"/>
    <xf numFmtId="3" fontId="1" fillId="6" borderId="1" xfId="0" applyNumberFormat="1" applyFont="1" applyFill="1" applyBorder="1"/>
    <xf numFmtId="3" fontId="8" fillId="2" borderId="1" xfId="0" applyNumberFormat="1" applyFont="1" applyFill="1" applyBorder="1"/>
    <xf numFmtId="3" fontId="8" fillId="2" borderId="4" xfId="0" applyNumberFormat="1" applyFont="1" applyFill="1" applyBorder="1"/>
    <xf numFmtId="178" fontId="1" fillId="6" borderId="3" xfId="3" applyNumberFormat="1" applyFont="1" applyFill="1" applyBorder="1" applyAlignment="1"/>
    <xf numFmtId="9" fontId="1" fillId="6" borderId="3" xfId="3" applyFont="1" applyFill="1" applyBorder="1" applyAlignment="1"/>
    <xf numFmtId="9" fontId="20" fillId="12" borderId="0" xfId="3" applyFont="1" applyFill="1" applyAlignment="1"/>
    <xf numFmtId="9" fontId="8" fillId="12" borderId="0" xfId="3" applyFont="1" applyFill="1" applyAlignment="1"/>
    <xf numFmtId="9" fontId="6" fillId="2" borderId="2" xfId="3" applyFont="1" applyFill="1" applyBorder="1" applyAlignment="1"/>
    <xf numFmtId="9" fontId="18" fillId="2" borderId="0" xfId="3" applyFont="1" applyFill="1" applyAlignment="1"/>
    <xf numFmtId="9" fontId="10" fillId="13" borderId="0" xfId="3" applyFont="1" applyFill="1" applyAlignment="1"/>
    <xf numFmtId="9" fontId="1" fillId="2" borderId="0" xfId="0" applyNumberFormat="1" applyFont="1" applyFill="1"/>
    <xf numFmtId="9" fontId="1" fillId="2" borderId="1" xfId="0" applyNumberFormat="1" applyFont="1" applyFill="1" applyBorder="1"/>
    <xf numFmtId="9" fontId="1" fillId="6" borderId="4" xfId="0" applyNumberFormat="1" applyFont="1" applyFill="1" applyBorder="1"/>
    <xf numFmtId="37" fontId="8" fillId="2" borderId="2" xfId="0" applyNumberFormat="1" applyFont="1" applyFill="1" applyBorder="1"/>
    <xf numFmtId="0" fontId="10" fillId="2" borderId="0" xfId="0" applyFont="1" applyFill="1" applyAlignment="1">
      <alignment horizontal="left"/>
    </xf>
    <xf numFmtId="0" fontId="10" fillId="2" borderId="1" xfId="0" applyFont="1" applyFill="1" applyBorder="1" applyAlignment="1">
      <alignment horizontal="left"/>
    </xf>
    <xf numFmtId="37" fontId="10" fillId="2" borderId="0" xfId="0" applyNumberFormat="1" applyFont="1" applyFill="1"/>
    <xf numFmtId="37" fontId="10" fillId="2" borderId="1" xfId="0" applyNumberFormat="1" applyFont="1" applyFill="1" applyBorder="1"/>
    <xf numFmtId="179" fontId="2" fillId="12" borderId="0" xfId="0" applyNumberFormat="1" applyFont="1" applyFill="1"/>
    <xf numFmtId="179" fontId="2" fillId="12" borderId="1" xfId="0" applyNumberFormat="1" applyFont="1" applyFill="1" applyBorder="1"/>
    <xf numFmtId="179" fontId="2" fillId="2" borderId="1" xfId="0" applyNumberFormat="1" applyFont="1" applyFill="1" applyBorder="1"/>
    <xf numFmtId="179" fontId="2" fillId="2" borderId="0" xfId="0" applyNumberFormat="1" applyFont="1" applyFill="1"/>
    <xf numFmtId="178" fontId="2" fillId="2" borderId="1" xfId="3" applyNumberFormat="1" applyFont="1" applyFill="1" applyBorder="1" applyAlignment="1"/>
    <xf numFmtId="178" fontId="2" fillId="2" borderId="0" xfId="3" applyNumberFormat="1" applyFont="1" applyFill="1" applyAlignment="1"/>
    <xf numFmtId="0" fontId="1" fillId="0" borderId="0" xfId="0" applyFont="1"/>
    <xf numFmtId="0" fontId="1" fillId="0" borderId="1" xfId="0" applyFont="1" applyBorder="1"/>
    <xf numFmtId="187" fontId="1" fillId="2" borderId="1" xfId="0" applyNumberFormat="1" applyFont="1" applyFill="1" applyBorder="1"/>
    <xf numFmtId="187" fontId="1" fillId="2" borderId="0" xfId="0" applyNumberFormat="1" applyFont="1" applyFill="1"/>
    <xf numFmtId="187" fontId="21" fillId="2" borderId="0" xfId="0" applyNumberFormat="1" applyFont="1" applyFill="1"/>
    <xf numFmtId="187" fontId="2" fillId="2" borderId="1" xfId="0" applyNumberFormat="1" applyFont="1" applyFill="1" applyBorder="1"/>
    <xf numFmtId="187" fontId="2" fillId="2" borderId="0" xfId="0" applyNumberFormat="1" applyFont="1" applyFill="1"/>
    <xf numFmtId="37" fontId="1" fillId="0" borderId="1" xfId="0" applyNumberFormat="1" applyFont="1" applyBorder="1"/>
    <xf numFmtId="178" fontId="8" fillId="2" borderId="1" xfId="3" applyNumberFormat="1" applyFont="1" applyFill="1" applyBorder="1" applyAlignment="1"/>
    <xf numFmtId="178" fontId="8" fillId="2" borderId="0" xfId="3" applyNumberFormat="1" applyFont="1" applyFill="1" applyAlignment="1"/>
    <xf numFmtId="179" fontId="2" fillId="0" borderId="0" xfId="0" applyNumberFormat="1" applyFont="1"/>
    <xf numFmtId="179" fontId="2" fillId="0" borderId="1" xfId="0" applyNumberFormat="1" applyFont="1" applyBorder="1"/>
    <xf numFmtId="178" fontId="14" fillId="2" borderId="0" xfId="3" applyNumberFormat="1" applyFont="1" applyFill="1" applyAlignment="1"/>
    <xf numFmtId="0" fontId="6" fillId="2" borderId="0" xfId="0" applyFont="1" applyFill="1"/>
    <xf numFmtId="0" fontId="6" fillId="2" borderId="1" xfId="0" applyFont="1" applyFill="1" applyBorder="1"/>
    <xf numFmtId="37" fontId="20" fillId="2" borderId="0" xfId="0" applyNumberFormat="1" applyFont="1" applyFill="1"/>
    <xf numFmtId="0" fontId="1" fillId="6" borderId="1" xfId="0" applyFont="1" applyFill="1" applyBorder="1"/>
    <xf numFmtId="0" fontId="6" fillId="6" borderId="0" xfId="0" applyFont="1" applyFill="1"/>
    <xf numFmtId="0" fontId="1" fillId="6" borderId="0" xfId="0" applyFont="1" applyFill="1"/>
    <xf numFmtId="0" fontId="6" fillId="6" borderId="1" xfId="0" applyFont="1" applyFill="1" applyBorder="1"/>
    <xf numFmtId="37" fontId="1" fillId="6" borderId="0" xfId="0" applyNumberFormat="1" applyFont="1" applyFill="1"/>
    <xf numFmtId="37" fontId="6" fillId="6" borderId="1" xfId="0" applyNumberFormat="1" applyFont="1" applyFill="1" applyBorder="1"/>
    <xf numFmtId="37" fontId="20" fillId="6" borderId="0" xfId="0" applyNumberFormat="1" applyFont="1" applyFill="1"/>
    <xf numFmtId="0" fontId="22" fillId="2" borderId="0" xfId="0" applyFont="1" applyFill="1"/>
    <xf numFmtId="0" fontId="23" fillId="10" borderId="0" xfId="0" applyFont="1" applyFill="1"/>
    <xf numFmtId="0" fontId="11" fillId="2" borderId="0" xfId="0" applyFont="1" applyFill="1"/>
    <xf numFmtId="0" fontId="11" fillId="2" borderId="1" xfId="0" applyFont="1" applyFill="1" applyBorder="1"/>
    <xf numFmtId="0" fontId="22" fillId="10" borderId="0" xfId="0" applyFont="1" applyFill="1"/>
    <xf numFmtId="37" fontId="1" fillId="2" borderId="0" xfId="3" applyNumberFormat="1" applyFont="1" applyFill="1" applyAlignment="1"/>
    <xf numFmtId="178" fontId="2" fillId="6" borderId="0" xfId="3" applyNumberFormat="1" applyFont="1" applyFill="1" applyAlignment="1"/>
    <xf numFmtId="0" fontId="24" fillId="6" borderId="0" xfId="0" applyFont="1" applyFill="1"/>
    <xf numFmtId="178" fontId="1" fillId="6" borderId="0" xfId="3" applyNumberFormat="1" applyFont="1" applyFill="1" applyAlignment="1"/>
    <xf numFmtId="37" fontId="6" fillId="2" borderId="0" xfId="3" applyNumberFormat="1" applyFont="1" applyFill="1" applyAlignment="1"/>
    <xf numFmtId="37" fontId="6" fillId="0" borderId="1" xfId="0" applyNumberFormat="1" applyFont="1" applyBorder="1"/>
    <xf numFmtId="178" fontId="10" fillId="2" borderId="0" xfId="3" applyNumberFormat="1" applyFont="1" applyFill="1" applyAlignment="1"/>
    <xf numFmtId="37" fontId="11" fillId="2" borderId="0" xfId="3" applyNumberFormat="1" applyFont="1" applyFill="1" applyAlignment="1"/>
    <xf numFmtId="37" fontId="4" fillId="11" borderId="0" xfId="0" applyNumberFormat="1" applyFont="1" applyFill="1"/>
    <xf numFmtId="3" fontId="8" fillId="6" borderId="3" xfId="0" applyNumberFormat="1" applyFont="1" applyFill="1" applyBorder="1"/>
    <xf numFmtId="3" fontId="6" fillId="6" borderId="3" xfId="0" applyNumberFormat="1" applyFont="1" applyFill="1" applyBorder="1"/>
    <xf numFmtId="3" fontId="6" fillId="6" borderId="13" xfId="0" applyNumberFormat="1" applyFont="1" applyFill="1" applyBorder="1"/>
    <xf numFmtId="0" fontId="6" fillId="2" borderId="11" xfId="0" applyFont="1" applyFill="1" applyBorder="1"/>
    <xf numFmtId="0" fontId="6" fillId="2" borderId="14" xfId="0" applyFont="1" applyFill="1" applyBorder="1"/>
    <xf numFmtId="0" fontId="1" fillId="2" borderId="14" xfId="0" applyFont="1" applyFill="1" applyBorder="1"/>
    <xf numFmtId="1" fontId="1" fillId="2" borderId="1" xfId="0" applyNumberFormat="1" applyFont="1" applyFill="1" applyBorder="1"/>
    <xf numFmtId="0" fontId="8" fillId="2" borderId="0" xfId="0" applyFont="1" applyFill="1"/>
    <xf numFmtId="0" fontId="1" fillId="6" borderId="3" xfId="0" applyFont="1" applyFill="1" applyBorder="1"/>
    <xf numFmtId="0" fontId="8" fillId="6" borderId="3" xfId="0" applyFont="1" applyFill="1" applyBorder="1"/>
    <xf numFmtId="0" fontId="1" fillId="6" borderId="4" xfId="0" applyFont="1" applyFill="1" applyBorder="1"/>
    <xf numFmtId="37" fontId="1" fillId="6" borderId="3" xfId="0" applyNumberFormat="1" applyFont="1" applyFill="1" applyBorder="1"/>
    <xf numFmtId="37" fontId="1" fillId="6" borderId="4" xfId="0" applyNumberFormat="1" applyFont="1" applyFill="1" applyBorder="1"/>
    <xf numFmtId="37" fontId="7" fillId="6" borderId="3" xfId="0" applyNumberFormat="1" applyFont="1" applyFill="1" applyBorder="1"/>
    <xf numFmtId="3" fontId="1" fillId="3" borderId="1" xfId="0" applyNumberFormat="1" applyFont="1" applyFill="1" applyBorder="1"/>
    <xf numFmtId="37" fontId="1" fillId="6" borderId="1" xfId="0" applyNumberFormat="1" applyFont="1" applyFill="1" applyBorder="1"/>
    <xf numFmtId="0" fontId="14" fillId="2" borderId="0" xfId="0" applyFont="1" applyFill="1"/>
    <xf numFmtId="0" fontId="14" fillId="2" borderId="1" xfId="0" applyFont="1" applyFill="1" applyBorder="1"/>
    <xf numFmtId="0" fontId="4" fillId="2" borderId="0" xfId="0" applyFont="1" applyFill="1"/>
    <xf numFmtId="0" fontId="4" fillId="2" borderId="1" xfId="0" applyFont="1" applyFill="1" applyBorder="1"/>
    <xf numFmtId="178" fontId="1" fillId="2" borderId="0" xfId="3" applyNumberFormat="1" applyFont="1" applyFill="1" applyBorder="1" applyAlignment="1"/>
    <xf numFmtId="178" fontId="10" fillId="2" borderId="0" xfId="3" applyNumberFormat="1" applyFont="1" applyFill="1" applyBorder="1" applyAlignment="1"/>
    <xf numFmtId="178" fontId="10" fillId="2" borderId="1" xfId="3" applyNumberFormat="1" applyFont="1" applyFill="1" applyBorder="1" applyAlignment="1"/>
    <xf numFmtId="178" fontId="1" fillId="2" borderId="4" xfId="3" applyNumberFormat="1" applyFont="1" applyFill="1" applyBorder="1"/>
    <xf numFmtId="178" fontId="1" fillId="2" borderId="3" xfId="3" applyNumberFormat="1" applyFont="1" applyFill="1" applyBorder="1" applyAlignment="1"/>
    <xf numFmtId="178" fontId="1" fillId="2" borderId="4" xfId="3" applyNumberFormat="1" applyFont="1" applyFill="1" applyBorder="1" applyAlignment="1"/>
    <xf numFmtId="0" fontId="14" fillId="2" borderId="7" xfId="0" applyFont="1" applyFill="1" applyBorder="1"/>
    <xf numFmtId="182" fontId="1" fillId="2" borderId="1" xfId="0" applyNumberFormat="1" applyFont="1" applyFill="1" applyBorder="1"/>
    <xf numFmtId="182" fontId="1" fillId="2" borderId="0" xfId="0" applyNumberFormat="1" applyFont="1" applyFill="1"/>
    <xf numFmtId="182" fontId="10" fillId="2" borderId="1" xfId="0" applyNumberFormat="1" applyFont="1" applyFill="1" applyBorder="1"/>
    <xf numFmtId="182" fontId="10" fillId="2" borderId="0" xfId="0" applyNumberFormat="1" applyFont="1" applyFill="1"/>
    <xf numFmtId="178" fontId="1" fillId="2" borderId="0" xfId="3" applyNumberFormat="1" applyFont="1" applyFill="1" applyBorder="1"/>
    <xf numFmtId="178" fontId="10" fillId="2" borderId="1" xfId="3" applyNumberFormat="1" applyFont="1" applyFill="1" applyBorder="1"/>
    <xf numFmtId="178" fontId="10" fillId="2" borderId="0" xfId="3" applyNumberFormat="1" applyFont="1" applyFill="1" applyBorder="1"/>
    <xf numFmtId="178" fontId="1" fillId="2" borderId="3" xfId="3" applyNumberFormat="1" applyFont="1" applyFill="1" applyBorder="1"/>
    <xf numFmtId="0" fontId="2" fillId="2" borderId="12" xfId="0" applyFont="1" applyFill="1" applyBorder="1"/>
    <xf numFmtId="186" fontId="1" fillId="2" borderId="1" xfId="1" applyNumberFormat="1" applyFont="1" applyFill="1" applyBorder="1"/>
    <xf numFmtId="0" fontId="10" fillId="2" borderId="11" xfId="0" applyFont="1" applyFill="1" applyBorder="1" applyAlignment="1">
      <alignment horizontal="left" indent="1"/>
    </xf>
    <xf numFmtId="186" fontId="25" fillId="2" borderId="1" xfId="1" applyNumberFormat="1" applyFont="1" applyFill="1" applyBorder="1"/>
    <xf numFmtId="0" fontId="2" fillId="2" borderId="11" xfId="0" applyFont="1" applyFill="1" applyBorder="1"/>
    <xf numFmtId="186" fontId="1" fillId="2" borderId="4" xfId="1" applyNumberFormat="1" applyFont="1" applyFill="1" applyBorder="1"/>
    <xf numFmtId="37" fontId="7" fillId="2" borderId="1" xfId="0" applyNumberFormat="1" applyFont="1" applyFill="1" applyBorder="1"/>
    <xf numFmtId="178" fontId="1" fillId="2" borderId="0" xfId="0" applyNumberFormat="1" applyFont="1" applyFill="1"/>
    <xf numFmtId="178" fontId="2" fillId="2" borderId="0" xfId="0" applyNumberFormat="1" applyFont="1" applyFill="1"/>
    <xf numFmtId="0" fontId="4" fillId="11" borderId="0" xfId="0" applyFont="1" applyFill="1" applyAlignment="1">
      <alignment horizontal="right"/>
    </xf>
    <xf numFmtId="0" fontId="4" fillId="11" borderId="1" xfId="0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0" fontId="8" fillId="6" borderId="0" xfId="0" applyFont="1" applyFill="1" applyAlignment="1">
      <alignment horizontal="right"/>
    </xf>
    <xf numFmtId="0" fontId="8" fillId="6" borderId="1" xfId="0" applyFont="1" applyFill="1" applyBorder="1" applyAlignment="1">
      <alignment horizontal="right"/>
    </xf>
    <xf numFmtId="0" fontId="26" fillId="14" borderId="7" xfId="50" applyFont="1" applyFill="1" applyBorder="1" applyAlignment="1">
      <alignment horizontal="center" vertical="center"/>
    </xf>
    <xf numFmtId="0" fontId="26" fillId="14" borderId="0" xfId="50" applyFont="1" applyFill="1" applyAlignment="1">
      <alignment horizontal="center" vertical="center"/>
    </xf>
    <xf numFmtId="0" fontId="26" fillId="14" borderId="3" xfId="50" applyFont="1" applyFill="1" applyBorder="1" applyAlignment="1">
      <alignment horizontal="center" vertical="center"/>
    </xf>
    <xf numFmtId="0" fontId="15" fillId="0" borderId="0" xfId="50" applyAlignment="1">
      <alignment horizontal="center" vertical="center"/>
    </xf>
    <xf numFmtId="0" fontId="27" fillId="14" borderId="0" xfId="50" applyFont="1" applyFill="1" applyAlignment="1">
      <alignment horizontal="centerContinuous" vertical="center"/>
    </xf>
    <xf numFmtId="0" fontId="26" fillId="14" borderId="0" xfId="50" applyFont="1" applyFill="1" applyAlignment="1">
      <alignment horizontal="centerContinuous" vertical="center"/>
    </xf>
    <xf numFmtId="0" fontId="28" fillId="14" borderId="0" xfId="50" applyFont="1" applyFill="1" applyAlignment="1">
      <alignment horizontal="centerContinuous" vertical="center"/>
    </xf>
    <xf numFmtId="0" fontId="29" fillId="14" borderId="0" xfId="50" applyFont="1" applyFill="1" applyAlignment="1">
      <alignment horizontal="centerContinuous" vertical="center"/>
    </xf>
    <xf numFmtId="0" fontId="30" fillId="0" borderId="0" xfId="50" applyFont="1" applyAlignment="1">
      <alignment horizontal="left" vertical="center"/>
    </xf>
    <xf numFmtId="0" fontId="31" fillId="0" borderId="0" xfId="50" applyFont="1" applyAlignment="1">
      <alignment horizontal="left" vertical="center"/>
    </xf>
    <xf numFmtId="0" fontId="15" fillId="0" borderId="0" xfId="50" applyAlignment="1">
      <alignment horizontal="left" vertical="center"/>
    </xf>
    <xf numFmtId="0" fontId="31" fillId="2" borderId="0" xfId="51" applyFont="1" applyFill="1" applyAlignment="1">
      <alignment horizontal="left" vertical="center"/>
    </xf>
    <xf numFmtId="0" fontId="15" fillId="2" borderId="0" xfId="51" applyFill="1" applyAlignment="1">
      <alignment horizontal="left" vertical="center"/>
    </xf>
    <xf numFmtId="0" fontId="15" fillId="2" borderId="0" xfId="50" applyFill="1" applyAlignment="1">
      <alignment horizontal="left" vertical="center"/>
    </xf>
    <xf numFmtId="0" fontId="1" fillId="2" borderId="0" xfId="0" applyFont="1" applyFill="1" applyAlignment="1" quotePrefix="1">
      <alignment horizontal="left" inden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8 2 2" xfId="50"/>
    <cellStyle name="Normal 8 3" xfId="51"/>
    <cellStyle name="Normal_Broadlines (TIGER Project)" xfId="52"/>
  </cellStyles>
  <tableStyles count="0" defaultTableStyle="TableStyleMedium2" defaultPivotStyle="PivotStyleLight16"/>
  <colors>
    <mruColors>
      <color rgb="0000B05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192179</xdr:colOff>
      <xdr:row>1</xdr:row>
      <xdr:rowOff>32495</xdr:rowOff>
    </xdr:from>
    <xdr:to>
      <xdr:col>1</xdr:col>
      <xdr:colOff>1495424</xdr:colOff>
      <xdr:row>7</xdr:row>
      <xdr:rowOff>114898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biLevel thresh="75000"/>
        </a:blip>
        <a:srcRect b="9562"/>
        <a:stretch>
          <a:fillRect/>
        </a:stretch>
      </xdr:blipFill>
      <xdr:spPr>
        <a:xfrm>
          <a:off x="365125" y="222885"/>
          <a:ext cx="1303020" cy="166179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GIR Product">
  <a:themeElements>
    <a:clrScheme name="Equity">
      <a:dk1>
        <a:sysClr val="windowText" lastClr="000000"/>
      </a:dk1>
      <a:lt1>
        <a:sysClr val="window" lastClr="FFFFFF"/>
      </a:lt1>
      <a:dk2>
        <a:srgbClr val="AEBAD5"/>
      </a:dk2>
      <a:lt2>
        <a:srgbClr val="DFE4EE"/>
      </a:lt2>
      <a:accent1>
        <a:srgbClr val="5E76AA"/>
      </a:accent1>
      <a:accent2>
        <a:srgbClr val="CFD6E6"/>
      </a:accent2>
      <a:accent3>
        <a:srgbClr val="9EADCC"/>
      </a:accent3>
      <a:accent4>
        <a:srgbClr val="EFF1F6"/>
      </a:accent4>
      <a:accent5>
        <a:srgbClr val="BFC8DD"/>
      </a:accent5>
      <a:accent6>
        <a:srgbClr val="8E9FC4"/>
      </a:accent6>
      <a:hlink>
        <a:srgbClr val="0000FF"/>
      </a:hlink>
      <a:folHlink>
        <a:srgbClr val="800080"/>
      </a:folHlink>
    </a:clrScheme>
    <a:fontScheme name="GIR Product">
      <a:majorFont>
        <a:latin typeface="Univers LT Std 65 Bold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Univers LT Std 55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GIR Produc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van.dorschner@gs.com" TargetMode="External"/><Relationship Id="rId2" Type="http://schemas.openxmlformats.org/officeDocument/2006/relationships/customProperty" Target="../customProperty1.bin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31"/>
  <sheetViews>
    <sheetView showGridLines="0" tabSelected="1" workbookViewId="0">
      <selection activeCell="J26" sqref="J26"/>
    </sheetView>
  </sheetViews>
  <sheetFormatPr defaultColWidth="9" defaultRowHeight="15" customHeight="1"/>
  <cols>
    <col min="1" max="1" width="2.625" style="462" customWidth="1"/>
    <col min="2" max="2" width="25.5" style="462" customWidth="1"/>
    <col min="3" max="13" width="9.75" style="462" customWidth="1"/>
    <col min="14" max="135" width="8.625" style="462" customWidth="1"/>
    <col min="136" max="16384" width="9" style="462"/>
  </cols>
  <sheetData>
    <row r="2" s="459" customFormat="1" ht="15.2"/>
    <row r="3" s="460" customFormat="1" ht="43.2" spans="2:12">
      <c r="F3" s="463" t="s">
        <v>0</v>
      </c>
      <c r="G3" s="464"/>
      <c r="H3" s="464"/>
      <c r="I3" s="464"/>
      <c r="J3" s="464"/>
      <c r="K3" s="464"/>
      <c r="L3" s="464"/>
    </row>
    <row r="4" s="460" customFormat="1" ht="20.4" spans="2:12">
      <c r="F4" s="465" t="s">
        <v>1</v>
      </c>
      <c r="G4" s="464"/>
      <c r="H4" s="464"/>
      <c r="I4" s="464"/>
      <c r="J4" s="464"/>
      <c r="K4" s="464"/>
      <c r="L4" s="464"/>
    </row>
    <row r="5" s="460" customFormat="1" ht="15.2" spans="2:12">
      <c r="F5" s="466"/>
    </row>
    <row r="6" s="460" customFormat="1" ht="15.2"/>
    <row r="7" s="460" customFormat="1" ht="15.2"/>
    <row r="8" s="461" customFormat="1" ht="15.2"/>
    <row r="9" ht="15.2" spans="2:12">
      <c r="B9" s="467" t="s">
        <v>2</v>
      </c>
    </row>
    <row r="11" ht="15.2" spans="2:12">
      <c r="B11" s="468" t="s">
        <v>3</v>
      </c>
    </row>
    <row r="12" ht="15.2" spans="2:12">
      <c r="B12" s="469"/>
    </row>
    <row r="13" ht="15.2" spans="2:12">
      <c r="B13" s="468" t="s">
        <v>4</v>
      </c>
    </row>
    <row r="14" ht="15.2" spans="2:12">
      <c r="B14" s="469" t="s">
        <v>5</v>
      </c>
      <c r="C14" s="469"/>
    </row>
    <row r="15" ht="15.2" spans="2:12">
      <c r="B15" s="469" t="s">
        <v>6</v>
      </c>
    </row>
    <row r="16" ht="15.2" spans="2:12">
      <c r="B16" s="469" t="s">
        <v>7</v>
      </c>
    </row>
    <row r="18" ht="15.2" spans="2:2">
      <c r="B18" s="470" t="s">
        <v>8</v>
      </c>
    </row>
    <row r="19" ht="15.2" spans="2:2">
      <c r="B19" s="471" t="s">
        <v>9</v>
      </c>
    </row>
    <row r="20" ht="15.2" spans="2:2">
      <c r="B20" s="471" t="s">
        <v>10</v>
      </c>
    </row>
    <row r="21" ht="15.2" spans="2:2">
      <c r="B21" s="471" t="s">
        <v>11</v>
      </c>
    </row>
    <row r="22" ht="15.2" spans="2:2">
      <c r="B22" s="472"/>
    </row>
    <row r="23" ht="15.2" spans="2:2">
      <c r="B23" s="470"/>
    </row>
    <row r="24" ht="15.2" spans="2:2">
      <c r="B24" s="471"/>
    </row>
    <row r="25" ht="15.2" spans="2:2">
      <c r="B25" s="471"/>
    </row>
    <row r="26" ht="15.2" spans="2:2">
      <c r="B26" s="471"/>
    </row>
    <row r="28" ht="15.2" spans="2:2">
      <c r="B28" s="470"/>
    </row>
    <row r="29" ht="15.2" spans="2:2">
      <c r="B29" s="471"/>
    </row>
    <row r="30" ht="15.2" spans="2:2">
      <c r="B30" s="471"/>
    </row>
    <row r="31" ht="15.2" spans="2:2">
      <c r="B31" s="471"/>
    </row>
  </sheetData>
  <hyperlinks>
    <hyperlink ref="B21" r:id="rId3" display="kareem.elbadrawi@gs.com"/>
  </hyperlinks>
  <pageMargins left="0.7" right="0.7" top="0.75" bottom="0.75" header="0.3" footer="0.3"/>
  <headerFooter/>
  <customProperties>
    <customPr name="Qube.Worksheet.Visibility" r:id="rId2"/>
  </customPropertie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 autoPageBreaks="0"/>
  </sheetPr>
  <dimension ref="A1:BD306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Z154" sqref="AZ154:AZ157"/>
    </sheetView>
  </sheetViews>
  <sheetFormatPr defaultColWidth="9" defaultRowHeight="13.6"/>
  <cols>
    <col min="1" max="1" width="35" style="3" customWidth="1"/>
    <col min="2" max="6" width="12.875" style="4" customWidth="1"/>
    <col min="7" max="10" width="12.625" style="1" hidden="1" customWidth="1" outlineLevel="1"/>
    <col min="11" max="11" width="12.625" style="5" customWidth="1" collapsed="1"/>
    <col min="12" max="15" width="12.625" style="1" hidden="1" customWidth="1" outlineLevel="1"/>
    <col min="16" max="16" width="12.625" style="5" customWidth="1" collapsed="1"/>
    <col min="17" max="20" width="12.625" style="1" hidden="1" customWidth="1" outlineLevel="1"/>
    <col min="21" max="21" width="12.625" style="5" customWidth="1" collapsed="1"/>
    <col min="22" max="25" width="12.625" style="1" hidden="1" customWidth="1" outlineLevel="1"/>
    <col min="26" max="26" width="12.625" style="5" customWidth="1" collapsed="1"/>
    <col min="27" max="30" width="12.625" style="1" hidden="1" customWidth="1" outlineLevel="1"/>
    <col min="31" max="31" width="12.625" style="5" customWidth="1" collapsed="1"/>
    <col min="32" max="35" width="12.625" style="1" hidden="1" customWidth="1" outlineLevel="1"/>
    <col min="36" max="36" width="12.625" style="5" customWidth="1" collapsed="1"/>
    <col min="37" max="40" width="12.625" style="1" customWidth="1" outlineLevel="1"/>
    <col min="41" max="41" width="12.625" style="5" customWidth="1"/>
    <col min="42" max="45" width="12.625" style="1" customWidth="1" outlineLevel="1"/>
    <col min="46" max="46" width="12.625" style="5" customWidth="1"/>
    <col min="47" max="50" width="12.625" style="1" customWidth="1" outlineLevel="1"/>
    <col min="51" max="51" width="12.625" style="5" customWidth="1"/>
    <col min="52" max="53" width="9" style="1"/>
    <col min="54" max="54" width="11.375" style="1" customWidth="1"/>
    <col min="55" max="55" width="7.5" style="1" customWidth="1"/>
    <col min="56" max="16384" width="9" style="1"/>
  </cols>
  <sheetData>
    <row r="1" ht="28.8" spans="1:51">
      <c r="A1" s="259" t="s">
        <v>12</v>
      </c>
      <c r="B1" s="259"/>
      <c r="C1" s="259"/>
      <c r="D1" s="259"/>
      <c r="E1" s="259"/>
      <c r="F1" s="25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260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260"/>
      <c r="AI1" s="260"/>
      <c r="AJ1" s="9"/>
      <c r="AK1" s="160"/>
      <c r="AL1" s="9"/>
      <c r="AM1" s="9"/>
      <c r="AN1" s="9"/>
      <c r="AO1" s="160"/>
      <c r="AP1" s="261"/>
      <c r="AQ1" s="261"/>
      <c r="AR1" s="9"/>
      <c r="AS1" s="9"/>
      <c r="AT1" s="160"/>
      <c r="AU1" s="9"/>
      <c r="AV1" s="9"/>
      <c r="AW1" s="9"/>
      <c r="AX1" s="9"/>
      <c r="AY1" s="160"/>
    </row>
    <row r="2" spans="1:51">
      <c r="A2" s="192"/>
      <c r="B2" s="192"/>
      <c r="C2" s="192"/>
      <c r="D2" s="192"/>
      <c r="E2" s="192"/>
      <c r="F2" s="192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>
      <c r="A3" s="262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263" t="s">
        <v>19</v>
      </c>
      <c r="H3" s="263" t="s">
        <v>20</v>
      </c>
      <c r="I3" s="263" t="s">
        <v>21</v>
      </c>
      <c r="J3" s="263" t="s">
        <v>22</v>
      </c>
      <c r="K3" s="10" t="s">
        <v>23</v>
      </c>
      <c r="L3" s="263" t="s">
        <v>24</v>
      </c>
      <c r="M3" s="263" t="s">
        <v>25</v>
      </c>
      <c r="N3" s="263" t="s">
        <v>26</v>
      </c>
      <c r="O3" s="263" t="s">
        <v>27</v>
      </c>
      <c r="P3" s="10" t="s">
        <v>28</v>
      </c>
      <c r="Q3" s="263" t="s">
        <v>29</v>
      </c>
      <c r="R3" s="263" t="s">
        <v>30</v>
      </c>
      <c r="S3" s="263" t="s">
        <v>31</v>
      </c>
      <c r="T3" s="263" t="s">
        <v>32</v>
      </c>
      <c r="U3" s="10" t="s">
        <v>33</v>
      </c>
      <c r="V3" s="263" t="s">
        <v>34</v>
      </c>
      <c r="W3" s="263" t="s">
        <v>35</v>
      </c>
      <c r="X3" s="263" t="s">
        <v>36</v>
      </c>
      <c r="Y3" s="263" t="s">
        <v>37</v>
      </c>
      <c r="Z3" s="10" t="s">
        <v>38</v>
      </c>
      <c r="AA3" s="263" t="s">
        <v>39</v>
      </c>
      <c r="AB3" s="263" t="s">
        <v>40</v>
      </c>
      <c r="AC3" s="263" t="s">
        <v>41</v>
      </c>
      <c r="AD3" s="263" t="s">
        <v>42</v>
      </c>
      <c r="AE3" s="10" t="s">
        <v>43</v>
      </c>
      <c r="AF3" s="263" t="s">
        <v>44</v>
      </c>
      <c r="AG3" s="263" t="s">
        <v>45</v>
      </c>
      <c r="AH3" s="263" t="s">
        <v>46</v>
      </c>
      <c r="AI3" s="263" t="s">
        <v>47</v>
      </c>
      <c r="AJ3" s="10" t="s">
        <v>48</v>
      </c>
      <c r="AK3" s="263" t="s">
        <v>49</v>
      </c>
      <c r="AL3" s="263" t="s">
        <v>50</v>
      </c>
      <c r="AM3" s="264" t="s">
        <v>51</v>
      </c>
      <c r="AN3" s="264" t="s">
        <v>52</v>
      </c>
      <c r="AO3" s="17" t="s">
        <v>53</v>
      </c>
      <c r="AP3" s="264" t="s">
        <v>54</v>
      </c>
      <c r="AQ3" s="264" t="s">
        <v>55</v>
      </c>
      <c r="AR3" s="264" t="s">
        <v>56</v>
      </c>
      <c r="AS3" s="264" t="s">
        <v>57</v>
      </c>
      <c r="AT3" s="17" t="s">
        <v>58</v>
      </c>
      <c r="AU3" s="264" t="s">
        <v>59</v>
      </c>
      <c r="AV3" s="264" t="s">
        <v>60</v>
      </c>
      <c r="AW3" s="264" t="s">
        <v>61</v>
      </c>
      <c r="AX3" s="264" t="s">
        <v>62</v>
      </c>
      <c r="AY3" s="17" t="s">
        <v>63</v>
      </c>
    </row>
    <row r="4" s="258" customFormat="1" outlineLevel="1" spans="1:51">
      <c r="A4" s="265" t="s">
        <v>64</v>
      </c>
      <c r="B4" s="19">
        <v>42399</v>
      </c>
      <c r="C4" s="19">
        <v>42763</v>
      </c>
      <c r="D4" s="19">
        <v>43134</v>
      </c>
      <c r="E4" s="19">
        <v>43498</v>
      </c>
      <c r="F4" s="19">
        <v>43862</v>
      </c>
      <c r="G4" s="20">
        <v>43953</v>
      </c>
      <c r="H4" s="20">
        <v>44044</v>
      </c>
      <c r="I4" s="20">
        <v>44135</v>
      </c>
      <c r="J4" s="20">
        <v>44226</v>
      </c>
      <c r="K4" s="19">
        <f>J4</f>
        <v>44226</v>
      </c>
      <c r="L4" s="20">
        <v>44317</v>
      </c>
      <c r="M4" s="20">
        <v>44408</v>
      </c>
      <c r="N4" s="20">
        <v>44500</v>
      </c>
      <c r="O4" s="20">
        <v>44590</v>
      </c>
      <c r="P4" s="19">
        <f>O4</f>
        <v>44590</v>
      </c>
      <c r="Q4" s="20">
        <v>44681</v>
      </c>
      <c r="R4" s="20">
        <v>44772</v>
      </c>
      <c r="S4" s="20">
        <v>44863</v>
      </c>
      <c r="T4" s="20">
        <v>44954</v>
      </c>
      <c r="U4" s="19">
        <f>T4</f>
        <v>44954</v>
      </c>
      <c r="V4" s="20">
        <v>45045</v>
      </c>
      <c r="W4" s="20">
        <v>45136</v>
      </c>
      <c r="X4" s="20">
        <v>45227</v>
      </c>
      <c r="Y4" s="20">
        <v>45325</v>
      </c>
      <c r="Z4" s="19">
        <f>Y4</f>
        <v>45325</v>
      </c>
      <c r="AA4" s="20">
        <v>45416</v>
      </c>
      <c r="AB4" s="20">
        <v>45507</v>
      </c>
      <c r="AC4" s="20">
        <v>45598</v>
      </c>
      <c r="AD4" s="20">
        <v>45689</v>
      </c>
      <c r="AE4" s="19">
        <f>AD4</f>
        <v>45689</v>
      </c>
      <c r="AF4" s="20">
        <v>45780</v>
      </c>
      <c r="AG4" s="20">
        <f>AF4+AG5*7</f>
        <v>45871</v>
      </c>
      <c r="AH4" s="20">
        <f t="shared" ref="AH4:AI4" si="0">AH5*7+AG4</f>
        <v>45962</v>
      </c>
      <c r="AI4" s="20">
        <f t="shared" si="0"/>
        <v>46053</v>
      </c>
      <c r="AJ4" s="19">
        <f>AI4</f>
        <v>46053</v>
      </c>
      <c r="AK4" s="20">
        <f>AK5*7+AJ4</f>
        <v>46144</v>
      </c>
      <c r="AL4" s="20">
        <f t="shared" ref="AL4:AN4" si="1">AL5*7+AK4</f>
        <v>46235</v>
      </c>
      <c r="AM4" s="21">
        <f t="shared" si="1"/>
        <v>46326</v>
      </c>
      <c r="AN4" s="21">
        <f t="shared" si="1"/>
        <v>46417</v>
      </c>
      <c r="AO4" s="22">
        <f t="shared" ref="AO4" si="2">AN4</f>
        <v>46417</v>
      </c>
      <c r="AP4" s="21">
        <f>AP5*7+AO4</f>
        <v>46508</v>
      </c>
      <c r="AQ4" s="21">
        <f t="shared" ref="AQ4" si="3">AQ5*7+AP4</f>
        <v>46599</v>
      </c>
      <c r="AR4" s="21">
        <f t="shared" ref="AR4" si="4">AR5*7+AQ4</f>
        <v>46690</v>
      </c>
      <c r="AS4" s="21">
        <f t="shared" ref="AS4" si="5">AS5*7+AR4</f>
        <v>46781</v>
      </c>
      <c r="AT4" s="22">
        <f t="shared" ref="AT4" si="6">AS4</f>
        <v>46781</v>
      </c>
      <c r="AU4" s="21">
        <f>AU5*7+AT4</f>
        <v>46872</v>
      </c>
      <c r="AV4" s="21">
        <f t="shared" ref="AV4" si="7">AV5*7+AU4</f>
        <v>46963</v>
      </c>
      <c r="AW4" s="21">
        <f t="shared" ref="AW4" si="8">AW5*7+AV4</f>
        <v>47054</v>
      </c>
      <c r="AX4" s="21">
        <f t="shared" ref="AX4" si="9">AX5*7+AW4</f>
        <v>47145</v>
      </c>
      <c r="AY4" s="22">
        <f t="shared" ref="AY4" si="10">AX4</f>
        <v>47145</v>
      </c>
    </row>
    <row r="5" s="258" customFormat="1" outlineLevel="1" spans="1:51">
      <c r="A5" s="265" t="s">
        <v>65</v>
      </c>
      <c r="B5" s="23">
        <v>52</v>
      </c>
      <c r="C5" s="23">
        <v>52</v>
      </c>
      <c r="D5" s="23">
        <v>53</v>
      </c>
      <c r="E5" s="23">
        <v>52</v>
      </c>
      <c r="F5" s="23">
        <v>52</v>
      </c>
      <c r="G5" s="24">
        <v>13</v>
      </c>
      <c r="H5" s="266">
        <v>13</v>
      </c>
      <c r="I5" s="24">
        <v>13</v>
      </c>
      <c r="J5" s="24">
        <v>13</v>
      </c>
      <c r="K5" s="23">
        <f>SUM(G5:J5)</f>
        <v>52</v>
      </c>
      <c r="L5" s="24">
        <v>13</v>
      </c>
      <c r="M5" s="266">
        <v>13</v>
      </c>
      <c r="N5" s="24">
        <v>13</v>
      </c>
      <c r="O5" s="24">
        <v>13</v>
      </c>
      <c r="P5" s="23">
        <f>SUM(L5:O5)</f>
        <v>52</v>
      </c>
      <c r="Q5" s="24">
        <v>13</v>
      </c>
      <c r="R5" s="24">
        <v>13</v>
      </c>
      <c r="S5" s="24">
        <v>13</v>
      </c>
      <c r="T5" s="24">
        <v>13</v>
      </c>
      <c r="U5" s="23">
        <f>SUM(Q5:T5)</f>
        <v>52</v>
      </c>
      <c r="V5" s="24">
        <v>13</v>
      </c>
      <c r="W5" s="24">
        <v>13</v>
      </c>
      <c r="X5" s="24">
        <v>13</v>
      </c>
      <c r="Y5" s="24">
        <v>14</v>
      </c>
      <c r="Z5" s="23">
        <f>SUM(V5:Y5)</f>
        <v>53</v>
      </c>
      <c r="AA5" s="24">
        <v>13</v>
      </c>
      <c r="AB5" s="24">
        <v>13</v>
      </c>
      <c r="AC5" s="24">
        <v>13</v>
      </c>
      <c r="AD5" s="24">
        <v>13</v>
      </c>
      <c r="AE5" s="23">
        <f>SUM(AA5:AD5)</f>
        <v>52</v>
      </c>
      <c r="AF5" s="24">
        <v>13</v>
      </c>
      <c r="AG5" s="24">
        <v>13</v>
      </c>
      <c r="AH5" s="24">
        <v>13</v>
      </c>
      <c r="AI5" s="24">
        <v>13</v>
      </c>
      <c r="AJ5" s="23">
        <f>SUM(AF5:AI5)</f>
        <v>52</v>
      </c>
      <c r="AK5" s="24">
        <v>13</v>
      </c>
      <c r="AL5" s="24">
        <v>13</v>
      </c>
      <c r="AM5" s="25">
        <v>13</v>
      </c>
      <c r="AN5" s="25">
        <v>13</v>
      </c>
      <c r="AO5" s="26">
        <f t="shared" ref="AO5" si="11">SUM(AK5:AN5)</f>
        <v>52</v>
      </c>
      <c r="AP5" s="25">
        <v>13</v>
      </c>
      <c r="AQ5" s="25">
        <v>13</v>
      </c>
      <c r="AR5" s="25">
        <v>13</v>
      </c>
      <c r="AS5" s="25">
        <v>13</v>
      </c>
      <c r="AT5" s="26">
        <f t="shared" ref="AT5" si="12">SUM(AP5:AS5)</f>
        <v>52</v>
      </c>
      <c r="AU5" s="25">
        <v>13</v>
      </c>
      <c r="AV5" s="25">
        <v>13</v>
      </c>
      <c r="AW5" s="25">
        <v>13</v>
      </c>
      <c r="AX5" s="25">
        <v>13</v>
      </c>
      <c r="AY5" s="26">
        <f t="shared" ref="AY5" si="13">SUM(AU5:AX5)</f>
        <v>52</v>
      </c>
    </row>
    <row r="6" s="3" customFormat="1" spans="1:51">
      <c r="A6" s="267" t="s">
        <v>66</v>
      </c>
      <c r="B6" s="268"/>
      <c r="C6" s="268"/>
      <c r="D6" s="268"/>
      <c r="E6" s="268"/>
      <c r="F6" s="268"/>
      <c r="G6" s="269"/>
      <c r="H6" s="269"/>
      <c r="I6" s="269"/>
      <c r="J6" s="269"/>
      <c r="K6" s="270"/>
      <c r="L6" s="269"/>
      <c r="M6" s="269"/>
      <c r="N6" s="269"/>
      <c r="O6" s="269"/>
      <c r="P6" s="270"/>
      <c r="Q6" s="269"/>
      <c r="R6" s="269"/>
      <c r="S6" s="269"/>
      <c r="T6" s="269"/>
      <c r="U6" s="270"/>
      <c r="V6" s="269"/>
      <c r="W6" s="269"/>
      <c r="X6" s="269"/>
      <c r="Y6" s="269"/>
      <c r="Z6" s="270"/>
      <c r="AA6" s="269"/>
      <c r="AB6" s="269"/>
      <c r="AC6" s="269"/>
      <c r="AD6" s="269"/>
      <c r="AE6" s="270"/>
      <c r="AF6" s="269"/>
      <c r="AG6" s="269"/>
      <c r="AH6" s="269"/>
      <c r="AI6" s="269"/>
      <c r="AJ6" s="270"/>
      <c r="AK6" s="269"/>
      <c r="AL6" s="269"/>
      <c r="AM6" s="269"/>
      <c r="AN6" s="269"/>
      <c r="AO6" s="270"/>
      <c r="AP6" s="269"/>
      <c r="AQ6" s="269"/>
      <c r="AR6" s="269"/>
      <c r="AS6" s="269"/>
      <c r="AT6" s="270" t="s">
        <v>67</v>
      </c>
      <c r="AU6" s="269"/>
      <c r="AV6" s="269"/>
      <c r="AW6" s="269"/>
      <c r="AX6" s="269"/>
      <c r="AY6" s="270" t="s">
        <v>67</v>
      </c>
    </row>
    <row r="7" spans="1:51">
      <c r="A7" s="3" t="s">
        <v>68</v>
      </c>
      <c r="B7" s="271">
        <v>1640992</v>
      </c>
      <c r="C7" s="271">
        <v>1487024</v>
      </c>
      <c r="D7" s="271">
        <v>1454092</v>
      </c>
      <c r="E7" s="271">
        <v>1437571</v>
      </c>
      <c r="F7" s="271">
        <v>1464559</v>
      </c>
      <c r="G7" s="272">
        <v>212347</v>
      </c>
      <c r="H7" s="272">
        <v>269080</v>
      </c>
      <c r="I7" s="272">
        <v>342988</v>
      </c>
      <c r="J7" s="272">
        <v>466620</v>
      </c>
      <c r="K7" s="273">
        <f t="shared" ref="K7:K8" si="14">SUM(G7:J7)</f>
        <v>1291035</v>
      </c>
      <c r="L7" s="272">
        <v>338997</v>
      </c>
      <c r="M7" s="272">
        <v>350367</v>
      </c>
      <c r="N7" s="272">
        <v>382849</v>
      </c>
      <c r="O7" s="272">
        <v>492576</v>
      </c>
      <c r="P7" s="273">
        <f t="shared" ref="P7:P8" si="15">SUM(L7:O7)</f>
        <v>1564789</v>
      </c>
      <c r="Q7" s="272">
        <v>383928</v>
      </c>
      <c r="R7" s="272">
        <v>368157</v>
      </c>
      <c r="S7" s="272">
        <v>422332</v>
      </c>
      <c r="T7" s="272">
        <v>560438</v>
      </c>
      <c r="U7" s="273">
        <f t="shared" ref="U7:U8" si="16">SUM(Q7:T7)</f>
        <v>1734855</v>
      </c>
      <c r="V7" s="272">
        <v>436044</v>
      </c>
      <c r="W7" s="272">
        <v>462711</v>
      </c>
      <c r="X7" s="272">
        <v>547728</v>
      </c>
      <c r="Y7" s="272">
        <v>755203</v>
      </c>
      <c r="Z7" s="273">
        <f t="shared" ref="Z7:Z8" si="17">SUM(V7:Y7)</f>
        <v>2201686</v>
      </c>
      <c r="AA7" s="272">
        <v>571513</v>
      </c>
      <c r="AB7" s="272">
        <v>582416</v>
      </c>
      <c r="AC7" s="272">
        <v>629835</v>
      </c>
      <c r="AD7" s="272">
        <v>772670</v>
      </c>
      <c r="AE7" s="273">
        <f t="shared" ref="AE7:AE8" si="18">SUM(AA7:AD7)</f>
        <v>2556434</v>
      </c>
      <c r="AF7" s="272">
        <v>547947</v>
      </c>
      <c r="AG7" s="272">
        <v>551868</v>
      </c>
      <c r="AH7" s="272">
        <v>617345</v>
      </c>
      <c r="AI7" s="272">
        <v>806502</v>
      </c>
      <c r="AJ7" s="273">
        <f t="shared" ref="AJ7:AJ8" si="19">SUM(AF7:AI7)</f>
        <v>2523662</v>
      </c>
      <c r="AK7" s="272">
        <v>564719</v>
      </c>
      <c r="AL7" s="272">
        <v>596808</v>
      </c>
      <c r="AM7" s="274">
        <f>AH7*(1+AM14)</f>
        <v>666732.6</v>
      </c>
      <c r="AN7" s="274">
        <f t="shared" ref="AN7:AN8" si="20">AI7*(1+AN14)</f>
        <v>862957.14</v>
      </c>
      <c r="AO7" s="273">
        <f t="shared" ref="AO7:AO8" si="21">SUM(AK7:AN7)</f>
        <v>2691216.74</v>
      </c>
      <c r="AP7" s="274">
        <f>AK7*(1+AP14)</f>
        <v>592954.95</v>
      </c>
      <c r="AQ7" s="274">
        <f t="shared" ref="AQ7:AQ8" si="22">AL7*(1+AQ14)</f>
        <v>620680.32</v>
      </c>
      <c r="AR7" s="274">
        <f>AM7*(1+AR14)</f>
        <v>693401.904</v>
      </c>
      <c r="AS7" s="274">
        <f t="shared" ref="AS7:AS8" si="23">AN7*(1+AS14)</f>
        <v>897475.4256</v>
      </c>
      <c r="AT7" s="273">
        <f t="shared" ref="AT7:AT8" si="24">SUM(AP7:AS7)</f>
        <v>2804512.5996</v>
      </c>
      <c r="AU7" s="274">
        <f>AP7*(1+AU14)</f>
        <v>607778.82375</v>
      </c>
      <c r="AV7" s="274">
        <f t="shared" ref="AV7:AV8" si="25">AQ7*(1+AV14)</f>
        <v>636197.328</v>
      </c>
      <c r="AW7" s="274">
        <f>AR7*(1+AW14)</f>
        <v>710736.9516</v>
      </c>
      <c r="AX7" s="274">
        <f t="shared" ref="AX7:AX8" si="26">AS7*(1+AX14)</f>
        <v>919912.31124</v>
      </c>
      <c r="AY7" s="273">
        <f>SUM(AU7:AX7)</f>
        <v>2874625.41459</v>
      </c>
    </row>
    <row r="8" spans="1:51">
      <c r="A8" s="38" t="s">
        <v>69</v>
      </c>
      <c r="B8" s="275">
        <v>1877688</v>
      </c>
      <c r="C8" s="275">
        <v>1839716</v>
      </c>
      <c r="D8" s="275">
        <v>2038598</v>
      </c>
      <c r="E8" s="275">
        <v>2152538</v>
      </c>
      <c r="F8" s="275">
        <v>2158514</v>
      </c>
      <c r="G8" s="276">
        <v>273012</v>
      </c>
      <c r="H8" s="276">
        <v>429248</v>
      </c>
      <c r="I8" s="276">
        <v>476665</v>
      </c>
      <c r="J8" s="276">
        <v>655424</v>
      </c>
      <c r="K8" s="277">
        <f t="shared" si="14"/>
        <v>1834349</v>
      </c>
      <c r="L8" s="276">
        <v>442408</v>
      </c>
      <c r="M8" s="276">
        <v>514483</v>
      </c>
      <c r="N8" s="276">
        <v>522311</v>
      </c>
      <c r="O8" s="276">
        <v>668777</v>
      </c>
      <c r="P8" s="277">
        <f t="shared" si="15"/>
        <v>2147979</v>
      </c>
      <c r="Q8" s="276">
        <v>428834</v>
      </c>
      <c r="R8" s="276">
        <v>436934</v>
      </c>
      <c r="S8" s="276">
        <v>457752</v>
      </c>
      <c r="T8" s="276">
        <v>639376</v>
      </c>
      <c r="U8" s="277">
        <f t="shared" si="16"/>
        <v>1962896</v>
      </c>
      <c r="V8" s="276">
        <v>399950</v>
      </c>
      <c r="W8" s="276">
        <v>472634</v>
      </c>
      <c r="X8" s="276">
        <v>508703</v>
      </c>
      <c r="Y8" s="276">
        <v>697704</v>
      </c>
      <c r="Z8" s="277">
        <f t="shared" si="17"/>
        <v>2078991</v>
      </c>
      <c r="AA8" s="276">
        <v>449217</v>
      </c>
      <c r="AB8" s="276">
        <v>551558</v>
      </c>
      <c r="AC8" s="276">
        <v>579131</v>
      </c>
      <c r="AD8" s="276">
        <v>812247</v>
      </c>
      <c r="AE8" s="277">
        <f t="shared" si="18"/>
        <v>2392153</v>
      </c>
      <c r="AF8" s="276">
        <v>549364</v>
      </c>
      <c r="AG8" s="276">
        <v>656692</v>
      </c>
      <c r="AH8" s="276">
        <v>673274</v>
      </c>
      <c r="AI8" s="276">
        <v>863300</v>
      </c>
      <c r="AJ8" s="277">
        <f t="shared" si="19"/>
        <v>2742630</v>
      </c>
      <c r="AK8" s="276">
        <v>549102</v>
      </c>
      <c r="AL8" s="276">
        <v>669881</v>
      </c>
      <c r="AM8" s="278">
        <f t="shared" ref="AM8" si="27">AH8*(1+AM15)</f>
        <v>700204.96</v>
      </c>
      <c r="AN8" s="278">
        <f t="shared" si="20"/>
        <v>923731</v>
      </c>
      <c r="AO8" s="277">
        <f t="shared" si="21"/>
        <v>2842918.96</v>
      </c>
      <c r="AP8" s="278">
        <f t="shared" ref="AP8" si="28">AK8*(1+AP15)</f>
        <v>571066.08</v>
      </c>
      <c r="AQ8" s="278">
        <f t="shared" si="22"/>
        <v>696676.24</v>
      </c>
      <c r="AR8" s="278">
        <f t="shared" ref="AR8" si="29">AM8*(1+AR15)</f>
        <v>721211.1088</v>
      </c>
      <c r="AS8" s="278">
        <f t="shared" si="23"/>
        <v>951442.93</v>
      </c>
      <c r="AT8" s="277">
        <f t="shared" si="24"/>
        <v>2940396.3588</v>
      </c>
      <c r="AU8" s="278">
        <f t="shared" ref="AU8" si="30">AP8*(1+AU15)</f>
        <v>588198.0624</v>
      </c>
      <c r="AV8" s="278">
        <f t="shared" si="25"/>
        <v>717576.5272</v>
      </c>
      <c r="AW8" s="278">
        <f t="shared" ref="AW8" si="31">AR8*(1+AW15)</f>
        <v>746453.497608</v>
      </c>
      <c r="AX8" s="278">
        <f t="shared" si="26"/>
        <v>984743.43255</v>
      </c>
      <c r="AY8" s="277">
        <f>SUM(AU8:AX8)</f>
        <v>3036971.519758</v>
      </c>
    </row>
    <row r="9" spans="1:51">
      <c r="A9" s="3" t="s">
        <v>70</v>
      </c>
      <c r="B9" s="72">
        <f t="shared" ref="B9:H9" si="32">SUM(B7:B8)</f>
        <v>3518680</v>
      </c>
      <c r="C9" s="72">
        <f t="shared" si="32"/>
        <v>3326740</v>
      </c>
      <c r="D9" s="72">
        <f t="shared" si="32"/>
        <v>3492690</v>
      </c>
      <c r="E9" s="72">
        <f t="shared" si="32"/>
        <v>3590109</v>
      </c>
      <c r="F9" s="72">
        <f t="shared" si="32"/>
        <v>3623073</v>
      </c>
      <c r="G9" s="71">
        <f t="shared" si="32"/>
        <v>485359</v>
      </c>
      <c r="H9" s="71">
        <f t="shared" si="32"/>
        <v>698328</v>
      </c>
      <c r="I9" s="71">
        <f t="shared" ref="I9:J9" si="33">SUM(I7:I8)</f>
        <v>819653</v>
      </c>
      <c r="J9" s="71">
        <f t="shared" si="33"/>
        <v>1122044</v>
      </c>
      <c r="K9" s="72">
        <f>IF(SUM(K7:K8)=SUM(G9:J9),SUM(K7:K8),"ERR")</f>
        <v>3125384</v>
      </c>
      <c r="L9" s="71">
        <f>SUM(L7:L8)</f>
        <v>781405</v>
      </c>
      <c r="M9" s="71">
        <f>SUM(M7:M8)</f>
        <v>864850</v>
      </c>
      <c r="N9" s="71">
        <f t="shared" ref="N9" si="34">SUM(N7:N8)</f>
        <v>905160</v>
      </c>
      <c r="O9" s="71">
        <f t="shared" ref="O9" si="35">SUM(O7:O8)</f>
        <v>1161353</v>
      </c>
      <c r="P9" s="72">
        <f>IF(SUM(P7:P8)=SUM(L9:O9),SUM(P7:P8),"ERR")</f>
        <v>3712768</v>
      </c>
      <c r="Q9" s="71">
        <f>SUM(Q7:Q8)</f>
        <v>812762</v>
      </c>
      <c r="R9" s="71">
        <f>SUM(R7:R8)</f>
        <v>805091</v>
      </c>
      <c r="S9" s="71">
        <f t="shared" ref="S9" si="36">SUM(S7:S8)</f>
        <v>880084</v>
      </c>
      <c r="T9" s="71">
        <f t="shared" ref="T9" si="37">SUM(T7:T8)</f>
        <v>1199814</v>
      </c>
      <c r="U9" s="72">
        <f>IF(SUM(U7:U8)=SUM(Q9:T9),SUM(U7:U8),"ERR")</f>
        <v>3697751</v>
      </c>
      <c r="V9" s="71">
        <f>SUM(V7:V8)</f>
        <v>835994</v>
      </c>
      <c r="W9" s="71">
        <f>SUM(W7:W8)</f>
        <v>935345</v>
      </c>
      <c r="X9" s="71">
        <f t="shared" ref="X9" si="38">SUM(X7:X8)</f>
        <v>1056431</v>
      </c>
      <c r="Y9" s="71">
        <f t="shared" ref="Y9" si="39">SUM(Y7:Y8)</f>
        <v>1452907</v>
      </c>
      <c r="Z9" s="72">
        <f>IF(SUM(Z7:Z8)=SUM(V9:Y9),SUM(Z7:Z8),"ERR")</f>
        <v>4280677</v>
      </c>
      <c r="AA9" s="71">
        <f>SUM(AA7:AA8)</f>
        <v>1020730</v>
      </c>
      <c r="AB9" s="71">
        <f>SUM(AB7:AB8)</f>
        <v>1133974</v>
      </c>
      <c r="AC9" s="71">
        <f t="shared" ref="AC9:AD9" si="40">SUM(AC7:AC8)</f>
        <v>1208966</v>
      </c>
      <c r="AD9" s="71">
        <f t="shared" si="40"/>
        <v>1584917</v>
      </c>
      <c r="AE9" s="72">
        <f>IF(SUM(AE7:AE8)=SUM(AA9:AD9),SUM(AE7:AE8),"ERR")</f>
        <v>4948587</v>
      </c>
      <c r="AF9" s="71">
        <f>SUM(AF7:AF8)</f>
        <v>1097311</v>
      </c>
      <c r="AG9" s="71">
        <f>SUM(AG7:AG8)</f>
        <v>1208560</v>
      </c>
      <c r="AH9" s="71">
        <f t="shared" ref="AH9" si="41">SUM(AH7:AH8)</f>
        <v>1290619</v>
      </c>
      <c r="AI9" s="71">
        <f t="shared" ref="AI9" si="42">SUM(AI7:AI8)</f>
        <v>1669802</v>
      </c>
      <c r="AJ9" s="72">
        <f>IF(SUM(AJ7:AJ8)=SUM(AF9:AI9),SUM(AJ7:AJ8),"ERR")</f>
        <v>5266292</v>
      </c>
      <c r="AK9" s="71">
        <f t="shared" ref="AK9:AN9" si="43">SUM(AK7:AK8)</f>
        <v>1113821</v>
      </c>
      <c r="AL9" s="71">
        <f t="shared" si="43"/>
        <v>1266689</v>
      </c>
      <c r="AM9" s="71">
        <f t="shared" si="43"/>
        <v>1366937.56</v>
      </c>
      <c r="AN9" s="71">
        <f t="shared" si="43"/>
        <v>1786688.14</v>
      </c>
      <c r="AO9" s="72">
        <f>IF(SUM(AO7:AO8)=SUM(AK9:AN9),SUM(AO7:AO8),"ERR")</f>
        <v>5534135.7</v>
      </c>
      <c r="AP9" s="71">
        <f t="shared" ref="AP9:AS9" si="44">SUM(AP7:AP8)</f>
        <v>1164021.03</v>
      </c>
      <c r="AQ9" s="71">
        <f t="shared" si="44"/>
        <v>1317356.56</v>
      </c>
      <c r="AR9" s="71">
        <f t="shared" si="44"/>
        <v>1414613.0128</v>
      </c>
      <c r="AS9" s="71">
        <f t="shared" si="44"/>
        <v>1848918.3556</v>
      </c>
      <c r="AT9" s="72">
        <f>IF(SUM(AT7:AT8)=SUM(AP9:AS9),SUM(AT7:AT8),"ERR")</f>
        <v>5744908.9584</v>
      </c>
      <c r="AU9" s="71">
        <f t="shared" ref="AU9:AX9" si="45">SUM(AU7:AU8)</f>
        <v>1195976.88615</v>
      </c>
      <c r="AV9" s="71">
        <f t="shared" si="45"/>
        <v>1353773.8552</v>
      </c>
      <c r="AW9" s="71">
        <f t="shared" si="45"/>
        <v>1457190.449208</v>
      </c>
      <c r="AX9" s="71">
        <f t="shared" si="45"/>
        <v>1904655.74379</v>
      </c>
      <c r="AY9" s="72">
        <f>IF(SUM(AY7:AY8)=SUM(AU9:AX9),SUM(AY7:AY8),"ERR")</f>
        <v>5911596.934348</v>
      </c>
    </row>
    <row r="10" spans="1:51">
      <c r="A10" s="110" t="s">
        <v>71</v>
      </c>
      <c r="B10" s="279"/>
      <c r="C10" s="279"/>
      <c r="D10" s="271"/>
      <c r="E10" s="279"/>
      <c r="F10" s="279"/>
      <c r="G10" s="280">
        <f>G9-G52</f>
        <v>0</v>
      </c>
      <c r="H10" s="280">
        <f t="shared" ref="H10:K10" si="46">H9-H52</f>
        <v>0</v>
      </c>
      <c r="I10" s="280">
        <f t="shared" si="46"/>
        <v>0</v>
      </c>
      <c r="J10" s="280">
        <f t="shared" si="46"/>
        <v>0</v>
      </c>
      <c r="K10" s="281">
        <f t="shared" si="46"/>
        <v>0</v>
      </c>
      <c r="L10" s="280">
        <f t="shared" ref="L10:AF10" si="47">L9-L52</f>
        <v>0</v>
      </c>
      <c r="M10" s="280">
        <f t="shared" si="47"/>
        <v>0</v>
      </c>
      <c r="N10" s="280">
        <f t="shared" si="47"/>
        <v>0</v>
      </c>
      <c r="O10" s="280">
        <f t="shared" si="47"/>
        <v>0</v>
      </c>
      <c r="P10" s="281">
        <f t="shared" si="47"/>
        <v>0</v>
      </c>
      <c r="Q10" s="280">
        <f t="shared" si="47"/>
        <v>0</v>
      </c>
      <c r="R10" s="280">
        <f t="shared" si="47"/>
        <v>0</v>
      </c>
      <c r="S10" s="280">
        <f t="shared" si="47"/>
        <v>0</v>
      </c>
      <c r="T10" s="280">
        <f t="shared" si="47"/>
        <v>0</v>
      </c>
      <c r="U10" s="281">
        <f t="shared" si="47"/>
        <v>0</v>
      </c>
      <c r="V10" s="280">
        <f t="shared" si="47"/>
        <v>0</v>
      </c>
      <c r="W10" s="280">
        <f t="shared" si="47"/>
        <v>0</v>
      </c>
      <c r="X10" s="280">
        <f t="shared" si="47"/>
        <v>0</v>
      </c>
      <c r="Y10" s="280">
        <f t="shared" si="47"/>
        <v>0</v>
      </c>
      <c r="Z10" s="281">
        <f t="shared" si="47"/>
        <v>0</v>
      </c>
      <c r="AA10" s="280">
        <f t="shared" si="47"/>
        <v>0</v>
      </c>
      <c r="AB10" s="280">
        <f t="shared" si="47"/>
        <v>0</v>
      </c>
      <c r="AC10" s="280">
        <f t="shared" si="47"/>
        <v>0</v>
      </c>
      <c r="AD10" s="280">
        <f t="shared" si="47"/>
        <v>0</v>
      </c>
      <c r="AE10" s="281">
        <f t="shared" si="47"/>
        <v>0</v>
      </c>
      <c r="AF10" s="280">
        <f t="shared" si="47"/>
        <v>0</v>
      </c>
      <c r="AG10" s="280">
        <f t="shared" ref="AG10:AH10" si="48">AG9-AG52</f>
        <v>0</v>
      </c>
      <c r="AH10" s="280">
        <f t="shared" si="48"/>
        <v>0</v>
      </c>
      <c r="AI10" s="280"/>
      <c r="AJ10" s="281"/>
      <c r="AK10" s="280"/>
      <c r="AL10" s="280"/>
      <c r="AM10" s="280"/>
      <c r="AN10" s="280"/>
      <c r="AO10" s="281"/>
      <c r="AP10" s="280"/>
      <c r="AQ10" s="280"/>
      <c r="AR10" s="280"/>
      <c r="AS10" s="280"/>
      <c r="AT10" s="281"/>
      <c r="AU10" s="280"/>
      <c r="AV10" s="280"/>
      <c r="AW10" s="280"/>
      <c r="AX10" s="280"/>
      <c r="AY10" s="281"/>
    </row>
    <row r="11" spans="1:51">
      <c r="G11" s="3"/>
      <c r="H11" s="3"/>
      <c r="I11" s="3"/>
      <c r="J11" s="3"/>
      <c r="K11" s="4"/>
      <c r="L11" s="3"/>
      <c r="M11" s="3"/>
      <c r="N11" s="3"/>
      <c r="O11" s="3"/>
      <c r="P11" s="4"/>
      <c r="Q11" s="3"/>
      <c r="R11" s="3"/>
      <c r="S11" s="3"/>
      <c r="T11" s="3"/>
      <c r="U11" s="4"/>
      <c r="V11" s="3"/>
      <c r="W11" s="3"/>
      <c r="X11" s="3"/>
      <c r="Y11" s="3"/>
      <c r="Z11" s="4"/>
      <c r="AA11" s="3"/>
      <c r="AB11" s="3"/>
      <c r="AC11" s="3"/>
      <c r="AD11" s="3"/>
      <c r="AE11" s="4"/>
      <c r="AF11" s="3"/>
      <c r="AG11" s="3"/>
      <c r="AH11" s="3"/>
      <c r="AI11" s="3"/>
      <c r="AJ11" s="4"/>
      <c r="AK11" s="282"/>
      <c r="AL11" s="3"/>
      <c r="AM11" s="282"/>
      <c r="AN11" s="282"/>
      <c r="AO11" s="118"/>
      <c r="AP11" s="282"/>
      <c r="AQ11" s="282"/>
      <c r="AR11" s="282"/>
      <c r="AS11" s="282"/>
      <c r="AT11" s="118"/>
      <c r="AU11" s="282"/>
      <c r="AV11" s="282"/>
      <c r="AW11" s="282"/>
      <c r="AX11" s="282"/>
      <c r="AY11" s="118"/>
    </row>
    <row r="12" spans="1:51">
      <c r="A12" s="14" t="s">
        <v>72</v>
      </c>
      <c r="B12" s="15"/>
      <c r="C12" s="15"/>
      <c r="D12" s="15"/>
      <c r="E12" s="15"/>
      <c r="F12" s="15"/>
      <c r="G12" s="283"/>
      <c r="H12" s="283"/>
      <c r="I12" s="283"/>
      <c r="J12" s="283"/>
      <c r="K12" s="284"/>
      <c r="L12" s="283"/>
      <c r="M12" s="283"/>
      <c r="N12" s="283"/>
      <c r="O12" s="283"/>
      <c r="P12" s="284"/>
      <c r="Q12" s="283"/>
      <c r="R12" s="283"/>
      <c r="S12" s="283"/>
      <c r="T12" s="283"/>
      <c r="U12" s="284"/>
      <c r="V12" s="283"/>
      <c r="W12" s="283"/>
      <c r="X12" s="283"/>
      <c r="Y12" s="283"/>
      <c r="Z12" s="284"/>
      <c r="AA12" s="283"/>
      <c r="AB12" s="283"/>
      <c r="AC12" s="283"/>
      <c r="AD12" s="283"/>
      <c r="AE12" s="284"/>
      <c r="AF12" s="283"/>
      <c r="AG12" s="283"/>
      <c r="AH12" s="283"/>
      <c r="AI12" s="283"/>
      <c r="AJ12" s="284"/>
      <c r="AK12" s="283"/>
      <c r="AL12" s="283"/>
      <c r="AM12" s="283"/>
      <c r="AN12" s="283"/>
      <c r="AO12" s="284"/>
      <c r="AP12" s="283"/>
      <c r="AQ12" s="283"/>
      <c r="AR12" s="283"/>
      <c r="AS12" s="283"/>
      <c r="AT12" s="284"/>
      <c r="AU12" s="283"/>
      <c r="AV12" s="283"/>
      <c r="AW12" s="283"/>
      <c r="AX12" s="283"/>
      <c r="AY12" s="284"/>
    </row>
    <row r="13" spans="1:51">
      <c r="A13" s="285" t="s">
        <v>73</v>
      </c>
      <c r="B13" s="286"/>
      <c r="C13" s="286"/>
      <c r="D13" s="286"/>
      <c r="E13" s="286"/>
      <c r="F13" s="286"/>
      <c r="G13" s="287"/>
      <c r="H13" s="287"/>
      <c r="I13" s="287"/>
      <c r="J13" s="287"/>
      <c r="K13" s="288"/>
      <c r="L13" s="287"/>
      <c r="M13" s="287"/>
      <c r="N13" s="287"/>
      <c r="O13" s="287"/>
      <c r="P13" s="288"/>
      <c r="Q13" s="287"/>
      <c r="R13" s="287"/>
      <c r="S13" s="287"/>
      <c r="T13" s="287"/>
      <c r="U13" s="288"/>
      <c r="V13" s="287"/>
      <c r="W13" s="287"/>
      <c r="X13" s="287"/>
      <c r="Y13" s="287"/>
      <c r="Z13" s="288"/>
      <c r="AA13" s="287"/>
      <c r="AB13" s="287"/>
      <c r="AC13" s="287"/>
      <c r="AD13" s="287"/>
      <c r="AE13" s="288"/>
      <c r="AF13" s="287"/>
      <c r="AG13" s="287"/>
      <c r="AH13" s="287"/>
      <c r="AI13" s="287"/>
      <c r="AJ13" s="288"/>
      <c r="AK13" s="287"/>
      <c r="AL13" s="287"/>
      <c r="AM13" s="287"/>
      <c r="AN13" s="287"/>
      <c r="AO13" s="288"/>
      <c r="AP13" s="287"/>
      <c r="AQ13" s="287"/>
      <c r="AR13" s="287"/>
      <c r="AS13" s="287"/>
      <c r="AT13" s="288"/>
      <c r="AU13" s="287"/>
      <c r="AV13" s="287"/>
      <c r="AW13" s="287"/>
      <c r="AX13" s="287"/>
      <c r="AY13" s="288"/>
    </row>
    <row r="14" spans="1:51">
      <c r="A14" s="29" t="s">
        <v>68</v>
      </c>
      <c r="B14" s="135"/>
      <c r="C14" s="289">
        <f>C7/B7-1</f>
        <v>-0.0938261734365554</v>
      </c>
      <c r="D14" s="289">
        <f>D7/C7-1</f>
        <v>-0.0221462464627337</v>
      </c>
      <c r="E14" s="289">
        <f>E7/D7-1</f>
        <v>-0.0113617295191776</v>
      </c>
      <c r="F14" s="289">
        <f>F7/E7-1</f>
        <v>0.0187733336301303</v>
      </c>
      <c r="G14" s="290"/>
      <c r="H14" s="65"/>
      <c r="I14" s="65"/>
      <c r="J14" s="65"/>
      <c r="K14" s="289">
        <f t="shared" ref="K14:K16" si="49">K7/F7-1</f>
        <v>-0.118482082319661</v>
      </c>
      <c r="L14" s="65">
        <f>L7/G7-1</f>
        <v>0.596429429189016</v>
      </c>
      <c r="M14" s="65">
        <f t="shared" ref="M14:M16" si="50">M7/H7-1</f>
        <v>0.302092314553293</v>
      </c>
      <c r="N14" s="65">
        <f t="shared" ref="N14:N16" si="51">N7/I7-1</f>
        <v>0.1162168938855</v>
      </c>
      <c r="O14" s="65">
        <f t="shared" ref="O14:O16" si="52">O7/J7-1</f>
        <v>0.0556255625562556</v>
      </c>
      <c r="P14" s="289">
        <f t="shared" ref="P14:P16" si="53">P7/K7-1</f>
        <v>0.212042276158276</v>
      </c>
      <c r="Q14" s="65">
        <f>Q7/L7-1</f>
        <v>0.132540995938017</v>
      </c>
      <c r="R14" s="65">
        <f t="shared" ref="R14:R16" si="54">R7/M7-1</f>
        <v>0.0507753298683951</v>
      </c>
      <c r="S14" s="65">
        <f t="shared" ref="S14:S16" si="55">S7/N7-1</f>
        <v>0.103129432230462</v>
      </c>
      <c r="T14" s="65">
        <f t="shared" ref="T14:T16" si="56">T7/O7-1</f>
        <v>0.137769603066329</v>
      </c>
      <c r="U14" s="289">
        <f t="shared" ref="U14:U16" si="57">U7/P7-1</f>
        <v>0.108683023717575</v>
      </c>
      <c r="V14" s="65">
        <f t="shared" ref="V14:AL16" si="58">V7/Q7-1</f>
        <v>0.135744202037882</v>
      </c>
      <c r="W14" s="65">
        <f t="shared" si="58"/>
        <v>0.256830645621297</v>
      </c>
      <c r="X14" s="65">
        <f t="shared" si="58"/>
        <v>0.296913328850288</v>
      </c>
      <c r="Y14" s="65">
        <f t="shared" si="58"/>
        <v>0.347522830357684</v>
      </c>
      <c r="Z14" s="289">
        <f t="shared" si="58"/>
        <v>0.269089347524721</v>
      </c>
      <c r="AA14" s="65">
        <f t="shared" si="58"/>
        <v>0.310677362834943</v>
      </c>
      <c r="AB14" s="65">
        <f t="shared" si="58"/>
        <v>0.258703596845547</v>
      </c>
      <c r="AC14" s="65">
        <f t="shared" si="58"/>
        <v>0.149904697221979</v>
      </c>
      <c r="AD14" s="65">
        <f t="shared" si="58"/>
        <v>0.023128880579129</v>
      </c>
      <c r="AE14" s="289">
        <f t="shared" si="58"/>
        <v>0.161125610100623</v>
      </c>
      <c r="AF14" s="65">
        <f t="shared" si="58"/>
        <v>-0.0412344076162747</v>
      </c>
      <c r="AG14" s="65">
        <f t="shared" si="58"/>
        <v>-0.0524504821296118</v>
      </c>
      <c r="AH14" s="65">
        <f t="shared" si="58"/>
        <v>-0.0198305905514936</v>
      </c>
      <c r="AI14" s="65">
        <f t="shared" ref="AI14" si="59">AI19+AI29+AI34</f>
        <v>0.0435225642265485</v>
      </c>
      <c r="AJ14" s="289">
        <f t="shared" si="58"/>
        <v>-0.0128194195508274</v>
      </c>
      <c r="AK14" s="65">
        <f>AK7/AF7-1</f>
        <v>0.0306087997561808</v>
      </c>
      <c r="AL14" s="65">
        <f t="shared" si="58"/>
        <v>0.0814325164713301</v>
      </c>
      <c r="AM14" s="65">
        <f>AM19+AM29+AM34</f>
        <v>0.08</v>
      </c>
      <c r="AN14" s="65">
        <f t="shared" ref="AN14" si="60">AN19+AN29+AN34</f>
        <v>0.07</v>
      </c>
      <c r="AO14" s="289">
        <f>AO7/AJ7-1</f>
        <v>0.0663934948499443</v>
      </c>
      <c r="AP14" s="65">
        <f>AP19+AP29+AP34</f>
        <v>0.05</v>
      </c>
      <c r="AQ14" s="65">
        <f t="shared" ref="AQ14:AQ15" si="61">AQ19+AQ29+AQ34</f>
        <v>0.04</v>
      </c>
      <c r="AR14" s="65">
        <f>AR19+AR29+AR34</f>
        <v>0.04</v>
      </c>
      <c r="AS14" s="65">
        <f t="shared" ref="AS14:AS15" si="62">AS19+AS29+AS34</f>
        <v>0.04</v>
      </c>
      <c r="AT14" s="289">
        <f>AT7/AO7-1</f>
        <v>0.0420983779998336</v>
      </c>
      <c r="AU14" s="65">
        <f>AU19+AU29+AU34</f>
        <v>0.025</v>
      </c>
      <c r="AV14" s="65">
        <f t="shared" ref="AV14:AV15" si="63">AV19+AV29+AV34</f>
        <v>0.025</v>
      </c>
      <c r="AW14" s="65">
        <f>AW19+AW29+AW34</f>
        <v>0.025</v>
      </c>
      <c r="AX14" s="65">
        <f t="shared" ref="AX14:AX15" si="64">AX19+AX29+AX34</f>
        <v>0.025</v>
      </c>
      <c r="AY14" s="289">
        <f>AY7/AT7-1</f>
        <v>0.0249999999999999</v>
      </c>
    </row>
    <row r="15" spans="1:51">
      <c r="A15" s="97" t="s">
        <v>69</v>
      </c>
      <c r="B15" s="291"/>
      <c r="C15" s="292">
        <f t="shared" ref="C15:D16" si="65">C8/B8-1</f>
        <v>-0.0202227420103872</v>
      </c>
      <c r="D15" s="292">
        <f t="shared" si="65"/>
        <v>0.108104729208204</v>
      </c>
      <c r="E15" s="292">
        <f t="shared" ref="E15:F15" si="66">E8/D8-1</f>
        <v>0.0558913527826477</v>
      </c>
      <c r="F15" s="292">
        <f t="shared" si="66"/>
        <v>0.00277625760846023</v>
      </c>
      <c r="G15" s="293"/>
      <c r="H15" s="294"/>
      <c r="I15" s="294"/>
      <c r="J15" s="294"/>
      <c r="K15" s="292">
        <f t="shared" si="49"/>
        <v>-0.150179706965069</v>
      </c>
      <c r="L15" s="294">
        <f t="shared" ref="L15:L16" si="67">L8/G8-1</f>
        <v>0.620470895052232</v>
      </c>
      <c r="M15" s="294">
        <f t="shared" si="50"/>
        <v>0.198568193678247</v>
      </c>
      <c r="N15" s="294">
        <f t="shared" si="51"/>
        <v>0.0957611739901187</v>
      </c>
      <c r="O15" s="294">
        <f t="shared" si="52"/>
        <v>0.0203730714773949</v>
      </c>
      <c r="P15" s="292">
        <f t="shared" si="53"/>
        <v>0.170976188282601</v>
      </c>
      <c r="Q15" s="294">
        <f t="shared" ref="Q15:Q16" si="68">Q8/L8-1</f>
        <v>-0.0306820853149129</v>
      </c>
      <c r="R15" s="294">
        <f t="shared" si="54"/>
        <v>-0.150731899790664</v>
      </c>
      <c r="S15" s="294">
        <f t="shared" si="55"/>
        <v>-0.123602604578498</v>
      </c>
      <c r="T15" s="294">
        <f t="shared" si="56"/>
        <v>-0.0439623372215253</v>
      </c>
      <c r="U15" s="292">
        <f t="shared" si="57"/>
        <v>-0.086166112424749</v>
      </c>
      <c r="V15" s="294">
        <f t="shared" si="58"/>
        <v>-0.0673547339996362</v>
      </c>
      <c r="W15" s="294">
        <f t="shared" si="58"/>
        <v>0.0817057038362774</v>
      </c>
      <c r="X15" s="294">
        <f t="shared" si="58"/>
        <v>0.111306995927926</v>
      </c>
      <c r="Y15" s="294">
        <f t="shared" si="58"/>
        <v>0.0912264457846401</v>
      </c>
      <c r="Z15" s="292">
        <f t="shared" si="58"/>
        <v>0.059144753466307</v>
      </c>
      <c r="AA15" s="294">
        <f t="shared" si="58"/>
        <v>0.123182897862233</v>
      </c>
      <c r="AB15" s="294">
        <f t="shared" si="58"/>
        <v>0.166987563315377</v>
      </c>
      <c r="AC15" s="294">
        <f t="shared" si="58"/>
        <v>0.138446205349683</v>
      </c>
      <c r="AD15" s="294">
        <f t="shared" si="58"/>
        <v>0.164171339135221</v>
      </c>
      <c r="AE15" s="292">
        <f t="shared" si="58"/>
        <v>0.150631724716461</v>
      </c>
      <c r="AF15" s="294">
        <f t="shared" si="58"/>
        <v>0.222936798919008</v>
      </c>
      <c r="AG15" s="294">
        <f t="shared" si="58"/>
        <v>0.190612773271351</v>
      </c>
      <c r="AH15" s="294">
        <f t="shared" si="58"/>
        <v>0.162559075580482</v>
      </c>
      <c r="AI15" s="294">
        <f t="shared" ref="AI15" si="69">AI20+AI30+AI35</f>
        <v>0.0621858688566838</v>
      </c>
      <c r="AJ15" s="292">
        <f t="shared" si="58"/>
        <v>0.146511113628601</v>
      </c>
      <c r="AK15" s="294">
        <f>AK8/AF8-1</f>
        <v>-0.000476915123670318</v>
      </c>
      <c r="AL15" s="294">
        <f t="shared" si="58"/>
        <v>0.0200839967595159</v>
      </c>
      <c r="AM15" s="294">
        <f>AM20+AM30+AM35</f>
        <v>0.04</v>
      </c>
      <c r="AN15" s="294">
        <f t="shared" ref="AN15" si="70">AN20+AN30+AN35</f>
        <v>0.07</v>
      </c>
      <c r="AO15" s="292">
        <f>AO8/AJ8-1</f>
        <v>0.0365667115141306</v>
      </c>
      <c r="AP15" s="294">
        <f>AP20+AP30+AP35</f>
        <v>0.04</v>
      </c>
      <c r="AQ15" s="294">
        <f t="shared" si="61"/>
        <v>0.04</v>
      </c>
      <c r="AR15" s="294">
        <f>AR20+AR30+AR35</f>
        <v>0.03</v>
      </c>
      <c r="AS15" s="294">
        <f t="shared" si="62"/>
        <v>0.03</v>
      </c>
      <c r="AT15" s="292">
        <f>AT8/AO8-1</f>
        <v>0.0342877866627616</v>
      </c>
      <c r="AU15" s="294">
        <f>AU20+AU30+AU35</f>
        <v>0.03</v>
      </c>
      <c r="AV15" s="294">
        <f t="shared" si="63"/>
        <v>0.03</v>
      </c>
      <c r="AW15" s="294">
        <f>AW20+AW30+AW35</f>
        <v>0.035</v>
      </c>
      <c r="AX15" s="294">
        <f t="shared" si="64"/>
        <v>0.035</v>
      </c>
      <c r="AY15" s="292">
        <f>AY8/AT8-1</f>
        <v>0.0328442662734807</v>
      </c>
    </row>
    <row r="16" spans="1:51">
      <c r="A16" s="2" t="s">
        <v>74</v>
      </c>
      <c r="B16" s="295"/>
      <c r="C16" s="296">
        <f t="shared" si="65"/>
        <v>-0.0545488649152523</v>
      </c>
      <c r="D16" s="296">
        <f t="shared" si="65"/>
        <v>0.0498836698990603</v>
      </c>
      <c r="E16" s="296">
        <f t="shared" ref="E16:F16" si="71">E9/D9-1</f>
        <v>0.0278922549668021</v>
      </c>
      <c r="F16" s="296">
        <f t="shared" si="71"/>
        <v>0.0091818939202124</v>
      </c>
      <c r="G16" s="297"/>
      <c r="H16" s="298"/>
      <c r="I16" s="298"/>
      <c r="J16" s="298"/>
      <c r="K16" s="296">
        <f t="shared" si="49"/>
        <v>-0.137366539399013</v>
      </c>
      <c r="L16" s="298">
        <f t="shared" si="67"/>
        <v>0.609952632999491</v>
      </c>
      <c r="M16" s="298">
        <f t="shared" si="50"/>
        <v>0.238458145742402</v>
      </c>
      <c r="N16" s="298">
        <f t="shared" si="51"/>
        <v>0.104320974851553</v>
      </c>
      <c r="O16" s="298">
        <f t="shared" si="52"/>
        <v>0.0350333855000338</v>
      </c>
      <c r="P16" s="296">
        <f t="shared" si="53"/>
        <v>0.187939785959101</v>
      </c>
      <c r="Q16" s="298">
        <f t="shared" si="68"/>
        <v>0.0401289984067161</v>
      </c>
      <c r="R16" s="298">
        <f t="shared" si="54"/>
        <v>-0.0690975313638204</v>
      </c>
      <c r="S16" s="298">
        <f t="shared" si="55"/>
        <v>-0.0277033894560078</v>
      </c>
      <c r="T16" s="298">
        <f t="shared" si="56"/>
        <v>0.0331174070243931</v>
      </c>
      <c r="U16" s="296">
        <f t="shared" si="57"/>
        <v>-0.00404469118458251</v>
      </c>
      <c r="V16" s="298">
        <f t="shared" si="58"/>
        <v>0.0285840135242543</v>
      </c>
      <c r="W16" s="298">
        <f t="shared" si="58"/>
        <v>0.161787922110668</v>
      </c>
      <c r="X16" s="298">
        <f t="shared" si="58"/>
        <v>0.200375191458997</v>
      </c>
      <c r="Y16" s="298">
        <f t="shared" si="58"/>
        <v>0.210943529580418</v>
      </c>
      <c r="Z16" s="296">
        <f t="shared" si="58"/>
        <v>0.157643389184399</v>
      </c>
      <c r="AA16" s="298">
        <f t="shared" si="58"/>
        <v>0.220977662519109</v>
      </c>
      <c r="AB16" s="298">
        <f t="shared" si="58"/>
        <v>0.212359076062843</v>
      </c>
      <c r="AC16" s="298">
        <f t="shared" si="58"/>
        <v>0.144387092010742</v>
      </c>
      <c r="AD16" s="298">
        <f t="shared" si="58"/>
        <v>0.0908592222351465</v>
      </c>
      <c r="AE16" s="296">
        <f t="shared" si="58"/>
        <v>0.156029058020495</v>
      </c>
      <c r="AF16" s="298">
        <f t="shared" si="58"/>
        <v>0.0750257168888933</v>
      </c>
      <c r="AG16" s="298">
        <f t="shared" si="58"/>
        <v>0.0657739948182234</v>
      </c>
      <c r="AH16" s="298">
        <f t="shared" si="58"/>
        <v>0.0675395337834148</v>
      </c>
      <c r="AI16" s="298">
        <f>AI9/AD9-1</f>
        <v>0.0535580096623356</v>
      </c>
      <c r="AJ16" s="296">
        <f t="shared" si="58"/>
        <v>0.0642011547942878</v>
      </c>
      <c r="AK16" s="298">
        <f>AK9/AF9-1</f>
        <v>0.0150458712252042</v>
      </c>
      <c r="AL16" s="298">
        <f t="shared" si="58"/>
        <v>0.0480977361488051</v>
      </c>
      <c r="AM16" s="298">
        <f t="shared" ref="AM16:AY16" si="72">AM9/AH9-1</f>
        <v>0.0591332996027487</v>
      </c>
      <c r="AN16" s="298">
        <f t="shared" si="72"/>
        <v>0.0700000000000001</v>
      </c>
      <c r="AO16" s="296">
        <f t="shared" si="72"/>
        <v>0.05086001687715</v>
      </c>
      <c r="AP16" s="298">
        <f t="shared" si="72"/>
        <v>0.0450701055196483</v>
      </c>
      <c r="AQ16" s="298">
        <f t="shared" si="72"/>
        <v>0.04</v>
      </c>
      <c r="AR16" s="298">
        <f t="shared" si="72"/>
        <v>0.0348775644148662</v>
      </c>
      <c r="AS16" s="298">
        <f t="shared" si="72"/>
        <v>0.0348299259433154</v>
      </c>
      <c r="AT16" s="296">
        <f t="shared" si="72"/>
        <v>0.0380860300191048</v>
      </c>
      <c r="AU16" s="298">
        <f t="shared" si="72"/>
        <v>0.0274529886715189</v>
      </c>
      <c r="AV16" s="298">
        <f t="shared" si="72"/>
        <v>0.027644220483481</v>
      </c>
      <c r="AW16" s="298">
        <f t="shared" si="72"/>
        <v>0.0300982926233122</v>
      </c>
      <c r="AX16" s="298">
        <f t="shared" si="72"/>
        <v>0.0301459434491429</v>
      </c>
      <c r="AY16" s="296">
        <f t="shared" si="72"/>
        <v>0.0290149029610427</v>
      </c>
    </row>
    <row r="17" spans="1:52">
      <c r="G17" s="3"/>
      <c r="H17" s="3"/>
      <c r="I17" s="3"/>
      <c r="J17" s="3"/>
      <c r="K17" s="4"/>
      <c r="L17" s="3"/>
      <c r="M17" s="3"/>
      <c r="N17" s="3"/>
      <c r="O17" s="3"/>
      <c r="P17" s="4"/>
      <c r="Q17" s="3"/>
      <c r="R17" s="3"/>
      <c r="S17" s="3"/>
      <c r="T17" s="3"/>
      <c r="U17" s="4"/>
      <c r="V17" s="3"/>
      <c r="W17" s="3"/>
      <c r="X17" s="3"/>
      <c r="Y17" s="3"/>
      <c r="Z17" s="4"/>
      <c r="AA17" s="3"/>
      <c r="AB17" s="3"/>
      <c r="AC17" s="3"/>
      <c r="AD17" s="3"/>
      <c r="AE17" s="4"/>
      <c r="AF17" s="3"/>
      <c r="AG17" s="3"/>
      <c r="AH17" s="3"/>
      <c r="AI17" s="3"/>
      <c r="AJ17" s="4"/>
      <c r="AK17" s="3"/>
      <c r="AL17" s="3"/>
      <c r="AM17" s="3"/>
      <c r="AN17" s="3"/>
      <c r="AO17" s="4"/>
      <c r="AP17" s="3"/>
      <c r="AQ17" s="3"/>
      <c r="AR17" s="3"/>
      <c r="AS17" s="3"/>
      <c r="AT17" s="4"/>
      <c r="AU17" s="3"/>
      <c r="AV17" s="3"/>
      <c r="AW17" s="3"/>
      <c r="AX17" s="3"/>
      <c r="AY17" s="4"/>
    </row>
    <row r="18" spans="1:52">
      <c r="A18" s="285" t="s">
        <v>75</v>
      </c>
      <c r="B18" s="286"/>
      <c r="C18" s="286"/>
      <c r="D18" s="286"/>
      <c r="E18" s="286"/>
      <c r="F18" s="286"/>
      <c r="G18" s="287"/>
      <c r="H18" s="287"/>
      <c r="I18" s="287"/>
      <c r="J18" s="287"/>
      <c r="K18" s="288"/>
      <c r="L18" s="287"/>
      <c r="M18" s="287"/>
      <c r="N18" s="287"/>
      <c r="O18" s="287"/>
      <c r="P18" s="288"/>
      <c r="Q18" s="287"/>
      <c r="R18" s="287"/>
      <c r="S18" s="287"/>
      <c r="T18" s="287"/>
      <c r="U18" s="288"/>
      <c r="V18" s="287"/>
      <c r="W18" s="287"/>
      <c r="X18" s="287"/>
      <c r="Y18" s="287"/>
      <c r="Z18" s="288"/>
      <c r="AA18" s="287"/>
      <c r="AB18" s="287"/>
      <c r="AC18" s="287"/>
      <c r="AD18" s="287"/>
      <c r="AE18" s="288"/>
      <c r="AF18" s="287"/>
      <c r="AG18" s="287"/>
      <c r="AH18" s="287"/>
      <c r="AI18" s="287"/>
      <c r="AJ18" s="288"/>
      <c r="AK18" s="287"/>
      <c r="AL18" s="287"/>
      <c r="AM18" s="287"/>
      <c r="AN18" s="287"/>
      <c r="AO18" s="288"/>
      <c r="AP18" s="287"/>
      <c r="AQ18" s="287"/>
      <c r="AR18" s="287"/>
      <c r="AS18" s="287"/>
      <c r="AT18" s="288"/>
      <c r="AU18" s="287"/>
      <c r="AV18" s="287"/>
      <c r="AW18" s="287"/>
      <c r="AX18" s="287"/>
      <c r="AY18" s="288"/>
    </row>
    <row r="19" spans="1:52">
      <c r="A19" s="29" t="s">
        <v>68</v>
      </c>
      <c r="B19" s="299">
        <v>-0.06</v>
      </c>
      <c r="C19" s="299">
        <v>-0.11</v>
      </c>
      <c r="D19" s="299">
        <v>0.08</v>
      </c>
      <c r="E19" s="299">
        <v>0.01</v>
      </c>
      <c r="F19" s="299">
        <v>0.03</v>
      </c>
      <c r="G19" s="300"/>
      <c r="H19" s="301"/>
      <c r="I19" s="301"/>
      <c r="J19" s="301"/>
      <c r="K19" s="302"/>
      <c r="L19" s="300"/>
      <c r="M19" s="301"/>
      <c r="N19" s="301"/>
      <c r="O19" s="301"/>
      <c r="P19" s="302"/>
      <c r="Q19" s="300"/>
      <c r="R19" s="301"/>
      <c r="S19" s="301"/>
      <c r="T19" s="301"/>
      <c r="U19" s="302"/>
      <c r="V19" s="303">
        <v>0.14</v>
      </c>
      <c r="W19" s="303">
        <v>0.23</v>
      </c>
      <c r="X19" s="303">
        <v>0.26</v>
      </c>
      <c r="Y19" s="303">
        <v>0.28</v>
      </c>
      <c r="Z19" s="299">
        <v>0.23</v>
      </c>
      <c r="AA19" s="303">
        <v>0.29</v>
      </c>
      <c r="AB19" s="303">
        <v>0.21</v>
      </c>
      <c r="AC19" s="303">
        <v>0.11</v>
      </c>
      <c r="AD19" s="303">
        <v>0.05</v>
      </c>
      <c r="AE19" s="299">
        <v>0.15</v>
      </c>
      <c r="AF19" s="303">
        <v>-0.1</v>
      </c>
      <c r="AG19" s="303">
        <v>-0.11</v>
      </c>
      <c r="AH19" s="303">
        <v>-0.07</v>
      </c>
      <c r="AI19" s="303">
        <v>-0.01</v>
      </c>
      <c r="AJ19" s="299">
        <v>-0.07</v>
      </c>
      <c r="AK19" s="303">
        <v>0</v>
      </c>
      <c r="AL19" s="303">
        <v>0.04</v>
      </c>
      <c r="AM19" s="304">
        <v>0.02</v>
      </c>
      <c r="AN19" s="304">
        <v>0.02</v>
      </c>
      <c r="AO19" s="305">
        <f>SUMPRODUCT(AK19:AN19,AF$43:AI$43)</f>
        <v>0.0200310738918286</v>
      </c>
      <c r="AP19" s="304">
        <v>0.02</v>
      </c>
      <c r="AQ19" s="304">
        <v>0.02</v>
      </c>
      <c r="AR19" s="304">
        <v>0.02</v>
      </c>
      <c r="AS19" s="304">
        <v>0.02</v>
      </c>
      <c r="AT19" s="305">
        <f>SUMPRODUCT(AP19:AS19,AK$43:AN$43)</f>
        <v>0.02</v>
      </c>
      <c r="AU19" s="304">
        <v>0.015</v>
      </c>
      <c r="AV19" s="304">
        <v>0.015</v>
      </c>
      <c r="AW19" s="304">
        <v>0.015</v>
      </c>
      <c r="AX19" s="304">
        <v>0.015</v>
      </c>
      <c r="AY19" s="305">
        <f>SUMPRODUCT(AU19:AX19,AP$43:AS$43)</f>
        <v>0.015</v>
      </c>
      <c r="AZ19" s="136"/>
    </row>
    <row r="20" spans="1:52">
      <c r="A20" s="97" t="s">
        <v>69</v>
      </c>
      <c r="B20" s="306">
        <v>0</v>
      </c>
      <c r="C20" s="306">
        <v>0</v>
      </c>
      <c r="D20" s="306">
        <v>-0.02</v>
      </c>
      <c r="E20" s="306">
        <v>0.05</v>
      </c>
      <c r="F20" s="306">
        <v>-0.01</v>
      </c>
      <c r="G20" s="307"/>
      <c r="H20" s="308"/>
      <c r="I20" s="308"/>
      <c r="J20" s="308"/>
      <c r="K20" s="309"/>
      <c r="L20" s="307"/>
      <c r="M20" s="308"/>
      <c r="N20" s="308"/>
      <c r="O20" s="308"/>
      <c r="P20" s="309"/>
      <c r="Q20" s="307"/>
      <c r="R20" s="308"/>
      <c r="S20" s="308"/>
      <c r="T20" s="308"/>
      <c r="U20" s="309"/>
      <c r="V20" s="310">
        <v>-0.06</v>
      </c>
      <c r="W20" s="310">
        <v>0.05</v>
      </c>
      <c r="X20" s="310">
        <v>0.07</v>
      </c>
      <c r="Y20" s="310">
        <v>0.06</v>
      </c>
      <c r="Z20" s="306">
        <v>0.04</v>
      </c>
      <c r="AA20" s="310">
        <v>0.13</v>
      </c>
      <c r="AB20" s="310">
        <v>0.15</v>
      </c>
      <c r="AC20" s="310">
        <v>0.21</v>
      </c>
      <c r="AD20" s="310">
        <v>0.24</v>
      </c>
      <c r="AE20" s="306">
        <v>0.19</v>
      </c>
      <c r="AF20" s="310">
        <v>0.23</v>
      </c>
      <c r="AG20" s="310">
        <v>0.19</v>
      </c>
      <c r="AH20" s="310">
        <v>0.15</v>
      </c>
      <c r="AI20" s="310">
        <v>0.03</v>
      </c>
      <c r="AJ20" s="306">
        <v>0.13</v>
      </c>
      <c r="AK20" s="310">
        <v>-0.02</v>
      </c>
      <c r="AL20" s="310">
        <v>-0.03</v>
      </c>
      <c r="AM20" s="311">
        <v>-0.01</v>
      </c>
      <c r="AN20" s="311">
        <v>0.03</v>
      </c>
      <c r="AO20" s="312">
        <f>SUMPRODUCT(AK20:AN20,AF$44:AI$44)</f>
        <v>-0.00420099685338526</v>
      </c>
      <c r="AP20" s="311">
        <v>0.03</v>
      </c>
      <c r="AQ20" s="311">
        <v>0.03</v>
      </c>
      <c r="AR20" s="311">
        <v>0.02</v>
      </c>
      <c r="AS20" s="311">
        <v>0.02</v>
      </c>
      <c r="AT20" s="312">
        <f>SUMPRODUCT(AP20:AS20,AK$44:AN$44)</f>
        <v>0.0242877866627616</v>
      </c>
      <c r="AU20" s="311">
        <v>0.02</v>
      </c>
      <c r="AV20" s="311">
        <v>0.02</v>
      </c>
      <c r="AW20" s="311">
        <v>0.025</v>
      </c>
      <c r="AX20" s="311">
        <v>0.025</v>
      </c>
      <c r="AY20" s="312">
        <f>SUMPRODUCT(AU20:AX20,AP$44:AS$44)</f>
        <v>0.0228442662734806</v>
      </c>
      <c r="AZ20" s="136"/>
    </row>
    <row r="21" s="157" customFormat="1" spans="1:52">
      <c r="A21" s="2" t="s">
        <v>74</v>
      </c>
      <c r="B21" s="313">
        <v>-0.03</v>
      </c>
      <c r="C21" s="313">
        <v>-0.05</v>
      </c>
      <c r="D21" s="313">
        <v>0.03</v>
      </c>
      <c r="E21" s="313">
        <v>0.03</v>
      </c>
      <c r="F21" s="313">
        <v>0.01</v>
      </c>
      <c r="G21" s="314"/>
      <c r="H21" s="315"/>
      <c r="I21" s="315"/>
      <c r="J21" s="315"/>
      <c r="K21" s="316"/>
      <c r="L21" s="314"/>
      <c r="M21" s="315"/>
      <c r="N21" s="315"/>
      <c r="O21" s="315"/>
      <c r="P21" s="316"/>
      <c r="Q21" s="314"/>
      <c r="R21" s="315"/>
      <c r="S21" s="315"/>
      <c r="T21" s="315"/>
      <c r="U21" s="316"/>
      <c r="V21" s="317">
        <v>0.03</v>
      </c>
      <c r="W21" s="317">
        <v>0.13</v>
      </c>
      <c r="X21" s="317">
        <v>0.16</v>
      </c>
      <c r="Y21" s="317">
        <v>0.16</v>
      </c>
      <c r="Z21" s="313">
        <v>0.13</v>
      </c>
      <c r="AA21" s="317">
        <v>0.21</v>
      </c>
      <c r="AB21" s="317">
        <v>0.18</v>
      </c>
      <c r="AC21" s="317">
        <v>0.16</v>
      </c>
      <c r="AD21" s="317">
        <v>0.14</v>
      </c>
      <c r="AE21" s="313">
        <v>0.17</v>
      </c>
      <c r="AF21" s="317">
        <v>0.04</v>
      </c>
      <c r="AG21" s="317">
        <v>0.03</v>
      </c>
      <c r="AH21" s="317">
        <v>0.03</v>
      </c>
      <c r="AI21" s="317">
        <v>0.01</v>
      </c>
      <c r="AJ21" s="313">
        <v>0.03</v>
      </c>
      <c r="AK21" s="317">
        <v>-0.01</v>
      </c>
      <c r="AL21" s="317">
        <v>0</v>
      </c>
      <c r="AM21" s="318">
        <f>AM19*AH$39+AM20*AH$40</f>
        <v>0.00434997470206157</v>
      </c>
      <c r="AN21" s="318">
        <f>AN19*AI$39+AN20*AI$40</f>
        <v>0.0251700740566846</v>
      </c>
      <c r="AO21" s="305">
        <f>SUMPRODUCT(AK21:AN21,AF$45:AI$45)</f>
        <v>0.00696317067112875</v>
      </c>
      <c r="AP21" s="318">
        <f>AP19*AK$39+AP20*AK$40</f>
        <v>0.0249298944803519</v>
      </c>
      <c r="AQ21" s="318">
        <f>AQ19*AL$39+AQ20*AL$40</f>
        <v>0.0252884409669619</v>
      </c>
      <c r="AR21" s="318">
        <f>AR19*AM$39+AR20*AM$40</f>
        <v>0.02</v>
      </c>
      <c r="AS21" s="318">
        <f>AS19*AN$39+AS20*AN$40</f>
        <v>0.02</v>
      </c>
      <c r="AT21" s="305">
        <f>SUMPRODUCT(AP21:AS21,AK$45:AN$45)</f>
        <v>0.0222026619260529</v>
      </c>
      <c r="AU21" s="318">
        <f>AU19*AP$39+AU20*AP$40</f>
        <v>0.0174529886715191</v>
      </c>
      <c r="AV21" s="318">
        <f>AV19*AQ$39+AV20*AQ$40</f>
        <v>0.0176442204834809</v>
      </c>
      <c r="AW21" s="318">
        <f>AW19*AR$39+AW20*AR$40</f>
        <v>0.0200982926233124</v>
      </c>
      <c r="AX21" s="318">
        <f>AX19*AS$39+AX20*AS$40</f>
        <v>0.020145943449143</v>
      </c>
      <c r="AY21" s="305">
        <f>SUMPRODUCT(AU21:AX21,AP$45:AS$45)</f>
        <v>0.0190149029610425</v>
      </c>
    </row>
    <row r="22" spans="1:52">
      <c r="G22" s="3"/>
      <c r="H22" s="3"/>
      <c r="I22" s="3"/>
      <c r="J22" s="3"/>
      <c r="K22" s="4"/>
      <c r="L22" s="3"/>
      <c r="M22" s="3"/>
      <c r="N22" s="3"/>
      <c r="O22" s="3"/>
      <c r="P22" s="4"/>
      <c r="Q22" s="3"/>
      <c r="R22" s="3"/>
      <c r="S22" s="3"/>
      <c r="T22" s="3"/>
      <c r="U22" s="4"/>
      <c r="V22" s="3"/>
      <c r="W22" s="3"/>
      <c r="X22" s="3"/>
      <c r="Y22" s="3"/>
      <c r="Z22" s="4"/>
      <c r="AA22" s="319"/>
      <c r="AB22" s="319"/>
      <c r="AC22" s="319"/>
      <c r="AD22" s="319"/>
      <c r="AE22" s="4"/>
      <c r="AF22" s="319"/>
      <c r="AG22" s="319"/>
      <c r="AH22" s="319"/>
      <c r="AI22" s="319"/>
      <c r="AJ22" s="4"/>
      <c r="AK22" s="319"/>
      <c r="AL22" s="319"/>
      <c r="AM22" s="3"/>
      <c r="AN22" s="3"/>
      <c r="AO22" s="4"/>
      <c r="AP22" s="3"/>
      <c r="AQ22" s="3"/>
      <c r="AR22" s="3"/>
      <c r="AS22" s="3"/>
      <c r="AT22" s="4"/>
      <c r="AU22" s="3"/>
      <c r="AV22" s="3"/>
      <c r="AW22" s="3"/>
      <c r="AX22" s="3"/>
      <c r="AY22" s="4"/>
    </row>
    <row r="23" spans="1:52">
      <c r="A23" s="285" t="s">
        <v>76</v>
      </c>
      <c r="B23" s="286"/>
      <c r="C23" s="286"/>
      <c r="D23" s="286"/>
      <c r="E23" s="286"/>
      <c r="F23" s="286"/>
      <c r="G23" s="287"/>
      <c r="H23" s="287"/>
      <c r="I23" s="287"/>
      <c r="J23" s="287"/>
      <c r="K23" s="288"/>
      <c r="L23" s="287"/>
      <c r="M23" s="287"/>
      <c r="N23" s="287"/>
      <c r="O23" s="287"/>
      <c r="P23" s="288"/>
      <c r="Q23" s="287"/>
      <c r="R23" s="287"/>
      <c r="S23" s="287"/>
      <c r="T23" s="287"/>
      <c r="U23" s="288"/>
      <c r="V23" s="287"/>
      <c r="W23" s="287"/>
      <c r="X23" s="287"/>
      <c r="Y23" s="287"/>
      <c r="Z23" s="288"/>
      <c r="AA23" s="287"/>
      <c r="AB23" s="287"/>
      <c r="AC23" s="287"/>
      <c r="AD23" s="287"/>
      <c r="AE23" s="288"/>
      <c r="AF23" s="320" t="s">
        <v>77</v>
      </c>
      <c r="AG23" s="320" t="s">
        <v>77</v>
      </c>
      <c r="AH23" s="320" t="s">
        <v>77</v>
      </c>
      <c r="AI23" s="320" t="s">
        <v>77</v>
      </c>
      <c r="AJ23" s="288"/>
      <c r="AK23" s="320" t="s">
        <v>77</v>
      </c>
      <c r="AL23" s="320" t="s">
        <v>77</v>
      </c>
      <c r="AM23" s="287"/>
      <c r="AN23" s="287"/>
      <c r="AO23" s="288"/>
      <c r="AP23" s="287"/>
      <c r="AQ23" s="287"/>
      <c r="AR23" s="287"/>
      <c r="AS23" s="287"/>
      <c r="AT23" s="288"/>
      <c r="AU23" s="287"/>
      <c r="AV23" s="287"/>
      <c r="AW23" s="287"/>
      <c r="AX23" s="287"/>
      <c r="AY23" s="288"/>
    </row>
    <row r="24" spans="1:52">
      <c r="A24" s="29" t="s">
        <v>68</v>
      </c>
      <c r="B24" s="135"/>
      <c r="C24" s="135"/>
      <c r="D24" s="135"/>
      <c r="E24" s="135"/>
      <c r="F24" s="135"/>
      <c r="G24" s="321"/>
      <c r="H24" s="321"/>
      <c r="I24" s="321"/>
      <c r="J24" s="321"/>
      <c r="K24" s="322"/>
      <c r="L24" s="321"/>
      <c r="M24" s="321"/>
      <c r="N24" s="321"/>
      <c r="O24" s="321"/>
      <c r="P24" s="322"/>
      <c r="Q24" s="321"/>
      <c r="R24" s="31"/>
      <c r="S24" s="31">
        <v>-8120</v>
      </c>
      <c r="T24" s="31">
        <v>-7715</v>
      </c>
      <c r="U24" s="30">
        <v>-24948</v>
      </c>
      <c r="V24" s="31">
        <v>-3414</v>
      </c>
      <c r="W24" s="31">
        <v>-71</v>
      </c>
      <c r="X24" s="31">
        <v>1393</v>
      </c>
      <c r="Y24" s="31">
        <v>843</v>
      </c>
      <c r="Z24" s="50">
        <f>SUM(V24:Y24)</f>
        <v>-1249</v>
      </c>
      <c r="AA24" s="31">
        <v>-572</v>
      </c>
      <c r="AB24" s="31">
        <v>-1125</v>
      </c>
      <c r="AC24" s="31">
        <v>1643</v>
      </c>
      <c r="AD24" s="31">
        <v>-2370</v>
      </c>
      <c r="AE24" s="50">
        <f>SUM(AA24:AD24)</f>
        <v>-2424</v>
      </c>
      <c r="AF24" s="323">
        <f>1/3*AF26</f>
        <v>-69.3333333333333</v>
      </c>
      <c r="AG24" s="323">
        <f>AG26*1/3</f>
        <v>3569</v>
      </c>
      <c r="AH24" s="323">
        <f>AH26*1/3</f>
        <v>1944.66666666667</v>
      </c>
      <c r="AI24" s="323">
        <f>AI26*1/3</f>
        <v>5609.66666666667</v>
      </c>
      <c r="AJ24" s="50">
        <f>SUM(AF24:AI24)</f>
        <v>11054</v>
      </c>
      <c r="AK24" s="323">
        <f>1/3*AK26</f>
        <v>3673</v>
      </c>
      <c r="AL24" s="323">
        <f>AL26*1/3</f>
        <v>74.3333333333333</v>
      </c>
      <c r="AM24" s="70">
        <f>AM29*AH7</f>
        <v>0</v>
      </c>
      <c r="AN24" s="70">
        <f t="shared" ref="AN24:AN25" si="73">AN29*AI7</f>
        <v>0</v>
      </c>
      <c r="AO24" s="50">
        <f>SUM(AK24:AN24)</f>
        <v>3747.33333333333</v>
      </c>
      <c r="AP24" s="70">
        <f>AP29*AK7</f>
        <v>0</v>
      </c>
      <c r="AQ24" s="70">
        <f t="shared" ref="AQ24:AQ25" si="74">AQ29*AL7</f>
        <v>0</v>
      </c>
      <c r="AR24" s="70">
        <f>AR29*AM7</f>
        <v>0</v>
      </c>
      <c r="AS24" s="70">
        <f t="shared" ref="AS24:AS25" si="75">AS29*AN7</f>
        <v>0</v>
      </c>
      <c r="AT24" s="50">
        <f>SUM(AP24:AS24)</f>
        <v>0</v>
      </c>
      <c r="AU24" s="70">
        <f>AU29*AP7</f>
        <v>0</v>
      </c>
      <c r="AV24" s="70">
        <f t="shared" ref="AV24:AV25" si="76">AV29*AQ7</f>
        <v>0</v>
      </c>
      <c r="AW24" s="70">
        <f>AW29*AR7</f>
        <v>0</v>
      </c>
      <c r="AX24" s="70">
        <f t="shared" ref="AX24:AX25" si="77">AX29*AS7</f>
        <v>0</v>
      </c>
      <c r="AY24" s="50">
        <f>SUM(AU24:AX24)</f>
        <v>0</v>
      </c>
    </row>
    <row r="25" spans="1:52">
      <c r="A25" s="97" t="s">
        <v>69</v>
      </c>
      <c r="B25" s="291"/>
      <c r="C25" s="291"/>
      <c r="D25" s="291"/>
      <c r="E25" s="291"/>
      <c r="F25" s="291"/>
      <c r="G25" s="324"/>
      <c r="H25" s="324"/>
      <c r="I25" s="324"/>
      <c r="J25" s="324"/>
      <c r="K25" s="325"/>
      <c r="L25" s="324"/>
      <c r="M25" s="324"/>
      <c r="N25" s="324"/>
      <c r="O25" s="324"/>
      <c r="P25" s="325"/>
      <c r="Q25" s="324"/>
      <c r="R25" s="326"/>
      <c r="S25" s="326">
        <v>-18740</v>
      </c>
      <c r="T25" s="326">
        <v>-15575</v>
      </c>
      <c r="U25" s="327">
        <v>-56855</v>
      </c>
      <c r="V25" s="326">
        <v>-5183</v>
      </c>
      <c r="W25" s="326">
        <v>2944</v>
      </c>
      <c r="X25" s="326">
        <v>5544</v>
      </c>
      <c r="Y25" s="326">
        <v>4444</v>
      </c>
      <c r="Z25" s="328">
        <f t="shared" ref="Z25:Z26" si="78">SUM(V25:Y25)</f>
        <v>7749</v>
      </c>
      <c r="AA25" s="326">
        <v>21</v>
      </c>
      <c r="AB25" s="326">
        <v>-1245</v>
      </c>
      <c r="AC25" s="326">
        <v>3646</v>
      </c>
      <c r="AD25" s="326">
        <v>-3768</v>
      </c>
      <c r="AE25" s="328">
        <f t="shared" ref="AE25:AE26" si="79">SUM(AA25:AD25)</f>
        <v>-1346</v>
      </c>
      <c r="AF25" s="329">
        <f>AF26-AF24</f>
        <v>-138.666666666667</v>
      </c>
      <c r="AG25" s="329">
        <f>AG26-AG24</f>
        <v>7138</v>
      </c>
      <c r="AH25" s="329">
        <f>AH26-AH24</f>
        <v>3889.33333333333</v>
      </c>
      <c r="AI25" s="329">
        <f>AI26-AI24</f>
        <v>11219.3333333333</v>
      </c>
      <c r="AJ25" s="328">
        <f t="shared" ref="AJ25:AJ26" si="80">SUM(AF25:AI25)</f>
        <v>22108</v>
      </c>
      <c r="AK25" s="329">
        <f>AK26-AK24</f>
        <v>7346</v>
      </c>
      <c r="AL25" s="329">
        <f>AL26-AL24</f>
        <v>148.666666666667</v>
      </c>
      <c r="AM25" s="330">
        <f>AM30*AH8</f>
        <v>0</v>
      </c>
      <c r="AN25" s="330">
        <f t="shared" si="73"/>
        <v>4316.5</v>
      </c>
      <c r="AO25" s="328">
        <f t="shared" ref="AO25:AO26" si="81">SUM(AK25:AN25)</f>
        <v>11811.1666666667</v>
      </c>
      <c r="AP25" s="330">
        <f>AP30*AK8</f>
        <v>0</v>
      </c>
      <c r="AQ25" s="330">
        <f t="shared" si="74"/>
        <v>0</v>
      </c>
      <c r="AR25" s="330">
        <f>AR30*AM8</f>
        <v>0</v>
      </c>
      <c r="AS25" s="330">
        <f t="shared" si="75"/>
        <v>0</v>
      </c>
      <c r="AT25" s="328">
        <f t="shared" ref="AT25:AT26" si="82">SUM(AP25:AS25)</f>
        <v>0</v>
      </c>
      <c r="AU25" s="330">
        <f>AU30*AP8</f>
        <v>0</v>
      </c>
      <c r="AV25" s="330">
        <f t="shared" si="76"/>
        <v>0</v>
      </c>
      <c r="AW25" s="330">
        <f>AW30*AR8</f>
        <v>0</v>
      </c>
      <c r="AX25" s="330">
        <f t="shared" si="77"/>
        <v>0</v>
      </c>
      <c r="AY25" s="328">
        <f t="shared" ref="AY25:AY26" si="83">SUM(AU25:AX25)</f>
        <v>0</v>
      </c>
    </row>
    <row r="26" spans="1:52">
      <c r="A26" s="3" t="s">
        <v>74</v>
      </c>
      <c r="B26" s="30"/>
      <c r="C26" s="30">
        <v>20000</v>
      </c>
      <c r="E26" s="30">
        <v>-37000</v>
      </c>
      <c r="F26" s="30"/>
      <c r="G26" s="331"/>
      <c r="H26" s="331"/>
      <c r="I26" s="331"/>
      <c r="J26" s="331"/>
      <c r="K26" s="332"/>
      <c r="L26" s="331"/>
      <c r="M26" s="331"/>
      <c r="N26" s="331"/>
      <c r="O26" s="331"/>
      <c r="P26" s="332"/>
      <c r="Q26" s="331"/>
      <c r="R26" s="31">
        <v>-23124</v>
      </c>
      <c r="S26" s="70">
        <f t="shared" ref="S26:Y26" si="84">SUM(S24:S25)</f>
        <v>-26860</v>
      </c>
      <c r="T26" s="70">
        <f t="shared" si="84"/>
        <v>-23290</v>
      </c>
      <c r="U26" s="50">
        <f t="shared" si="84"/>
        <v>-81803</v>
      </c>
      <c r="V26" s="70">
        <f t="shared" si="84"/>
        <v>-8597</v>
      </c>
      <c r="W26" s="70">
        <f t="shared" si="84"/>
        <v>2873</v>
      </c>
      <c r="X26" s="70">
        <f t="shared" si="84"/>
        <v>6937</v>
      </c>
      <c r="Y26" s="70">
        <f t="shared" si="84"/>
        <v>5287</v>
      </c>
      <c r="Z26" s="50">
        <f t="shared" si="78"/>
        <v>6500</v>
      </c>
      <c r="AA26" s="70">
        <f>SUM(AA24:AA25)</f>
        <v>-551</v>
      </c>
      <c r="AB26" s="70">
        <f>SUM(AB24:AB25)</f>
        <v>-2370</v>
      </c>
      <c r="AC26" s="70">
        <f>SUM(AC24:AC25)</f>
        <v>5289</v>
      </c>
      <c r="AD26" s="70">
        <f>SUM(AD24:AD25)</f>
        <v>-6138</v>
      </c>
      <c r="AE26" s="50">
        <f t="shared" si="79"/>
        <v>-3770</v>
      </c>
      <c r="AF26" s="333">
        <v>-208</v>
      </c>
      <c r="AG26" s="333">
        <v>10707</v>
      </c>
      <c r="AH26" s="333">
        <v>5834</v>
      </c>
      <c r="AI26" s="333">
        <v>16829</v>
      </c>
      <c r="AJ26" s="50">
        <f t="shared" si="80"/>
        <v>33162</v>
      </c>
      <c r="AK26" s="333">
        <v>11019</v>
      </c>
      <c r="AL26" s="333">
        <v>223</v>
      </c>
      <c r="AM26" s="70">
        <f>SUM(AM24:AM25)</f>
        <v>0</v>
      </c>
      <c r="AN26" s="70">
        <f t="shared" ref="AN26" si="85">SUM(AN24:AN25)</f>
        <v>4316.5</v>
      </c>
      <c r="AO26" s="50">
        <f t="shared" si="81"/>
        <v>15558.5</v>
      </c>
      <c r="AP26" s="70">
        <f>SUM(AP24:AP25)</f>
        <v>0</v>
      </c>
      <c r="AQ26" s="70">
        <f t="shared" ref="AQ26:AR26" si="86">SUM(AQ24:AQ25)</f>
        <v>0</v>
      </c>
      <c r="AR26" s="70">
        <f t="shared" si="86"/>
        <v>0</v>
      </c>
      <c r="AS26" s="70">
        <f t="shared" ref="AS26" si="87">SUM(AS24:AS25)</f>
        <v>0</v>
      </c>
      <c r="AT26" s="50">
        <f t="shared" si="82"/>
        <v>0</v>
      </c>
      <c r="AU26" s="70">
        <f>SUM(AU24:AU25)</f>
        <v>0</v>
      </c>
      <c r="AV26" s="70">
        <f t="shared" ref="AV26:AW26" si="88">SUM(AV24:AV25)</f>
        <v>0</v>
      </c>
      <c r="AW26" s="70">
        <f t="shared" si="88"/>
        <v>0</v>
      </c>
      <c r="AX26" s="70">
        <f t="shared" ref="AX26" si="89">SUM(AX24:AX25)</f>
        <v>0</v>
      </c>
      <c r="AY26" s="50">
        <f t="shared" si="83"/>
        <v>0</v>
      </c>
    </row>
    <row r="27" spans="1:52">
      <c r="G27" s="3"/>
      <c r="H27" s="3"/>
      <c r="I27" s="3"/>
      <c r="J27" s="3"/>
      <c r="K27" s="4"/>
      <c r="L27" s="3"/>
      <c r="M27" s="3"/>
      <c r="N27" s="3"/>
      <c r="O27" s="3"/>
      <c r="P27" s="4"/>
      <c r="Q27" s="3"/>
      <c r="R27" s="3"/>
      <c r="S27" s="3"/>
      <c r="T27" s="3"/>
      <c r="U27" s="4"/>
      <c r="V27" s="3"/>
      <c r="W27" s="3"/>
      <c r="X27" s="3"/>
      <c r="Y27" s="3"/>
      <c r="Z27" s="4"/>
      <c r="AA27" s="3"/>
      <c r="AB27" s="3"/>
      <c r="AC27" s="3"/>
      <c r="AD27" s="3"/>
      <c r="AE27" s="4"/>
      <c r="AF27" s="3"/>
      <c r="AG27" s="3"/>
      <c r="AH27" s="3"/>
      <c r="AI27" s="3"/>
      <c r="AJ27" s="4"/>
      <c r="AK27" s="3"/>
      <c r="AL27" s="3"/>
      <c r="AM27" s="3"/>
      <c r="AN27" s="3"/>
      <c r="AO27" s="4"/>
      <c r="AP27" s="3"/>
      <c r="AQ27" s="3"/>
      <c r="AR27" s="3"/>
      <c r="AS27" s="3"/>
      <c r="AT27" s="4"/>
      <c r="AU27" s="3"/>
      <c r="AV27" s="3"/>
      <c r="AW27" s="3"/>
      <c r="AX27" s="3"/>
      <c r="AY27" s="4"/>
    </row>
    <row r="28" spans="1:52">
      <c r="A28" s="285" t="s">
        <v>78</v>
      </c>
      <c r="B28" s="286"/>
      <c r="C28" s="286"/>
      <c r="D28" s="286"/>
      <c r="E28" s="286"/>
      <c r="F28" s="286"/>
      <c r="G28" s="287"/>
      <c r="H28" s="287"/>
      <c r="I28" s="287"/>
      <c r="J28" s="287"/>
      <c r="K28" s="288"/>
      <c r="L28" s="287"/>
      <c r="M28" s="287"/>
      <c r="N28" s="287"/>
      <c r="O28" s="287"/>
      <c r="P28" s="288"/>
      <c r="Q28" s="287"/>
      <c r="R28" s="287"/>
      <c r="S28" s="287"/>
      <c r="T28" s="287"/>
      <c r="U28" s="288"/>
      <c r="V28" s="287"/>
      <c r="W28" s="287"/>
      <c r="X28" s="287"/>
      <c r="Y28" s="287"/>
      <c r="Z28" s="288"/>
      <c r="AA28" s="287"/>
      <c r="AB28" s="287"/>
      <c r="AC28" s="287"/>
      <c r="AD28" s="287"/>
      <c r="AE28" s="288"/>
      <c r="AF28" s="287"/>
      <c r="AG28" s="287"/>
      <c r="AH28" s="287"/>
      <c r="AI28" s="287"/>
      <c r="AJ28" s="288"/>
      <c r="AK28" s="287"/>
      <c r="AL28" s="287"/>
      <c r="AM28" s="287"/>
      <c r="AN28" s="287"/>
      <c r="AO28" s="288"/>
      <c r="AP28" s="287"/>
      <c r="AQ28" s="287"/>
      <c r="AR28" s="287"/>
      <c r="AS28" s="287"/>
      <c r="AT28" s="288"/>
      <c r="AU28" s="287"/>
      <c r="AV28" s="287"/>
      <c r="AW28" s="287"/>
      <c r="AX28" s="287"/>
      <c r="AY28" s="288"/>
    </row>
    <row r="29" spans="1:52">
      <c r="A29" s="29" t="s">
        <v>68</v>
      </c>
      <c r="B29" s="135"/>
      <c r="C29" s="135"/>
      <c r="D29" s="135"/>
      <c r="E29" s="135"/>
      <c r="F29" s="135"/>
      <c r="G29" s="334"/>
      <c r="H29" s="334"/>
      <c r="I29" s="334"/>
      <c r="J29" s="334"/>
      <c r="K29" s="335"/>
      <c r="L29" s="334"/>
      <c r="M29" s="334"/>
      <c r="N29" s="334"/>
      <c r="O29" s="334"/>
      <c r="P29" s="335"/>
      <c r="Q29" s="334"/>
      <c r="R29" s="336"/>
      <c r="S29" s="337">
        <f t="shared" ref="S29:AI31" si="90">S24/N7</f>
        <v>-0.0212094063194628</v>
      </c>
      <c r="T29" s="337">
        <f t="shared" si="90"/>
        <v>-0.0156625576560774</v>
      </c>
      <c r="U29" s="338">
        <f t="shared" si="90"/>
        <v>-0.0159433636100458</v>
      </c>
      <c r="V29" s="337">
        <f t="shared" si="90"/>
        <v>-0.00889229230480715</v>
      </c>
      <c r="W29" s="337">
        <f t="shared" si="90"/>
        <v>-0.000192852505860272</v>
      </c>
      <c r="X29" s="337">
        <f t="shared" si="90"/>
        <v>0.00329835295454761</v>
      </c>
      <c r="Y29" s="337">
        <f t="shared" si="90"/>
        <v>0.00150418065869909</v>
      </c>
      <c r="Z29" s="338">
        <f t="shared" si="90"/>
        <v>-0.00071994489453009</v>
      </c>
      <c r="AA29" s="337">
        <f t="shared" si="90"/>
        <v>-0.00131179422260139</v>
      </c>
      <c r="AB29" s="337">
        <f t="shared" si="90"/>
        <v>-0.00243132322335108</v>
      </c>
      <c r="AC29" s="337">
        <f t="shared" si="90"/>
        <v>0.00299966406683609</v>
      </c>
      <c r="AD29" s="337">
        <f t="shared" si="90"/>
        <v>-0.00313822905894177</v>
      </c>
      <c r="AE29" s="338">
        <f t="shared" si="90"/>
        <v>-0.0011009744350466</v>
      </c>
      <c r="AF29" s="337">
        <f t="shared" si="90"/>
        <v>-0.000121315408981656</v>
      </c>
      <c r="AG29" s="337">
        <f t="shared" si="90"/>
        <v>0.00612792230982665</v>
      </c>
      <c r="AH29" s="337">
        <f t="shared" si="90"/>
        <v>0.00308758113897555</v>
      </c>
      <c r="AI29" s="337">
        <f t="shared" si="90"/>
        <v>0.00726010672947917</v>
      </c>
      <c r="AJ29" s="338">
        <f t="shared" ref="AJ29:AL31" si="91">AJ24/AE7</f>
        <v>0.0043239919356416</v>
      </c>
      <c r="AK29" s="337">
        <f t="shared" si="91"/>
        <v>0.00670320304701002</v>
      </c>
      <c r="AL29" s="337">
        <f t="shared" si="91"/>
        <v>0.000134694045194382</v>
      </c>
      <c r="AM29" s="304">
        <v>0</v>
      </c>
      <c r="AN29" s="304">
        <v>0</v>
      </c>
      <c r="AO29" s="305">
        <f>SUMPRODUCT(AK29:AN29,AF$43:AI$43)</f>
        <v>0.00148487924822474</v>
      </c>
      <c r="AP29" s="304">
        <v>0</v>
      </c>
      <c r="AQ29" s="304">
        <v>0</v>
      </c>
      <c r="AR29" s="304">
        <v>0</v>
      </c>
      <c r="AS29" s="304">
        <v>0</v>
      </c>
      <c r="AT29" s="305">
        <f>SUMPRODUCT(AP29:AS29,AK$43:AN$43)</f>
        <v>0</v>
      </c>
      <c r="AU29" s="304">
        <v>0</v>
      </c>
      <c r="AV29" s="304">
        <v>0</v>
      </c>
      <c r="AW29" s="304">
        <v>0</v>
      </c>
      <c r="AX29" s="304">
        <v>0</v>
      </c>
      <c r="AY29" s="305">
        <f>SUMPRODUCT(AU29:AX29,AP$43:AS$43)</f>
        <v>0</v>
      </c>
    </row>
    <row r="30" spans="1:52">
      <c r="A30" s="97" t="s">
        <v>69</v>
      </c>
      <c r="B30" s="291"/>
      <c r="C30" s="291"/>
      <c r="D30" s="291"/>
      <c r="E30" s="291"/>
      <c r="F30" s="291"/>
      <c r="G30" s="339"/>
      <c r="H30" s="339"/>
      <c r="I30" s="339"/>
      <c r="J30" s="339"/>
      <c r="K30" s="340"/>
      <c r="L30" s="339"/>
      <c r="M30" s="339"/>
      <c r="N30" s="339"/>
      <c r="O30" s="339"/>
      <c r="P30" s="340"/>
      <c r="Q30" s="339"/>
      <c r="R30" s="148"/>
      <c r="S30" s="341">
        <f t="shared" si="90"/>
        <v>-0.0358790069517969</v>
      </c>
      <c r="T30" s="341">
        <f t="shared" si="90"/>
        <v>-0.0232887793689077</v>
      </c>
      <c r="U30" s="342">
        <f t="shared" si="90"/>
        <v>-0.0264690669694629</v>
      </c>
      <c r="V30" s="341">
        <f t="shared" si="90"/>
        <v>-0.0120862618169268</v>
      </c>
      <c r="W30" s="341">
        <f t="shared" si="90"/>
        <v>0.00673785972252102</v>
      </c>
      <c r="X30" s="341">
        <f t="shared" si="90"/>
        <v>0.0121113616106538</v>
      </c>
      <c r="Y30" s="341">
        <f t="shared" si="90"/>
        <v>0.0069505267635945</v>
      </c>
      <c r="Z30" s="342">
        <f t="shared" si="90"/>
        <v>0.00394773844360577</v>
      </c>
      <c r="AA30" s="341">
        <f t="shared" si="90"/>
        <v>5.2506563320415e-5</v>
      </c>
      <c r="AB30" s="341">
        <f t="shared" si="90"/>
        <v>-0.0026341735888658</v>
      </c>
      <c r="AC30" s="341">
        <f t="shared" si="90"/>
        <v>0.00716724690045075</v>
      </c>
      <c r="AD30" s="341">
        <f t="shared" si="90"/>
        <v>-0.00540057101578893</v>
      </c>
      <c r="AE30" s="342">
        <f t="shared" si="90"/>
        <v>-0.00064742945015154</v>
      </c>
      <c r="AF30" s="341">
        <f t="shared" si="90"/>
        <v>-0.000308685260501421</v>
      </c>
      <c r="AG30" s="341">
        <f t="shared" si="90"/>
        <v>0.012941522015817</v>
      </c>
      <c r="AH30" s="341">
        <f t="shared" si="90"/>
        <v>0.00671580926134732</v>
      </c>
      <c r="AI30" s="341">
        <f t="shared" si="90"/>
        <v>0.0138127113222127</v>
      </c>
      <c r="AJ30" s="342">
        <f t="shared" si="91"/>
        <v>0.00924188377582872</v>
      </c>
      <c r="AK30" s="341">
        <f t="shared" si="91"/>
        <v>0.0133718263300835</v>
      </c>
      <c r="AL30" s="341">
        <f t="shared" si="91"/>
        <v>0.000226387205366697</v>
      </c>
      <c r="AM30" s="311">
        <v>0</v>
      </c>
      <c r="AN30" s="311">
        <v>0.005</v>
      </c>
      <c r="AO30" s="312">
        <f>SUMPRODUCT(AK30:AN30,AF$44:AI$44)</f>
        <v>0.00430651114684324</v>
      </c>
      <c r="AP30" s="311">
        <v>0</v>
      </c>
      <c r="AQ30" s="311">
        <v>0</v>
      </c>
      <c r="AR30" s="311">
        <v>0</v>
      </c>
      <c r="AS30" s="311">
        <v>0</v>
      </c>
      <c r="AT30" s="312">
        <f>SUMPRODUCT(AP30:AS30,AK$44:AN$44)</f>
        <v>0</v>
      </c>
      <c r="AU30" s="311">
        <v>0</v>
      </c>
      <c r="AV30" s="311">
        <v>0</v>
      </c>
      <c r="AW30" s="311">
        <v>0</v>
      </c>
      <c r="AX30" s="311">
        <v>0</v>
      </c>
      <c r="AY30" s="312">
        <f>SUMPRODUCT(AU30:AX30,AP$44:AS$44)</f>
        <v>0</v>
      </c>
    </row>
    <row r="31" spans="1:52">
      <c r="A31" s="3" t="s">
        <v>74</v>
      </c>
      <c r="C31" s="338">
        <f>B26/B9</f>
        <v>0</v>
      </c>
      <c r="D31" s="338">
        <f>C26/C9</f>
        <v>0.00601189152142939</v>
      </c>
      <c r="E31" s="338">
        <f t="shared" ref="E31:F31" si="92">E26/D9</f>
        <v>-0.0105935539655681</v>
      </c>
      <c r="F31" s="338">
        <f t="shared" si="92"/>
        <v>0</v>
      </c>
      <c r="G31" s="343"/>
      <c r="H31" s="343"/>
      <c r="I31" s="343"/>
      <c r="J31" s="343"/>
      <c r="K31" s="344"/>
      <c r="L31" s="343"/>
      <c r="M31" s="343"/>
      <c r="N31" s="343"/>
      <c r="O31" s="343"/>
      <c r="P31" s="344"/>
      <c r="Q31" s="343"/>
      <c r="R31" s="337">
        <f>R26/M9</f>
        <v>-0.0267375845522345</v>
      </c>
      <c r="S31" s="337">
        <f t="shared" si="90"/>
        <v>-0.0296743117238941</v>
      </c>
      <c r="T31" s="337">
        <f t="shared" si="90"/>
        <v>-0.0200541954082867</v>
      </c>
      <c r="U31" s="338">
        <f t="shared" si="90"/>
        <v>-0.0220328875922223</v>
      </c>
      <c r="V31" s="337">
        <f t="shared" si="90"/>
        <v>-0.0105775122360543</v>
      </c>
      <c r="W31" s="337">
        <f t="shared" si="90"/>
        <v>0.00356854069912594</v>
      </c>
      <c r="X31" s="337">
        <f t="shared" si="90"/>
        <v>0.00788220215343081</v>
      </c>
      <c r="Y31" s="337">
        <f t="shared" si="90"/>
        <v>0.00440651634336655</v>
      </c>
      <c r="Z31" s="338">
        <f t="shared" si="90"/>
        <v>0.00175782522944352</v>
      </c>
      <c r="AA31" s="337">
        <f t="shared" si="90"/>
        <v>-0.000659095639442388</v>
      </c>
      <c r="AB31" s="337">
        <f t="shared" si="90"/>
        <v>-0.00253382441772822</v>
      </c>
      <c r="AC31" s="337">
        <f t="shared" si="90"/>
        <v>0.00500647936306299</v>
      </c>
      <c r="AD31" s="337">
        <f t="shared" si="90"/>
        <v>-0.00422463378592023</v>
      </c>
      <c r="AE31" s="338">
        <f t="shared" si="90"/>
        <v>-0.000880701814222376</v>
      </c>
      <c r="AF31" s="337">
        <f t="shared" si="90"/>
        <v>-0.000203775729135031</v>
      </c>
      <c r="AG31" s="337">
        <f t="shared" si="90"/>
        <v>0.00944201542539776</v>
      </c>
      <c r="AH31" s="337">
        <f t="shared" si="90"/>
        <v>0.00482561130751402</v>
      </c>
      <c r="AI31" s="337">
        <f>AI29*AD$39+AI30*AD$40</f>
        <v>0.0106182216481999</v>
      </c>
      <c r="AJ31" s="338">
        <f t="shared" si="91"/>
        <v>0.00670130685789701</v>
      </c>
      <c r="AK31" s="337">
        <f t="shared" si="91"/>
        <v>0.0100418204137205</v>
      </c>
      <c r="AL31" s="337">
        <f t="shared" si="91"/>
        <v>0.00018451711127292</v>
      </c>
      <c r="AM31" s="318">
        <f>AM29*AH$39+AM30*AH$40</f>
        <v>0</v>
      </c>
      <c r="AN31" s="318">
        <f>AN29*AI$39+AN30*AI$40</f>
        <v>0.00258503702834228</v>
      </c>
      <c r="AO31" s="345">
        <f>SUMPRODUCT(AK31:AN31,AF$45:AI$45)</f>
        <v>0.0029543557402438</v>
      </c>
      <c r="AP31" s="318">
        <f>AP29*AK$39+AP30*AK$40</f>
        <v>0</v>
      </c>
      <c r="AQ31" s="318">
        <f>AQ29*AL$39+AQ30*AL$40</f>
        <v>0</v>
      </c>
      <c r="AR31" s="318">
        <f>AR29*AM$39+AR30*AM$40</f>
        <v>0</v>
      </c>
      <c r="AS31" s="318">
        <f>AS29*AN$39+AS30*AN$40</f>
        <v>0</v>
      </c>
      <c r="AT31" s="305">
        <f>SUMPRODUCT(AP31:AS31,AK$45:AN$45)</f>
        <v>0</v>
      </c>
      <c r="AU31" s="318">
        <f>AU29*AP$39+AU30*AP$40</f>
        <v>0</v>
      </c>
      <c r="AV31" s="318">
        <f>AV29*AQ$39+AV30*AQ$40</f>
        <v>0</v>
      </c>
      <c r="AW31" s="318">
        <f>AW29*AR$39+AW30*AR$40</f>
        <v>0</v>
      </c>
      <c r="AX31" s="318">
        <f>AX29*AS$39+AX30*AS$40</f>
        <v>0</v>
      </c>
      <c r="AY31" s="305">
        <f>SUMPRODUCT(AU31:AX31,AP$45:AS$45)</f>
        <v>0</v>
      </c>
    </row>
    <row r="32" spans="1:52">
      <c r="G32" s="3"/>
      <c r="H32" s="3"/>
      <c r="I32" s="3"/>
      <c r="J32" s="3"/>
      <c r="K32" s="4"/>
      <c r="L32" s="3"/>
      <c r="M32" s="3"/>
      <c r="N32" s="3"/>
      <c r="O32" s="3"/>
      <c r="P32" s="4"/>
      <c r="Q32" s="3"/>
      <c r="R32" s="3"/>
      <c r="S32" s="3"/>
      <c r="T32" s="3"/>
      <c r="U32" s="4"/>
      <c r="V32" s="346"/>
      <c r="W32" s="346"/>
      <c r="X32" s="346"/>
      <c r="Y32" s="346"/>
      <c r="Z32" s="4"/>
      <c r="AA32" s="346"/>
      <c r="AB32" s="346"/>
      <c r="AC32" s="346"/>
      <c r="AD32" s="346"/>
      <c r="AE32" s="4"/>
      <c r="AF32" s="346"/>
      <c r="AG32" s="346"/>
      <c r="AH32" s="3"/>
      <c r="AI32" s="3"/>
      <c r="AJ32" s="4"/>
      <c r="AK32" s="346"/>
      <c r="AL32" s="346"/>
      <c r="AM32" s="3"/>
      <c r="AN32" s="3"/>
      <c r="AO32" s="4"/>
      <c r="AP32" s="3"/>
      <c r="AQ32" s="3"/>
      <c r="AR32" s="3"/>
      <c r="AS32" s="3"/>
      <c r="AT32" s="4"/>
      <c r="AU32" s="3"/>
      <c r="AV32" s="3"/>
      <c r="AW32" s="3"/>
      <c r="AX32" s="3"/>
      <c r="AY32" s="4"/>
    </row>
    <row r="33" spans="1:51">
      <c r="A33" s="285" t="s">
        <v>79</v>
      </c>
      <c r="B33" s="286"/>
      <c r="C33" s="286"/>
      <c r="D33" s="286"/>
      <c r="E33" s="286"/>
      <c r="F33" s="286"/>
      <c r="G33" s="287"/>
      <c r="H33" s="287"/>
      <c r="I33" s="287"/>
      <c r="J33" s="287"/>
      <c r="K33" s="288"/>
      <c r="L33" s="287"/>
      <c r="M33" s="287"/>
      <c r="N33" s="287"/>
      <c r="O33" s="287"/>
      <c r="P33" s="288"/>
      <c r="Q33" s="287"/>
      <c r="R33" s="287"/>
      <c r="S33" s="287"/>
      <c r="T33" s="287"/>
      <c r="U33" s="288"/>
      <c r="V33" s="347"/>
      <c r="W33" s="347"/>
      <c r="X33" s="347"/>
      <c r="Y33" s="347"/>
      <c r="Z33" s="288"/>
      <c r="AA33" s="347"/>
      <c r="AB33" s="347"/>
      <c r="AC33" s="347"/>
      <c r="AD33" s="347"/>
      <c r="AE33" s="288"/>
      <c r="AF33" s="347"/>
      <c r="AG33" s="347"/>
      <c r="AH33" s="287"/>
      <c r="AI33" s="287"/>
      <c r="AJ33" s="288"/>
      <c r="AK33" s="347"/>
      <c r="AL33" s="347"/>
      <c r="AM33" s="287"/>
      <c r="AN33" s="287"/>
      <c r="AO33" s="288"/>
      <c r="AP33" s="287"/>
      <c r="AQ33" s="287"/>
      <c r="AR33" s="287"/>
      <c r="AS33" s="287"/>
      <c r="AT33" s="288"/>
      <c r="AU33" s="287"/>
      <c r="AV33" s="287"/>
      <c r="AW33" s="287"/>
      <c r="AX33" s="287"/>
      <c r="AY33" s="288"/>
    </row>
    <row r="34" spans="1:51">
      <c r="A34" s="29" t="s">
        <v>68</v>
      </c>
      <c r="B34" s="135"/>
      <c r="C34" s="135"/>
      <c r="D34" s="135"/>
      <c r="E34" s="135"/>
      <c r="F34" s="135"/>
      <c r="G34" s="334"/>
      <c r="H34" s="334"/>
      <c r="I34" s="334"/>
      <c r="J34" s="334"/>
      <c r="K34" s="335"/>
      <c r="L34" s="334"/>
      <c r="M34" s="334"/>
      <c r="N34" s="334"/>
      <c r="O34" s="334"/>
      <c r="P34" s="335"/>
      <c r="Q34" s="334"/>
      <c r="R34" s="334"/>
      <c r="S34" s="334"/>
      <c r="T34" s="334"/>
      <c r="U34" s="335"/>
      <c r="V34" s="337">
        <f>V7/(Q7+V24)-1-V19</f>
        <v>0.00593418376196408</v>
      </c>
      <c r="W34" s="337">
        <f t="shared" ref="W34:AL36" si="93">W7/(R7+W24)-1-W19</f>
        <v>0.0270730753139212</v>
      </c>
      <c r="X34" s="337">
        <f t="shared" si="93"/>
        <v>0.0326497138474247</v>
      </c>
      <c r="Y34" s="337">
        <f t="shared" si="93"/>
        <v>0.0654989568504902</v>
      </c>
      <c r="Z34" s="338">
        <f t="shared" si="93"/>
        <v>0.0400036801903085</v>
      </c>
      <c r="AA34" s="337">
        <f t="shared" si="93"/>
        <v>0.0223989602086932</v>
      </c>
      <c r="AB34" s="337">
        <f t="shared" si="93"/>
        <v>0.0517713708821325</v>
      </c>
      <c r="AC34" s="337">
        <f t="shared" si="93"/>
        <v>0.0364656853019179</v>
      </c>
      <c r="AD34" s="337">
        <f t="shared" si="93"/>
        <v>-0.0236501986496342</v>
      </c>
      <c r="AE34" s="338">
        <f>AE7/(Z7+AE24)-1-AE19</f>
        <v>0.0124053887167605</v>
      </c>
      <c r="AF34" s="337">
        <f>AF7/(AA7+AF24)-1-AF19</f>
        <v>0.058881919535959</v>
      </c>
      <c r="AG34" s="337">
        <f>AG7/(AB7+AG24)-1-AG19</f>
        <v>0.0517783731665487</v>
      </c>
      <c r="AH34" s="337">
        <f t="shared" si="93"/>
        <v>0.0471523722141527</v>
      </c>
      <c r="AI34" s="337">
        <f t="shared" si="93"/>
        <v>0.0462624574970694</v>
      </c>
      <c r="AJ34" s="338">
        <f>AJ7/(AE7+AJ24)-1-AJ19</f>
        <v>0.052930397337787</v>
      </c>
      <c r="AK34" s="337">
        <f>AK7/(AF7+AK24)-1-AK19</f>
        <v>0.0237464196367063</v>
      </c>
      <c r="AL34" s="337">
        <f>AL7/(AG7+AL24)-1-AL19</f>
        <v>0.0412868735683134</v>
      </c>
      <c r="AM34" s="304">
        <v>0.06</v>
      </c>
      <c r="AN34" s="304">
        <v>0.05</v>
      </c>
      <c r="AO34" s="305">
        <f>SUMPRODUCT(AK34:AN34,AF$43:AI$43)</f>
        <v>0.0448405863158665</v>
      </c>
      <c r="AP34" s="304">
        <v>0.03</v>
      </c>
      <c r="AQ34" s="304">
        <v>0.02</v>
      </c>
      <c r="AR34" s="304">
        <v>0.02</v>
      </c>
      <c r="AS34" s="304">
        <v>0.02</v>
      </c>
      <c r="AT34" s="305">
        <f>SUMPRODUCT(AP34:AS34,AK$43:AN$43)</f>
        <v>0.0220983779998336</v>
      </c>
      <c r="AU34" s="304">
        <v>0.01</v>
      </c>
      <c r="AV34" s="304">
        <v>0.01</v>
      </c>
      <c r="AW34" s="304">
        <v>0.01</v>
      </c>
      <c r="AX34" s="304">
        <v>0.01</v>
      </c>
      <c r="AY34" s="305">
        <f>SUMPRODUCT(AU34:AX34,AP$43:AS$43)</f>
        <v>0.01</v>
      </c>
    </row>
    <row r="35" spans="1:51">
      <c r="A35" s="97" t="s">
        <v>69</v>
      </c>
      <c r="B35" s="291"/>
      <c r="C35" s="291"/>
      <c r="D35" s="291"/>
      <c r="E35" s="291"/>
      <c r="F35" s="291"/>
      <c r="G35" s="339"/>
      <c r="H35" s="339"/>
      <c r="I35" s="339"/>
      <c r="J35" s="339"/>
      <c r="K35" s="340"/>
      <c r="L35" s="339"/>
      <c r="M35" s="339"/>
      <c r="N35" s="339"/>
      <c r="O35" s="339"/>
      <c r="P35" s="340"/>
      <c r="Q35" s="339"/>
      <c r="R35" s="339"/>
      <c r="S35" s="339"/>
      <c r="T35" s="339"/>
      <c r="U35" s="340"/>
      <c r="V35" s="341">
        <f>V8/(Q8+V25)-1-V20</f>
        <v>0.00405536632747233</v>
      </c>
      <c r="W35" s="341">
        <f t="shared" ref="W35:Z36" si="94">W8/(R8+W25)-1-W20</f>
        <v>0.0244661019646355</v>
      </c>
      <c r="X35" s="341">
        <f t="shared" si="94"/>
        <v>0.028008616521619</v>
      </c>
      <c r="Y35" s="341">
        <f t="shared" si="94"/>
        <v>0.0236942002423038</v>
      </c>
      <c r="Z35" s="342">
        <f t="shared" si="94"/>
        <v>0.014979968487475</v>
      </c>
      <c r="AA35" s="341">
        <f t="shared" ref="AA35:AA36" si="95">AA8/(V8+AA25)-1-AA20</f>
        <v>-0.00687607351532982</v>
      </c>
      <c r="AB35" s="341">
        <f t="shared" ref="AB35:AB36" si="96">AB8/(W8+AB25)-1-AB20</f>
        <v>0.0200697300955263</v>
      </c>
      <c r="AC35" s="341">
        <f t="shared" ref="AC35:AC36" si="97">AC8/(X8+AC25)-1-AC20</f>
        <v>-0.0796552545237719</v>
      </c>
      <c r="AD35" s="341">
        <f t="shared" ref="AD35:AD36" si="98">AD8/(Y8+AD25)-1-AD20</f>
        <v>-0.0695073320882618</v>
      </c>
      <c r="AE35" s="342">
        <f>AE8/(Z8+AE25)-1-AE20</f>
        <v>-0.0386228398017948</v>
      </c>
      <c r="AF35" s="341">
        <f t="shared" ref="AE35:AF36" si="99">AF8/(AA8+AF25)-1-AF20</f>
        <v>-0.00668558195118155</v>
      </c>
      <c r="AG35" s="341">
        <f>AG8/(AB8+AG25)-1-AG20</f>
        <v>-0.0145987084210376</v>
      </c>
      <c r="AH35" s="341">
        <f t="shared" si="93"/>
        <v>0.00480363463595604</v>
      </c>
      <c r="AI35" s="341">
        <f t="shared" si="93"/>
        <v>0.018373157534471</v>
      </c>
      <c r="AJ35" s="342">
        <f>AJ8/(AE8+AJ25)-1-AJ20</f>
        <v>0.00601222071681551</v>
      </c>
      <c r="AK35" s="341">
        <f t="shared" ref="AK35:AK36" si="100">AK8/(AF8+AK25)-1-AK20</f>
        <v>0.00633399795225518</v>
      </c>
      <c r="AL35" s="341">
        <f>AL8/(AG8+AL25)-1-AL20</f>
        <v>0.0498531150629124</v>
      </c>
      <c r="AM35" s="311">
        <v>0.05</v>
      </c>
      <c r="AN35" s="311">
        <v>0.035</v>
      </c>
      <c r="AO35" s="312">
        <f>SUMPRODUCT(AK35:AN35,AF$44:AI$44)</f>
        <v>0.0364967247816646</v>
      </c>
      <c r="AP35" s="311">
        <v>0.01</v>
      </c>
      <c r="AQ35" s="311">
        <v>0.01</v>
      </c>
      <c r="AR35" s="311">
        <v>0.01</v>
      </c>
      <c r="AS35" s="311">
        <v>0.01</v>
      </c>
      <c r="AT35" s="312">
        <f>SUMPRODUCT(AP35:AS35,AK$44:AN$44)</f>
        <v>0.01</v>
      </c>
      <c r="AU35" s="311">
        <v>0.01</v>
      </c>
      <c r="AV35" s="311">
        <v>0.01</v>
      </c>
      <c r="AW35" s="311">
        <v>0.01</v>
      </c>
      <c r="AX35" s="311">
        <v>0.01</v>
      </c>
      <c r="AY35" s="312">
        <f>SUMPRODUCT(AU35:AX35,AP$44:AS$44)</f>
        <v>0.01</v>
      </c>
    </row>
    <row r="36" spans="1:51">
      <c r="A36" s="3" t="s">
        <v>74</v>
      </c>
      <c r="D36" s="338">
        <f>D9/(C9+C26)-1-D21</f>
        <v>0.0136096021800318</v>
      </c>
      <c r="F36" s="338">
        <f>F9/(E9+F26)-1-F21</f>
        <v>-0.000818106079787597</v>
      </c>
      <c r="G36" s="343"/>
      <c r="H36" s="343"/>
      <c r="I36" s="343"/>
      <c r="J36" s="343"/>
      <c r="K36" s="344"/>
      <c r="L36" s="343"/>
      <c r="M36" s="343"/>
      <c r="N36" s="343"/>
      <c r="O36" s="343"/>
      <c r="P36" s="344"/>
      <c r="Q36" s="343"/>
      <c r="R36" s="343"/>
      <c r="S36" s="343"/>
      <c r="T36" s="343"/>
      <c r="U36" s="344"/>
      <c r="V36" s="337">
        <f>V9/(Q9+V26)-1-V21</f>
        <v>0.00958018565841592</v>
      </c>
      <c r="W36" s="337">
        <f t="shared" si="94"/>
        <v>0.0276567767870847</v>
      </c>
      <c r="X36" s="337">
        <f t="shared" si="94"/>
        <v>0.0309875865396649</v>
      </c>
      <c r="Y36" s="337">
        <f t="shared" si="94"/>
        <v>0.045630897327278</v>
      </c>
      <c r="Z36" s="338">
        <f t="shared" si="94"/>
        <v>0.0256120252110345</v>
      </c>
      <c r="AA36" s="337">
        <f t="shared" si="95"/>
        <v>0.0117829343234667</v>
      </c>
      <c r="AB36" s="337">
        <f t="shared" si="96"/>
        <v>0.0354387845333476</v>
      </c>
      <c r="AC36" s="337">
        <f t="shared" si="97"/>
        <v>-0.0213137173642769</v>
      </c>
      <c r="AD36" s="337">
        <f t="shared" si="98"/>
        <v>-0.0445127452965884</v>
      </c>
      <c r="AE36" s="338">
        <f t="shared" si="99"/>
        <v>-0.0129519276430373</v>
      </c>
      <c r="AF36" s="337">
        <f t="shared" si="99"/>
        <v>0.0352448256872464</v>
      </c>
      <c r="AG36" s="337">
        <f t="shared" si="93"/>
        <v>0.0258050670885601</v>
      </c>
      <c r="AH36" s="337">
        <f t="shared" si="93"/>
        <v>0.0324127428383272</v>
      </c>
      <c r="AI36" s="337">
        <f t="shared" si="93"/>
        <v>0.0324886342778443</v>
      </c>
      <c r="AJ36" s="338">
        <f t="shared" si="93"/>
        <v>0.0271170887975287</v>
      </c>
      <c r="AK36" s="337">
        <f t="shared" si="100"/>
        <v>0.0149543006144379</v>
      </c>
      <c r="AL36" s="337">
        <f t="shared" si="93"/>
        <v>0.0479043798597432</v>
      </c>
      <c r="AM36" s="318">
        <f>AM34*AH$39+AM35*AH$40</f>
        <v>0.0547833249006872</v>
      </c>
      <c r="AN36" s="318">
        <f>AN34*AI$39+AN35*AI$40</f>
        <v>0.0422448889149732</v>
      </c>
      <c r="AO36" s="305">
        <f>SUMPRODUCT(AK36:AN36,AF$45:AI$45)</f>
        <v>0.04093009576469</v>
      </c>
      <c r="AP36" s="318">
        <f>AP34*AK$39+AP35*AK$40</f>
        <v>0.0201402110392963</v>
      </c>
      <c r="AQ36" s="318">
        <f>AQ34*AL$39+AQ35*AL$40</f>
        <v>0.0147115590330381</v>
      </c>
      <c r="AR36" s="318">
        <f>AR34*AM$39+AR35*AM$40</f>
        <v>0.0148775644148662</v>
      </c>
      <c r="AS36" s="318">
        <f>AS34*AN$39+AS35*AN$40</f>
        <v>0.0148299259433154</v>
      </c>
      <c r="AT36" s="305">
        <f>SUMPRODUCT(AP36:AS36,AK$45:AN$45)</f>
        <v>0.015883368093052</v>
      </c>
      <c r="AU36" s="318">
        <f>AU34*AP$39+AU35*AP$40</f>
        <v>0.01</v>
      </c>
      <c r="AV36" s="318">
        <f>AV34*AQ$39+AV35*AQ$40</f>
        <v>0.01</v>
      </c>
      <c r="AW36" s="318">
        <f>AW34*AR$39+AW35*AR$40</f>
        <v>0.01</v>
      </c>
      <c r="AX36" s="318">
        <f>AX34*AS$39+AX35*AS$40</f>
        <v>0.01</v>
      </c>
      <c r="AY36" s="305">
        <f>SUMPRODUCT(AU36:AX36,AP$45:AS$45)</f>
        <v>0.01</v>
      </c>
    </row>
    <row r="37" spans="1:51">
      <c r="G37" s="3"/>
      <c r="H37" s="3"/>
      <c r="I37" s="3"/>
      <c r="J37" s="3"/>
      <c r="K37" s="4"/>
      <c r="L37" s="3"/>
      <c r="M37" s="3"/>
      <c r="N37" s="3"/>
      <c r="O37" s="3"/>
      <c r="P37" s="4"/>
      <c r="Q37" s="3"/>
      <c r="R37" s="3"/>
      <c r="S37" s="3"/>
      <c r="T37" s="3"/>
      <c r="U37" s="4"/>
      <c r="V37" s="3"/>
      <c r="W37" s="3"/>
      <c r="X37" s="274"/>
      <c r="Y37" s="3"/>
      <c r="Z37" s="4"/>
      <c r="AA37" s="3"/>
      <c r="AB37" s="3"/>
      <c r="AC37" s="3"/>
      <c r="AD37" s="3"/>
      <c r="AE37" s="4"/>
      <c r="AF37" s="3"/>
      <c r="AG37" s="3"/>
      <c r="AH37" s="3"/>
      <c r="AI37" s="3"/>
      <c r="AJ37" s="4"/>
      <c r="AK37" s="282"/>
      <c r="AL37" s="3"/>
      <c r="AM37" s="3"/>
      <c r="AN37" s="3"/>
      <c r="AO37" s="4"/>
      <c r="AP37" s="3"/>
      <c r="AQ37" s="3"/>
      <c r="AR37" s="3"/>
      <c r="AS37" s="3"/>
      <c r="AT37" s="4"/>
      <c r="AU37" s="3"/>
      <c r="AV37" s="3"/>
      <c r="AW37" s="3"/>
      <c r="AX37" s="3"/>
      <c r="AY37" s="4"/>
    </row>
    <row r="38" spans="1:51">
      <c r="A38" s="242" t="s">
        <v>80</v>
      </c>
      <c r="B38" s="243"/>
      <c r="C38" s="243"/>
      <c r="D38" s="243"/>
      <c r="E38" s="243"/>
      <c r="F38" s="243"/>
      <c r="G38" s="348"/>
      <c r="H38" s="348"/>
      <c r="I38" s="348"/>
      <c r="J38" s="348"/>
      <c r="K38" s="349"/>
      <c r="L38" s="348"/>
      <c r="M38" s="348"/>
      <c r="N38" s="348"/>
      <c r="O38" s="348"/>
      <c r="P38" s="349"/>
      <c r="Q38" s="348"/>
      <c r="R38" s="348"/>
      <c r="S38" s="348"/>
      <c r="T38" s="348"/>
      <c r="U38" s="349"/>
      <c r="V38" s="348"/>
      <c r="W38" s="348"/>
      <c r="X38" s="348"/>
      <c r="Y38" s="348"/>
      <c r="Z38" s="349"/>
      <c r="AA38" s="348"/>
      <c r="AB38" s="348"/>
      <c r="AC38" s="348"/>
      <c r="AD38" s="348"/>
      <c r="AE38" s="349"/>
      <c r="AF38" s="348"/>
      <c r="AG38" s="348"/>
      <c r="AH38" s="348"/>
      <c r="AI38" s="348"/>
      <c r="AJ38" s="349"/>
      <c r="AK38" s="348"/>
      <c r="AL38" s="348"/>
      <c r="AM38" s="348"/>
      <c r="AN38" s="348"/>
      <c r="AO38" s="349"/>
      <c r="AP38" s="348"/>
      <c r="AQ38" s="348"/>
      <c r="AR38" s="348"/>
      <c r="AS38" s="348"/>
      <c r="AT38" s="349"/>
      <c r="AU38" s="348"/>
      <c r="AV38" s="348"/>
      <c r="AW38" s="348"/>
      <c r="AX38" s="348"/>
      <c r="AY38" s="349"/>
    </row>
    <row r="39" spans="1:51">
      <c r="A39" s="3" t="s">
        <v>68</v>
      </c>
      <c r="B39" s="289">
        <f t="shared" ref="B39:F39" si="101">B7/B$9</f>
        <v>0.466365796264508</v>
      </c>
      <c r="C39" s="289">
        <f t="shared" si="101"/>
        <v>0.446991348888101</v>
      </c>
      <c r="D39" s="289">
        <f t="shared" si="101"/>
        <v>0.416324380348671</v>
      </c>
      <c r="E39" s="289">
        <f t="shared" si="101"/>
        <v>0.400425446692566</v>
      </c>
      <c r="F39" s="289">
        <f t="shared" si="101"/>
        <v>0.404231159570895</v>
      </c>
      <c r="G39" s="65">
        <f t="shared" ref="G39:V39" si="102">G7/G$9</f>
        <v>0.437505022055839</v>
      </c>
      <c r="H39" s="65">
        <f t="shared" si="102"/>
        <v>0.3853203652152</v>
      </c>
      <c r="I39" s="65">
        <f t="shared" si="102"/>
        <v>0.418455126742658</v>
      </c>
      <c r="J39" s="65">
        <f t="shared" si="102"/>
        <v>0.415866044468844</v>
      </c>
      <c r="K39" s="289">
        <f t="shared" si="102"/>
        <v>0.41308044067545</v>
      </c>
      <c r="L39" s="65">
        <f t="shared" si="102"/>
        <v>0.433830088110519</v>
      </c>
      <c r="M39" s="65">
        <f t="shared" si="102"/>
        <v>0.405118806729491</v>
      </c>
      <c r="N39" s="65">
        <f t="shared" si="102"/>
        <v>0.422962791108754</v>
      </c>
      <c r="O39" s="65">
        <f t="shared" si="102"/>
        <v>0.424139774900482</v>
      </c>
      <c r="P39" s="289">
        <f t="shared" si="102"/>
        <v>0.421461561832035</v>
      </c>
      <c r="Q39" s="65">
        <f t="shared" si="102"/>
        <v>0.472374446639976</v>
      </c>
      <c r="R39" s="65">
        <f t="shared" si="102"/>
        <v>0.457286194976717</v>
      </c>
      <c r="S39" s="65">
        <f t="shared" si="102"/>
        <v>0.479876920839374</v>
      </c>
      <c r="T39" s="65">
        <f t="shared" si="102"/>
        <v>0.467104067797175</v>
      </c>
      <c r="U39" s="289">
        <f t="shared" si="102"/>
        <v>0.469164905911728</v>
      </c>
      <c r="V39" s="65">
        <f t="shared" si="102"/>
        <v>0.521587475508197</v>
      </c>
      <c r="W39" s="65">
        <f t="shared" ref="W39:AF39" si="103">W7/W$9</f>
        <v>0.494695540148288</v>
      </c>
      <c r="X39" s="65">
        <f t="shared" si="103"/>
        <v>0.518470207708785</v>
      </c>
      <c r="Y39" s="65">
        <f t="shared" si="103"/>
        <v>0.519787570711684</v>
      </c>
      <c r="Z39" s="289">
        <f t="shared" si="103"/>
        <v>0.514331261153318</v>
      </c>
      <c r="AA39" s="65">
        <f t="shared" si="103"/>
        <v>0.559906145601677</v>
      </c>
      <c r="AB39" s="65">
        <f t="shared" si="103"/>
        <v>0.513606132062993</v>
      </c>
      <c r="AC39" s="65">
        <f t="shared" si="103"/>
        <v>0.520969985921854</v>
      </c>
      <c r="AD39" s="65">
        <f t="shared" si="103"/>
        <v>0.487514488140388</v>
      </c>
      <c r="AE39" s="289">
        <f t="shared" si="103"/>
        <v>0.516598778600841</v>
      </c>
      <c r="AF39" s="65">
        <f t="shared" si="103"/>
        <v>0.499354330723013</v>
      </c>
      <c r="AG39" s="65">
        <f t="shared" ref="AG39" si="104">AG7/AG$9</f>
        <v>0.456632686833918</v>
      </c>
      <c r="AH39" s="65">
        <f t="shared" ref="AH39:AI39" si="105">AH7/AH$9</f>
        <v>0.478332490068719</v>
      </c>
      <c r="AI39" s="65">
        <f t="shared" si="105"/>
        <v>0.482992594331544</v>
      </c>
      <c r="AJ39" s="289">
        <f t="shared" ref="AJ39:AN40" si="106">AJ7/AJ$9</f>
        <v>0.47921041977923</v>
      </c>
      <c r="AK39" s="65">
        <f t="shared" si="106"/>
        <v>0.507010551964813</v>
      </c>
      <c r="AL39" s="65">
        <f t="shared" si="106"/>
        <v>0.47115590330381</v>
      </c>
      <c r="AM39" s="65">
        <f t="shared" si="106"/>
        <v>0.487756441486618</v>
      </c>
      <c r="AN39" s="65">
        <f t="shared" si="106"/>
        <v>0.482992594331543</v>
      </c>
      <c r="AO39" s="289">
        <f t="shared" ref="AO39:AS39" si="107">AO7/AO$9</f>
        <v>0.486293955531304</v>
      </c>
      <c r="AP39" s="65">
        <f t="shared" si="107"/>
        <v>0.509402265696179</v>
      </c>
      <c r="AQ39" s="65">
        <f t="shared" si="107"/>
        <v>0.47115590330381</v>
      </c>
      <c r="AR39" s="65">
        <f t="shared" si="107"/>
        <v>0.490170737668758</v>
      </c>
      <c r="AS39" s="65">
        <f t="shared" si="107"/>
        <v>0.485405655085704</v>
      </c>
      <c r="AT39" s="289">
        <f t="shared" ref="AT39:AY39" si="108">AT7/AT$9</f>
        <v>0.488173549817416</v>
      </c>
      <c r="AU39" s="65">
        <f t="shared" si="108"/>
        <v>0.508186095223392</v>
      </c>
      <c r="AV39" s="65">
        <f t="shared" si="108"/>
        <v>0.469943577028241</v>
      </c>
      <c r="AW39" s="65">
        <f t="shared" si="108"/>
        <v>0.487744722720557</v>
      </c>
      <c r="AX39" s="65">
        <f t="shared" si="108"/>
        <v>0.482980882103924</v>
      </c>
      <c r="AY39" s="289">
        <f t="shared" si="108"/>
        <v>0.486268845206215</v>
      </c>
    </row>
    <row r="40" spans="1:51">
      <c r="A40" s="3" t="s">
        <v>69</v>
      </c>
      <c r="B40" s="289">
        <f t="shared" ref="B40:F40" si="109">B8/B$9</f>
        <v>0.533634203735492</v>
      </c>
      <c r="C40" s="289">
        <f t="shared" si="109"/>
        <v>0.553008651111899</v>
      </c>
      <c r="D40" s="289">
        <f t="shared" si="109"/>
        <v>0.583675619651329</v>
      </c>
      <c r="E40" s="289">
        <f t="shared" si="109"/>
        <v>0.599574553307434</v>
      </c>
      <c r="F40" s="289">
        <f t="shared" si="109"/>
        <v>0.595768840429105</v>
      </c>
      <c r="G40" s="65">
        <f t="shared" ref="G40:V40" si="110">G8/G$9</f>
        <v>0.562494977944161</v>
      </c>
      <c r="H40" s="65">
        <f t="shared" si="110"/>
        <v>0.6146796347848</v>
      </c>
      <c r="I40" s="65">
        <f t="shared" si="110"/>
        <v>0.581544873257342</v>
      </c>
      <c r="J40" s="65">
        <f t="shared" si="110"/>
        <v>0.584133955531156</v>
      </c>
      <c r="K40" s="289">
        <f t="shared" si="110"/>
        <v>0.58691955932455</v>
      </c>
      <c r="L40" s="65">
        <f t="shared" si="110"/>
        <v>0.566169911889481</v>
      </c>
      <c r="M40" s="65">
        <f t="shared" si="110"/>
        <v>0.594881193270509</v>
      </c>
      <c r="N40" s="65">
        <f t="shared" si="110"/>
        <v>0.577037208891246</v>
      </c>
      <c r="O40" s="65">
        <f t="shared" si="110"/>
        <v>0.575860225099518</v>
      </c>
      <c r="P40" s="289">
        <f t="shared" si="110"/>
        <v>0.578538438167965</v>
      </c>
      <c r="Q40" s="65">
        <f t="shared" si="110"/>
        <v>0.527625553360024</v>
      </c>
      <c r="R40" s="65">
        <f t="shared" si="110"/>
        <v>0.542713805023283</v>
      </c>
      <c r="S40" s="65">
        <f t="shared" si="110"/>
        <v>0.520123079160626</v>
      </c>
      <c r="T40" s="65">
        <f t="shared" si="110"/>
        <v>0.532895932202825</v>
      </c>
      <c r="U40" s="289">
        <f t="shared" si="110"/>
        <v>0.530835094088271</v>
      </c>
      <c r="V40" s="65">
        <f t="shared" si="110"/>
        <v>0.478412524491803</v>
      </c>
      <c r="W40" s="65">
        <f t="shared" ref="W40:AF40" si="111">W8/W$9</f>
        <v>0.505304459851712</v>
      </c>
      <c r="X40" s="65">
        <f t="shared" si="111"/>
        <v>0.481529792291214</v>
      </c>
      <c r="Y40" s="65">
        <f t="shared" si="111"/>
        <v>0.480212429288316</v>
      </c>
      <c r="Z40" s="289">
        <f t="shared" si="111"/>
        <v>0.485668738846682</v>
      </c>
      <c r="AA40" s="65">
        <f t="shared" si="111"/>
        <v>0.440093854398323</v>
      </c>
      <c r="AB40" s="65">
        <f t="shared" si="111"/>
        <v>0.486393867937007</v>
      </c>
      <c r="AC40" s="65">
        <f t="shared" si="111"/>
        <v>0.479030014078146</v>
      </c>
      <c r="AD40" s="65">
        <f t="shared" si="111"/>
        <v>0.512485511859612</v>
      </c>
      <c r="AE40" s="289">
        <f t="shared" si="111"/>
        <v>0.483401221399159</v>
      </c>
      <c r="AF40" s="65">
        <f t="shared" si="111"/>
        <v>0.500645669276987</v>
      </c>
      <c r="AG40" s="65">
        <f t="shared" ref="AG40" si="112">AG8/AG$9</f>
        <v>0.543367313166082</v>
      </c>
      <c r="AH40" s="65">
        <f t="shared" ref="AH40:AI40" si="113">AH8/AH$9</f>
        <v>0.521667509931281</v>
      </c>
      <c r="AI40" s="65">
        <f t="shared" si="113"/>
        <v>0.517007405668456</v>
      </c>
      <c r="AJ40" s="289">
        <f t="shared" ref="AJ40:AN40" si="114">AJ8/AJ$9</f>
        <v>0.52078958022077</v>
      </c>
      <c r="AK40" s="65">
        <f t="shared" si="114"/>
        <v>0.492989448035187</v>
      </c>
      <c r="AL40" s="65">
        <f t="shared" si="106"/>
        <v>0.52884409669619</v>
      </c>
      <c r="AM40" s="65">
        <f t="shared" si="114"/>
        <v>0.512243558513382</v>
      </c>
      <c r="AN40" s="65">
        <f t="shared" si="114"/>
        <v>0.517007405668456</v>
      </c>
      <c r="AO40" s="289">
        <f t="shared" ref="AO40:AS40" si="115">AO8/AO$9</f>
        <v>0.513706044468696</v>
      </c>
      <c r="AP40" s="65">
        <f t="shared" si="115"/>
        <v>0.490597734303821</v>
      </c>
      <c r="AQ40" s="65">
        <f t="shared" si="115"/>
        <v>0.52884409669619</v>
      </c>
      <c r="AR40" s="65">
        <f t="shared" si="115"/>
        <v>0.509829262331242</v>
      </c>
      <c r="AS40" s="65">
        <f t="shared" si="115"/>
        <v>0.514594344914296</v>
      </c>
      <c r="AT40" s="289">
        <f t="shared" ref="AT40:AX40" si="116">AT8/AT$9</f>
        <v>0.511826450182584</v>
      </c>
      <c r="AU40" s="65">
        <f t="shared" si="116"/>
        <v>0.491813904776608</v>
      </c>
      <c r="AV40" s="65">
        <f t="shared" si="116"/>
        <v>0.530056422971759</v>
      </c>
      <c r="AW40" s="65">
        <f t="shared" si="116"/>
        <v>0.512255277279443</v>
      </c>
      <c r="AX40" s="65">
        <f t="shared" si="116"/>
        <v>0.517019117896076</v>
      </c>
      <c r="AY40" s="289">
        <f t="shared" ref="AY40" si="117">AY8/AY$9</f>
        <v>0.513731154793786</v>
      </c>
    </row>
    <row r="41" spans="1:51">
      <c r="G41" s="3"/>
      <c r="H41" s="3"/>
      <c r="I41" s="3"/>
      <c r="J41" s="3"/>
      <c r="K41" s="4"/>
      <c r="L41" s="3"/>
      <c r="M41" s="3"/>
      <c r="N41" s="3"/>
      <c r="O41" s="3"/>
      <c r="P41" s="4"/>
      <c r="Q41" s="3"/>
      <c r="R41" s="3"/>
      <c r="S41" s="3"/>
      <c r="T41" s="3"/>
      <c r="U41" s="4"/>
      <c r="V41" s="3"/>
      <c r="W41" s="3"/>
      <c r="X41" s="3"/>
      <c r="Y41" s="3"/>
      <c r="Z41" s="4"/>
      <c r="AA41" s="3"/>
      <c r="AB41" s="3"/>
      <c r="AC41" s="3"/>
      <c r="AD41" s="3"/>
      <c r="AE41" s="4"/>
      <c r="AF41" s="3"/>
      <c r="AG41" s="3"/>
      <c r="AH41" s="3"/>
      <c r="AI41" s="3"/>
      <c r="AJ41" s="4"/>
      <c r="AK41" s="3"/>
      <c r="AL41" s="3"/>
      <c r="AM41" s="3"/>
      <c r="AN41" s="3"/>
      <c r="AO41" s="4"/>
      <c r="AP41" s="3"/>
      <c r="AQ41" s="3"/>
      <c r="AR41" s="3"/>
      <c r="AS41" s="3"/>
      <c r="AT41" s="4"/>
      <c r="AU41" s="3"/>
      <c r="AV41" s="3"/>
      <c r="AW41" s="3"/>
      <c r="AX41" s="3"/>
      <c r="AY41" s="4"/>
    </row>
    <row r="42" spans="1:51">
      <c r="A42" s="242" t="s">
        <v>81</v>
      </c>
      <c r="B42" s="243"/>
      <c r="C42" s="243"/>
      <c r="D42" s="243"/>
      <c r="E42" s="243"/>
      <c r="F42" s="243"/>
      <c r="G42" s="348"/>
      <c r="H42" s="348"/>
      <c r="I42" s="348"/>
      <c r="J42" s="348"/>
      <c r="K42" s="349"/>
      <c r="L42" s="348"/>
      <c r="M42" s="348"/>
      <c r="N42" s="348"/>
      <c r="O42" s="348"/>
      <c r="P42" s="349"/>
      <c r="Q42" s="348"/>
      <c r="R42" s="348"/>
      <c r="S42" s="348"/>
      <c r="T42" s="348"/>
      <c r="U42" s="349"/>
      <c r="V42" s="348"/>
      <c r="W42" s="348"/>
      <c r="X42" s="348"/>
      <c r="Y42" s="348"/>
      <c r="Z42" s="349"/>
      <c r="AA42" s="348"/>
      <c r="AB42" s="348"/>
      <c r="AC42" s="348"/>
      <c r="AD42" s="348"/>
      <c r="AE42" s="349"/>
      <c r="AF42" s="348"/>
      <c r="AG42" s="348"/>
      <c r="AH42" s="348"/>
      <c r="AI42" s="348"/>
      <c r="AJ42" s="349"/>
      <c r="AK42" s="348"/>
      <c r="AL42" s="348"/>
      <c r="AM42" s="348"/>
      <c r="AN42" s="348"/>
      <c r="AO42" s="349"/>
      <c r="AP42" s="348"/>
      <c r="AQ42" s="348"/>
      <c r="AR42" s="348"/>
      <c r="AS42" s="348"/>
      <c r="AT42" s="349"/>
      <c r="AU42" s="348"/>
      <c r="AV42" s="348"/>
      <c r="AW42" s="348"/>
      <c r="AX42" s="348"/>
      <c r="AY42" s="349"/>
    </row>
    <row r="43" spans="1:51">
      <c r="A43" s="3" t="s">
        <v>68</v>
      </c>
      <c r="G43" s="65">
        <f>G7/K7</f>
        <v>0.164478112522124</v>
      </c>
      <c r="H43" s="65">
        <f t="shared" ref="H43:H45" si="118">H7/K7</f>
        <v>0.208421925044635</v>
      </c>
      <c r="I43" s="65">
        <f t="shared" ref="I43:I45" si="119">I7/K7</f>
        <v>0.265669017493716</v>
      </c>
      <c r="J43" s="65">
        <f t="shared" ref="J43" si="120">J7/K7</f>
        <v>0.361430944939525</v>
      </c>
      <c r="K43" s="289">
        <f t="shared" ref="K43:K45" si="121">SUM(G43:J43)</f>
        <v>1</v>
      </c>
      <c r="L43" s="65">
        <f t="shared" ref="L43:L45" si="122">L7/P7</f>
        <v>0.216640710025441</v>
      </c>
      <c r="M43" s="65">
        <f t="shared" ref="M43:M45" si="123">M7/P7</f>
        <v>0.223906865398466</v>
      </c>
      <c r="N43" s="65">
        <f t="shared" ref="N43:N45" si="124">N7/P7</f>
        <v>0.244664935655862</v>
      </c>
      <c r="O43" s="65">
        <f t="shared" ref="O43" si="125">O7/P7</f>
        <v>0.314787488920231</v>
      </c>
      <c r="P43" s="289">
        <f t="shared" ref="P43:P45" si="126">SUM(L43:O43)</f>
        <v>1</v>
      </c>
      <c r="Q43" s="65">
        <f t="shared" ref="Q43:Q45" si="127">Q7/U7</f>
        <v>0.221302644889631</v>
      </c>
      <c r="R43" s="65">
        <f t="shared" ref="R43:R45" si="128">R7/U7</f>
        <v>0.212211971605696</v>
      </c>
      <c r="S43" s="65">
        <f t="shared" ref="S43:S45" si="129">S7/U7</f>
        <v>0.243439365249545</v>
      </c>
      <c r="T43" s="65">
        <f t="shared" ref="T43" si="130">T7/U7</f>
        <v>0.323046018255128</v>
      </c>
      <c r="U43" s="289">
        <f t="shared" ref="U43:U45" si="131">SUM(Q43:T43)</f>
        <v>1</v>
      </c>
      <c r="V43" s="65">
        <f>V7/Z7</f>
        <v>0.19805003983311</v>
      </c>
      <c r="W43" s="65">
        <f>W7/Z7</f>
        <v>0.210162121210745</v>
      </c>
      <c r="X43" s="65">
        <f>X7/Z7</f>
        <v>0.248776619372608</v>
      </c>
      <c r="Y43" s="65">
        <f>Y7/Z7</f>
        <v>0.343011219583537</v>
      </c>
      <c r="Z43" s="289">
        <f>SUM(V43:Y43)</f>
        <v>1</v>
      </c>
      <c r="AA43" s="65">
        <f>AA7/AE7</f>
        <v>0.223558675874284</v>
      </c>
      <c r="AB43" s="65">
        <f>AB7/AE7</f>
        <v>0.227823601156924</v>
      </c>
      <c r="AC43" s="65">
        <f>AC7/AE7</f>
        <v>0.246372486048926</v>
      </c>
      <c r="AD43" s="65">
        <f>AD7/AE7</f>
        <v>0.302245236919866</v>
      </c>
      <c r="AE43" s="289">
        <f>SUM(AA43:AD43)</f>
        <v>1</v>
      </c>
      <c r="AF43" s="65">
        <f>AF7/AJ7</f>
        <v>0.217123766970379</v>
      </c>
      <c r="AG43" s="65">
        <f>AG7/AJ7</f>
        <v>0.21867746156181</v>
      </c>
      <c r="AH43" s="65">
        <f>AH7/AJ7</f>
        <v>0.244622695115273</v>
      </c>
      <c r="AI43" s="65">
        <f>AI7/AJ7</f>
        <v>0.319576076352538</v>
      </c>
      <c r="AJ43" s="289">
        <f>SUM(AF43:AI43)</f>
        <v>1</v>
      </c>
      <c r="AK43" s="65">
        <f>AK7/$AO7</f>
        <v>0.209837799983364</v>
      </c>
      <c r="AL43" s="65">
        <f t="shared" ref="AL43:AN43" si="132">AL7/$AO7</f>
        <v>0.221761402985328</v>
      </c>
      <c r="AM43" s="65">
        <f t="shared" si="132"/>
        <v>0.24774392567133</v>
      </c>
      <c r="AN43" s="65">
        <f t="shared" si="132"/>
        <v>0.320656871359978</v>
      </c>
      <c r="AO43" s="289">
        <f>SUM(AK43:AN43)</f>
        <v>1</v>
      </c>
      <c r="AP43" s="65">
        <f>AP7/$AT7</f>
        <v>0.211428877190486</v>
      </c>
      <c r="AQ43" s="65">
        <f t="shared" ref="AQ43:AS43" si="133">AQ7/$AT7</f>
        <v>0.221314862371638</v>
      </c>
      <c r="AR43" s="65">
        <f t="shared" si="133"/>
        <v>0.247245066432897</v>
      </c>
      <c r="AS43" s="65">
        <f t="shared" si="133"/>
        <v>0.320011194004978</v>
      </c>
      <c r="AT43" s="289">
        <f>SUM(AP43:AS43)</f>
        <v>1</v>
      </c>
      <c r="AU43" s="65">
        <f>AU7/$AT7</f>
        <v>0.216714599120248</v>
      </c>
      <c r="AV43" s="65">
        <f t="shared" ref="AV43:AX43" si="134">AV7/$AT7</f>
        <v>0.226847733930929</v>
      </c>
      <c r="AW43" s="65">
        <f t="shared" si="134"/>
        <v>0.25342619309372</v>
      </c>
      <c r="AX43" s="65">
        <f t="shared" si="134"/>
        <v>0.328011473855102</v>
      </c>
      <c r="AY43" s="289">
        <f>SUM(AU43:AX43)</f>
        <v>1.025</v>
      </c>
    </row>
    <row r="44" spans="1:51">
      <c r="A44" s="3" t="s">
        <v>69</v>
      </c>
      <c r="G44" s="65">
        <f t="shared" ref="G44:G45" si="135">G8/K8</f>
        <v>0.148833182780376</v>
      </c>
      <c r="H44" s="65">
        <f t="shared" si="118"/>
        <v>0.234005633606255</v>
      </c>
      <c r="I44" s="65">
        <f t="shared" si="119"/>
        <v>0.259855131166425</v>
      </c>
      <c r="J44" s="65">
        <f t="shared" ref="J44:J45" si="136">J8/K8</f>
        <v>0.357306052446944</v>
      </c>
      <c r="K44" s="289">
        <f t="shared" si="121"/>
        <v>1</v>
      </c>
      <c r="L44" s="65">
        <f t="shared" si="122"/>
        <v>0.205964769674191</v>
      </c>
      <c r="M44" s="65">
        <f t="shared" si="123"/>
        <v>0.239519566997629</v>
      </c>
      <c r="N44" s="65">
        <f t="shared" si="124"/>
        <v>0.243163922924759</v>
      </c>
      <c r="O44" s="65">
        <f t="shared" ref="O44:O45" si="137">O8/P8</f>
        <v>0.311351740403421</v>
      </c>
      <c r="P44" s="289">
        <f t="shared" si="126"/>
        <v>1</v>
      </c>
      <c r="Q44" s="65">
        <f t="shared" si="127"/>
        <v>0.218470056487965</v>
      </c>
      <c r="R44" s="65">
        <f t="shared" si="128"/>
        <v>0.222596612352361</v>
      </c>
      <c r="S44" s="65">
        <f t="shared" si="129"/>
        <v>0.233202370375201</v>
      </c>
      <c r="T44" s="65">
        <f t="shared" ref="T44:T45" si="138">T8/U8</f>
        <v>0.325730960784474</v>
      </c>
      <c r="U44" s="289">
        <f t="shared" si="131"/>
        <v>1</v>
      </c>
      <c r="V44" s="65">
        <f>V8/Z8</f>
        <v>0.192376975176901</v>
      </c>
      <c r="W44" s="65">
        <f>W8/Z8</f>
        <v>0.227338165485084</v>
      </c>
      <c r="X44" s="65">
        <f>X8/Z8</f>
        <v>0.244687446939405</v>
      </c>
      <c r="Y44" s="65">
        <f>Y8/Z8</f>
        <v>0.335597412398611</v>
      </c>
      <c r="Z44" s="289">
        <f>SUM(V44:Y44)</f>
        <v>1</v>
      </c>
      <c r="AA44" s="65">
        <f>AA8/AE8</f>
        <v>0.187787737657249</v>
      </c>
      <c r="AB44" s="65">
        <f>AB8/AE8</f>
        <v>0.230569700182221</v>
      </c>
      <c r="AC44" s="65">
        <f>AC8/AE8</f>
        <v>0.242096136827368</v>
      </c>
      <c r="AD44" s="65">
        <f>AD8/AE8</f>
        <v>0.339546425333162</v>
      </c>
      <c r="AE44" s="289">
        <f>SUM(AA44:AD44)</f>
        <v>1</v>
      </c>
      <c r="AF44" s="65">
        <f>AF8/AJ8</f>
        <v>0.200305546136373</v>
      </c>
      <c r="AG44" s="65">
        <f>AG8/AJ8</f>
        <v>0.23943878685787</v>
      </c>
      <c r="AH44" s="65">
        <f>AH8/AJ8</f>
        <v>0.24548480837736</v>
      </c>
      <c r="AI44" s="65">
        <f>AI8/AJ8</f>
        <v>0.314770858628397</v>
      </c>
      <c r="AJ44" s="289">
        <f>SUM(AF44:AI44)</f>
        <v>1</v>
      </c>
      <c r="AK44" s="65">
        <f t="shared" ref="AK44:AN44" si="139">AK8/$AO8</f>
        <v>0.193147257352703</v>
      </c>
      <c r="AL44" s="65">
        <f t="shared" si="139"/>
        <v>0.235631408923454</v>
      </c>
      <c r="AM44" s="65">
        <f t="shared" si="139"/>
        <v>0.246297896581618</v>
      </c>
      <c r="AN44" s="65">
        <f t="shared" si="139"/>
        <v>0.324923437142225</v>
      </c>
      <c r="AO44" s="289">
        <f>SUM(AK44:AN44)</f>
        <v>1</v>
      </c>
      <c r="AP44" s="65">
        <f t="shared" ref="AP44:AS44" si="140">AP8/$AT8</f>
        <v>0.194213980129215</v>
      </c>
      <c r="AQ44" s="65">
        <f t="shared" si="140"/>
        <v>0.236932765174665</v>
      </c>
      <c r="AR44" s="65">
        <f t="shared" si="140"/>
        <v>0.245276833730787</v>
      </c>
      <c r="AS44" s="65">
        <f t="shared" si="140"/>
        <v>0.323576420965333</v>
      </c>
      <c r="AT44" s="289">
        <f>SUM(AP44:AS44)</f>
        <v>1</v>
      </c>
      <c r="AU44" s="65">
        <f t="shared" ref="AU44:AX44" si="141">AU8/$AT8</f>
        <v>0.200040399533092</v>
      </c>
      <c r="AV44" s="65">
        <f t="shared" si="141"/>
        <v>0.244040748129905</v>
      </c>
      <c r="AW44" s="65">
        <f t="shared" si="141"/>
        <v>0.253861522911365</v>
      </c>
      <c r="AX44" s="65">
        <f t="shared" si="141"/>
        <v>0.334901595699119</v>
      </c>
      <c r="AY44" s="289">
        <f>SUM(AU44:AX44)</f>
        <v>1.03284426627348</v>
      </c>
    </row>
    <row r="45" spans="1:51">
      <c r="A45" s="3" t="s">
        <v>70</v>
      </c>
      <c r="G45" s="65">
        <f t="shared" si="135"/>
        <v>0.155295797252434</v>
      </c>
      <c r="H45" s="65">
        <f t="shared" si="118"/>
        <v>0.223437503999509</v>
      </c>
      <c r="I45" s="65">
        <f t="shared" si="119"/>
        <v>0.262256733892539</v>
      </c>
      <c r="J45" s="65">
        <f t="shared" si="136"/>
        <v>0.359009964855519</v>
      </c>
      <c r="K45" s="289">
        <f t="shared" si="121"/>
        <v>1</v>
      </c>
      <c r="L45" s="65">
        <f t="shared" si="122"/>
        <v>0.210464268168655</v>
      </c>
      <c r="M45" s="65">
        <f t="shared" si="123"/>
        <v>0.232939413397228</v>
      </c>
      <c r="N45" s="65">
        <f t="shared" si="124"/>
        <v>0.243796542094739</v>
      </c>
      <c r="O45" s="65">
        <f t="shared" si="137"/>
        <v>0.312799776339378</v>
      </c>
      <c r="P45" s="289">
        <f t="shared" si="126"/>
        <v>1</v>
      </c>
      <c r="Q45" s="65">
        <f t="shared" si="127"/>
        <v>0.219799007558919</v>
      </c>
      <c r="R45" s="65">
        <f t="shared" si="128"/>
        <v>0.217724503353525</v>
      </c>
      <c r="S45" s="65">
        <f t="shared" si="129"/>
        <v>0.238005209112241</v>
      </c>
      <c r="T45" s="65">
        <f t="shared" si="138"/>
        <v>0.324471279975315</v>
      </c>
      <c r="U45" s="289">
        <f t="shared" si="131"/>
        <v>1</v>
      </c>
      <c r="V45" s="65">
        <f t="shared" ref="V45" si="142">V9/Z9</f>
        <v>0.195294809676133</v>
      </c>
      <c r="W45" s="65">
        <f t="shared" ref="W45" si="143">W9/Z9</f>
        <v>0.218503988971838</v>
      </c>
      <c r="X45" s="65">
        <f t="shared" ref="X45" si="144">X9/Z9</f>
        <v>0.246790636154048</v>
      </c>
      <c r="Y45" s="65">
        <f t="shared" ref="Y45" si="145">Y9/Z9</f>
        <v>0.339410565197982</v>
      </c>
      <c r="Z45" s="289">
        <f t="shared" ref="Z45" si="146">SUM(V45:Y45)</f>
        <v>1</v>
      </c>
      <c r="AA45" s="65">
        <f t="shared" ref="AA45" si="147">AA9/AE9</f>
        <v>0.206266960649575</v>
      </c>
      <c r="AB45" s="65">
        <f t="shared" ref="AB45" si="148">AB9/AE9</f>
        <v>0.229151068779836</v>
      </c>
      <c r="AC45" s="65">
        <f t="shared" ref="AC45" si="149">AC9/AE9</f>
        <v>0.244305293612096</v>
      </c>
      <c r="AD45" s="65">
        <f t="shared" ref="AD45" si="150">AD9/AE9</f>
        <v>0.320276676958493</v>
      </c>
      <c r="AE45" s="289">
        <f t="shared" ref="AE45" si="151">SUM(AA45:AD45)</f>
        <v>1</v>
      </c>
      <c r="AF45" s="65">
        <f t="shared" ref="AF45" si="152">AF9/AJ9</f>
        <v>0.208365012802177</v>
      </c>
      <c r="AG45" s="65">
        <f t="shared" ref="AG45" si="153">AG9/AJ9</f>
        <v>0.229489743447572</v>
      </c>
      <c r="AH45" s="65">
        <f t="shared" ref="AH45" si="154">AH9/AJ9</f>
        <v>0.245071674719138</v>
      </c>
      <c r="AI45" s="65">
        <f t="shared" ref="AI45" si="155">AI9/AJ9</f>
        <v>0.317073569031113</v>
      </c>
      <c r="AJ45" s="289">
        <f t="shared" ref="AJ45" si="156">SUM(AF45:AI45)</f>
        <v>1</v>
      </c>
      <c r="AK45" s="65">
        <f t="shared" ref="AK45:AN45" si="157">AK9/$AO9</f>
        <v>0.201263767348531</v>
      </c>
      <c r="AL45" s="65">
        <f t="shared" si="157"/>
        <v>0.22888650887256</v>
      </c>
      <c r="AM45" s="65">
        <f t="shared" si="157"/>
        <v>0.247001091787467</v>
      </c>
      <c r="AN45" s="65">
        <f t="shared" si="157"/>
        <v>0.322848631991442</v>
      </c>
      <c r="AO45" s="289">
        <f t="shared" ref="AO45" si="158">SUM(AK45:AN45)</f>
        <v>1</v>
      </c>
      <c r="AP45" s="65">
        <f t="shared" ref="AP45:AS45" si="159">AP9/$AT9</f>
        <v>0.202617837537357</v>
      </c>
      <c r="AQ45" s="65">
        <f t="shared" si="159"/>
        <v>0.229308518122608</v>
      </c>
      <c r="AR45" s="65">
        <f t="shared" si="159"/>
        <v>0.246237672875843</v>
      </c>
      <c r="AS45" s="65">
        <f t="shared" si="159"/>
        <v>0.321835971464191</v>
      </c>
      <c r="AT45" s="289">
        <f t="shared" ref="AT45" si="160">SUM(AP45:AS45)</f>
        <v>1</v>
      </c>
      <c r="AU45" s="65">
        <f t="shared" ref="AU45:AX45" si="161">AU9/$AT9</f>
        <v>0.208180302735918</v>
      </c>
      <c r="AV45" s="65">
        <f t="shared" si="161"/>
        <v>0.23564757335633</v>
      </c>
      <c r="AW45" s="65">
        <f t="shared" si="161"/>
        <v>0.253649006408944</v>
      </c>
      <c r="AX45" s="65">
        <f t="shared" si="161"/>
        <v>0.331538020459851</v>
      </c>
      <c r="AY45" s="289">
        <f t="shared" ref="AY45" si="162">SUM(AU45:AX45)</f>
        <v>1.02901490296104</v>
      </c>
    </row>
    <row r="46" spans="1:51">
      <c r="G46" s="3"/>
      <c r="H46" s="3"/>
      <c r="I46" s="3"/>
      <c r="J46" s="3"/>
      <c r="K46" s="4"/>
      <c r="L46" s="3"/>
      <c r="M46" s="3"/>
      <c r="N46" s="3"/>
      <c r="O46" s="3"/>
      <c r="P46" s="4"/>
      <c r="Q46" s="3"/>
      <c r="R46" s="3"/>
      <c r="S46" s="3"/>
      <c r="T46" s="3"/>
      <c r="U46" s="4"/>
      <c r="V46" s="3"/>
      <c r="W46" s="3"/>
      <c r="X46" s="3"/>
      <c r="Y46" s="3"/>
      <c r="Z46" s="4"/>
      <c r="AA46" s="3"/>
      <c r="AB46" s="3"/>
      <c r="AC46" s="3"/>
      <c r="AD46" s="3"/>
      <c r="AE46" s="4"/>
      <c r="AF46" s="3"/>
      <c r="AG46" s="3"/>
      <c r="AH46" s="3"/>
      <c r="AI46" s="3"/>
      <c r="AJ46" s="4"/>
      <c r="AK46" s="3"/>
      <c r="AL46" s="3"/>
      <c r="AM46" s="3"/>
      <c r="AN46" s="3"/>
      <c r="AO46" s="4"/>
      <c r="AP46" s="3"/>
      <c r="AQ46" s="3"/>
      <c r="AR46" s="3"/>
      <c r="AS46" s="3"/>
      <c r="AT46" s="4"/>
      <c r="AU46" s="3"/>
      <c r="AV46" s="3"/>
      <c r="AW46" s="3"/>
      <c r="AX46" s="3"/>
      <c r="AY46" s="4"/>
    </row>
    <row r="47" spans="1:51">
      <c r="G47" s="3"/>
      <c r="H47" s="3"/>
      <c r="I47" s="3"/>
      <c r="J47" s="3"/>
      <c r="K47" s="4"/>
      <c r="L47" s="3"/>
      <c r="M47" s="3"/>
      <c r="N47" s="3"/>
      <c r="O47" s="3"/>
      <c r="P47" s="4"/>
      <c r="Q47" s="3"/>
      <c r="R47" s="3"/>
      <c r="S47" s="3"/>
      <c r="T47" s="3"/>
      <c r="U47" s="4"/>
      <c r="V47" s="3"/>
      <c r="W47" s="3"/>
      <c r="X47" s="3"/>
      <c r="Y47" s="3"/>
      <c r="Z47" s="4"/>
      <c r="AA47" s="3"/>
      <c r="AB47" s="3"/>
      <c r="AC47" s="3"/>
      <c r="AD47" s="3"/>
      <c r="AE47" s="4"/>
      <c r="AF47" s="3"/>
      <c r="AG47" s="3"/>
      <c r="AH47" s="3"/>
      <c r="AI47" s="3"/>
      <c r="AJ47" s="4"/>
      <c r="AK47" s="3"/>
      <c r="AL47" s="3"/>
      <c r="AM47" s="3"/>
      <c r="AN47" s="3"/>
      <c r="AO47" s="4"/>
      <c r="AP47" s="3"/>
      <c r="AQ47" s="3"/>
      <c r="AR47" s="3"/>
      <c r="AS47" s="3"/>
      <c r="AT47" s="4"/>
      <c r="AU47" s="3"/>
      <c r="AV47" s="3"/>
      <c r="AW47" s="3"/>
      <c r="AX47" s="3"/>
      <c r="AY47" s="4"/>
    </row>
    <row r="48" hidden="1" outlineLevel="1" spans="1:51">
      <c r="A48" s="267" t="s">
        <v>82</v>
      </c>
      <c r="B48" s="268"/>
      <c r="C48" s="268"/>
      <c r="D48" s="268"/>
      <c r="E48" s="268"/>
      <c r="F48" s="268"/>
      <c r="G48" s="267"/>
      <c r="H48" s="267"/>
      <c r="I48" s="267"/>
      <c r="J48" s="267"/>
      <c r="K48" s="268"/>
      <c r="L48" s="267"/>
      <c r="M48" s="267"/>
      <c r="N48" s="267"/>
      <c r="O48" s="267"/>
      <c r="P48" s="268"/>
      <c r="Q48" s="267"/>
      <c r="R48" s="267"/>
      <c r="S48" s="267"/>
      <c r="T48" s="267"/>
      <c r="U48" s="268"/>
      <c r="V48" s="267"/>
      <c r="W48" s="267"/>
      <c r="X48" s="267"/>
      <c r="Y48" s="267"/>
      <c r="Z48" s="268"/>
      <c r="AA48" s="267"/>
      <c r="AB48" s="267"/>
      <c r="AC48" s="267"/>
      <c r="AD48" s="267"/>
      <c r="AE48" s="268"/>
      <c r="AF48" s="267"/>
      <c r="AG48" s="267"/>
      <c r="AH48" s="267"/>
      <c r="AI48" s="267"/>
      <c r="AJ48" s="268"/>
      <c r="AK48" s="267"/>
      <c r="AL48" s="267"/>
      <c r="AM48" s="267"/>
      <c r="AN48" s="267"/>
      <c r="AO48" s="268"/>
      <c r="AP48" s="267"/>
      <c r="AQ48" s="267"/>
      <c r="AR48" s="267"/>
      <c r="AS48" s="267"/>
      <c r="AT48" s="268"/>
      <c r="AU48" s="267"/>
      <c r="AV48" s="267"/>
      <c r="AW48" s="267"/>
      <c r="AX48" s="267"/>
      <c r="AY48" s="268"/>
    </row>
    <row r="49" hidden="1" outlineLevel="1" spans="1:51">
      <c r="A49" s="3" t="s">
        <v>83</v>
      </c>
      <c r="G49" s="272">
        <f>322862+17508</f>
        <v>340370</v>
      </c>
      <c r="H49" s="272">
        <f>458671+26546</f>
        <v>485217</v>
      </c>
      <c r="I49" s="272">
        <f>557814+28007</f>
        <v>585821</v>
      </c>
      <c r="J49" s="272">
        <f>788056+39834</f>
        <v>827890</v>
      </c>
      <c r="K49" s="350">
        <f>SUM(G49:J49)</f>
        <v>2239298</v>
      </c>
      <c r="L49" s="272">
        <f>553846+22511</f>
        <v>576357</v>
      </c>
      <c r="M49" s="272">
        <f>601767+31015</f>
        <v>632782</v>
      </c>
      <c r="N49" s="272">
        <f>654858+32931</f>
        <v>687789</v>
      </c>
      <c r="O49" s="272">
        <f>841687+47380</f>
        <v>889067</v>
      </c>
      <c r="P49" s="350">
        <f>SUM(L49:O49)</f>
        <v>2785995</v>
      </c>
      <c r="Q49" s="272">
        <f>585106+33790</f>
        <v>618896</v>
      </c>
      <c r="R49" s="272">
        <v>613244</v>
      </c>
      <c r="S49" s="272">
        <v>713860</v>
      </c>
      <c r="T49" s="272">
        <v>971091</v>
      </c>
      <c r="U49" s="350">
        <f>SUM(Q49:T49)</f>
        <v>2917091</v>
      </c>
      <c r="V49" s="272">
        <v>665423</v>
      </c>
      <c r="W49" s="272">
        <v>731427</v>
      </c>
      <c r="X49" s="272">
        <v>867566</v>
      </c>
      <c r="Y49" s="272">
        <v>1191259</v>
      </c>
      <c r="Z49" s="350">
        <f>SUM(V49:Y49)</f>
        <v>3455675</v>
      </c>
      <c r="AA49" s="272">
        <v>820121</v>
      </c>
      <c r="AB49" s="272">
        <v>901224</v>
      </c>
      <c r="AC49" s="272">
        <v>986449</v>
      </c>
      <c r="AD49" s="272">
        <v>1319720</v>
      </c>
      <c r="AE49" s="350">
        <f>SUM(AA49:AD49)</f>
        <v>4027514</v>
      </c>
      <c r="AF49" s="272">
        <v>874804</v>
      </c>
      <c r="AG49" s="272">
        <v>974200</v>
      </c>
      <c r="AH49" s="272">
        <v>1057448</v>
      </c>
      <c r="AI49" s="272">
        <v>1383943</v>
      </c>
      <c r="AJ49" s="350">
        <f>SUM(AF49:AI49)</f>
        <v>4290395</v>
      </c>
      <c r="AK49" s="272">
        <v>899944</v>
      </c>
      <c r="AL49" s="272">
        <v>1020537</v>
      </c>
      <c r="AM49" s="274">
        <f t="shared" ref="AM49" si="163">(1+AM65)*AH49</f>
        <v>1119060.20772</v>
      </c>
      <c r="AN49" s="274">
        <f t="shared" ref="AN49" si="164">(1+AN65)*AI49</f>
        <v>1496734.3545</v>
      </c>
      <c r="AO49" s="350">
        <f>SUM(AK49:AN49)</f>
        <v>4536275.56222</v>
      </c>
      <c r="AP49" s="274">
        <f t="shared" ref="AP49" si="165">(1+AP65)*AK49</f>
        <v>936301.7376</v>
      </c>
      <c r="AQ49" s="274">
        <f t="shared" ref="AQ49" si="166">(1+AQ65)*AL49</f>
        <v>1056561.9561</v>
      </c>
      <c r="AR49" s="274">
        <f t="shared" ref="AR49" si="167">(1+AR65)*AM49</f>
        <v>1158563.03305252</v>
      </c>
      <c r="AS49" s="274">
        <f t="shared" ref="AS49" si="168">(1+AS65)*AN49</f>
        <v>1549569.07721385</v>
      </c>
      <c r="AT49" s="350">
        <f>SUM(AP49:AS49)</f>
        <v>4700995.80396637</v>
      </c>
      <c r="AU49" s="274">
        <f t="shared" ref="AU49" si="169">(1+AU65)*AP49</f>
        <v>964578.05007552</v>
      </c>
      <c r="AV49" s="274">
        <f t="shared" ref="AV49" si="170">(1+AV65)*AQ49</f>
        <v>1088470.12717422</v>
      </c>
      <c r="AW49" s="274">
        <f t="shared" ref="AW49" si="171">(1+AW65)*AR49</f>
        <v>1193551.6366507</v>
      </c>
      <c r="AX49" s="274">
        <f t="shared" ref="AX49" si="172">(1+AX65)*AS49</f>
        <v>1596366.06334571</v>
      </c>
      <c r="AY49" s="350">
        <f>SUM(AU49:AX49)</f>
        <v>4842965.87724615</v>
      </c>
    </row>
    <row r="50" hidden="1" outlineLevel="1" spans="1:51">
      <c r="A50" s="3" t="s">
        <v>84</v>
      </c>
      <c r="G50" s="272">
        <v>112654</v>
      </c>
      <c r="H50" s="272">
        <v>171297</v>
      </c>
      <c r="I50" s="272">
        <v>190214</v>
      </c>
      <c r="J50" s="272">
        <v>235286</v>
      </c>
      <c r="K50" s="350">
        <f t="shared" ref="K50:K51" si="173">SUM(G50:J50)</f>
        <v>709451</v>
      </c>
      <c r="L50" s="272">
        <v>159002</v>
      </c>
      <c r="M50" s="272">
        <v>190840</v>
      </c>
      <c r="N50" s="272">
        <v>179156</v>
      </c>
      <c r="O50" s="272">
        <v>226074</v>
      </c>
      <c r="P50" s="350">
        <f t="shared" ref="P50:P51" si="174">SUM(L50:O50)</f>
        <v>755072</v>
      </c>
      <c r="Q50" s="272">
        <v>163969</v>
      </c>
      <c r="R50" s="272">
        <v>164827</v>
      </c>
      <c r="S50" s="272">
        <v>138840</v>
      </c>
      <c r="T50" s="272">
        <v>193400</v>
      </c>
      <c r="U50" s="350">
        <f t="shared" ref="U50:U51" si="175">SUM(Q50:T50)</f>
        <v>661036</v>
      </c>
      <c r="V50" s="272">
        <v>138106</v>
      </c>
      <c r="W50" s="272">
        <v>171962</v>
      </c>
      <c r="X50" s="272">
        <v>157976</v>
      </c>
      <c r="Y50" s="272">
        <v>219050</v>
      </c>
      <c r="Z50" s="350">
        <f t="shared" ref="Z50:Z51" si="176">SUM(V50:Y50)</f>
        <v>687094</v>
      </c>
      <c r="AA50" s="272">
        <v>164778</v>
      </c>
      <c r="AB50" s="272">
        <v>199682</v>
      </c>
      <c r="AC50" s="272">
        <v>181592</v>
      </c>
      <c r="AD50" s="272">
        <v>224467</v>
      </c>
      <c r="AE50" s="350">
        <f t="shared" ref="AE50:AE51" si="177">SUM(AA50:AD50)</f>
        <v>770519</v>
      </c>
      <c r="AF50" s="272">
        <v>185036</v>
      </c>
      <c r="AG50" s="272">
        <v>197210</v>
      </c>
      <c r="AH50" s="272">
        <v>194510</v>
      </c>
      <c r="AI50" s="272">
        <v>241384</v>
      </c>
      <c r="AJ50" s="350">
        <f t="shared" ref="AJ50:AJ51" si="178">SUM(AF50:AI50)</f>
        <v>818140</v>
      </c>
      <c r="AK50" s="272">
        <v>167373</v>
      </c>
      <c r="AL50" s="272">
        <v>201990</v>
      </c>
      <c r="AM50" s="274">
        <f t="shared" ref="AM50" si="179">(1+AM71)*AH50</f>
        <v>199995.182</v>
      </c>
      <c r="AN50" s="274">
        <f t="shared" ref="AN50" si="180">(1+AN71)*AI50</f>
        <v>231825.1936</v>
      </c>
      <c r="AO50" s="350">
        <f t="shared" ref="AO50:AO51" si="181">SUM(AK50:AN50)</f>
        <v>801183.3756</v>
      </c>
      <c r="AP50" s="274">
        <f t="shared" ref="AP50" si="182">(1+AP71)*AK50</f>
        <v>177499.0665</v>
      </c>
      <c r="AQ50" s="274">
        <f t="shared" ref="AQ50" si="183">(1+AQ71)*AL50</f>
        <v>214210.395</v>
      </c>
      <c r="AR50" s="274">
        <f t="shared" ref="AR50" si="184">(1+AR71)*AM50</f>
        <v>204015.0851582</v>
      </c>
      <c r="AS50" s="274">
        <f t="shared" ref="AS50" si="185">(1+AS71)*AN50</f>
        <v>236484.87999136</v>
      </c>
      <c r="AT50" s="350">
        <f t="shared" ref="AT50:AT51" si="186">SUM(AP50:AS50)</f>
        <v>832209.42664956</v>
      </c>
      <c r="AU50" s="274">
        <f t="shared" ref="AU50" si="187">(1+AU71)*AP50</f>
        <v>181066.79773665</v>
      </c>
      <c r="AV50" s="274">
        <f t="shared" ref="AV50" si="188">(1+AV71)*AQ50</f>
        <v>218516.0239395</v>
      </c>
      <c r="AW50" s="274">
        <f t="shared" ref="AW50" si="189">(1+AW71)*AR50</f>
        <v>208115.78836988</v>
      </c>
      <c r="AX50" s="274">
        <f t="shared" ref="AX50" si="190">(1+AX71)*AS50</f>
        <v>241238.226079186</v>
      </c>
      <c r="AY50" s="350">
        <f t="shared" ref="AY50:AY51" si="191">SUM(AU50:AX50)</f>
        <v>848936.836125216</v>
      </c>
    </row>
    <row r="51" hidden="1" outlineLevel="1" spans="1:51">
      <c r="A51" s="38" t="s">
        <v>85</v>
      </c>
      <c r="B51" s="84"/>
      <c r="C51" s="84"/>
      <c r="D51" s="84"/>
      <c r="E51" s="84"/>
      <c r="F51" s="84"/>
      <c r="G51" s="276">
        <v>32335</v>
      </c>
      <c r="H51" s="276">
        <v>41814</v>
      </c>
      <c r="I51" s="276">
        <v>43618</v>
      </c>
      <c r="J51" s="276">
        <v>58868</v>
      </c>
      <c r="K51" s="351">
        <f t="shared" si="173"/>
        <v>176635</v>
      </c>
      <c r="L51" s="276">
        <v>46046</v>
      </c>
      <c r="M51" s="276">
        <v>41228</v>
      </c>
      <c r="N51" s="276">
        <v>38215</v>
      </c>
      <c r="O51" s="276">
        <v>46212</v>
      </c>
      <c r="P51" s="351">
        <f t="shared" si="174"/>
        <v>171701</v>
      </c>
      <c r="Q51" s="276">
        <v>29897</v>
      </c>
      <c r="R51" s="276">
        <v>27020</v>
      </c>
      <c r="S51" s="276">
        <v>27384</v>
      </c>
      <c r="T51" s="276">
        <v>35323</v>
      </c>
      <c r="U51" s="351">
        <f t="shared" si="175"/>
        <v>119624</v>
      </c>
      <c r="V51" s="276">
        <v>32465</v>
      </c>
      <c r="W51" s="276">
        <v>31956</v>
      </c>
      <c r="X51" s="276">
        <v>30889</v>
      </c>
      <c r="Y51" s="276">
        <v>42598</v>
      </c>
      <c r="Z51" s="351">
        <f t="shared" si="176"/>
        <v>137908</v>
      </c>
      <c r="AA51" s="276">
        <v>35831</v>
      </c>
      <c r="AB51" s="276">
        <v>33068</v>
      </c>
      <c r="AC51" s="276">
        <v>40925</v>
      </c>
      <c r="AD51" s="276">
        <v>40730</v>
      </c>
      <c r="AE51" s="351">
        <f t="shared" si="177"/>
        <v>150554</v>
      </c>
      <c r="AF51" s="276">
        <v>37471</v>
      </c>
      <c r="AG51" s="276">
        <v>37150</v>
      </c>
      <c r="AH51" s="276">
        <v>38661</v>
      </c>
      <c r="AI51" s="276">
        <v>44475</v>
      </c>
      <c r="AJ51" s="351">
        <f t="shared" si="178"/>
        <v>157757</v>
      </c>
      <c r="AK51" s="276">
        <v>46504</v>
      </c>
      <c r="AL51" s="276">
        <v>44162</v>
      </c>
      <c r="AM51" s="278">
        <f t="shared" ref="AM51:AN51" si="192">AM52-SUM(AM49:AM50)</f>
        <v>47882.1702800002</v>
      </c>
      <c r="AN51" s="278">
        <f t="shared" si="192"/>
        <v>58128.5919000001</v>
      </c>
      <c r="AO51" s="351">
        <f t="shared" si="181"/>
        <v>196676.76218</v>
      </c>
      <c r="AP51" s="278">
        <f>AP52-SUM(AP49:AP50)</f>
        <v>50220.2259000002</v>
      </c>
      <c r="AQ51" s="278">
        <f t="shared" ref="AQ51" si="193">AQ52-SUM(AQ49:AQ50)</f>
        <v>46584.2089000002</v>
      </c>
      <c r="AR51" s="278">
        <f t="shared" ref="AR51" si="194">AR52-SUM(AR49:AR50)</f>
        <v>52034.8945892844</v>
      </c>
      <c r="AS51" s="278">
        <f t="shared" ref="AS51" si="195">AS52-SUM(AS49:AS50)</f>
        <v>62864.3983947902</v>
      </c>
      <c r="AT51" s="351">
        <f t="shared" si="186"/>
        <v>211703.727784075</v>
      </c>
      <c r="AU51" s="278">
        <f>AU52-SUM(AU49:AU50)</f>
        <v>50332.0383378302</v>
      </c>
      <c r="AV51" s="278">
        <f t="shared" ref="AV51:AX51" si="196">AV52-SUM(AV49:AV50)</f>
        <v>46787.7040862804</v>
      </c>
      <c r="AW51" s="278">
        <f t="shared" si="196"/>
        <v>55523.0241874184</v>
      </c>
      <c r="AX51" s="278">
        <f t="shared" si="196"/>
        <v>67051.4543651056</v>
      </c>
      <c r="AY51" s="351">
        <f t="shared" si="191"/>
        <v>219694.220976635</v>
      </c>
    </row>
    <row r="52" hidden="1" outlineLevel="1" spans="1:51">
      <c r="A52" s="3" t="s">
        <v>70</v>
      </c>
      <c r="G52" s="71">
        <f>SUM(G49:G51)</f>
        <v>485359</v>
      </c>
      <c r="H52" s="71">
        <f>SUM(H49:H51)</f>
        <v>698328</v>
      </c>
      <c r="I52" s="71">
        <f t="shared" ref="I52:J52" si="197">SUM(I49:I51)</f>
        <v>819653</v>
      </c>
      <c r="J52" s="71">
        <f t="shared" si="197"/>
        <v>1122044</v>
      </c>
      <c r="K52" s="72">
        <f>IF(SUM(K49:K51)=SUM(G52:J52),SUM(K49:K51),"ERR")</f>
        <v>3125384</v>
      </c>
      <c r="L52" s="71">
        <f>SUM(L49:L51)</f>
        <v>781405</v>
      </c>
      <c r="M52" s="71">
        <f>SUM(M49:M51)</f>
        <v>864850</v>
      </c>
      <c r="N52" s="71">
        <f t="shared" ref="N52" si="198">SUM(N49:N51)</f>
        <v>905160</v>
      </c>
      <c r="O52" s="71">
        <f t="shared" ref="O52" si="199">SUM(O49:O51)</f>
        <v>1161353</v>
      </c>
      <c r="P52" s="72">
        <f>IF(SUM(P49:P51)=SUM(L52:O52),SUM(P49:P51),"ERR")</f>
        <v>3712768</v>
      </c>
      <c r="Q52" s="71">
        <f>SUM(Q49:Q51)</f>
        <v>812762</v>
      </c>
      <c r="R52" s="71">
        <f>SUM(R49:R51)</f>
        <v>805091</v>
      </c>
      <c r="S52" s="71">
        <f t="shared" ref="S52" si="200">SUM(S49:S51)</f>
        <v>880084</v>
      </c>
      <c r="T52" s="71">
        <f t="shared" ref="T52" si="201">SUM(T49:T51)</f>
        <v>1199814</v>
      </c>
      <c r="U52" s="72">
        <f>IF(SUM(U49:U51)=SUM(Q52:T52),SUM(U49:U51),"ERR")</f>
        <v>3697751</v>
      </c>
      <c r="V52" s="71">
        <f>SUM(V49:V51)</f>
        <v>835994</v>
      </c>
      <c r="W52" s="71">
        <f>SUM(W49:W51)</f>
        <v>935345</v>
      </c>
      <c r="X52" s="71">
        <f t="shared" ref="X52" si="202">SUM(X49:X51)</f>
        <v>1056431</v>
      </c>
      <c r="Y52" s="71">
        <f t="shared" ref="Y52" si="203">SUM(Y49:Y51)</f>
        <v>1452907</v>
      </c>
      <c r="Z52" s="72">
        <f>IF(SUM(Z49:Z51)=SUM(V52:Y52),SUM(Z49:Z51),"ERR")</f>
        <v>4280677</v>
      </c>
      <c r="AA52" s="71">
        <f>SUM(AA49:AA51)</f>
        <v>1020730</v>
      </c>
      <c r="AB52" s="71">
        <f>SUM(AB49:AB51)</f>
        <v>1133974</v>
      </c>
      <c r="AC52" s="71">
        <f t="shared" ref="AC52:AD52" si="204">SUM(AC49:AC51)</f>
        <v>1208966</v>
      </c>
      <c r="AD52" s="71">
        <f t="shared" si="204"/>
        <v>1584917</v>
      </c>
      <c r="AE52" s="72">
        <f>IF(SUM(AE49:AE51)=SUM(AA52:AD52),SUM(AE49:AE51),"ERR")</f>
        <v>4948587</v>
      </c>
      <c r="AF52" s="71">
        <f>SUM(AF49:AF51)</f>
        <v>1097311</v>
      </c>
      <c r="AG52" s="71">
        <f t="shared" ref="AG52:AI52" si="205">SUM(AG49:AG51)</f>
        <v>1208560</v>
      </c>
      <c r="AH52" s="71">
        <f t="shared" si="205"/>
        <v>1290619</v>
      </c>
      <c r="AI52" s="71">
        <f t="shared" si="205"/>
        <v>1669802</v>
      </c>
      <c r="AJ52" s="72">
        <f>IF(SUM(AJ49:AJ51)=SUM(AF52:AI52),SUM(AJ49:AJ51),"ERR")</f>
        <v>5266292</v>
      </c>
      <c r="AK52" s="71">
        <f>SUM(AK49:AK51)</f>
        <v>1113821</v>
      </c>
      <c r="AL52" s="71">
        <f t="shared" ref="AL52:AN52" si="206">AL9</f>
        <v>1266689</v>
      </c>
      <c r="AM52" s="71">
        <f t="shared" si="206"/>
        <v>1366937.56</v>
      </c>
      <c r="AN52" s="71">
        <f t="shared" si="206"/>
        <v>1786688.14</v>
      </c>
      <c r="AO52" s="72">
        <f>IF(SUM(AO49:AO51)=SUM(AK52:AN52),SUM(AO49:AO51),"ERR")</f>
        <v>5534135.7</v>
      </c>
      <c r="AP52" s="71">
        <f>AP9</f>
        <v>1164021.03</v>
      </c>
      <c r="AQ52" s="71">
        <f t="shared" ref="AQ52:AS52" si="207">AQ9</f>
        <v>1317356.56</v>
      </c>
      <c r="AR52" s="71">
        <f t="shared" si="207"/>
        <v>1414613.0128</v>
      </c>
      <c r="AS52" s="71">
        <f t="shared" si="207"/>
        <v>1848918.3556</v>
      </c>
      <c r="AT52" s="72">
        <f>IF(SUM(AT49:AT51)=SUM(AP52:AS52),SUM(AT49:AT51),"ERR")</f>
        <v>5744908.9584</v>
      </c>
      <c r="AU52" s="71">
        <f>AU9</f>
        <v>1195976.88615</v>
      </c>
      <c r="AV52" s="71">
        <f t="shared" ref="AV52:AX52" si="208">AV9</f>
        <v>1353773.8552</v>
      </c>
      <c r="AW52" s="71">
        <f t="shared" si="208"/>
        <v>1457190.449208</v>
      </c>
      <c r="AX52" s="71">
        <f t="shared" si="208"/>
        <v>1904655.74379</v>
      </c>
      <c r="AY52" s="72">
        <f>IF(SUM(AY49:AY51)=SUM(AU52:AX52),SUM(AY49:AY51),"ERR")</f>
        <v>5911596.934348</v>
      </c>
    </row>
    <row r="53" hidden="1" outlineLevel="1" spans="1:51">
      <c r="G53" s="290"/>
      <c r="H53" s="290"/>
      <c r="I53" s="290"/>
      <c r="J53" s="290"/>
      <c r="K53" s="273"/>
      <c r="L53" s="290"/>
      <c r="M53" s="290"/>
      <c r="N53" s="290"/>
      <c r="O53" s="290"/>
      <c r="P53" s="273"/>
      <c r="Q53" s="290"/>
      <c r="R53" s="290"/>
      <c r="S53" s="290"/>
      <c r="T53" s="290"/>
      <c r="U53" s="273"/>
      <c r="V53" s="290"/>
      <c r="W53" s="290"/>
      <c r="X53" s="290"/>
      <c r="Y53" s="290"/>
      <c r="Z53" s="273"/>
      <c r="AA53" s="290"/>
      <c r="AB53" s="290"/>
      <c r="AC53" s="290"/>
      <c r="AD53" s="290"/>
      <c r="AE53" s="64"/>
      <c r="AF53" s="290"/>
      <c r="AG53" s="290"/>
      <c r="AH53" s="290"/>
      <c r="AI53" s="290"/>
      <c r="AJ53" s="64"/>
      <c r="AK53" s="290"/>
      <c r="AL53" s="290"/>
      <c r="AM53" s="290"/>
      <c r="AN53" s="290"/>
      <c r="AO53" s="273"/>
      <c r="AP53" s="290"/>
      <c r="AQ53" s="290"/>
      <c r="AR53" s="290"/>
      <c r="AS53" s="290"/>
      <c r="AT53" s="273"/>
      <c r="AU53" s="290"/>
      <c r="AV53" s="290"/>
      <c r="AW53" s="290"/>
      <c r="AX53" s="290"/>
      <c r="AY53" s="273"/>
    </row>
    <row r="54" hidden="1" outlineLevel="1" spans="1:51">
      <c r="A54" s="14" t="s">
        <v>75</v>
      </c>
      <c r="B54" s="15"/>
      <c r="C54" s="15"/>
      <c r="D54" s="15"/>
      <c r="E54" s="15"/>
      <c r="F54" s="15"/>
      <c r="G54" s="283"/>
      <c r="H54" s="283"/>
      <c r="I54" s="283"/>
      <c r="J54" s="283"/>
      <c r="K54" s="284"/>
      <c r="L54" s="283"/>
      <c r="M54" s="283"/>
      <c r="N54" s="283"/>
      <c r="O54" s="283"/>
      <c r="P54" s="284"/>
      <c r="Q54" s="283"/>
      <c r="R54" s="283"/>
      <c r="S54" s="283"/>
      <c r="T54" s="283"/>
      <c r="U54" s="284"/>
      <c r="V54" s="283"/>
      <c r="W54" s="283"/>
      <c r="X54" s="283"/>
      <c r="Y54" s="283"/>
      <c r="Z54" s="284"/>
      <c r="AA54" s="283"/>
      <c r="AB54" s="283"/>
      <c r="AC54" s="283"/>
      <c r="AD54" s="283"/>
      <c r="AE54" s="284"/>
      <c r="AF54" s="283"/>
      <c r="AG54" s="283"/>
      <c r="AH54" s="283"/>
      <c r="AI54" s="283"/>
      <c r="AJ54" s="284"/>
      <c r="AK54" s="283"/>
      <c r="AL54" s="283"/>
      <c r="AM54" s="283"/>
      <c r="AN54" s="283"/>
      <c r="AO54" s="284"/>
      <c r="AP54" s="283"/>
      <c r="AQ54" s="283"/>
      <c r="AR54" s="283"/>
      <c r="AS54" s="283"/>
      <c r="AT54" s="284"/>
      <c r="AU54" s="283"/>
      <c r="AV54" s="283"/>
      <c r="AW54" s="283"/>
      <c r="AX54" s="283"/>
      <c r="AY54" s="284"/>
    </row>
    <row r="55" hidden="1" outlineLevel="1" spans="1:51">
      <c r="A55" s="285" t="s">
        <v>74</v>
      </c>
      <c r="B55" s="286"/>
      <c r="C55" s="286"/>
      <c r="D55" s="286"/>
      <c r="E55" s="286"/>
      <c r="F55" s="286"/>
      <c r="G55" s="287"/>
      <c r="H55" s="287"/>
      <c r="I55" s="287"/>
      <c r="J55" s="287"/>
      <c r="K55" s="288"/>
      <c r="L55" s="287"/>
      <c r="M55" s="287"/>
      <c r="N55" s="287"/>
      <c r="O55" s="287"/>
      <c r="P55" s="288"/>
      <c r="Q55" s="287"/>
      <c r="R55" s="287"/>
      <c r="S55" s="287"/>
      <c r="T55" s="352"/>
      <c r="U55" s="288"/>
      <c r="V55" s="287"/>
      <c r="W55" s="287"/>
      <c r="X55" s="287"/>
      <c r="Y55" s="287"/>
      <c r="Z55" s="288"/>
      <c r="AA55" s="353"/>
      <c r="AB55" s="353"/>
      <c r="AC55" s="353"/>
      <c r="AD55" s="353"/>
      <c r="AE55" s="288"/>
      <c r="AF55" s="287"/>
      <c r="AG55" s="353"/>
      <c r="AH55" s="353"/>
      <c r="AI55" s="353"/>
      <c r="AJ55" s="288"/>
      <c r="AK55" s="353"/>
      <c r="AL55" s="353"/>
      <c r="AM55" s="353"/>
      <c r="AN55" s="353"/>
      <c r="AO55" s="288"/>
      <c r="AP55" s="353"/>
      <c r="AQ55" s="353"/>
      <c r="AR55" s="353"/>
      <c r="AS55" s="353"/>
      <c r="AT55" s="288"/>
      <c r="AU55" s="353"/>
      <c r="AV55" s="353"/>
      <c r="AW55" s="353"/>
      <c r="AX55" s="353"/>
      <c r="AY55" s="288"/>
    </row>
    <row r="56" hidden="1" outlineLevel="1" spans="1:51">
      <c r="A56" s="3" t="s">
        <v>75</v>
      </c>
      <c r="G56" s="300"/>
      <c r="H56" s="354"/>
      <c r="I56" s="354"/>
      <c r="J56" s="354"/>
      <c r="K56" s="302"/>
      <c r="L56" s="300"/>
      <c r="M56" s="354"/>
      <c r="N56" s="354"/>
      <c r="O56" s="354"/>
      <c r="P56" s="302"/>
      <c r="Q56" s="300"/>
      <c r="R56" s="354"/>
      <c r="S56" s="355" t="s">
        <v>86</v>
      </c>
      <c r="T56" s="355" t="s">
        <v>86</v>
      </c>
      <c r="U56" s="273"/>
      <c r="V56" s="355" t="s">
        <v>86</v>
      </c>
      <c r="W56" s="303">
        <v>0.13</v>
      </c>
      <c r="X56" s="303">
        <v>0.16</v>
      </c>
      <c r="Y56" s="303">
        <v>0.16</v>
      </c>
      <c r="Z56" s="356">
        <v>0.13</v>
      </c>
      <c r="AA56" s="303">
        <v>0.21</v>
      </c>
      <c r="AB56" s="303">
        <v>0.18</v>
      </c>
      <c r="AC56" s="303">
        <v>0.16</v>
      </c>
      <c r="AD56" s="303">
        <v>0.14</v>
      </c>
      <c r="AE56" s="299">
        <v>0.17</v>
      </c>
      <c r="AF56" s="303">
        <v>0.04</v>
      </c>
      <c r="AG56" s="303">
        <v>0.03</v>
      </c>
      <c r="AH56" s="303">
        <v>0.03</v>
      </c>
      <c r="AI56" s="303">
        <v>0.01</v>
      </c>
      <c r="AJ56" s="299">
        <f>SUMPRODUCT(AF56:AI56,AA95:AD95)</f>
        <v>0.0256571360673259</v>
      </c>
      <c r="AK56" s="303">
        <v>-0.01</v>
      </c>
      <c r="AL56" s="303">
        <v>0</v>
      </c>
      <c r="AM56" s="357">
        <f t="shared" ref="AM56:AN56" si="209">AM62*AH$87+AM68*AH$88+AM74*AH$89</f>
        <v>0.00434997470206157</v>
      </c>
      <c r="AN56" s="357">
        <f t="shared" si="209"/>
        <v>0.0251700740566846</v>
      </c>
      <c r="AO56" s="312">
        <f>SUMPRODUCT(AK56:AN56,AF95:AI95)</f>
        <v>0.00696317067112875</v>
      </c>
      <c r="AP56" s="357">
        <f t="shared" ref="AP56" si="210">AP62*AK$87+AP68*AK$88+AP74*AK$89</f>
        <v>0.0249298944803519</v>
      </c>
      <c r="AQ56" s="357">
        <f t="shared" ref="AQ56" si="211">AQ62*AL$87+AQ68*AL$88+AQ74*AL$89</f>
        <v>0.0252884409669619</v>
      </c>
      <c r="AR56" s="357">
        <f t="shared" ref="AR56" si="212">AR62*AM$87+AR68*AM$88+AR74*AM$89</f>
        <v>0.02</v>
      </c>
      <c r="AS56" s="357">
        <f t="shared" ref="AS56" si="213">AS62*AN$87+AS68*AN$88+AS74*AN$89</f>
        <v>0.02</v>
      </c>
      <c r="AT56" s="312">
        <f>SUMPRODUCT(AP56:AS56,AK95:AN95)</f>
        <v>0.0222026619260529</v>
      </c>
      <c r="AU56" s="357">
        <f t="shared" ref="AU56" si="214">AU62*AP$87+AU68*AP$88+AU74*AP$89</f>
        <v>0.0174529886715191</v>
      </c>
      <c r="AV56" s="357">
        <f t="shared" ref="AV56" si="215">AV62*AQ$87+AV68*AQ$88+AV74*AQ$89</f>
        <v>0.0176442204834809</v>
      </c>
      <c r="AW56" s="357">
        <f t="shared" ref="AW56" si="216">AW62*AR$87+AW68*AR$88+AW74*AR$89</f>
        <v>0.0200982926233124</v>
      </c>
      <c r="AX56" s="357">
        <f t="shared" ref="AX56" si="217">AX62*AS$87+AX68*AS$88+AX74*AS$89</f>
        <v>0.020145943449143</v>
      </c>
      <c r="AY56" s="312">
        <f>SUMPRODUCT(AU56:AX56,AP95:AS95)</f>
        <v>0.0190149029610425</v>
      </c>
    </row>
    <row r="57" hidden="1" outlineLevel="1" spans="1:51">
      <c r="A57" s="3" t="s">
        <v>87</v>
      </c>
      <c r="G57" s="300"/>
      <c r="H57" s="354"/>
      <c r="I57" s="354"/>
      <c r="J57" s="354"/>
      <c r="K57" s="302"/>
      <c r="L57" s="300"/>
      <c r="M57" s="354"/>
      <c r="N57" s="354"/>
      <c r="O57" s="354"/>
      <c r="P57" s="302"/>
      <c r="Q57" s="300"/>
      <c r="R57" s="354"/>
      <c r="S57" s="65">
        <f t="shared" ref="S57:T57" si="218">S59-S58</f>
        <v>0.00203119662985318</v>
      </c>
      <c r="T57" s="65">
        <f t="shared" si="218"/>
        <v>0.0542597378176779</v>
      </c>
      <c r="U57" s="273"/>
      <c r="V57" s="65">
        <f>V59-V58</f>
        <v>0.0395801856584159</v>
      </c>
      <c r="W57" s="65">
        <f>W59-W56-W58</f>
        <v>0.0276567767870847</v>
      </c>
      <c r="X57" s="65">
        <f t="shared" ref="X57:AA57" si="219">X59-X56-X58</f>
        <v>0.0309875865396649</v>
      </c>
      <c r="Y57" s="65">
        <f t="shared" si="219"/>
        <v>0.045630897327278</v>
      </c>
      <c r="Z57" s="289">
        <f t="shared" si="219"/>
        <v>0.0256120252110345</v>
      </c>
      <c r="AA57" s="65">
        <f t="shared" si="219"/>
        <v>0.0117829343234667</v>
      </c>
      <c r="AB57" s="65">
        <f t="shared" ref="AB57:AF57" si="220">AB59-AB56-AB58</f>
        <v>0.0354387845333476</v>
      </c>
      <c r="AC57" s="65">
        <f t="shared" si="220"/>
        <v>-0.0213137173642769</v>
      </c>
      <c r="AD57" s="65">
        <f t="shared" si="220"/>
        <v>-0.0445127452965884</v>
      </c>
      <c r="AE57" s="289">
        <f t="shared" si="220"/>
        <v>-0.0129519276430373</v>
      </c>
      <c r="AF57" s="65">
        <f t="shared" si="220"/>
        <v>0.0352448256872464</v>
      </c>
      <c r="AG57" s="65">
        <f t="shared" ref="AG57" si="221">AG59-AG56-AG58</f>
        <v>0.0258050670885601</v>
      </c>
      <c r="AH57" s="65">
        <f t="shared" ref="AH57:AJ57" si="222">AH59-AH56-AH58</f>
        <v>0.0324127428383272</v>
      </c>
      <c r="AI57" s="65">
        <f t="shared" si="222"/>
        <v>0.0324886342778443</v>
      </c>
      <c r="AJ57" s="289">
        <f t="shared" si="222"/>
        <v>0.0314599527302029</v>
      </c>
      <c r="AK57" s="65">
        <f t="shared" ref="AK57" si="223">AK59-AK56-AK58</f>
        <v>0.0149543006144379</v>
      </c>
      <c r="AL57" s="65">
        <f t="shared" ref="AL57" si="224">AL59-AL56-AL58</f>
        <v>0.0479043798597432</v>
      </c>
      <c r="AM57" s="65">
        <f t="shared" ref="AM57" si="225">AM59-AM56-AM58</f>
        <v>0.0547833249006871</v>
      </c>
      <c r="AN57" s="65">
        <f t="shared" ref="AN57:AO57" si="226">AN59-AN56-AN58</f>
        <v>0.0420710680727407</v>
      </c>
      <c r="AO57" s="289">
        <f t="shared" si="226"/>
        <v>0.0408013770001846</v>
      </c>
      <c r="AP57" s="65">
        <f t="shared" ref="AP57" si="227">AP59-AP56-AP58</f>
        <v>0.0201402110392964</v>
      </c>
      <c r="AQ57" s="65">
        <f t="shared" ref="AQ57" si="228">AQ59-AQ56-AQ58</f>
        <v>0.0147115590330381</v>
      </c>
      <c r="AR57" s="65">
        <f t="shared" ref="AR57" si="229">AR59-AR56-AR58</f>
        <v>0.0148775644148662</v>
      </c>
      <c r="AS57" s="65">
        <f t="shared" ref="AS57:AW57" si="230">AS59-AS56-AS58</f>
        <v>0.0148299259433154</v>
      </c>
      <c r="AT57" s="289">
        <f t="shared" si="230"/>
        <v>0.0158833680930522</v>
      </c>
      <c r="AU57" s="65">
        <f t="shared" si="230"/>
        <v>0.0099999999999998</v>
      </c>
      <c r="AV57" s="65">
        <f t="shared" si="230"/>
        <v>0.0100000000000001</v>
      </c>
      <c r="AW57" s="65">
        <f t="shared" si="230"/>
        <v>0.00999999999999978</v>
      </c>
      <c r="AX57" s="65">
        <f t="shared" ref="AX57:AY57" si="231">AX59-AX56-AX58</f>
        <v>0.00999999999999993</v>
      </c>
      <c r="AY57" s="289">
        <f t="shared" si="231"/>
        <v>0.0100000000000002</v>
      </c>
    </row>
    <row r="58" hidden="1" outlineLevel="1" spans="1:51">
      <c r="A58" s="3" t="s">
        <v>88</v>
      </c>
      <c r="G58" s="300"/>
      <c r="H58" s="301"/>
      <c r="I58" s="301"/>
      <c r="J58" s="301"/>
      <c r="K58" s="302"/>
      <c r="L58" s="300"/>
      <c r="M58" s="301"/>
      <c r="N58" s="301"/>
      <c r="O58" s="301"/>
      <c r="P58" s="302"/>
      <c r="Q58" s="300"/>
      <c r="R58" s="301"/>
      <c r="S58" s="294">
        <f t="shared" ref="S58" si="232">S59-(S52/(N52+S84)-1)</f>
        <v>-0.029734586085861</v>
      </c>
      <c r="T58" s="294">
        <f t="shared" ref="T58:V58" si="233">T59-(T52/(O52+T84)-1)</f>
        <v>-0.0211423307932848</v>
      </c>
      <c r="U58" s="273"/>
      <c r="V58" s="294">
        <f t="shared" si="233"/>
        <v>-0.0109961721341616</v>
      </c>
      <c r="W58" s="294">
        <f t="shared" ref="W58:AA58" si="234">W59-(W52/(R52+W84)-1)</f>
        <v>0.0041311453235835</v>
      </c>
      <c r="X58" s="294">
        <f t="shared" si="234"/>
        <v>0.00938760491933222</v>
      </c>
      <c r="Y58" s="294">
        <f t="shared" si="234"/>
        <v>0.00531263225314027</v>
      </c>
      <c r="Z58" s="292">
        <f t="shared" si="234"/>
        <v>0.00203136397336445</v>
      </c>
      <c r="AA58" s="294">
        <f t="shared" si="234"/>
        <v>-0.000805271804357854</v>
      </c>
      <c r="AB58" s="294">
        <f t="shared" ref="AB58:AF58" si="235">AB59-(AB52/(W52+AB84)-1)</f>
        <v>-0.00307970847050454</v>
      </c>
      <c r="AC58" s="294">
        <f t="shared" si="235"/>
        <v>0.0057008093750186</v>
      </c>
      <c r="AD58" s="294">
        <f t="shared" si="235"/>
        <v>-0.00462803246826504</v>
      </c>
      <c r="AE58" s="292">
        <f t="shared" si="235"/>
        <v>-0.00101901433646745</v>
      </c>
      <c r="AF58" s="294">
        <f t="shared" si="235"/>
        <v>-0.000219108798353185</v>
      </c>
      <c r="AG58" s="294">
        <f t="shared" ref="AG58:AJ58" si="236">AG59-(AG52/(AB52+AG84)-1)</f>
        <v>0.00996892772966329</v>
      </c>
      <c r="AH58" s="294">
        <f t="shared" si="236"/>
        <v>0.00512679094508761</v>
      </c>
      <c r="AI58" s="294">
        <f t="shared" si="236"/>
        <v>0.0110693753844913</v>
      </c>
      <c r="AJ58" s="292">
        <f t="shared" si="236"/>
        <v>0.00708406599675904</v>
      </c>
      <c r="AK58" s="294">
        <f t="shared" ref="AK58" si="237">AK59-(AK52/(AF52+AK84)-1)</f>
        <v>0.0100915706107663</v>
      </c>
      <c r="AL58" s="294">
        <f t="shared" ref="AL58" si="238">AL59-(AL52/(AG52+AL84)-1)</f>
        <v>0.000193356289061919</v>
      </c>
      <c r="AM58" s="294">
        <f t="shared" ref="AM58" si="239">AM59-(AM52/(AH52+AM84)-1)</f>
        <v>0</v>
      </c>
      <c r="AN58" s="294">
        <f t="shared" ref="AN58:AO58" si="240">AN59-(AN52/(AI52+AN84)-1)</f>
        <v>0.00275885787057484</v>
      </c>
      <c r="AO58" s="292">
        <f t="shared" si="240"/>
        <v>0.0030954692058367</v>
      </c>
      <c r="AP58" s="294">
        <f t="shared" ref="AP58" si="241">AP59-(AP52/(AK52+AP84)-1)</f>
        <v>0</v>
      </c>
      <c r="AQ58" s="294">
        <f t="shared" ref="AQ58" si="242">AQ59-(AQ52/(AL52+AQ84)-1)</f>
        <v>0</v>
      </c>
      <c r="AR58" s="294">
        <f t="shared" ref="AR58" si="243">AR59-(AR52/(AM52+AR84)-1)</f>
        <v>0</v>
      </c>
      <c r="AS58" s="294">
        <f t="shared" ref="AS58:AT58" si="244">AS59-(AS52/(AN52+AS84)-1)</f>
        <v>0</v>
      </c>
      <c r="AT58" s="292">
        <f t="shared" si="244"/>
        <v>0</v>
      </c>
      <c r="AU58" s="294">
        <f t="shared" ref="AU58" si="245">AU59-(AU52/(AP52+AU84)-1)</f>
        <v>0</v>
      </c>
      <c r="AV58" s="294">
        <f t="shared" ref="AV58" si="246">AV59-(AV52/(AQ52+AV84)-1)</f>
        <v>0</v>
      </c>
      <c r="AW58" s="294">
        <f t="shared" ref="AW58" si="247">AW59-(AW52/(AR52+AW84)-1)</f>
        <v>0</v>
      </c>
      <c r="AX58" s="294">
        <f t="shared" ref="AX58" si="248">AX59-(AX52/(AS52+AX84)-1)</f>
        <v>0</v>
      </c>
      <c r="AY58" s="292">
        <f t="shared" ref="AY58" si="249">AY59-(AY52/(AT52+AY84)-1)</f>
        <v>0</v>
      </c>
    </row>
    <row r="59" hidden="1" outlineLevel="1" spans="1:51">
      <c r="A59" s="3" t="s">
        <v>73</v>
      </c>
      <c r="G59" s="290"/>
      <c r="H59" s="65"/>
      <c r="I59" s="65"/>
      <c r="J59" s="65"/>
      <c r="K59" s="273"/>
      <c r="L59" s="65">
        <f>L52/G52-1</f>
        <v>0.609952632999491</v>
      </c>
      <c r="M59" s="65">
        <f t="shared" ref="M59" si="250">M52/H52-1</f>
        <v>0.238458145742402</v>
      </c>
      <c r="N59" s="65">
        <f t="shared" ref="N59" si="251">N52/I52-1</f>
        <v>0.104320974851553</v>
      </c>
      <c r="O59" s="65">
        <f t="shared" ref="O59" si="252">O52/J52-1</f>
        <v>0.0350333855000338</v>
      </c>
      <c r="P59" s="289">
        <f t="shared" ref="P59" si="253">P52/K52-1</f>
        <v>0.187939785959101</v>
      </c>
      <c r="Q59" s="65">
        <f t="shared" ref="Q59:S59" si="254">Q52/L52-1</f>
        <v>0.0401289984067161</v>
      </c>
      <c r="R59" s="65">
        <f t="shared" si="254"/>
        <v>-0.0690975313638204</v>
      </c>
      <c r="S59" s="65">
        <f t="shared" si="254"/>
        <v>-0.0277033894560078</v>
      </c>
      <c r="T59" s="65">
        <f t="shared" ref="T59:W59" si="255">T52/O52-1</f>
        <v>0.0331174070243931</v>
      </c>
      <c r="U59" s="273"/>
      <c r="V59" s="65">
        <f t="shared" si="255"/>
        <v>0.0285840135242543</v>
      </c>
      <c r="W59" s="65">
        <f t="shared" si="255"/>
        <v>0.161787922110668</v>
      </c>
      <c r="X59" s="65">
        <f t="shared" ref="X59" si="256">X52/S52-1</f>
        <v>0.200375191458997</v>
      </c>
      <c r="Y59" s="65">
        <f t="shared" ref="Y59:Z59" si="257">Y52/T52-1</f>
        <v>0.210943529580418</v>
      </c>
      <c r="Z59" s="289">
        <f t="shared" si="257"/>
        <v>0.157643389184399</v>
      </c>
      <c r="AA59" s="65">
        <f t="shared" ref="AA59" si="258">AA52/V52-1</f>
        <v>0.220977662519109</v>
      </c>
      <c r="AB59" s="65">
        <f t="shared" ref="AB59" si="259">AB52/W52-1</f>
        <v>0.212359076062843</v>
      </c>
      <c r="AC59" s="65">
        <f t="shared" ref="AC59" si="260">AC52/X52-1</f>
        <v>0.144387092010742</v>
      </c>
      <c r="AD59" s="65">
        <f t="shared" ref="AD59" si="261">AD52/Y52-1</f>
        <v>0.0908592222351465</v>
      </c>
      <c r="AE59" s="289">
        <f t="shared" ref="AE59" si="262">AE52/Z52-1</f>
        <v>0.156029058020495</v>
      </c>
      <c r="AF59" s="65">
        <f t="shared" ref="AF59" si="263">AF52/AA52-1</f>
        <v>0.0750257168888933</v>
      </c>
      <c r="AG59" s="65">
        <f t="shared" ref="AG59" si="264">AG52/AB52-1</f>
        <v>0.0657739948182234</v>
      </c>
      <c r="AH59" s="65">
        <f t="shared" ref="AH59:AJ59" si="265">AH52/AC52-1</f>
        <v>0.0675395337834148</v>
      </c>
      <c r="AI59" s="65">
        <f t="shared" si="265"/>
        <v>0.0535580096623356</v>
      </c>
      <c r="AJ59" s="289">
        <f t="shared" si="265"/>
        <v>0.0642011547942878</v>
      </c>
      <c r="AK59" s="65">
        <f t="shared" ref="AK59" si="266">AK52/AF52-1</f>
        <v>0.0150458712252042</v>
      </c>
      <c r="AL59" s="65">
        <f t="shared" ref="AL59" si="267">AL52/AG52-1</f>
        <v>0.0480977361488051</v>
      </c>
      <c r="AM59" s="65">
        <f t="shared" ref="AM59" si="268">AM52/AH52-1</f>
        <v>0.0591332996027487</v>
      </c>
      <c r="AN59" s="65">
        <f t="shared" ref="AN59:AO59" si="269">AN52/AI52-1</f>
        <v>0.0700000000000001</v>
      </c>
      <c r="AO59" s="289">
        <f t="shared" si="269"/>
        <v>0.05086001687715</v>
      </c>
      <c r="AP59" s="65">
        <f t="shared" ref="AP59" si="270">AP52/AK52-1</f>
        <v>0.0450701055196483</v>
      </c>
      <c r="AQ59" s="65">
        <f t="shared" ref="AQ59" si="271">AQ52/AL52-1</f>
        <v>0.04</v>
      </c>
      <c r="AR59" s="65">
        <f t="shared" ref="AR59" si="272">AR52/AM52-1</f>
        <v>0.0348775644148662</v>
      </c>
      <c r="AS59" s="65">
        <f t="shared" ref="AS59:AT59" si="273">AS52/AN52-1</f>
        <v>0.0348299259433154</v>
      </c>
      <c r="AT59" s="289">
        <f t="shared" si="273"/>
        <v>0.038086030019105</v>
      </c>
      <c r="AU59" s="65">
        <f t="shared" ref="AU59" si="274">AU52/AP52-1</f>
        <v>0.0274529886715189</v>
      </c>
      <c r="AV59" s="65">
        <f t="shared" ref="AV59" si="275">AV52/AQ52-1</f>
        <v>0.027644220483481</v>
      </c>
      <c r="AW59" s="65">
        <f t="shared" ref="AW59" si="276">AW52/AR52-1</f>
        <v>0.0300982926233122</v>
      </c>
      <c r="AX59" s="65">
        <f t="shared" ref="AX59:AY59" si="277">AX52/AS52-1</f>
        <v>0.0301459434491429</v>
      </c>
      <c r="AY59" s="289">
        <f t="shared" si="277"/>
        <v>0.0290149029610427</v>
      </c>
    </row>
    <row r="60" hidden="1" outlineLevel="1" spans="1:51">
      <c r="G60" s="290"/>
      <c r="H60" s="290"/>
      <c r="I60" s="290"/>
      <c r="J60" s="290"/>
      <c r="K60" s="273"/>
      <c r="L60" s="290"/>
      <c r="M60" s="290"/>
      <c r="N60" s="290"/>
      <c r="O60" s="290"/>
      <c r="P60" s="273"/>
      <c r="Q60" s="290"/>
      <c r="R60" s="290"/>
      <c r="S60" s="290"/>
      <c r="T60" s="290"/>
      <c r="U60" s="273"/>
      <c r="V60" s="290"/>
      <c r="W60" s="290"/>
      <c r="X60" s="290"/>
      <c r="Y60" s="290"/>
      <c r="Z60" s="273"/>
      <c r="AA60" s="290"/>
      <c r="AB60" s="290"/>
      <c r="AC60" s="290"/>
      <c r="AD60" s="290"/>
      <c r="AE60" s="273"/>
      <c r="AF60" s="290"/>
      <c r="AG60" s="290"/>
      <c r="AH60" s="290"/>
      <c r="AI60" s="290"/>
      <c r="AJ60" s="273"/>
      <c r="AK60" s="290"/>
      <c r="AL60" s="290"/>
      <c r="AM60" s="290"/>
      <c r="AN60" s="290"/>
      <c r="AO60" s="273"/>
      <c r="AP60" s="290"/>
      <c r="AQ60" s="290"/>
      <c r="AR60" s="290"/>
      <c r="AS60" s="290"/>
      <c r="AT60" s="273"/>
      <c r="AU60" s="290"/>
      <c r="AV60" s="290"/>
      <c r="AW60" s="290"/>
      <c r="AX60" s="290"/>
      <c r="AY60" s="273"/>
    </row>
    <row r="61" hidden="1" outlineLevel="1" spans="1:51">
      <c r="A61" s="285" t="s">
        <v>83</v>
      </c>
      <c r="B61" s="286"/>
      <c r="C61" s="286"/>
      <c r="D61" s="286"/>
      <c r="E61" s="286"/>
      <c r="F61" s="286"/>
      <c r="G61" s="287"/>
      <c r="H61" s="287"/>
      <c r="I61" s="287"/>
      <c r="J61" s="287"/>
      <c r="K61" s="288"/>
      <c r="L61" s="287"/>
      <c r="M61" s="287"/>
      <c r="N61" s="287"/>
      <c r="O61" s="287"/>
      <c r="P61" s="288"/>
      <c r="Q61" s="287"/>
      <c r="R61" s="287"/>
      <c r="S61" s="287"/>
      <c r="T61" s="287"/>
      <c r="U61" s="288"/>
      <c r="V61" s="287"/>
      <c r="W61" s="287"/>
      <c r="X61" s="287"/>
      <c r="Y61" s="287"/>
      <c r="Z61" s="288"/>
      <c r="AA61" s="287"/>
      <c r="AB61" s="287"/>
      <c r="AC61" s="287"/>
      <c r="AD61" s="287"/>
      <c r="AE61" s="288"/>
      <c r="AF61" s="287"/>
      <c r="AG61" s="287"/>
      <c r="AH61" s="287"/>
      <c r="AI61" s="287"/>
      <c r="AJ61" s="288"/>
      <c r="AK61" s="287"/>
      <c r="AL61" s="287"/>
      <c r="AM61" s="287"/>
      <c r="AN61" s="287"/>
      <c r="AO61" s="288"/>
      <c r="AP61" s="287"/>
      <c r="AQ61" s="287"/>
      <c r="AR61" s="287"/>
      <c r="AS61" s="287"/>
      <c r="AT61" s="288"/>
      <c r="AU61" s="287"/>
      <c r="AV61" s="287"/>
      <c r="AW61" s="287"/>
      <c r="AX61" s="287"/>
      <c r="AY61" s="288"/>
    </row>
    <row r="62" hidden="1" outlineLevel="1" spans="1:51">
      <c r="A62" s="3" t="s">
        <v>75</v>
      </c>
      <c r="G62" s="300"/>
      <c r="H62" s="354"/>
      <c r="I62" s="354"/>
      <c r="J62" s="354"/>
      <c r="K62" s="302"/>
      <c r="L62" s="300"/>
      <c r="M62" s="300"/>
      <c r="N62" s="300"/>
      <c r="O62" s="300"/>
      <c r="P62" s="302"/>
      <c r="Q62" s="300"/>
      <c r="R62" s="354"/>
      <c r="S62" s="355" t="s">
        <v>86</v>
      </c>
      <c r="T62" s="355" t="s">
        <v>86</v>
      </c>
      <c r="U62" s="273"/>
      <c r="V62" s="355" t="s">
        <v>86</v>
      </c>
      <c r="W62" s="303">
        <v>0.14</v>
      </c>
      <c r="X62" s="303">
        <v>0.16</v>
      </c>
      <c r="Y62" s="303">
        <v>0.17</v>
      </c>
      <c r="Z62" s="356">
        <v>0.13</v>
      </c>
      <c r="AA62" s="303">
        <v>0.21</v>
      </c>
      <c r="AB62" s="303">
        <v>0.18</v>
      </c>
      <c r="AC62" s="303">
        <v>0.16</v>
      </c>
      <c r="AD62" s="303">
        <v>0.15</v>
      </c>
      <c r="AE62" s="299">
        <v>0.17</v>
      </c>
      <c r="AF62" s="303">
        <v>0.04</v>
      </c>
      <c r="AG62" s="303">
        <v>0.05</v>
      </c>
      <c r="AH62" s="303">
        <v>0.04</v>
      </c>
      <c r="AI62" s="303">
        <v>0.02</v>
      </c>
      <c r="AJ62" s="299">
        <v>0.04</v>
      </c>
      <c r="AK62" s="303">
        <v>0.01</v>
      </c>
      <c r="AL62" s="303">
        <v>0.01</v>
      </c>
      <c r="AM62" s="304">
        <v>0.005</v>
      </c>
      <c r="AN62" s="304">
        <v>0.03</v>
      </c>
      <c r="AO62" s="312">
        <f>SUMPRODUCT(AK62:AN62,AF92:AI92)</f>
        <v>0.0152190113031551</v>
      </c>
      <c r="AP62" s="304">
        <v>0.02</v>
      </c>
      <c r="AQ62" s="304">
        <v>0.02</v>
      </c>
      <c r="AR62" s="304">
        <v>0.02</v>
      </c>
      <c r="AS62" s="304">
        <v>0.02</v>
      </c>
      <c r="AT62" s="312">
        <f>SUMPRODUCT(AP62:AS62,AK92:AN92)</f>
        <v>0.02</v>
      </c>
      <c r="AU62" s="304">
        <v>0.02</v>
      </c>
      <c r="AV62" s="304">
        <v>0.02</v>
      </c>
      <c r="AW62" s="304">
        <v>0.02</v>
      </c>
      <c r="AX62" s="304">
        <v>0.02</v>
      </c>
      <c r="AY62" s="312">
        <f>SUMPRODUCT(AU62:AX62,AP92:AS92)</f>
        <v>0.02</v>
      </c>
    </row>
    <row r="63" hidden="1" outlineLevel="1" spans="1:51">
      <c r="A63" s="3" t="s">
        <v>87</v>
      </c>
      <c r="G63" s="300"/>
      <c r="H63" s="354"/>
      <c r="I63" s="354"/>
      <c r="J63" s="354"/>
      <c r="K63" s="302"/>
      <c r="L63" s="300"/>
      <c r="M63" s="300"/>
      <c r="N63" s="300"/>
      <c r="O63" s="300"/>
      <c r="P63" s="302"/>
      <c r="Q63" s="300"/>
      <c r="R63" s="354"/>
      <c r="S63" s="65">
        <f t="shared" ref="S63:T63" si="278">S65-S64</f>
        <v>0.0405424709130291</v>
      </c>
      <c r="T63" s="65">
        <f t="shared" si="278"/>
        <v>0.0957723624940194</v>
      </c>
      <c r="U63" s="273"/>
      <c r="V63" s="65">
        <f>V65-V64</f>
        <v>0.078922023257473</v>
      </c>
      <c r="W63" s="65">
        <f t="shared" ref="W63:AA63" si="279">W65-W62-W64</f>
        <v>0.055005473230186</v>
      </c>
      <c r="X63" s="65">
        <f t="shared" si="279"/>
        <v>0.0562452773318941</v>
      </c>
      <c r="Y63" s="65">
        <f t="shared" si="279"/>
        <v>0.0567955877915582</v>
      </c>
      <c r="Z63" s="289">
        <f t="shared" si="279"/>
        <v>0.0562266002006065</v>
      </c>
      <c r="AA63" s="65">
        <f t="shared" si="279"/>
        <v>0.0225955383618819</v>
      </c>
      <c r="AB63" s="65">
        <f t="shared" ref="AB63:AE63" si="280">AB65-AB62-AB64</f>
        <v>0.0535496869670433</v>
      </c>
      <c r="AC63" s="65">
        <f t="shared" si="280"/>
        <v>-0.022620777124409</v>
      </c>
      <c r="AD63" s="65">
        <f t="shared" si="280"/>
        <v>-0.0399664480053429</v>
      </c>
      <c r="AE63" s="289">
        <f t="shared" si="280"/>
        <v>-0.00333371956539627</v>
      </c>
      <c r="AF63" s="65">
        <f t="shared" ref="AF63:AI63" si="281">AF65-AF62-AF64</f>
        <v>0.0266767464800926</v>
      </c>
      <c r="AG63" s="65">
        <f t="shared" si="281"/>
        <v>0.0309743193701011</v>
      </c>
      <c r="AH63" s="65">
        <f t="shared" si="281"/>
        <v>0.0319743240654103</v>
      </c>
      <c r="AI63" s="65">
        <f t="shared" si="281"/>
        <v>0.0286641105689085</v>
      </c>
      <c r="AJ63" s="289">
        <f t="shared" ref="AJ63:AL63" si="282">AJ65-AJ62-AJ64</f>
        <v>0.0252712814902692</v>
      </c>
      <c r="AK63" s="65">
        <f t="shared" si="282"/>
        <v>0.0187378658533797</v>
      </c>
      <c r="AL63" s="65">
        <f t="shared" si="282"/>
        <v>0.0375641552042703</v>
      </c>
      <c r="AM63" s="304">
        <v>0.053</v>
      </c>
      <c r="AN63" s="304">
        <v>0.05</v>
      </c>
      <c r="AO63" s="289">
        <f t="shared" ref="AO63" si="283">AO65-AO62-AO64</f>
        <v>0.0420905283126612</v>
      </c>
      <c r="AP63" s="304">
        <v>0.02</v>
      </c>
      <c r="AQ63" s="304">
        <v>0.015</v>
      </c>
      <c r="AR63" s="304">
        <v>0.015</v>
      </c>
      <c r="AS63" s="304">
        <v>0.015</v>
      </c>
      <c r="AT63" s="289">
        <f t="shared" ref="AT63" si="284">AT65-AT62-AT64</f>
        <v>0.0163117803332376</v>
      </c>
      <c r="AU63" s="304">
        <v>0.01</v>
      </c>
      <c r="AV63" s="304">
        <v>0.01</v>
      </c>
      <c r="AW63" s="304">
        <v>0.01</v>
      </c>
      <c r="AX63" s="304">
        <v>0.01</v>
      </c>
      <c r="AY63" s="289">
        <f t="shared" ref="AY63" si="285">AY65-AY62-AY64</f>
        <v>0.0102</v>
      </c>
    </row>
    <row r="64" hidden="1" outlineLevel="1" spans="1:51">
      <c r="A64" s="3" t="s">
        <v>88</v>
      </c>
      <c r="G64" s="300"/>
      <c r="H64" s="301"/>
      <c r="I64" s="301"/>
      <c r="J64" s="301"/>
      <c r="K64" s="302"/>
      <c r="L64" s="300"/>
      <c r="M64" s="300"/>
      <c r="N64" s="300"/>
      <c r="O64" s="300"/>
      <c r="P64" s="302"/>
      <c r="Q64" s="300"/>
      <c r="R64" s="301"/>
      <c r="S64" s="294">
        <f t="shared" ref="S64" si="286">S65-(S49/(N49+S81)-1)</f>
        <v>-0.00263695046998613</v>
      </c>
      <c r="T64" s="294">
        <f t="shared" ref="T64:V64" si="287">T65-(T49/(O49+T81)-1)</f>
        <v>-0.00351384879370209</v>
      </c>
      <c r="U64" s="273"/>
      <c r="V64" s="294">
        <f t="shared" si="287"/>
        <v>-0.00374461057424358</v>
      </c>
      <c r="W64" s="294">
        <f t="shared" ref="W64:AA64" si="288">W65-(W49/(R49+W81)-1)</f>
        <v>-0.00228772955882528</v>
      </c>
      <c r="X64" s="294">
        <f t="shared" si="288"/>
        <v>-0.000928548561547116</v>
      </c>
      <c r="Y64" s="294">
        <f t="shared" si="288"/>
        <v>-7.3272375186173e-5</v>
      </c>
      <c r="Z64" s="292">
        <f t="shared" si="288"/>
        <v>-0.00159608987370907</v>
      </c>
      <c r="AA64" s="294">
        <f t="shared" si="288"/>
        <v>-0.000114845629589855</v>
      </c>
      <c r="AB64" s="294">
        <f t="shared" ref="AB64:AE64" si="289">AB65-(AB49/(W49+AB81)-1)</f>
        <v>-0.00140485228087495</v>
      </c>
      <c r="AC64" s="294">
        <f t="shared" si="289"/>
        <v>-0.00034872606036318</v>
      </c>
      <c r="AD64" s="294">
        <f t="shared" si="289"/>
        <v>-0.00219722085256291</v>
      </c>
      <c r="AE64" s="292">
        <f t="shared" si="289"/>
        <v>-0.00118804535752037</v>
      </c>
      <c r="AF64" s="358"/>
      <c r="AG64" s="358"/>
      <c r="AH64" s="358"/>
      <c r="AI64" s="358"/>
      <c r="AJ64" s="292">
        <f t="shared" ref="AJ64" si="290">AJ65-(AJ49/(AE49+AJ81)-1)</f>
        <v>0</v>
      </c>
      <c r="AK64" s="358"/>
      <c r="AL64" s="358"/>
      <c r="AM64" s="304">
        <v>0</v>
      </c>
      <c r="AN64" s="304">
        <v>0</v>
      </c>
      <c r="AO64" s="292">
        <f t="shared" ref="AO64" si="291">AO65-(AO49/(AJ49+AO81)-1)</f>
        <v>0</v>
      </c>
      <c r="AP64" s="304">
        <v>0</v>
      </c>
      <c r="AQ64" s="304">
        <v>0</v>
      </c>
      <c r="AR64" s="304">
        <v>0</v>
      </c>
      <c r="AS64" s="304">
        <v>0</v>
      </c>
      <c r="AT64" s="292">
        <f t="shared" ref="AT64" si="292">AT65-(AT49/(AO49+AT81)-1)</f>
        <v>0</v>
      </c>
      <c r="AU64" s="304">
        <v>0</v>
      </c>
      <c r="AV64" s="304">
        <v>0</v>
      </c>
      <c r="AW64" s="304">
        <v>0</v>
      </c>
      <c r="AX64" s="304">
        <v>0</v>
      </c>
      <c r="AY64" s="292">
        <f t="shared" ref="AY64" si="293">AY65-(AY49/(AT49+AY81)-1)</f>
        <v>0</v>
      </c>
    </row>
    <row r="65" hidden="1" outlineLevel="1" spans="1:51">
      <c r="A65" s="3" t="s">
        <v>73</v>
      </c>
      <c r="G65" s="290"/>
      <c r="H65" s="65"/>
      <c r="I65" s="65"/>
      <c r="J65" s="65"/>
      <c r="K65" s="273"/>
      <c r="L65" s="65">
        <f t="shared" ref="L65" si="294">L49/G49-1</f>
        <v>0.693324911126127</v>
      </c>
      <c r="M65" s="65">
        <f t="shared" ref="M65" si="295">M49/H49-1</f>
        <v>0.304121661030013</v>
      </c>
      <c r="N65" s="65">
        <f t="shared" ref="N65" si="296">N49/I49-1</f>
        <v>0.17405999443516</v>
      </c>
      <c r="O65" s="65">
        <f t="shared" ref="O65" si="297">O49/J49-1</f>
        <v>0.0738950826800662</v>
      </c>
      <c r="P65" s="289">
        <f t="shared" ref="P65" si="298">P49/K49-1</f>
        <v>0.244137671716761</v>
      </c>
      <c r="Q65" s="65">
        <f t="shared" ref="Q65" si="299">Q49/L49-1</f>
        <v>0.0738066857867605</v>
      </c>
      <c r="R65" s="65">
        <f t="shared" ref="R65" si="300">R49/M49-1</f>
        <v>-0.0308763523614768</v>
      </c>
      <c r="S65" s="65">
        <f t="shared" ref="S65" si="301">S49/N49-1</f>
        <v>0.037905520443043</v>
      </c>
      <c r="T65" s="65">
        <f t="shared" ref="T65:V65" si="302">T49/O49-1</f>
        <v>0.0922585137003173</v>
      </c>
      <c r="U65" s="273"/>
      <c r="V65" s="65">
        <f t="shared" si="302"/>
        <v>0.0751774126832294</v>
      </c>
      <c r="W65" s="65">
        <f t="shared" ref="W65" si="303">W49/R49-1</f>
        <v>0.192717743671361</v>
      </c>
      <c r="X65" s="65">
        <f t="shared" ref="X65" si="304">X49/S49-1</f>
        <v>0.215316728770347</v>
      </c>
      <c r="Y65" s="65">
        <f t="shared" ref="Y65:Z65" si="305">Y49/T49-1</f>
        <v>0.226722315416372</v>
      </c>
      <c r="Z65" s="289">
        <f t="shared" si="305"/>
        <v>0.184630510326897</v>
      </c>
      <c r="AA65" s="65">
        <f t="shared" ref="AA65" si="306">AA49/V49-1</f>
        <v>0.232480692732292</v>
      </c>
      <c r="AB65" s="65">
        <f t="shared" ref="AB65" si="307">AB49/W49-1</f>
        <v>0.232144834686168</v>
      </c>
      <c r="AC65" s="65">
        <f t="shared" ref="AC65" si="308">AC49/X49-1</f>
        <v>0.137030496815228</v>
      </c>
      <c r="AD65" s="65">
        <f t="shared" ref="AD65" si="309">AD49/Y49-1</f>
        <v>0.107836331142094</v>
      </c>
      <c r="AE65" s="289">
        <f t="shared" ref="AE65" si="310">AE49/Z49-1</f>
        <v>0.165478235077083</v>
      </c>
      <c r="AF65" s="65">
        <f t="shared" ref="AF65" si="311">AF49/AA49-1</f>
        <v>0.0666767464800926</v>
      </c>
      <c r="AG65" s="65">
        <f t="shared" ref="AG65:AI65" si="312">AG49/AB49-1</f>
        <v>0.0809743193701011</v>
      </c>
      <c r="AH65" s="65">
        <f t="shared" si="312"/>
        <v>0.0719743240654103</v>
      </c>
      <c r="AI65" s="65">
        <f t="shared" si="312"/>
        <v>0.0486641105689085</v>
      </c>
      <c r="AJ65" s="289">
        <f t="shared" ref="AJ65:AL65" si="313">AJ49/AE49-1</f>
        <v>0.0652712814902692</v>
      </c>
      <c r="AK65" s="65">
        <f t="shared" si="313"/>
        <v>0.0287378658533797</v>
      </c>
      <c r="AL65" s="65">
        <f t="shared" si="313"/>
        <v>0.0475641552042703</v>
      </c>
      <c r="AM65" s="65">
        <f t="shared" ref="AM65:AN65" si="314">(1+AM62)*(1+AM64)*(1+AM63)-1</f>
        <v>0.0582649999999998</v>
      </c>
      <c r="AN65" s="65">
        <f t="shared" si="314"/>
        <v>0.0815000000000001</v>
      </c>
      <c r="AO65" s="289">
        <f>AO49/AJ49-1</f>
        <v>0.0573095396158163</v>
      </c>
      <c r="AP65" s="65">
        <f t="shared" ref="AP65" si="315">(1+AP62)*(1+AP64)*(1+AP63)-1</f>
        <v>0.0404</v>
      </c>
      <c r="AQ65" s="65">
        <f t="shared" ref="AQ65" si="316">(1+AQ62)*(1+AQ64)*(1+AQ63)-1</f>
        <v>0.0352999999999999</v>
      </c>
      <c r="AR65" s="65">
        <f t="shared" ref="AR65" si="317">(1+AR62)*(1+AR64)*(1+AR63)-1</f>
        <v>0.0352999999999999</v>
      </c>
      <c r="AS65" s="65">
        <f t="shared" ref="AS65" si="318">(1+AS62)*(1+AS64)*(1+AS63)-1</f>
        <v>0.0352999999999999</v>
      </c>
      <c r="AT65" s="289">
        <f>AT49/AO49-1</f>
        <v>0.0363117803332376</v>
      </c>
      <c r="AU65" s="65">
        <f t="shared" ref="AU65:AX65" si="319">(1+AU62)*(1+AU64)*(1+AU63)-1</f>
        <v>0.0302</v>
      </c>
      <c r="AV65" s="65">
        <f t="shared" si="319"/>
        <v>0.0302</v>
      </c>
      <c r="AW65" s="65">
        <f t="shared" si="319"/>
        <v>0.0302</v>
      </c>
      <c r="AX65" s="65">
        <f t="shared" si="319"/>
        <v>0.0302</v>
      </c>
      <c r="AY65" s="289">
        <f>AY49/AT49-1</f>
        <v>0.0302</v>
      </c>
    </row>
    <row r="66" hidden="1" outlineLevel="1" spans="1:51">
      <c r="G66" s="290"/>
      <c r="H66" s="290"/>
      <c r="I66" s="290"/>
      <c r="J66" s="290"/>
      <c r="K66" s="273"/>
      <c r="L66" s="290"/>
      <c r="M66" s="290"/>
      <c r="N66" s="290"/>
      <c r="O66" s="290"/>
      <c r="P66" s="273"/>
      <c r="Q66" s="290"/>
      <c r="R66" s="290"/>
      <c r="S66" s="290"/>
      <c r="T66" s="290"/>
      <c r="U66" s="273"/>
      <c r="V66" s="290"/>
      <c r="W66" s="290"/>
      <c r="X66" s="290"/>
      <c r="Y66" s="290"/>
      <c r="Z66" s="273"/>
      <c r="AA66" s="290"/>
      <c r="AB66" s="290"/>
      <c r="AC66" s="290"/>
      <c r="AD66" s="290"/>
      <c r="AE66" s="273"/>
      <c r="AF66" s="290"/>
      <c r="AG66" s="290"/>
      <c r="AH66" s="290"/>
      <c r="AI66" s="290"/>
      <c r="AJ66" s="273"/>
      <c r="AK66" s="290"/>
      <c r="AL66" s="290"/>
      <c r="AM66" s="359"/>
      <c r="AN66" s="359"/>
      <c r="AO66" s="360"/>
      <c r="AP66" s="359"/>
      <c r="AQ66" s="359"/>
      <c r="AR66" s="359"/>
      <c r="AS66" s="359"/>
      <c r="AT66" s="360"/>
      <c r="AU66" s="359"/>
      <c r="AV66" s="359"/>
      <c r="AW66" s="359"/>
      <c r="AX66" s="359"/>
      <c r="AY66" s="360"/>
    </row>
    <row r="67" hidden="1" outlineLevel="1" spans="1:51">
      <c r="A67" s="285" t="s">
        <v>84</v>
      </c>
      <c r="B67" s="286"/>
      <c r="C67" s="286"/>
      <c r="D67" s="286"/>
      <c r="E67" s="286"/>
      <c r="F67" s="286"/>
      <c r="G67" s="287"/>
      <c r="H67" s="287"/>
      <c r="I67" s="287"/>
      <c r="J67" s="287"/>
      <c r="K67" s="288"/>
      <c r="L67" s="287"/>
      <c r="M67" s="287"/>
      <c r="N67" s="287"/>
      <c r="O67" s="287"/>
      <c r="P67" s="288"/>
      <c r="Q67" s="287"/>
      <c r="R67" s="287"/>
      <c r="S67" s="287"/>
      <c r="T67" s="287"/>
      <c r="U67" s="288"/>
      <c r="V67" s="287"/>
      <c r="W67" s="287"/>
      <c r="X67" s="287"/>
      <c r="Y67" s="287"/>
      <c r="Z67" s="288"/>
      <c r="AA67" s="287"/>
      <c r="AB67" s="287"/>
      <c r="AC67" s="287"/>
      <c r="AD67" s="287"/>
      <c r="AE67" s="288"/>
      <c r="AF67" s="287"/>
      <c r="AG67" s="287"/>
      <c r="AH67" s="287"/>
      <c r="AI67" s="287"/>
      <c r="AJ67" s="288"/>
      <c r="AK67" s="287"/>
      <c r="AL67" s="287"/>
      <c r="AM67" s="347"/>
      <c r="AN67" s="347"/>
      <c r="AO67" s="361"/>
      <c r="AP67" s="347"/>
      <c r="AQ67" s="347"/>
      <c r="AR67" s="347"/>
      <c r="AS67" s="347"/>
      <c r="AT67" s="361"/>
      <c r="AU67" s="347"/>
      <c r="AV67" s="347"/>
      <c r="AW67" s="347"/>
      <c r="AX67" s="347"/>
      <c r="AY67" s="361"/>
    </row>
    <row r="68" hidden="1" outlineLevel="1" spans="1:51">
      <c r="A68" s="3" t="s">
        <v>75</v>
      </c>
      <c r="G68" s="300"/>
      <c r="H68" s="354"/>
      <c r="I68" s="354"/>
      <c r="J68" s="354"/>
      <c r="K68" s="302"/>
      <c r="L68" s="300"/>
      <c r="M68" s="300"/>
      <c r="N68" s="300"/>
      <c r="O68" s="300"/>
      <c r="P68" s="302"/>
      <c r="Q68" s="300"/>
      <c r="R68" s="354"/>
      <c r="S68" s="355" t="s">
        <v>86</v>
      </c>
      <c r="T68" s="355" t="s">
        <v>86</v>
      </c>
      <c r="U68" s="273"/>
      <c r="V68" s="355" t="s">
        <v>86</v>
      </c>
      <c r="W68" s="303">
        <v>0.06</v>
      </c>
      <c r="X68" s="303">
        <v>0.15</v>
      </c>
      <c r="Y68" s="303">
        <v>0.1</v>
      </c>
      <c r="Z68" s="356">
        <v>0.07</v>
      </c>
      <c r="AA68" s="303">
        <v>0.23</v>
      </c>
      <c r="AB68" s="303">
        <v>0.17</v>
      </c>
      <c r="AC68" s="303">
        <v>0.13</v>
      </c>
      <c r="AD68" s="303">
        <v>0.12</v>
      </c>
      <c r="AE68" s="299">
        <v>0.16</v>
      </c>
      <c r="AF68" s="303">
        <v>0.06</v>
      </c>
      <c r="AG68" s="303">
        <v>-0.05</v>
      </c>
      <c r="AH68" s="303">
        <v>0.02</v>
      </c>
      <c r="AI68" s="303">
        <v>-0.03</v>
      </c>
      <c r="AJ68" s="299">
        <v>0</v>
      </c>
      <c r="AK68" s="303">
        <v>-0.11</v>
      </c>
      <c r="AL68" s="303">
        <v>-0.04</v>
      </c>
      <c r="AM68" s="304">
        <v>-0.03</v>
      </c>
      <c r="AN68" s="304">
        <v>-0.02</v>
      </c>
      <c r="AO68" s="312">
        <f>SUMPRODUCT(AK68:AN68,AF93:AI93)</f>
        <v>-0.0475534016183049</v>
      </c>
      <c r="AP68" s="304">
        <v>0.05</v>
      </c>
      <c r="AQ68" s="304">
        <v>0.05</v>
      </c>
      <c r="AR68" s="304">
        <v>0.01</v>
      </c>
      <c r="AS68" s="304">
        <v>0.01</v>
      </c>
      <c r="AT68" s="312">
        <f>SUMPRODUCT(AP68:AS68,AK93:AN93)</f>
        <v>0.0284408719026845</v>
      </c>
      <c r="AU68" s="304">
        <v>0.01</v>
      </c>
      <c r="AV68" s="304">
        <v>0.01</v>
      </c>
      <c r="AW68" s="304">
        <v>0.01</v>
      </c>
      <c r="AX68" s="304">
        <v>0.01</v>
      </c>
      <c r="AY68" s="312">
        <f>SUMPRODUCT(AU68:AX68,AP93:AS93)</f>
        <v>0.01</v>
      </c>
    </row>
    <row r="69" hidden="1" outlineLevel="1" spans="1:51">
      <c r="A69" s="3" t="s">
        <v>87</v>
      </c>
      <c r="G69" s="300"/>
      <c r="H69" s="354"/>
      <c r="I69" s="354"/>
      <c r="J69" s="354"/>
      <c r="K69" s="302"/>
      <c r="L69" s="300"/>
      <c r="M69" s="300"/>
      <c r="N69" s="300"/>
      <c r="O69" s="300"/>
      <c r="P69" s="302"/>
      <c r="Q69" s="300"/>
      <c r="R69" s="354"/>
      <c r="S69" s="65">
        <f t="shared" ref="S69:T69" si="320">S71-S70</f>
        <v>-0.118308249190322</v>
      </c>
      <c r="T69" s="65">
        <f t="shared" si="320"/>
        <v>-0.0800770566271077</v>
      </c>
      <c r="U69" s="273"/>
      <c r="V69" s="65">
        <f>V71-V70</f>
        <v>-0.133816685691349</v>
      </c>
      <c r="W69" s="65">
        <f t="shared" ref="W69:AA69" si="321">W71-W68-W70</f>
        <v>-0.0492495870877489</v>
      </c>
      <c r="X69" s="65">
        <f t="shared" si="321"/>
        <v>-0.0766841050378776</v>
      </c>
      <c r="Y69" s="65">
        <f t="shared" si="321"/>
        <v>-0.00351096739315429</v>
      </c>
      <c r="Z69" s="289">
        <f t="shared" si="321"/>
        <v>-0.0543910283888171</v>
      </c>
      <c r="AA69" s="65">
        <f t="shared" si="321"/>
        <v>-0.0466495507982219</v>
      </c>
      <c r="AB69" s="65">
        <f t="shared" ref="AB69:AE69" si="322">AB71-AB68-AB70</f>
        <v>-0.00600603909087191</v>
      </c>
      <c r="AC69" s="65">
        <f t="shared" si="322"/>
        <v>-0.0161504867172501</v>
      </c>
      <c r="AD69" s="65">
        <f t="shared" si="322"/>
        <v>-0.0807239425142604</v>
      </c>
      <c r="AE69" s="289">
        <f t="shared" si="322"/>
        <v>-0.0429998361870135</v>
      </c>
      <c r="AF69" s="65">
        <f t="shared" ref="AF69" si="323">AF71-AF68-AF70</f>
        <v>0.0629411693308573</v>
      </c>
      <c r="AG69" s="65">
        <f t="shared" ref="AG69:AK69" si="324">AG71-AG68-AG70</f>
        <v>0.0376203163029217</v>
      </c>
      <c r="AH69" s="65">
        <f t="shared" si="324"/>
        <v>0.0511374950438346</v>
      </c>
      <c r="AI69" s="65">
        <f t="shared" si="324"/>
        <v>0.105365198447879</v>
      </c>
      <c r="AJ69" s="289">
        <f t="shared" si="324"/>
        <v>0.0618037971808612</v>
      </c>
      <c r="AK69" s="65">
        <f t="shared" si="324"/>
        <v>0.0145428997600466</v>
      </c>
      <c r="AL69" s="65">
        <f t="shared" ref="AL69" si="325">AL71-AL68-AL70</f>
        <v>0.0642381217990975</v>
      </c>
      <c r="AM69" s="304">
        <v>0.06</v>
      </c>
      <c r="AN69" s="304">
        <v>-0.02</v>
      </c>
      <c r="AO69" s="289">
        <f t="shared" ref="AO69" si="326">AO71-AO68-AO70</f>
        <v>0.026827579142934</v>
      </c>
      <c r="AP69" s="304">
        <v>0.01</v>
      </c>
      <c r="AQ69" s="304">
        <v>0.01</v>
      </c>
      <c r="AR69" s="304">
        <v>0.01</v>
      </c>
      <c r="AS69" s="304">
        <v>0.01</v>
      </c>
      <c r="AT69" s="289">
        <f t="shared" ref="AT69" si="327">AT71-AT68-AT70</f>
        <v>0.0102844087190268</v>
      </c>
      <c r="AU69" s="304">
        <v>0.01</v>
      </c>
      <c r="AV69" s="304">
        <v>0.01</v>
      </c>
      <c r="AW69" s="304">
        <v>0.01</v>
      </c>
      <c r="AX69" s="304">
        <v>0.01</v>
      </c>
      <c r="AY69" s="289">
        <f t="shared" ref="AY69" si="328">AY71-AY68-AY70</f>
        <v>0.0101</v>
      </c>
    </row>
    <row r="70" hidden="1" outlineLevel="1" spans="1:51">
      <c r="A70" s="3" t="s">
        <v>88</v>
      </c>
      <c r="G70" s="300"/>
      <c r="H70" s="301"/>
      <c r="I70" s="301"/>
      <c r="J70" s="301"/>
      <c r="K70" s="302"/>
      <c r="L70" s="300"/>
      <c r="M70" s="300"/>
      <c r="N70" s="300"/>
      <c r="O70" s="300"/>
      <c r="P70" s="302"/>
      <c r="Q70" s="300"/>
      <c r="R70" s="301"/>
      <c r="S70" s="294">
        <f t="shared" ref="S70" si="329">S71-(S50/(N50+S82)-1)</f>
        <v>-0.10672468300285</v>
      </c>
      <c r="T70" s="294">
        <f t="shared" ref="T70:V70" si="330">T71-(T50/(O50+T82)-1)</f>
        <v>-0.064450841317813</v>
      </c>
      <c r="U70" s="273"/>
      <c r="V70" s="294">
        <f t="shared" si="330"/>
        <v>-0.0239143488334702</v>
      </c>
      <c r="W70" s="294">
        <f t="shared" ref="W70:AA70" si="331">W71-(W50/(R50+W82)-1)</f>
        <v>0.03253739794398</v>
      </c>
      <c r="X70" s="294">
        <f t="shared" si="331"/>
        <v>0.0645118203936828</v>
      </c>
      <c r="Y70" s="294">
        <f t="shared" si="331"/>
        <v>0.0361376478481699</v>
      </c>
      <c r="Z70" s="292">
        <f t="shared" si="331"/>
        <v>0.0238109692089843</v>
      </c>
      <c r="AA70" s="294">
        <f t="shared" si="331"/>
        <v>0.00977656917541037</v>
      </c>
      <c r="AB70" s="294">
        <f t="shared" ref="AB70:AE70" si="332">AB71-(AB50/(W50+AB82)-1)</f>
        <v>-0.00279555661050401</v>
      </c>
      <c r="AC70" s="294">
        <f t="shared" si="332"/>
        <v>0.0356415486507082</v>
      </c>
      <c r="AD70" s="294">
        <f t="shared" si="332"/>
        <v>-0.0145465436761072</v>
      </c>
      <c r="AE70" s="292">
        <f t="shared" si="332"/>
        <v>0.00441699308257659</v>
      </c>
      <c r="AF70" s="358"/>
      <c r="AG70" s="358"/>
      <c r="AH70" s="358"/>
      <c r="AI70" s="358"/>
      <c r="AJ70" s="292">
        <f t="shared" ref="AJ70" si="333">AJ71-(AJ50/(AE50+AJ82)-1)</f>
        <v>0</v>
      </c>
      <c r="AK70" s="358"/>
      <c r="AL70" s="358"/>
      <c r="AM70" s="304">
        <v>0</v>
      </c>
      <c r="AN70" s="304">
        <v>0</v>
      </c>
      <c r="AO70" s="292">
        <f t="shared" ref="AO70" si="334">AO71-(AO50/(AJ50+AO82)-1)</f>
        <v>0</v>
      </c>
      <c r="AP70" s="304">
        <v>0</v>
      </c>
      <c r="AQ70" s="304">
        <v>0</v>
      </c>
      <c r="AR70" s="304">
        <v>0</v>
      </c>
      <c r="AS70" s="304">
        <v>0</v>
      </c>
      <c r="AT70" s="292">
        <f t="shared" ref="AT70" si="335">AT71-(AT50/(AO50+AT82)-1)</f>
        <v>0</v>
      </c>
      <c r="AU70" s="304">
        <v>0</v>
      </c>
      <c r="AV70" s="304">
        <v>0</v>
      </c>
      <c r="AW70" s="304">
        <v>0</v>
      </c>
      <c r="AX70" s="304">
        <v>0</v>
      </c>
      <c r="AY70" s="292">
        <f t="shared" ref="AY70" si="336">AY71-(AY50/(AT50+AY82)-1)</f>
        <v>0</v>
      </c>
    </row>
    <row r="71" hidden="1" outlineLevel="1" spans="1:51">
      <c r="A71" s="3" t="s">
        <v>73</v>
      </c>
      <c r="G71" s="290"/>
      <c r="H71" s="65"/>
      <c r="I71" s="65"/>
      <c r="J71" s="65"/>
      <c r="K71" s="273"/>
      <c r="L71" s="65">
        <f t="shared" ref="L71" si="337">L50/G50-1</f>
        <v>0.411419035276155</v>
      </c>
      <c r="M71" s="65">
        <f t="shared" ref="M71" si="338">M50/H50-1</f>
        <v>0.1140883961774</v>
      </c>
      <c r="N71" s="65">
        <f t="shared" ref="N71" si="339">N50/I50-1</f>
        <v>-0.0581345221697667</v>
      </c>
      <c r="O71" s="65">
        <f t="shared" ref="O71" si="340">O50/J50-1</f>
        <v>-0.0391523507561011</v>
      </c>
      <c r="P71" s="289">
        <f t="shared" ref="P71" si="341">P50/K50-1</f>
        <v>0.0643046524707134</v>
      </c>
      <c r="Q71" s="65">
        <f t="shared" ref="Q71" si="342">Q50/L50-1</f>
        <v>0.0312386007723173</v>
      </c>
      <c r="R71" s="65">
        <f t="shared" ref="R71:S71" si="343">R50/M50-1</f>
        <v>-0.136307901907357</v>
      </c>
      <c r="S71" s="65">
        <f t="shared" si="343"/>
        <v>-0.225032932193172</v>
      </c>
      <c r="T71" s="65">
        <f t="shared" ref="T71:V71" si="344">T50/O50-1</f>
        <v>-0.144527897944921</v>
      </c>
      <c r="U71" s="273"/>
      <c r="V71" s="65">
        <f t="shared" si="344"/>
        <v>-0.157731034524819</v>
      </c>
      <c r="W71" s="65">
        <f t="shared" ref="W71" si="345">W50/R50-1</f>
        <v>0.0432878108562311</v>
      </c>
      <c r="X71" s="65">
        <f t="shared" ref="X71" si="346">X50/S50-1</f>
        <v>0.137827715355805</v>
      </c>
      <c r="Y71" s="65">
        <f t="shared" ref="Y71:Z71" si="347">Y50/T50-1</f>
        <v>0.132626680455016</v>
      </c>
      <c r="Z71" s="289">
        <f t="shared" si="347"/>
        <v>0.0394199408201672</v>
      </c>
      <c r="AA71" s="65">
        <f t="shared" ref="AA71" si="348">AA50/V50-1</f>
        <v>0.193127018377188</v>
      </c>
      <c r="AB71" s="65">
        <f t="shared" ref="AB71" si="349">AB50/W50-1</f>
        <v>0.161198404298624</v>
      </c>
      <c r="AC71" s="65">
        <f t="shared" ref="AC71" si="350">AC50/X50-1</f>
        <v>0.149491061933458</v>
      </c>
      <c r="AD71" s="65">
        <f t="shared" ref="AD71" si="351">AD50/Y50-1</f>
        <v>0.0247295138096324</v>
      </c>
      <c r="AE71" s="289">
        <f t="shared" ref="AE71" si="352">AE50/Z50-1</f>
        <v>0.121417156895563</v>
      </c>
      <c r="AF71" s="65">
        <f t="shared" ref="AF71" si="353">AF50/AA50-1</f>
        <v>0.122941169330857</v>
      </c>
      <c r="AG71" s="65">
        <f t="shared" ref="AG71:AL71" si="354">AG50/AB50-1</f>
        <v>-0.0123796836970783</v>
      </c>
      <c r="AH71" s="65">
        <f t="shared" si="354"/>
        <v>0.0711374950438346</v>
      </c>
      <c r="AI71" s="65">
        <f t="shared" si="354"/>
        <v>0.0753651984478787</v>
      </c>
      <c r="AJ71" s="289">
        <f t="shared" si="354"/>
        <v>0.0618037971808612</v>
      </c>
      <c r="AK71" s="65">
        <f t="shared" si="354"/>
        <v>-0.0954571002399534</v>
      </c>
      <c r="AL71" s="65">
        <f t="shared" si="354"/>
        <v>0.0242381217990975</v>
      </c>
      <c r="AM71" s="65">
        <f t="shared" ref="AM71:AN71" si="355">(1+AM68)*(1+AM70)*(1+AM69)-1</f>
        <v>0.0282</v>
      </c>
      <c r="AN71" s="65">
        <f t="shared" si="355"/>
        <v>-0.0396000000000001</v>
      </c>
      <c r="AO71" s="289">
        <f>AO50/AJ50-1</f>
        <v>-0.0207258224753709</v>
      </c>
      <c r="AP71" s="65">
        <f t="shared" ref="AP71" si="356">(1+AP68)*(1+AP70)*(1+AP69)-1</f>
        <v>0.0605</v>
      </c>
      <c r="AQ71" s="65">
        <f t="shared" ref="AQ71" si="357">(1+AQ68)*(1+AQ70)*(1+AQ69)-1</f>
        <v>0.0605</v>
      </c>
      <c r="AR71" s="65">
        <f t="shared" ref="AR71" si="358">(1+AR68)*(1+AR70)*(1+AR69)-1</f>
        <v>0.0201</v>
      </c>
      <c r="AS71" s="65">
        <f t="shared" ref="AS71" si="359">(1+AS68)*(1+AS70)*(1+AS69)-1</f>
        <v>0.0201</v>
      </c>
      <c r="AT71" s="289">
        <f>AT50/AO50-1</f>
        <v>0.0387252806217113</v>
      </c>
      <c r="AU71" s="65">
        <f t="shared" ref="AU71:AX71" si="360">(1+AU68)*(1+AU70)*(1+AU69)-1</f>
        <v>0.0201</v>
      </c>
      <c r="AV71" s="65">
        <f t="shared" si="360"/>
        <v>0.0201</v>
      </c>
      <c r="AW71" s="65">
        <f t="shared" si="360"/>
        <v>0.0201</v>
      </c>
      <c r="AX71" s="65">
        <f t="shared" si="360"/>
        <v>0.0201</v>
      </c>
      <c r="AY71" s="289">
        <f>AY50/AT50-1</f>
        <v>0.0201</v>
      </c>
    </row>
    <row r="72" hidden="1" outlineLevel="1" spans="1:51">
      <c r="G72" s="290"/>
      <c r="H72" s="290"/>
      <c r="I72" s="290"/>
      <c r="J72" s="290"/>
      <c r="K72" s="273"/>
      <c r="L72" s="290"/>
      <c r="M72" s="290"/>
      <c r="N72" s="290"/>
      <c r="O72" s="290"/>
      <c r="P72" s="273"/>
      <c r="Q72" s="290"/>
      <c r="R72" s="290"/>
      <c r="S72" s="290"/>
      <c r="T72" s="290"/>
      <c r="U72" s="273"/>
      <c r="V72" s="290"/>
      <c r="W72" s="290"/>
      <c r="X72" s="290"/>
      <c r="Y72" s="290"/>
      <c r="Z72" s="273"/>
      <c r="AA72" s="290"/>
      <c r="AB72" s="290"/>
      <c r="AC72" s="290"/>
      <c r="AD72" s="290"/>
      <c r="AE72" s="273"/>
      <c r="AF72" s="290"/>
      <c r="AG72" s="290"/>
      <c r="AH72" s="290"/>
      <c r="AI72" s="290"/>
      <c r="AJ72" s="273"/>
      <c r="AK72" s="290"/>
      <c r="AL72" s="290"/>
      <c r="AM72" s="290"/>
      <c r="AN72" s="290"/>
      <c r="AO72" s="273"/>
      <c r="AP72" s="290"/>
      <c r="AQ72" s="290"/>
      <c r="AR72" s="290"/>
      <c r="AS72" s="290"/>
      <c r="AT72" s="273"/>
      <c r="AU72" s="290"/>
      <c r="AV72" s="290"/>
      <c r="AW72" s="290"/>
      <c r="AX72" s="290"/>
      <c r="AY72" s="273"/>
    </row>
    <row r="73" hidden="1" outlineLevel="1" spans="1:51">
      <c r="A73" s="285" t="s">
        <v>85</v>
      </c>
      <c r="B73" s="286"/>
      <c r="C73" s="286"/>
      <c r="D73" s="286"/>
      <c r="E73" s="286"/>
      <c r="F73" s="286"/>
      <c r="G73" s="287"/>
      <c r="H73" s="287"/>
      <c r="I73" s="287"/>
      <c r="J73" s="287"/>
      <c r="K73" s="288"/>
      <c r="L73" s="287"/>
      <c r="M73" s="287"/>
      <c r="N73" s="287"/>
      <c r="O73" s="287"/>
      <c r="P73" s="288"/>
      <c r="Q73" s="287"/>
      <c r="R73" s="287"/>
      <c r="S73" s="287"/>
      <c r="T73" s="287"/>
      <c r="U73" s="288"/>
      <c r="V73" s="287"/>
      <c r="W73" s="287"/>
      <c r="X73" s="287"/>
      <c r="Y73" s="287"/>
      <c r="Z73" s="288"/>
      <c r="AA73" s="287"/>
      <c r="AB73" s="287"/>
      <c r="AC73" s="287"/>
      <c r="AD73" s="287"/>
      <c r="AE73" s="288"/>
      <c r="AF73" s="287"/>
      <c r="AG73" s="287"/>
      <c r="AH73" s="287"/>
      <c r="AI73" s="287"/>
      <c r="AJ73" s="288"/>
      <c r="AK73" s="287"/>
      <c r="AL73" s="287"/>
      <c r="AM73" s="287"/>
      <c r="AN73" s="287"/>
      <c r="AO73" s="288"/>
      <c r="AP73" s="287"/>
      <c r="AQ73" s="287"/>
      <c r="AR73" s="287"/>
      <c r="AS73" s="287"/>
      <c r="AT73" s="288"/>
      <c r="AU73" s="287"/>
      <c r="AV73" s="287"/>
      <c r="AW73" s="287"/>
      <c r="AX73" s="287"/>
      <c r="AY73" s="288"/>
    </row>
    <row r="74" hidden="1" outlineLevel="1" spans="1:51">
      <c r="A74" s="3" t="s">
        <v>75</v>
      </c>
      <c r="G74" s="300"/>
      <c r="H74" s="354"/>
      <c r="I74" s="354"/>
      <c r="J74" s="354"/>
      <c r="K74" s="302"/>
      <c r="L74" s="300"/>
      <c r="M74" s="300"/>
      <c r="N74" s="300"/>
      <c r="O74" s="300"/>
      <c r="P74" s="302"/>
      <c r="Q74" s="300"/>
      <c r="R74" s="354"/>
      <c r="S74" s="355" t="s">
        <v>86</v>
      </c>
      <c r="T74" s="355" t="s">
        <v>86</v>
      </c>
      <c r="U74" s="273"/>
      <c r="V74" s="355" t="s">
        <v>86</v>
      </c>
      <c r="W74" s="303">
        <v>0.26</v>
      </c>
      <c r="X74" s="303">
        <v>0.32</v>
      </c>
      <c r="Y74" s="303">
        <v>0.21</v>
      </c>
      <c r="Z74" s="356">
        <v>0.26</v>
      </c>
      <c r="AA74" s="303">
        <v>0.22</v>
      </c>
      <c r="AB74" s="303">
        <v>0.21</v>
      </c>
      <c r="AC74" s="303">
        <v>0.16</v>
      </c>
      <c r="AD74" s="303">
        <v>0.17</v>
      </c>
      <c r="AE74" s="299">
        <v>0.19</v>
      </c>
      <c r="AF74" s="303">
        <v>0.02</v>
      </c>
      <c r="AG74" s="303">
        <v>0.01</v>
      </c>
      <c r="AH74" s="303">
        <v>-0.12</v>
      </c>
      <c r="AI74" s="303">
        <v>0</v>
      </c>
      <c r="AJ74" s="299">
        <v>-0.03</v>
      </c>
      <c r="AK74" s="303">
        <v>0.15</v>
      </c>
      <c r="AL74" s="303">
        <v>0.13</v>
      </c>
      <c r="AM74" s="65">
        <f t="shared" ref="AM74:AN74" si="361">(AM21-AM62*AH87-AM68*AH88)/AH89</f>
        <v>0.159391117663796</v>
      </c>
      <c r="AN74" s="65">
        <f t="shared" si="361"/>
        <v>0.120032152894885</v>
      </c>
      <c r="AO74" s="312">
        <f>SUMPRODUCT(AK74:AN74,AF94:AI94)</f>
        <v>0.139143112508478</v>
      </c>
      <c r="AP74" s="65">
        <f t="shared" ref="AP74" si="362">(AP21-AP62*AK87-AP68*AK88)/AK89</f>
        <v>0.0301030018923104</v>
      </c>
      <c r="AQ74" s="65">
        <f t="shared" ref="AQ74" si="363">(AQ21-AQ62*AL87-AQ68*AL88)/AL89</f>
        <v>0.0344719442054254</v>
      </c>
      <c r="AR74" s="65">
        <f t="shared" ref="AR74" si="364">(AR21-AR62*AM87-AR68*AM88)/AM89</f>
        <v>0.0617681948897659</v>
      </c>
      <c r="AS74" s="65">
        <f t="shared" ref="AS74" si="365">(AS21-AS62*AN87-AS68*AN88)/AN89</f>
        <v>0.0598814397566715</v>
      </c>
      <c r="AT74" s="312">
        <f>SUMPRODUCT(AP74:AS74,AK94:AN94)</f>
        <v>0.0475942297190811</v>
      </c>
      <c r="AU74" s="65">
        <f t="shared" ref="AU74" si="366">(AU21-AU62*AP87-AU68*AP88)/AP89</f>
        <v>-0.00369133279824606</v>
      </c>
      <c r="AV74" s="65">
        <f t="shared" ref="AV74" si="367">(AV21-AV62*AQ87-AV68*AQ88)/AQ89</f>
        <v>-0.000635697647320107</v>
      </c>
      <c r="AW74" s="65">
        <f t="shared" ref="AW74" si="368">(AW21-AW62*AR87-AW68*AR88)/AR89</f>
        <v>0.0618795289734432</v>
      </c>
      <c r="AX74" s="65">
        <f t="shared" ref="AX74" si="369">(AX21-AX62*AS87-AX68*AS88)/AS89</f>
        <v>0.061910626510218</v>
      </c>
      <c r="AY74" s="312">
        <f>SUMPRODUCT(AU74:AX74,AP94:AS94)</f>
        <v>0.0325779620905471</v>
      </c>
    </row>
    <row r="75" hidden="1" outlineLevel="1" spans="1:51">
      <c r="A75" s="3" t="s">
        <v>87</v>
      </c>
      <c r="G75" s="300"/>
      <c r="H75" s="354"/>
      <c r="I75" s="354"/>
      <c r="J75" s="354"/>
      <c r="K75" s="302"/>
      <c r="L75" s="300"/>
      <c r="M75" s="300"/>
      <c r="N75" s="300"/>
      <c r="O75" s="300"/>
      <c r="P75" s="302"/>
      <c r="Q75" s="300"/>
      <c r="R75" s="354"/>
      <c r="S75" s="65">
        <f t="shared" ref="S75:T75" si="370">S77-S76</f>
        <v>-0.212741490340386</v>
      </c>
      <c r="T75" s="65">
        <f t="shared" si="370"/>
        <v>-0.1511342881861</v>
      </c>
      <c r="U75" s="273"/>
      <c r="V75" s="65">
        <f>V77-V76</f>
        <v>0.160500446827525</v>
      </c>
      <c r="W75" s="65">
        <f t="shared" ref="W75:AA75" si="371">W77-W74-W76</f>
        <v>-0.0195202049609875</v>
      </c>
      <c r="X75" s="65">
        <f t="shared" si="371"/>
        <v>-0.155300328041929</v>
      </c>
      <c r="Y75" s="65">
        <f t="shared" si="371"/>
        <v>0.0321414824750685</v>
      </c>
      <c r="Z75" s="289">
        <f t="shared" si="371"/>
        <v>-0.0560995539104854</v>
      </c>
      <c r="AA75" s="65">
        <f t="shared" si="371"/>
        <v>-0.0579763256040214</v>
      </c>
      <c r="AB75" s="65">
        <f t="shared" ref="AB75:AE75" si="372">AB77-AB74-AB76</f>
        <v>-0.137477944992216</v>
      </c>
      <c r="AC75" s="65">
        <f t="shared" si="372"/>
        <v>0.143800694510816</v>
      </c>
      <c r="AD75" s="65">
        <f t="shared" si="372"/>
        <v>-0.197552287269602</v>
      </c>
      <c r="AE75" s="289">
        <f t="shared" si="372"/>
        <v>-0.0742893137690826</v>
      </c>
      <c r="AF75" s="65">
        <f t="shared" ref="AF75" si="373">AF77-AF74-AF76</f>
        <v>0.0257704222600541</v>
      </c>
      <c r="AG75" s="65">
        <f t="shared" ref="AG75:AK75" si="374">AG77-AG74-AG76</f>
        <v>0.113442603120842</v>
      </c>
      <c r="AH75" s="65">
        <f t="shared" si="374"/>
        <v>0.0646792913866829</v>
      </c>
      <c r="AI75" s="65">
        <f t="shared" si="374"/>
        <v>0.0919469678369753</v>
      </c>
      <c r="AJ75" s="289">
        <f t="shared" si="374"/>
        <v>-0.11129961462257</v>
      </c>
      <c r="AK75" s="65">
        <f t="shared" si="374"/>
        <v>0.0910664247017693</v>
      </c>
      <c r="AL75" s="65">
        <f t="shared" ref="AL75" si="375">AL77-AL74-AL76</f>
        <v>0.0587483176312248</v>
      </c>
      <c r="AM75" s="65">
        <f t="shared" ref="AM75" si="376">AM77-AM74-AM76</f>
        <v>0.0791223786244587</v>
      </c>
      <c r="AN75" s="65">
        <f t="shared" ref="AN75:AO75" si="377">AN77-AN74-AN76</f>
        <v>0.0713350299135986</v>
      </c>
      <c r="AO75" s="289">
        <f t="shared" si="377"/>
        <v>-0.004352732075105</v>
      </c>
      <c r="AP75" s="65">
        <f t="shared" ref="AP75" si="378">AP77-AP74-AP76</f>
        <v>0.0498089605195292</v>
      </c>
      <c r="AQ75" s="65">
        <f t="shared" ref="AQ75" si="379">AQ77-AQ74-AQ76</f>
        <v>0.0203763167429057</v>
      </c>
      <c r="AR75" s="65">
        <f t="shared" ref="AR75" si="380">AR77-AR74-AR76</f>
        <v>0.0249597935243011</v>
      </c>
      <c r="AS75" s="65">
        <f t="shared" ref="AS75:AW75" si="381">AS77-AS74-AS76</f>
        <v>0.0215897664087426</v>
      </c>
      <c r="AT75" s="289">
        <f t="shared" si="381"/>
        <v>0.0288101478876743</v>
      </c>
      <c r="AU75" s="65">
        <f t="shared" si="381"/>
        <v>0.00591777514943491</v>
      </c>
      <c r="AV75" s="65">
        <f t="shared" si="381"/>
        <v>0.00500402741153397</v>
      </c>
      <c r="AW75" s="65">
        <f t="shared" si="381"/>
        <v>0.00515490293356945</v>
      </c>
      <c r="AX75" s="65">
        <f t="shared" ref="AX75:AY75" si="382">AX77-AX74-AX76</f>
        <v>0.00469393946400047</v>
      </c>
      <c r="AY75" s="289">
        <f t="shared" si="382"/>
        <v>0.00516579082394751</v>
      </c>
    </row>
    <row r="76" hidden="1" outlineLevel="1" spans="1:51">
      <c r="A76" s="3" t="s">
        <v>88</v>
      </c>
      <c r="G76" s="300"/>
      <c r="H76" s="301"/>
      <c r="I76" s="301"/>
      <c r="J76" s="301"/>
      <c r="K76" s="302"/>
      <c r="L76" s="300"/>
      <c r="M76" s="300"/>
      <c r="N76" s="300"/>
      <c r="O76" s="300"/>
      <c r="P76" s="302"/>
      <c r="Q76" s="300"/>
      <c r="R76" s="301"/>
      <c r="S76" s="294">
        <f t="shared" ref="S76" si="383">S77-(S51/(N51+S83)-1)</f>
        <v>-0.0706812494214872</v>
      </c>
      <c r="T76" s="294">
        <f t="shared" ref="T76:V76" si="384">T77-(T51/(O51+T83)-1)</f>
        <v>-0.0844971495357036</v>
      </c>
      <c r="U76" s="273"/>
      <c r="V76" s="294">
        <f t="shared" si="384"/>
        <v>-0.0746055409841289</v>
      </c>
      <c r="W76" s="294">
        <f t="shared" ref="W76:AA76" si="385">W77-(W51/(R51+W83)-1)</f>
        <v>-0.0578002983698784</v>
      </c>
      <c r="X76" s="294">
        <f t="shared" si="385"/>
        <v>-0.0367052226446032</v>
      </c>
      <c r="Y76" s="294">
        <f t="shared" si="385"/>
        <v>-0.0361850235106544</v>
      </c>
      <c r="Z76" s="292">
        <f t="shared" si="385"/>
        <v>-0.0510548632633259</v>
      </c>
      <c r="AA76" s="294">
        <f t="shared" si="385"/>
        <v>-0.0583427872867841</v>
      </c>
      <c r="AB76" s="294">
        <f t="shared" ref="AB76:AE76" si="386">AB77-(AB51/(W51+AB83)-1)</f>
        <v>-0.0377242079681046</v>
      </c>
      <c r="AC76" s="294">
        <f t="shared" si="386"/>
        <v>0.0211046115852054</v>
      </c>
      <c r="AD76" s="294">
        <f t="shared" si="386"/>
        <v>-0.0162995367596953</v>
      </c>
      <c r="AE76" s="292">
        <f t="shared" si="386"/>
        <v>-0.0240118725290293</v>
      </c>
      <c r="AF76" s="358"/>
      <c r="AG76" s="358"/>
      <c r="AH76" s="358"/>
      <c r="AI76" s="358"/>
      <c r="AJ76" s="292">
        <f t="shared" ref="AJ76" si="387">AJ77-(AJ51/(AE51+AJ83)-1)</f>
        <v>0.18914291337252</v>
      </c>
      <c r="AK76" s="358"/>
      <c r="AL76" s="358"/>
      <c r="AM76" s="294">
        <f t="shared" ref="AM76" si="388">AM77-(AM51/(AH51+AM83)-1)</f>
        <v>0</v>
      </c>
      <c r="AN76" s="294">
        <f t="shared" ref="AN76:AO76" si="389">AN77-(AN51/(AI51+AN83)-1)</f>
        <v>0.115627576044808</v>
      </c>
      <c r="AO76" s="292">
        <f t="shared" si="389"/>
        <v>0.111916657479368</v>
      </c>
      <c r="AP76" s="294">
        <f t="shared" ref="AP76" si="390">AP77-(AP51/(AK51+AP83)-1)</f>
        <v>0</v>
      </c>
      <c r="AQ76" s="294">
        <f t="shared" ref="AQ76" si="391">AQ77-(AQ51/(AL51+AQ83)-1)</f>
        <v>0</v>
      </c>
      <c r="AR76" s="294">
        <f t="shared" ref="AR76" si="392">AR77-(AR51/(AM51+AR83)-1)</f>
        <v>0</v>
      </c>
      <c r="AS76" s="294">
        <f t="shared" ref="AS76:AT76" si="393">AS77-(AS51/(AN51+AS83)-1)</f>
        <v>0</v>
      </c>
      <c r="AT76" s="292">
        <f t="shared" si="393"/>
        <v>0</v>
      </c>
      <c r="AU76" s="294">
        <f t="shared" ref="AU76" si="394">AU77-(AU51/(AP51+AU83)-1)</f>
        <v>0</v>
      </c>
      <c r="AV76" s="294">
        <f t="shared" ref="AV76" si="395">AV77-(AV51/(AQ51+AV83)-1)</f>
        <v>0</v>
      </c>
      <c r="AW76" s="294">
        <f t="shared" ref="AW76" si="396">AW77-(AW51/(AR51+AW83)-1)</f>
        <v>0</v>
      </c>
      <c r="AX76" s="294">
        <f t="shared" ref="AX76" si="397">AX77-(AX51/(AS51+AX83)-1)</f>
        <v>0</v>
      </c>
      <c r="AY76" s="292">
        <f t="shared" ref="AY76" si="398">AY77-(AY51/(AT51+AY83)-1)</f>
        <v>0</v>
      </c>
    </row>
    <row r="77" hidden="1" outlineLevel="1" spans="1:51">
      <c r="A77" s="3" t="s">
        <v>73</v>
      </c>
      <c r="G77" s="290"/>
      <c r="H77" s="65"/>
      <c r="I77" s="65"/>
      <c r="J77" s="65"/>
      <c r="K77" s="273"/>
      <c r="L77" s="65">
        <f t="shared" ref="L77" si="399">L51/G51-1</f>
        <v>0.424029689191279</v>
      </c>
      <c r="M77" s="65">
        <f t="shared" ref="M77" si="400">M51/H51-1</f>
        <v>-0.0140144449227532</v>
      </c>
      <c r="N77" s="65">
        <f t="shared" ref="N77" si="401">N51/I51-1</f>
        <v>-0.12387087899491</v>
      </c>
      <c r="O77" s="65">
        <f t="shared" ref="O77" si="402">O51/J51-1</f>
        <v>-0.214989467962221</v>
      </c>
      <c r="P77" s="289">
        <f t="shared" ref="P77" si="403">P51/K51-1</f>
        <v>-0.027933308800634</v>
      </c>
      <c r="Q77" s="65">
        <f t="shared" ref="Q77" si="404">Q51/L51-1</f>
        <v>-0.350714502888416</v>
      </c>
      <c r="R77" s="65">
        <f t="shared" ref="R77" si="405">R51/M51-1</f>
        <v>-0.344620161055593</v>
      </c>
      <c r="S77" s="65">
        <f t="shared" ref="S77" si="406">S51/N51-1</f>
        <v>-0.283422739761874</v>
      </c>
      <c r="T77" s="65">
        <f t="shared" ref="T77:V77" si="407">T51/O51-1</f>
        <v>-0.235631437721804</v>
      </c>
      <c r="U77" s="273"/>
      <c r="V77" s="65">
        <f t="shared" si="407"/>
        <v>0.0858949058433958</v>
      </c>
      <c r="W77" s="65">
        <f t="shared" ref="W77" si="408">W51/R51-1</f>
        <v>0.182679496669134</v>
      </c>
      <c r="X77" s="65">
        <f t="shared" ref="X77" si="409">X51/S51-1</f>
        <v>0.127994449313468</v>
      </c>
      <c r="Y77" s="65">
        <f t="shared" ref="Y77:Z77" si="410">Y51/T51-1</f>
        <v>0.205956458964414</v>
      </c>
      <c r="Z77" s="289">
        <f t="shared" si="410"/>
        <v>0.152845582826189</v>
      </c>
      <c r="AA77" s="65">
        <f t="shared" ref="AA77" si="411">AA51/V51-1</f>
        <v>0.103680887109195</v>
      </c>
      <c r="AB77" s="65">
        <f t="shared" ref="AB77" si="412">AB51/W51-1</f>
        <v>0.0347978470396795</v>
      </c>
      <c r="AC77" s="65">
        <f t="shared" ref="AC77" si="413">AC51/X51-1</f>
        <v>0.324905306096021</v>
      </c>
      <c r="AD77" s="65">
        <f t="shared" ref="AD77" si="414">AD51/Y51-1</f>
        <v>-0.0438518240292971</v>
      </c>
      <c r="AE77" s="289">
        <f t="shared" ref="AE77" si="415">AE51/Z51-1</f>
        <v>0.0916988137018881</v>
      </c>
      <c r="AF77" s="65">
        <f t="shared" ref="AF77" si="416">AF51/AA51-1</f>
        <v>0.0457704222600541</v>
      </c>
      <c r="AG77" s="65">
        <f t="shared" ref="AG77:AL77" si="417">AG51/AB51-1</f>
        <v>0.123442603120842</v>
      </c>
      <c r="AH77" s="65">
        <f t="shared" si="417"/>
        <v>-0.0553207086133171</v>
      </c>
      <c r="AI77" s="65">
        <f t="shared" si="417"/>
        <v>0.0919469678369753</v>
      </c>
      <c r="AJ77" s="289">
        <f t="shared" si="417"/>
        <v>0.0478432987499502</v>
      </c>
      <c r="AK77" s="65">
        <f t="shared" si="417"/>
        <v>0.241066424701769</v>
      </c>
      <c r="AL77" s="65">
        <f t="shared" si="417"/>
        <v>0.188748317631225</v>
      </c>
      <c r="AM77" s="65">
        <f t="shared" ref="AM77" si="418">AM51/AH51-1</f>
        <v>0.238513496288254</v>
      </c>
      <c r="AN77" s="65">
        <f t="shared" ref="AN77:AO77" si="419">AN51/AI51-1</f>
        <v>0.306994758853291</v>
      </c>
      <c r="AO77" s="289">
        <f t="shared" si="419"/>
        <v>0.246707037912741</v>
      </c>
      <c r="AP77" s="65">
        <f t="shared" ref="AP77" si="420">AP51/AK51-1</f>
        <v>0.0799119624118396</v>
      </c>
      <c r="AQ77" s="65">
        <f t="shared" ref="AQ77" si="421">AQ51/AL51-1</f>
        <v>0.0548482609483312</v>
      </c>
      <c r="AR77" s="65">
        <f t="shared" ref="AR77" si="422">AR51/AM51-1</f>
        <v>0.086727988414067</v>
      </c>
      <c r="AS77" s="65">
        <f t="shared" ref="AS77:AT77" si="423">AS51/AN51-1</f>
        <v>0.0814712061654141</v>
      </c>
      <c r="AT77" s="289">
        <f t="shared" si="423"/>
        <v>0.0764043776067553</v>
      </c>
      <c r="AU77" s="65">
        <f t="shared" ref="AU77" si="424">AU51/AP51-1</f>
        <v>0.00222644235118885</v>
      </c>
      <c r="AV77" s="65">
        <f t="shared" ref="AV77" si="425">AV51/AQ51-1</f>
        <v>0.00436832976421386</v>
      </c>
      <c r="AW77" s="65">
        <f t="shared" ref="AW77" si="426">AW51/AR51-1</f>
        <v>0.0670344319070126</v>
      </c>
      <c r="AX77" s="65">
        <f t="shared" ref="AX77:AY77" si="427">AX51/AS51-1</f>
        <v>0.0666045659742185</v>
      </c>
      <c r="AY77" s="289">
        <f t="shared" si="427"/>
        <v>0.0377437529144946</v>
      </c>
    </row>
    <row r="78" hidden="1" outlineLevel="1" spans="1:51">
      <c r="G78" s="290"/>
      <c r="H78" s="290"/>
      <c r="I78" s="290"/>
      <c r="J78" s="290"/>
      <c r="K78" s="273"/>
      <c r="L78" s="290"/>
      <c r="M78" s="290"/>
      <c r="N78" s="290"/>
      <c r="O78" s="290"/>
      <c r="P78" s="273"/>
      <c r="Q78" s="290"/>
      <c r="R78" s="290"/>
      <c r="S78" s="290"/>
      <c r="T78" s="290"/>
      <c r="U78" s="273"/>
      <c r="V78" s="290"/>
      <c r="W78" s="290"/>
      <c r="X78" s="290"/>
      <c r="Y78" s="290"/>
      <c r="Z78" s="273"/>
      <c r="AA78" s="290"/>
      <c r="AB78" s="290"/>
      <c r="AC78" s="290"/>
      <c r="AD78" s="290"/>
      <c r="AE78" s="273"/>
      <c r="AF78" s="290"/>
      <c r="AG78" s="290"/>
      <c r="AH78" s="290"/>
      <c r="AI78" s="290"/>
      <c r="AJ78" s="273"/>
      <c r="AK78" s="290"/>
      <c r="AL78" s="290"/>
      <c r="AM78" s="290"/>
      <c r="AN78" s="290"/>
      <c r="AO78" s="273"/>
      <c r="AP78" s="290"/>
      <c r="AQ78" s="290"/>
      <c r="AR78" s="290"/>
      <c r="AS78" s="290"/>
      <c r="AT78" s="273"/>
      <c r="AU78" s="290"/>
      <c r="AV78" s="290"/>
      <c r="AW78" s="290"/>
      <c r="AX78" s="290"/>
      <c r="AY78" s="273"/>
    </row>
    <row r="79" hidden="1" outlineLevel="1" spans="1:51">
      <c r="G79" s="290"/>
      <c r="H79" s="290"/>
      <c r="I79" s="290"/>
      <c r="J79" s="290"/>
      <c r="K79" s="273"/>
      <c r="L79" s="290"/>
      <c r="M79" s="290"/>
      <c r="N79" s="290"/>
      <c r="O79" s="290"/>
      <c r="P79" s="273"/>
      <c r="Q79" s="290"/>
      <c r="R79" s="290"/>
      <c r="S79" s="290"/>
      <c r="T79" s="290"/>
      <c r="U79" s="273"/>
      <c r="V79" s="290"/>
      <c r="W79" s="290"/>
      <c r="X79" s="290"/>
      <c r="Y79" s="290"/>
      <c r="Z79" s="273"/>
      <c r="AA79" s="290"/>
      <c r="AB79" s="290"/>
      <c r="AC79" s="290"/>
      <c r="AD79" s="290"/>
      <c r="AE79" s="273"/>
      <c r="AF79" s="290"/>
      <c r="AG79" s="290"/>
      <c r="AH79" s="290"/>
      <c r="AI79" s="290"/>
      <c r="AJ79" s="273"/>
      <c r="AK79" s="290"/>
      <c r="AL79" s="290"/>
      <c r="AM79" s="290"/>
      <c r="AN79" s="290"/>
      <c r="AO79" s="273"/>
      <c r="AP79" s="290"/>
      <c r="AQ79" s="290"/>
      <c r="AR79" s="290"/>
      <c r="AS79" s="290"/>
      <c r="AT79" s="273"/>
      <c r="AU79" s="290"/>
      <c r="AV79" s="290"/>
      <c r="AW79" s="290"/>
      <c r="AX79" s="290"/>
      <c r="AY79" s="273"/>
    </row>
    <row r="80" hidden="1" outlineLevel="1" spans="1:51">
      <c r="A80" s="285" t="s">
        <v>76</v>
      </c>
      <c r="B80" s="286"/>
      <c r="C80" s="286"/>
      <c r="D80" s="286"/>
      <c r="E80" s="286"/>
      <c r="F80" s="286"/>
      <c r="G80" s="287"/>
      <c r="H80" s="287"/>
      <c r="I80" s="287"/>
      <c r="J80" s="287"/>
      <c r="K80" s="288"/>
      <c r="L80" s="287"/>
      <c r="M80" s="287"/>
      <c r="N80" s="287"/>
      <c r="O80" s="287"/>
      <c r="P80" s="288"/>
      <c r="Q80" s="287"/>
      <c r="R80" s="287"/>
      <c r="S80" s="287"/>
      <c r="T80" s="287"/>
      <c r="U80" s="288"/>
      <c r="V80" s="287"/>
      <c r="W80" s="287"/>
      <c r="X80" s="287"/>
      <c r="Y80" s="287"/>
      <c r="Z80" s="288"/>
      <c r="AA80" s="287"/>
      <c r="AB80" s="287"/>
      <c r="AC80" s="287"/>
      <c r="AD80" s="287"/>
      <c r="AE80" s="288"/>
      <c r="AF80" s="287"/>
      <c r="AG80" s="287"/>
      <c r="AH80" s="287"/>
      <c r="AI80" s="287"/>
      <c r="AJ80" s="288"/>
      <c r="AK80" s="287"/>
      <c r="AL80" s="287"/>
      <c r="AM80" s="287"/>
      <c r="AN80" s="287"/>
      <c r="AO80" s="288"/>
      <c r="AP80" s="287"/>
      <c r="AQ80" s="287"/>
      <c r="AR80" s="287"/>
      <c r="AS80" s="287"/>
      <c r="AT80" s="288"/>
      <c r="AU80" s="287"/>
      <c r="AV80" s="287"/>
      <c r="AW80" s="287"/>
      <c r="AX80" s="287"/>
      <c r="AY80" s="288"/>
    </row>
    <row r="81" hidden="1" outlineLevel="1" spans="1:51">
      <c r="A81" s="29" t="s">
        <v>83</v>
      </c>
      <c r="B81" s="135"/>
      <c r="C81" s="135"/>
      <c r="D81" s="135"/>
      <c r="E81" s="135"/>
      <c r="F81" s="135"/>
      <c r="G81" s="300"/>
      <c r="H81" s="300"/>
      <c r="I81" s="300"/>
      <c r="J81" s="300"/>
      <c r="K81" s="302"/>
      <c r="L81" s="300"/>
      <c r="M81" s="300"/>
      <c r="N81" s="300"/>
      <c r="O81" s="300"/>
      <c r="P81" s="302"/>
      <c r="Q81" s="300"/>
      <c r="R81" s="300"/>
      <c r="S81" s="31">
        <v>-1743</v>
      </c>
      <c r="T81" s="31">
        <v>-2851</v>
      </c>
      <c r="U81" s="30">
        <v>-6601</v>
      </c>
      <c r="V81" s="70">
        <f>Z81-SUM(W81:Y81)</f>
        <v>-2148</v>
      </c>
      <c r="W81" s="31">
        <v>-1174</v>
      </c>
      <c r="X81" s="31">
        <v>-545</v>
      </c>
      <c r="Y81" s="31">
        <v>-58</v>
      </c>
      <c r="Z81" s="30">
        <v>-3925</v>
      </c>
      <c r="AA81" s="31">
        <v>-62</v>
      </c>
      <c r="AB81" s="31">
        <v>-833</v>
      </c>
      <c r="AC81" s="31">
        <v>-266</v>
      </c>
      <c r="AD81" s="31">
        <v>-2358</v>
      </c>
      <c r="AE81" s="362">
        <f>SUM(AA81:AD81)</f>
        <v>-3519</v>
      </c>
      <c r="AF81" s="358"/>
      <c r="AG81" s="358"/>
      <c r="AH81" s="358"/>
      <c r="AI81" s="358"/>
      <c r="AJ81" s="362">
        <f>SUM(AF81:AI81)</f>
        <v>0</v>
      </c>
      <c r="AK81" s="358"/>
      <c r="AL81" s="358"/>
      <c r="AM81" s="70">
        <f t="shared" ref="AM81:AN81" si="428">AM64*AH49</f>
        <v>0</v>
      </c>
      <c r="AN81" s="70">
        <f t="shared" si="428"/>
        <v>0</v>
      </c>
      <c r="AO81" s="362">
        <f>SUM(AK81:AN81)</f>
        <v>0</v>
      </c>
      <c r="AP81" s="70">
        <f t="shared" ref="AP81" si="429">AP64*AK49</f>
        <v>0</v>
      </c>
      <c r="AQ81" s="70">
        <f t="shared" ref="AQ81" si="430">AQ64*AL49</f>
        <v>0</v>
      </c>
      <c r="AR81" s="70">
        <f t="shared" ref="AR81" si="431">AR64*AM49</f>
        <v>0</v>
      </c>
      <c r="AS81" s="70">
        <f t="shared" ref="AS81" si="432">AS64*AN49</f>
        <v>0</v>
      </c>
      <c r="AT81" s="362">
        <f>SUM(AP81:AS81)</f>
        <v>0</v>
      </c>
      <c r="AU81" s="70">
        <f t="shared" ref="AU81" si="433">AU64*AP49</f>
        <v>0</v>
      </c>
      <c r="AV81" s="70">
        <f t="shared" ref="AV81" si="434">AV64*AQ49</f>
        <v>0</v>
      </c>
      <c r="AW81" s="70">
        <f t="shared" ref="AW81" si="435">AW64*AR49</f>
        <v>0</v>
      </c>
      <c r="AX81" s="70">
        <f t="shared" ref="AX81" si="436">AX64*AS49</f>
        <v>0</v>
      </c>
      <c r="AY81" s="362">
        <f>SUM(AU81:AX81)</f>
        <v>0</v>
      </c>
    </row>
    <row r="82" hidden="1" outlineLevel="1" spans="1:51">
      <c r="A82" s="29" t="s">
        <v>84</v>
      </c>
      <c r="B82" s="135"/>
      <c r="C82" s="135"/>
      <c r="D82" s="135"/>
      <c r="E82" s="135"/>
      <c r="F82" s="135"/>
      <c r="G82" s="300"/>
      <c r="H82" s="300"/>
      <c r="I82" s="300"/>
      <c r="J82" s="300"/>
      <c r="K82" s="302"/>
      <c r="L82" s="300"/>
      <c r="M82" s="300"/>
      <c r="N82" s="300"/>
      <c r="O82" s="300"/>
      <c r="P82" s="302"/>
      <c r="Q82" s="300"/>
      <c r="R82" s="300"/>
      <c r="S82" s="31">
        <v>-21686</v>
      </c>
      <c r="T82" s="31">
        <v>-15839</v>
      </c>
      <c r="U82" s="30">
        <v>-61083</v>
      </c>
      <c r="V82" s="70">
        <f t="shared" ref="V82:V84" si="437">Z82-SUM(W82:Y82)</f>
        <v>-4527</v>
      </c>
      <c r="W82" s="31">
        <v>5306</v>
      </c>
      <c r="X82" s="31">
        <v>8345</v>
      </c>
      <c r="Y82" s="31">
        <v>6374</v>
      </c>
      <c r="Z82" s="30">
        <v>15498</v>
      </c>
      <c r="AA82" s="31">
        <v>1141</v>
      </c>
      <c r="AB82" s="31">
        <v>-413</v>
      </c>
      <c r="AC82" s="31">
        <v>5055</v>
      </c>
      <c r="AD82" s="31">
        <v>-3066</v>
      </c>
      <c r="AE82" s="50">
        <f t="shared" ref="AE82:AE83" si="438">SUM(AA82:AD82)</f>
        <v>2717</v>
      </c>
      <c r="AF82" s="358"/>
      <c r="AG82" s="358"/>
      <c r="AH82" s="358"/>
      <c r="AI82" s="358"/>
      <c r="AJ82" s="50">
        <f t="shared" ref="AJ82:AJ83" si="439">SUM(AF82:AI82)</f>
        <v>0</v>
      </c>
      <c r="AK82" s="358"/>
      <c r="AL82" s="358"/>
      <c r="AM82" s="70">
        <f t="shared" ref="AM82:AN82" si="440">AM70*AH50</f>
        <v>0</v>
      </c>
      <c r="AN82" s="70">
        <f t="shared" si="440"/>
        <v>0</v>
      </c>
      <c r="AO82" s="50">
        <f t="shared" ref="AO82:AO83" si="441">SUM(AK82:AN82)</f>
        <v>0</v>
      </c>
      <c r="AP82" s="70">
        <f t="shared" ref="AP82" si="442">AP70*AK50</f>
        <v>0</v>
      </c>
      <c r="AQ82" s="70">
        <f t="shared" ref="AQ82" si="443">AQ70*AL50</f>
        <v>0</v>
      </c>
      <c r="AR82" s="70">
        <f t="shared" ref="AR82" si="444">AR70*AM50</f>
        <v>0</v>
      </c>
      <c r="AS82" s="70">
        <f t="shared" ref="AS82" si="445">AS70*AN50</f>
        <v>0</v>
      </c>
      <c r="AT82" s="50">
        <f t="shared" ref="AT82:AT83" si="446">SUM(AP82:AS82)</f>
        <v>0</v>
      </c>
      <c r="AU82" s="70">
        <f t="shared" ref="AU82" si="447">AU70*AP50</f>
        <v>0</v>
      </c>
      <c r="AV82" s="70">
        <f t="shared" ref="AV82" si="448">AV70*AQ50</f>
        <v>0</v>
      </c>
      <c r="AW82" s="70">
        <f t="shared" ref="AW82" si="449">AW70*AR50</f>
        <v>0</v>
      </c>
      <c r="AX82" s="70">
        <f t="shared" ref="AX82" si="450">AX70*AS50</f>
        <v>0</v>
      </c>
      <c r="AY82" s="50">
        <f t="shared" ref="AY82:AY83" si="451">SUM(AU82:AX82)</f>
        <v>0</v>
      </c>
    </row>
    <row r="83" hidden="1" outlineLevel="1" spans="1:51">
      <c r="A83" s="97" t="s">
        <v>85</v>
      </c>
      <c r="B83" s="291"/>
      <c r="C83" s="291"/>
      <c r="D83" s="291"/>
      <c r="E83" s="291"/>
      <c r="F83" s="291"/>
      <c r="G83" s="300"/>
      <c r="H83" s="300"/>
      <c r="I83" s="300"/>
      <c r="J83" s="300"/>
      <c r="K83" s="302"/>
      <c r="L83" s="300"/>
      <c r="M83" s="300"/>
      <c r="N83" s="300"/>
      <c r="O83" s="300"/>
      <c r="P83" s="302"/>
      <c r="Q83" s="300"/>
      <c r="R83" s="300"/>
      <c r="S83" s="326">
        <v>-3431</v>
      </c>
      <c r="T83" s="326">
        <v>-4600</v>
      </c>
      <c r="U83" s="327">
        <v>-14119</v>
      </c>
      <c r="V83" s="330">
        <f t="shared" si="437"/>
        <v>-1922</v>
      </c>
      <c r="W83" s="326">
        <v>-1259</v>
      </c>
      <c r="X83" s="326">
        <v>-863</v>
      </c>
      <c r="Y83" s="326">
        <v>-1029</v>
      </c>
      <c r="Z83" s="327">
        <v>-5073</v>
      </c>
      <c r="AA83" s="326">
        <v>-1630</v>
      </c>
      <c r="AB83" s="326">
        <v>-1124</v>
      </c>
      <c r="AC83" s="326">
        <v>500</v>
      </c>
      <c r="AD83" s="326">
        <v>-714</v>
      </c>
      <c r="AE83" s="328">
        <f t="shared" si="438"/>
        <v>-2968</v>
      </c>
      <c r="AF83" s="330">
        <f t="shared" ref="AF83:AI83" si="452">AF84-SUM(AF81:AF82)</f>
        <v>-208</v>
      </c>
      <c r="AG83" s="330">
        <f t="shared" si="452"/>
        <v>10707</v>
      </c>
      <c r="AH83" s="330">
        <f t="shared" si="452"/>
        <v>5834</v>
      </c>
      <c r="AI83" s="330">
        <f t="shared" si="452"/>
        <v>16829</v>
      </c>
      <c r="AJ83" s="328">
        <f t="shared" si="439"/>
        <v>33162</v>
      </c>
      <c r="AK83" s="330">
        <f t="shared" ref="AK83" si="453">AK84-SUM(AK81:AK82)</f>
        <v>11019</v>
      </c>
      <c r="AL83" s="330">
        <f t="shared" ref="AL83:AN83" si="454">AL84-SUM(AL81:AL82)</f>
        <v>223</v>
      </c>
      <c r="AM83" s="330">
        <f t="shared" si="454"/>
        <v>0</v>
      </c>
      <c r="AN83" s="330">
        <f t="shared" si="454"/>
        <v>4316.5</v>
      </c>
      <c r="AO83" s="328">
        <f t="shared" si="441"/>
        <v>15558.5</v>
      </c>
      <c r="AP83" s="330">
        <f t="shared" ref="AP83" si="455">AP84-SUM(AP81:AP82)</f>
        <v>0</v>
      </c>
      <c r="AQ83" s="330">
        <f t="shared" ref="AQ83" si="456">AQ84-SUM(AQ81:AQ82)</f>
        <v>0</v>
      </c>
      <c r="AR83" s="330">
        <f t="shared" ref="AR83" si="457">AR84-SUM(AR81:AR82)</f>
        <v>0</v>
      </c>
      <c r="AS83" s="330">
        <f t="shared" ref="AS83" si="458">AS84-SUM(AS81:AS82)</f>
        <v>0</v>
      </c>
      <c r="AT83" s="328">
        <f t="shared" si="446"/>
        <v>0</v>
      </c>
      <c r="AU83" s="330">
        <f t="shared" ref="AU83:AX83" si="459">AU84-SUM(AU81:AU82)</f>
        <v>0</v>
      </c>
      <c r="AV83" s="330">
        <f t="shared" si="459"/>
        <v>0</v>
      </c>
      <c r="AW83" s="330">
        <f t="shared" si="459"/>
        <v>0</v>
      </c>
      <c r="AX83" s="330">
        <f t="shared" si="459"/>
        <v>0</v>
      </c>
      <c r="AY83" s="328">
        <f t="shared" si="451"/>
        <v>0</v>
      </c>
    </row>
    <row r="84" hidden="1" outlineLevel="1" spans="1:51">
      <c r="A84" s="3" t="s">
        <v>70</v>
      </c>
      <c r="G84" s="300"/>
      <c r="H84" s="300"/>
      <c r="I84" s="300"/>
      <c r="J84" s="300"/>
      <c r="K84" s="302"/>
      <c r="L84" s="300"/>
      <c r="M84" s="300"/>
      <c r="N84" s="300"/>
      <c r="O84" s="300"/>
      <c r="P84" s="302"/>
      <c r="Q84" s="300"/>
      <c r="R84" s="300"/>
      <c r="S84" s="70">
        <f>SUM(S81:S83)</f>
        <v>-26860</v>
      </c>
      <c r="T84" s="70">
        <f>SUM(T81:T83)</f>
        <v>-23290</v>
      </c>
      <c r="U84" s="50">
        <f>SUM(U81:U83)</f>
        <v>-81803</v>
      </c>
      <c r="V84" s="70">
        <f t="shared" si="437"/>
        <v>-8597</v>
      </c>
      <c r="W84" s="70">
        <f>SUM(W81:W83)</f>
        <v>2873</v>
      </c>
      <c r="X84" s="70">
        <f>SUM(X81:X83)</f>
        <v>6937</v>
      </c>
      <c r="Y84" s="70">
        <f t="shared" ref="Y84:AE84" si="460">SUM(Y81:Y83)</f>
        <v>5287</v>
      </c>
      <c r="Z84" s="50">
        <f t="shared" si="460"/>
        <v>6500</v>
      </c>
      <c r="AA84" s="70">
        <f t="shared" si="460"/>
        <v>-551</v>
      </c>
      <c r="AB84" s="70">
        <f t="shared" si="460"/>
        <v>-2370</v>
      </c>
      <c r="AC84" s="70">
        <f t="shared" si="460"/>
        <v>5289</v>
      </c>
      <c r="AD84" s="70">
        <f t="shared" si="460"/>
        <v>-6138</v>
      </c>
      <c r="AE84" s="50">
        <f t="shared" si="460"/>
        <v>-3770</v>
      </c>
      <c r="AF84" s="31">
        <v>-208</v>
      </c>
      <c r="AG84" s="31">
        <v>10707</v>
      </c>
      <c r="AH84" s="31">
        <v>5834</v>
      </c>
      <c r="AI84" s="31">
        <f>AI26</f>
        <v>16829</v>
      </c>
      <c r="AJ84" s="50">
        <f>SUM(AJ81:AJ83)</f>
        <v>33162</v>
      </c>
      <c r="AK84" s="31">
        <v>11019</v>
      </c>
      <c r="AL84" s="31">
        <f t="shared" ref="AL84:AN84" si="461">AL26</f>
        <v>223</v>
      </c>
      <c r="AM84" s="70">
        <f t="shared" si="461"/>
        <v>0</v>
      </c>
      <c r="AN84" s="70">
        <f t="shared" si="461"/>
        <v>4316.5</v>
      </c>
      <c r="AO84" s="50">
        <f>SUM(AO81:AO83)</f>
        <v>15558.5</v>
      </c>
      <c r="AP84" s="70">
        <f t="shared" ref="AP84:AS84" si="462">AP26</f>
        <v>0</v>
      </c>
      <c r="AQ84" s="70">
        <f t="shared" si="462"/>
        <v>0</v>
      </c>
      <c r="AR84" s="70">
        <f t="shared" si="462"/>
        <v>0</v>
      </c>
      <c r="AS84" s="70">
        <f t="shared" si="462"/>
        <v>0</v>
      </c>
      <c r="AT84" s="50">
        <f>SUM(AT81:AT83)</f>
        <v>0</v>
      </c>
      <c r="AU84" s="70">
        <f t="shared" ref="AU84:AX84" si="463">AU26</f>
        <v>0</v>
      </c>
      <c r="AV84" s="70">
        <f t="shared" si="463"/>
        <v>0</v>
      </c>
      <c r="AW84" s="70">
        <f t="shared" si="463"/>
        <v>0</v>
      </c>
      <c r="AX84" s="70">
        <f t="shared" si="463"/>
        <v>0</v>
      </c>
      <c r="AY84" s="50">
        <f>SUM(AY81:AY83)</f>
        <v>0</v>
      </c>
    </row>
    <row r="85" hidden="1" outlineLevel="1" spans="1:51">
      <c r="G85" s="290"/>
      <c r="H85" s="290"/>
      <c r="I85" s="290"/>
      <c r="J85" s="290"/>
      <c r="K85" s="273"/>
      <c r="L85" s="290"/>
      <c r="M85" s="290"/>
      <c r="N85" s="290"/>
      <c r="O85" s="290"/>
      <c r="P85" s="273"/>
      <c r="Q85" s="290"/>
      <c r="R85" s="290"/>
      <c r="S85" s="290"/>
      <c r="T85" s="290"/>
      <c r="U85" s="273"/>
      <c r="V85" s="290"/>
      <c r="W85" s="290"/>
      <c r="X85" s="290"/>
      <c r="Y85" s="290"/>
      <c r="Z85" s="273"/>
      <c r="AA85" s="290"/>
      <c r="AB85" s="290"/>
      <c r="AC85" s="290"/>
      <c r="AD85" s="290"/>
      <c r="AE85" s="273"/>
      <c r="AF85" s="290"/>
      <c r="AG85" s="290"/>
      <c r="AH85" s="290"/>
      <c r="AI85" s="290"/>
      <c r="AJ85" s="273"/>
      <c r="AK85" s="290"/>
      <c r="AL85" s="290"/>
      <c r="AM85" s="290"/>
      <c r="AN85" s="290"/>
      <c r="AO85" s="273"/>
      <c r="AP85" s="290"/>
      <c r="AQ85" s="290"/>
      <c r="AR85" s="290"/>
      <c r="AS85" s="290"/>
      <c r="AT85" s="273"/>
      <c r="AU85" s="290"/>
      <c r="AV85" s="290"/>
      <c r="AW85" s="290"/>
      <c r="AX85" s="290"/>
      <c r="AY85" s="273"/>
    </row>
    <row r="86" hidden="1" outlineLevel="1" spans="1:51">
      <c r="A86" s="242" t="s">
        <v>80</v>
      </c>
      <c r="B86" s="243"/>
      <c r="C86" s="243"/>
      <c r="D86" s="243"/>
      <c r="E86" s="243"/>
      <c r="F86" s="243"/>
      <c r="G86" s="348"/>
      <c r="H86" s="348"/>
      <c r="I86" s="348"/>
      <c r="J86" s="348"/>
      <c r="K86" s="349"/>
      <c r="L86" s="348"/>
      <c r="M86" s="348"/>
      <c r="N86" s="348"/>
      <c r="O86" s="348"/>
      <c r="P86" s="349"/>
      <c r="Q86" s="348"/>
      <c r="R86" s="348"/>
      <c r="S86" s="348"/>
      <c r="T86" s="348"/>
      <c r="U86" s="349"/>
      <c r="V86" s="348"/>
      <c r="W86" s="348"/>
      <c r="X86" s="348"/>
      <c r="Y86" s="348"/>
      <c r="Z86" s="349"/>
      <c r="AA86" s="348"/>
      <c r="AB86" s="348"/>
      <c r="AC86" s="348"/>
      <c r="AD86" s="348"/>
      <c r="AE86" s="349"/>
      <c r="AF86" s="348"/>
      <c r="AG86" s="348"/>
      <c r="AH86" s="348"/>
      <c r="AI86" s="348"/>
      <c r="AJ86" s="349"/>
      <c r="AK86" s="348"/>
      <c r="AL86" s="348"/>
      <c r="AM86" s="348"/>
      <c r="AN86" s="348"/>
      <c r="AO86" s="349"/>
      <c r="AP86" s="348"/>
      <c r="AQ86" s="348"/>
      <c r="AR86" s="348"/>
      <c r="AS86" s="348"/>
      <c r="AT86" s="349"/>
      <c r="AU86" s="348"/>
      <c r="AV86" s="348"/>
      <c r="AW86" s="348"/>
      <c r="AX86" s="348"/>
      <c r="AY86" s="349"/>
    </row>
    <row r="87" hidden="1" outlineLevel="1" spans="1:51">
      <c r="A87" s="3" t="s">
        <v>83</v>
      </c>
      <c r="G87" s="65">
        <f t="shared" ref="G87:AT87" si="464">G49/G$52</f>
        <v>0.701274726542621</v>
      </c>
      <c r="H87" s="65">
        <f t="shared" si="464"/>
        <v>0.694826786266625</v>
      </c>
      <c r="I87" s="65">
        <f t="shared" si="464"/>
        <v>0.714718301525158</v>
      </c>
      <c r="J87" s="65">
        <f t="shared" si="464"/>
        <v>0.737840940283982</v>
      </c>
      <c r="K87" s="289">
        <f t="shared" si="464"/>
        <v>0.716487318038359</v>
      </c>
      <c r="L87" s="65">
        <f t="shared" si="464"/>
        <v>0.737590622020591</v>
      </c>
      <c r="M87" s="65">
        <f t="shared" si="464"/>
        <v>0.731666763022489</v>
      </c>
      <c r="N87" s="65">
        <f t="shared" si="464"/>
        <v>0.759853506562376</v>
      </c>
      <c r="O87" s="65">
        <f t="shared" si="464"/>
        <v>0.765544154103016</v>
      </c>
      <c r="P87" s="289">
        <f t="shared" si="464"/>
        <v>0.750382194632145</v>
      </c>
      <c r="Q87" s="65">
        <f t="shared" si="464"/>
        <v>0.761472608217412</v>
      </c>
      <c r="R87" s="65">
        <f t="shared" si="464"/>
        <v>0.761707682734001</v>
      </c>
      <c r="S87" s="65">
        <f t="shared" si="464"/>
        <v>0.81112711968403</v>
      </c>
      <c r="T87" s="65">
        <f t="shared" si="464"/>
        <v>0.809367952032565</v>
      </c>
      <c r="U87" s="289">
        <f t="shared" si="464"/>
        <v>0.788882485597327</v>
      </c>
      <c r="V87" s="65">
        <f t="shared" si="464"/>
        <v>0.795966238992146</v>
      </c>
      <c r="W87" s="65">
        <f t="shared" si="464"/>
        <v>0.781986325901138</v>
      </c>
      <c r="X87" s="65">
        <f t="shared" si="464"/>
        <v>0.821223534712632</v>
      </c>
      <c r="Y87" s="65">
        <f t="shared" si="464"/>
        <v>0.819914144539189</v>
      </c>
      <c r="Z87" s="289">
        <f t="shared" si="464"/>
        <v>0.8072730084517</v>
      </c>
      <c r="AA87" s="65">
        <f t="shared" si="464"/>
        <v>0.803465167086301</v>
      </c>
      <c r="AB87" s="65">
        <f t="shared" si="464"/>
        <v>0.794748380474332</v>
      </c>
      <c r="AC87" s="65">
        <f t="shared" si="464"/>
        <v>0.815944368989699</v>
      </c>
      <c r="AD87" s="65">
        <f t="shared" si="464"/>
        <v>0.832674518602551</v>
      </c>
      <c r="AE87" s="289">
        <f t="shared" si="464"/>
        <v>0.813871515242634</v>
      </c>
      <c r="AF87" s="65">
        <f t="shared" si="464"/>
        <v>0.797225216916626</v>
      </c>
      <c r="AG87" s="65">
        <f t="shared" si="464"/>
        <v>0.806083272655061</v>
      </c>
      <c r="AH87" s="65">
        <f t="shared" si="464"/>
        <v>0.819333978501789</v>
      </c>
      <c r="AI87" s="65">
        <f t="shared" si="464"/>
        <v>0.828806648932029</v>
      </c>
      <c r="AJ87" s="289">
        <f t="shared" si="464"/>
        <v>0.814689918447363</v>
      </c>
      <c r="AK87" s="65">
        <f t="shared" si="464"/>
        <v>0.8079790199682</v>
      </c>
      <c r="AL87" s="65">
        <f t="shared" si="464"/>
        <v>0.805672899977816</v>
      </c>
      <c r="AM87" s="65">
        <f t="shared" si="464"/>
        <v>0.818662271391533</v>
      </c>
      <c r="AN87" s="65">
        <f t="shared" si="464"/>
        <v>0.837714383943915</v>
      </c>
      <c r="AO87" s="289">
        <f t="shared" si="464"/>
        <v>0.81968997656129</v>
      </c>
      <c r="AP87" s="65">
        <f t="shared" si="464"/>
        <v>0.804368403550235</v>
      </c>
      <c r="AQ87" s="65">
        <f t="shared" si="464"/>
        <v>0.802031878218301</v>
      </c>
      <c r="AR87" s="65">
        <f t="shared" si="464"/>
        <v>0.818996448194214</v>
      </c>
      <c r="AS87" s="65">
        <f t="shared" si="464"/>
        <v>0.838094917777477</v>
      </c>
      <c r="AT87" s="289">
        <f t="shared" si="464"/>
        <v>0.818288999531096</v>
      </c>
      <c r="AU87" s="65">
        <f t="shared" ref="AU87:AY87" si="465">AU49/AU$52</f>
        <v>0.806518973105423</v>
      </c>
      <c r="AV87" s="65">
        <f t="shared" si="465"/>
        <v>0.804026553617712</v>
      </c>
      <c r="AW87" s="65">
        <f t="shared" si="465"/>
        <v>0.819077312302871</v>
      </c>
      <c r="AX87" s="65">
        <f t="shared" si="465"/>
        <v>0.838138896517416</v>
      </c>
      <c r="AY87" s="289">
        <f t="shared" si="465"/>
        <v>0.81923140752496</v>
      </c>
    </row>
    <row r="88" hidden="1" outlineLevel="1" spans="1:51">
      <c r="A88" s="3" t="s">
        <v>84</v>
      </c>
      <c r="G88" s="65">
        <f t="shared" ref="G88:AT88" si="466">G50/G$52</f>
        <v>0.23210448348542</v>
      </c>
      <c r="H88" s="65">
        <f t="shared" si="466"/>
        <v>0.245295906794515</v>
      </c>
      <c r="I88" s="65">
        <f t="shared" si="466"/>
        <v>0.232066496432027</v>
      </c>
      <c r="J88" s="65">
        <f t="shared" si="466"/>
        <v>0.209694093992749</v>
      </c>
      <c r="K88" s="289">
        <f t="shared" si="466"/>
        <v>0.22699642667909</v>
      </c>
      <c r="L88" s="65">
        <f t="shared" si="466"/>
        <v>0.203482189133676</v>
      </c>
      <c r="M88" s="65">
        <f t="shared" si="466"/>
        <v>0.220662542637452</v>
      </c>
      <c r="N88" s="65">
        <f t="shared" si="466"/>
        <v>0.197927438242963</v>
      </c>
      <c r="O88" s="65">
        <f t="shared" si="466"/>
        <v>0.194664326867025</v>
      </c>
      <c r="P88" s="289">
        <f t="shared" si="466"/>
        <v>0.203371716196649</v>
      </c>
      <c r="Q88" s="65">
        <f t="shared" si="466"/>
        <v>0.201742945659369</v>
      </c>
      <c r="R88" s="65">
        <f t="shared" si="466"/>
        <v>0.204730893774741</v>
      </c>
      <c r="S88" s="65">
        <f t="shared" si="466"/>
        <v>0.15775766858618</v>
      </c>
      <c r="T88" s="65">
        <f t="shared" si="466"/>
        <v>0.161191651372629</v>
      </c>
      <c r="U88" s="289">
        <f t="shared" si="466"/>
        <v>0.178767039749296</v>
      </c>
      <c r="V88" s="65">
        <f t="shared" si="466"/>
        <v>0.165199750237442</v>
      </c>
      <c r="W88" s="65">
        <f t="shared" si="466"/>
        <v>0.18384874030438</v>
      </c>
      <c r="X88" s="65">
        <f t="shared" si="466"/>
        <v>0.149537452043721</v>
      </c>
      <c r="Y88" s="65">
        <f t="shared" si="466"/>
        <v>0.15076670426944</v>
      </c>
      <c r="Z88" s="289">
        <f t="shared" si="466"/>
        <v>0.160510592132973</v>
      </c>
      <c r="AA88" s="65">
        <f t="shared" si="466"/>
        <v>0.161431524497174</v>
      </c>
      <c r="AB88" s="65">
        <f t="shared" si="466"/>
        <v>0.176090457100427</v>
      </c>
      <c r="AC88" s="65">
        <f t="shared" si="466"/>
        <v>0.150204389536182</v>
      </c>
      <c r="AD88" s="65">
        <f t="shared" si="466"/>
        <v>0.141626974787954</v>
      </c>
      <c r="AE88" s="289">
        <f t="shared" si="466"/>
        <v>0.155704850697785</v>
      </c>
      <c r="AF88" s="65">
        <f t="shared" si="466"/>
        <v>0.168626761237243</v>
      </c>
      <c r="AG88" s="65">
        <f t="shared" si="466"/>
        <v>0.163177665982657</v>
      </c>
      <c r="AH88" s="65">
        <f t="shared" si="466"/>
        <v>0.150710628000982</v>
      </c>
      <c r="AI88" s="65">
        <f t="shared" si="466"/>
        <v>0.144558456631385</v>
      </c>
      <c r="AJ88" s="289">
        <f t="shared" si="466"/>
        <v>0.155354089746638</v>
      </c>
      <c r="AK88" s="65">
        <f t="shared" si="466"/>
        <v>0.150269208427566</v>
      </c>
      <c r="AL88" s="65">
        <f t="shared" si="466"/>
        <v>0.1594629778896</v>
      </c>
      <c r="AM88" s="65">
        <f t="shared" si="466"/>
        <v>0.146308937476266</v>
      </c>
      <c r="AN88" s="65">
        <f t="shared" si="466"/>
        <v>0.129751347428768</v>
      </c>
      <c r="AO88" s="289">
        <f t="shared" si="466"/>
        <v>0.144771183619513</v>
      </c>
      <c r="AP88" s="65">
        <f t="shared" si="466"/>
        <v>0.152487851959169</v>
      </c>
      <c r="AQ88" s="65">
        <f t="shared" si="466"/>
        <v>0.162606238511463</v>
      </c>
      <c r="AR88" s="65">
        <f t="shared" si="466"/>
        <v>0.144219714729179</v>
      </c>
      <c r="AS88" s="65">
        <f t="shared" si="466"/>
        <v>0.12790444709205</v>
      </c>
      <c r="AT88" s="289">
        <f t="shared" si="466"/>
        <v>0.14486033332743</v>
      </c>
      <c r="AU88" s="65">
        <f t="shared" ref="AU88:AY88" si="467">AU50/AU$52</f>
        <v>0.151396569476795</v>
      </c>
      <c r="AV88" s="65">
        <f t="shared" si="467"/>
        <v>0.161412501135367</v>
      </c>
      <c r="AW88" s="65">
        <f t="shared" si="467"/>
        <v>0.142819895973785</v>
      </c>
      <c r="AX88" s="65">
        <f t="shared" si="467"/>
        <v>0.126657127864564</v>
      </c>
      <c r="AY88" s="289">
        <f t="shared" si="467"/>
        <v>0.143605331275659</v>
      </c>
    </row>
    <row r="89" hidden="1" outlineLevel="1" spans="1:51">
      <c r="A89" s="3" t="s">
        <v>85</v>
      </c>
      <c r="G89" s="65">
        <f t="shared" ref="G89:AT89" si="468">G51/G$52</f>
        <v>0.0666207899719589</v>
      </c>
      <c r="H89" s="65">
        <f t="shared" si="468"/>
        <v>0.0598773069388597</v>
      </c>
      <c r="I89" s="65">
        <f t="shared" si="468"/>
        <v>0.0532152020428157</v>
      </c>
      <c r="J89" s="65">
        <f t="shared" si="468"/>
        <v>0.0524649657232693</v>
      </c>
      <c r="K89" s="289">
        <f t="shared" si="468"/>
        <v>0.0565162552825509</v>
      </c>
      <c r="L89" s="65">
        <f t="shared" si="468"/>
        <v>0.058927188845733</v>
      </c>
      <c r="M89" s="65">
        <f t="shared" si="468"/>
        <v>0.047670694340059</v>
      </c>
      <c r="N89" s="65">
        <f t="shared" si="468"/>
        <v>0.0422190551946617</v>
      </c>
      <c r="O89" s="65">
        <f t="shared" si="468"/>
        <v>0.039791519029959</v>
      </c>
      <c r="P89" s="289">
        <f t="shared" si="468"/>
        <v>0.046246089171206</v>
      </c>
      <c r="Q89" s="65">
        <f t="shared" si="468"/>
        <v>0.0367844461232193</v>
      </c>
      <c r="R89" s="65">
        <f t="shared" si="468"/>
        <v>0.0335614234912575</v>
      </c>
      <c r="S89" s="65">
        <f t="shared" si="468"/>
        <v>0.0311152117297894</v>
      </c>
      <c r="T89" s="65">
        <f t="shared" si="468"/>
        <v>0.0294403965948055</v>
      </c>
      <c r="U89" s="289">
        <f t="shared" si="468"/>
        <v>0.0323504746533771</v>
      </c>
      <c r="V89" s="65">
        <f t="shared" si="468"/>
        <v>0.0388340107704122</v>
      </c>
      <c r="W89" s="65">
        <f t="shared" si="468"/>
        <v>0.0341649337944823</v>
      </c>
      <c r="X89" s="65">
        <f t="shared" si="468"/>
        <v>0.0292390132436477</v>
      </c>
      <c r="Y89" s="65">
        <f t="shared" si="468"/>
        <v>0.0293191511913701</v>
      </c>
      <c r="Z89" s="289">
        <f t="shared" si="468"/>
        <v>0.0322163994153261</v>
      </c>
      <c r="AA89" s="65">
        <f t="shared" si="468"/>
        <v>0.0351033084165254</v>
      </c>
      <c r="AB89" s="65">
        <f t="shared" si="468"/>
        <v>0.0291611624252408</v>
      </c>
      <c r="AC89" s="65">
        <f t="shared" si="468"/>
        <v>0.0338512414741192</v>
      </c>
      <c r="AD89" s="65">
        <f t="shared" si="468"/>
        <v>0.0256985066094944</v>
      </c>
      <c r="AE89" s="289">
        <f t="shared" si="468"/>
        <v>0.030423634059581</v>
      </c>
      <c r="AF89" s="65">
        <f t="shared" si="468"/>
        <v>0.0341480218461311</v>
      </c>
      <c r="AG89" s="65">
        <f t="shared" si="468"/>
        <v>0.0307390613622824</v>
      </c>
      <c r="AH89" s="65">
        <f t="shared" si="468"/>
        <v>0.0299553934972288</v>
      </c>
      <c r="AI89" s="65">
        <f t="shared" si="468"/>
        <v>0.0266348944365859</v>
      </c>
      <c r="AJ89" s="289">
        <f t="shared" si="468"/>
        <v>0.0299559918059994</v>
      </c>
      <c r="AK89" s="65">
        <f t="shared" si="468"/>
        <v>0.0417517716042344</v>
      </c>
      <c r="AL89" s="65">
        <f t="shared" si="468"/>
        <v>0.0348641221325834</v>
      </c>
      <c r="AM89" s="65">
        <f t="shared" si="468"/>
        <v>0.0350287911322008</v>
      </c>
      <c r="AN89" s="65">
        <f t="shared" si="468"/>
        <v>0.0325342686273163</v>
      </c>
      <c r="AO89" s="289">
        <f t="shared" si="468"/>
        <v>0.0355388398191971</v>
      </c>
      <c r="AP89" s="65">
        <f t="shared" si="468"/>
        <v>0.0431437444905958</v>
      </c>
      <c r="AQ89" s="65">
        <f t="shared" si="468"/>
        <v>0.0353618832702364</v>
      </c>
      <c r="AR89" s="65">
        <f t="shared" si="468"/>
        <v>0.0367838370766077</v>
      </c>
      <c r="AS89" s="65">
        <f t="shared" si="468"/>
        <v>0.0340006351304733</v>
      </c>
      <c r="AT89" s="289">
        <f t="shared" si="468"/>
        <v>0.0368506671414748</v>
      </c>
      <c r="AU89" s="65">
        <f t="shared" ref="AU89:AY89" si="469">AU51/AU$52</f>
        <v>0.0420844574177812</v>
      </c>
      <c r="AV89" s="65">
        <f t="shared" si="469"/>
        <v>0.034560945246921</v>
      </c>
      <c r="AW89" s="65">
        <f t="shared" si="469"/>
        <v>0.0381027917233439</v>
      </c>
      <c r="AX89" s="65">
        <f t="shared" si="469"/>
        <v>0.0352039756180204</v>
      </c>
      <c r="AY89" s="289">
        <f t="shared" si="469"/>
        <v>0.037163261199381</v>
      </c>
    </row>
    <row r="90" hidden="1" outlineLevel="1" spans="1:51">
      <c r="G90" s="65"/>
      <c r="H90" s="65"/>
      <c r="I90" s="65"/>
      <c r="J90" s="65"/>
      <c r="K90" s="289"/>
      <c r="L90" s="65"/>
      <c r="M90" s="65"/>
      <c r="N90" s="65"/>
      <c r="O90" s="65"/>
      <c r="P90" s="289"/>
      <c r="Q90" s="65"/>
      <c r="R90" s="65"/>
      <c r="S90" s="65"/>
      <c r="T90" s="65"/>
      <c r="U90" s="289"/>
      <c r="V90" s="65"/>
      <c r="W90" s="65"/>
      <c r="X90" s="65"/>
      <c r="Y90" s="65"/>
      <c r="Z90" s="289"/>
      <c r="AA90" s="65"/>
      <c r="AB90" s="65"/>
      <c r="AC90" s="65"/>
      <c r="AD90" s="65"/>
      <c r="AE90" s="289"/>
      <c r="AF90" s="65"/>
      <c r="AG90" s="65"/>
      <c r="AH90" s="65"/>
      <c r="AI90" s="65"/>
      <c r="AJ90" s="289"/>
      <c r="AK90" s="65"/>
      <c r="AL90" s="65"/>
      <c r="AM90" s="65"/>
      <c r="AN90" s="65"/>
      <c r="AO90" s="289"/>
      <c r="AP90" s="65"/>
      <c r="AQ90" s="65"/>
      <c r="AR90" s="65"/>
      <c r="AS90" s="65"/>
      <c r="AT90" s="289"/>
      <c r="AU90" s="65"/>
      <c r="AV90" s="65"/>
      <c r="AW90" s="65"/>
      <c r="AX90" s="65"/>
      <c r="AY90" s="289"/>
    </row>
    <row r="91" hidden="1" outlineLevel="1" spans="1:51">
      <c r="A91" s="242" t="s">
        <v>81</v>
      </c>
      <c r="B91" s="243"/>
      <c r="C91" s="243"/>
      <c r="D91" s="243"/>
      <c r="E91" s="243"/>
      <c r="F91" s="243"/>
      <c r="G91" s="348"/>
      <c r="H91" s="348"/>
      <c r="I91" s="348"/>
      <c r="J91" s="348"/>
      <c r="K91" s="349"/>
      <c r="L91" s="348"/>
      <c r="M91" s="348"/>
      <c r="N91" s="348"/>
      <c r="O91" s="348"/>
      <c r="P91" s="349"/>
      <c r="Q91" s="348"/>
      <c r="R91" s="348"/>
      <c r="S91" s="348"/>
      <c r="T91" s="348"/>
      <c r="U91" s="349"/>
      <c r="V91" s="348"/>
      <c r="W91" s="348"/>
      <c r="X91" s="348"/>
      <c r="Y91" s="348"/>
      <c r="Z91" s="349"/>
      <c r="AA91" s="348"/>
      <c r="AB91" s="348"/>
      <c r="AC91" s="348"/>
      <c r="AD91" s="348"/>
      <c r="AE91" s="349"/>
      <c r="AF91" s="348"/>
      <c r="AG91" s="348"/>
      <c r="AH91" s="348"/>
      <c r="AI91" s="348"/>
      <c r="AJ91" s="349"/>
      <c r="AK91" s="348"/>
      <c r="AL91" s="348"/>
      <c r="AM91" s="348"/>
      <c r="AN91" s="348"/>
      <c r="AO91" s="349"/>
      <c r="AP91" s="348"/>
      <c r="AQ91" s="348"/>
      <c r="AR91" s="348"/>
      <c r="AS91" s="348"/>
      <c r="AT91" s="349"/>
      <c r="AU91" s="348"/>
      <c r="AV91" s="348"/>
      <c r="AW91" s="348"/>
      <c r="AX91" s="348"/>
      <c r="AY91" s="349"/>
    </row>
    <row r="92" hidden="1" outlineLevel="1" spans="1:51">
      <c r="A92" s="3" t="s">
        <v>83</v>
      </c>
      <c r="G92" s="65">
        <f>G49/K49</f>
        <v>0.151998528110149</v>
      </c>
      <c r="H92" s="65">
        <f>H49/K49</f>
        <v>0.216682638934166</v>
      </c>
      <c r="I92" s="65">
        <f>I49/K49</f>
        <v>0.26160921860333</v>
      </c>
      <c r="J92" s="65">
        <f>J49/K49</f>
        <v>0.369709614352355</v>
      </c>
      <c r="K92" s="289">
        <f>SUM(G92:J92)</f>
        <v>1</v>
      </c>
      <c r="L92" s="65">
        <f>L49/P49</f>
        <v>0.206876537825804</v>
      </c>
      <c r="M92" s="65">
        <f>M49/P49</f>
        <v>0.227129625142902</v>
      </c>
      <c r="N92" s="65">
        <f>N49/P49</f>
        <v>0.246873738107929</v>
      </c>
      <c r="O92" s="65">
        <f>O49/P49</f>
        <v>0.319120098923365</v>
      </c>
      <c r="P92" s="289">
        <f>SUM(L92:O92)</f>
        <v>1</v>
      </c>
      <c r="Q92" s="65">
        <f>Q49/U49</f>
        <v>0.212162047738655</v>
      </c>
      <c r="R92" s="65">
        <f>R49/U49</f>
        <v>0.21022450105259</v>
      </c>
      <c r="S92" s="65">
        <f>S49/U49</f>
        <v>0.244716397260147</v>
      </c>
      <c r="T92" s="65">
        <f>T49/U49</f>
        <v>0.332897053948608</v>
      </c>
      <c r="U92" s="289">
        <f>SUM(Q92:T92)</f>
        <v>1</v>
      </c>
      <c r="V92" s="65">
        <f>V49/Z49</f>
        <v>0.192559485484023</v>
      </c>
      <c r="W92" s="65">
        <f>W49/Z49</f>
        <v>0.211659661281805</v>
      </c>
      <c r="X92" s="65">
        <f>X49/Z49</f>
        <v>0.251055437794353</v>
      </c>
      <c r="Y92" s="65">
        <f>Y49/Z49</f>
        <v>0.34472541543982</v>
      </c>
      <c r="Z92" s="289">
        <f>SUM(V92:Y92)</f>
        <v>1</v>
      </c>
      <c r="AA92" s="65">
        <f>AA49/AE49</f>
        <v>0.203629583907095</v>
      </c>
      <c r="AB92" s="65">
        <f>AB49/AE49</f>
        <v>0.223766819929118</v>
      </c>
      <c r="AC92" s="65">
        <f>AC49/AE49</f>
        <v>0.244927516080639</v>
      </c>
      <c r="AD92" s="65">
        <f>AD49/AE49</f>
        <v>0.327676080083148</v>
      </c>
      <c r="AE92" s="289">
        <f>SUM(AA92:AD92)</f>
        <v>1</v>
      </c>
      <c r="AF92" s="65">
        <f>AF49/AJ49</f>
        <v>0.203898242469516</v>
      </c>
      <c r="AG92" s="65">
        <f>AG49/AJ49</f>
        <v>0.22706534013768</v>
      </c>
      <c r="AH92" s="65">
        <f>AH49/AJ49</f>
        <v>0.24646868178804</v>
      </c>
      <c r="AI92" s="65">
        <f>AI49/AJ49</f>
        <v>0.322567735604764</v>
      </c>
      <c r="AJ92" s="289">
        <f>SUM(AF92:AI92)</f>
        <v>1</v>
      </c>
      <c r="AK92" s="65">
        <f>AK49/AO49</f>
        <v>0.198388300634801</v>
      </c>
      <c r="AL92" s="65">
        <f>AL49/AO49</f>
        <v>0.224972444024225</v>
      </c>
      <c r="AM92" s="65">
        <f>AM49/AO49</f>
        <v>0.24669140848497</v>
      </c>
      <c r="AN92" s="65">
        <f>AN49/AO49</f>
        <v>0.329947846856004</v>
      </c>
      <c r="AO92" s="289">
        <f>SUM(AK92:AN92)</f>
        <v>1</v>
      </c>
      <c r="AP92" s="65">
        <f>AP49/AT49</f>
        <v>0.199170936678994</v>
      </c>
      <c r="AQ92" s="65">
        <f>AQ49/AT49</f>
        <v>0.22475279710068</v>
      </c>
      <c r="AR92" s="65">
        <f>AR49/AT49</f>
        <v>0.246450556725663</v>
      </c>
      <c r="AS92" s="65">
        <f>AS49/AT49</f>
        <v>0.329625709494664</v>
      </c>
      <c r="AT92" s="289">
        <f>SUM(AP92:AS92)</f>
        <v>1</v>
      </c>
      <c r="AU92" s="65">
        <f>AU49/AY49</f>
        <v>0.199170936678994</v>
      </c>
      <c r="AV92" s="65">
        <f>AV49/AY49</f>
        <v>0.22475279710068</v>
      </c>
      <c r="AW92" s="65">
        <f>AW49/AY49</f>
        <v>0.246450556725663</v>
      </c>
      <c r="AX92" s="65">
        <f>AX49/AY49</f>
        <v>0.329625709494664</v>
      </c>
      <c r="AY92" s="289">
        <f>SUM(AU92:AX92)</f>
        <v>1</v>
      </c>
    </row>
    <row r="93" hidden="1" outlineLevel="1" spans="1:51">
      <c r="A93" s="3" t="s">
        <v>84</v>
      </c>
      <c r="G93" s="65">
        <f>G50/K50</f>
        <v>0.158790388624443</v>
      </c>
      <c r="H93" s="65">
        <f>H50/K50</f>
        <v>0.241450079004752</v>
      </c>
      <c r="I93" s="65">
        <f>I50/K50</f>
        <v>0.268114358849307</v>
      </c>
      <c r="J93" s="65">
        <f>J50/K50</f>
        <v>0.331645173521498</v>
      </c>
      <c r="K93" s="289">
        <f t="shared" ref="K93:K95" si="470">SUM(G93:J93)</f>
        <v>1</v>
      </c>
      <c r="L93" s="65">
        <f>L50/P50</f>
        <v>0.210578593829463</v>
      </c>
      <c r="M93" s="65">
        <f>M50/P50</f>
        <v>0.252744109171046</v>
      </c>
      <c r="N93" s="65">
        <f>N50/P50</f>
        <v>0.237270088150534</v>
      </c>
      <c r="O93" s="65">
        <f>O50/P50</f>
        <v>0.299407208848957</v>
      </c>
      <c r="P93" s="289">
        <f t="shared" ref="P93:P95" si="471">SUM(L93:O93)</f>
        <v>1</v>
      </c>
      <c r="Q93" s="65">
        <f>Q50/U50</f>
        <v>0.24804851778118</v>
      </c>
      <c r="R93" s="65">
        <f>R50/U50</f>
        <v>0.249346480373232</v>
      </c>
      <c r="S93" s="65">
        <f>S50/U50</f>
        <v>0.210033946713946</v>
      </c>
      <c r="T93" s="65">
        <f>T50/U50</f>
        <v>0.292571055131642</v>
      </c>
      <c r="U93" s="289">
        <f t="shared" ref="U93:U95" si="472">SUM(Q93:T93)</f>
        <v>1</v>
      </c>
      <c r="V93" s="65">
        <f>V50/Z50</f>
        <v>0.201000154272923</v>
      </c>
      <c r="W93" s="65">
        <f>W50/Z50</f>
        <v>0.250274343830684</v>
      </c>
      <c r="X93" s="65">
        <f>X50/Z50</f>
        <v>0.229919050377386</v>
      </c>
      <c r="Y93" s="65">
        <f>Y50/Z50</f>
        <v>0.318806451519006</v>
      </c>
      <c r="Z93" s="289">
        <f t="shared" ref="Z93:Z94" si="473">SUM(V93:Y93)</f>
        <v>1</v>
      </c>
      <c r="AA93" s="65">
        <f>AA50/AE50</f>
        <v>0.213853259945569</v>
      </c>
      <c r="AB93" s="65">
        <f>AB50/AE50</f>
        <v>0.25915259714556</v>
      </c>
      <c r="AC93" s="65">
        <f>AC50/AE50</f>
        <v>0.235674915219482</v>
      </c>
      <c r="AD93" s="65">
        <f>AD50/AE50</f>
        <v>0.291319227689389</v>
      </c>
      <c r="AE93" s="289">
        <f t="shared" ref="AE93:AE94" si="474">SUM(AA93:AD93)</f>
        <v>1</v>
      </c>
      <c r="AF93" s="65">
        <f>AF50/AJ50</f>
        <v>0.226166670740949</v>
      </c>
      <c r="AG93" s="65">
        <f>AG50/AJ50</f>
        <v>0.241046764612414</v>
      </c>
      <c r="AH93" s="65">
        <f>AH50/AJ50</f>
        <v>0.237746595937126</v>
      </c>
      <c r="AI93" s="65">
        <f>AI50/AJ50</f>
        <v>0.295039968709512</v>
      </c>
      <c r="AJ93" s="289">
        <f t="shared" ref="AJ93:AJ95" si="475">SUM(AF93:AI93)</f>
        <v>1</v>
      </c>
      <c r="AK93" s="65">
        <f>AK50/AO50</f>
        <v>0.208907230351174</v>
      </c>
      <c r="AL93" s="65">
        <f>AL50/AO50</f>
        <v>0.25211456721594</v>
      </c>
      <c r="AM93" s="65">
        <f>AM50/AO50</f>
        <v>0.249624727735052</v>
      </c>
      <c r="AN93" s="65">
        <f>AN50/AO50</f>
        <v>0.289353474697834</v>
      </c>
      <c r="AO93" s="289">
        <f t="shared" ref="AO93:AO95" si="476">SUM(AK93:AN93)</f>
        <v>1</v>
      </c>
      <c r="AP93" s="65">
        <f>AP50/AT50</f>
        <v>0.213286536797118</v>
      </c>
      <c r="AQ93" s="65">
        <f>AQ50/AT50</f>
        <v>0.257399625791794</v>
      </c>
      <c r="AR93" s="65">
        <f>AR50/AT50</f>
        <v>0.245148731347055</v>
      </c>
      <c r="AS93" s="65">
        <f>AS50/AT50</f>
        <v>0.284165106064033</v>
      </c>
      <c r="AT93" s="289">
        <f t="shared" ref="AT93:AT95" si="477">SUM(AP93:AS93)</f>
        <v>1</v>
      </c>
      <c r="AU93" s="65">
        <f>AU50/AY50</f>
        <v>0.213286536797118</v>
      </c>
      <c r="AV93" s="65">
        <f>AV50/AY50</f>
        <v>0.257399625791794</v>
      </c>
      <c r="AW93" s="65">
        <f>AW50/AY50</f>
        <v>0.245148731347055</v>
      </c>
      <c r="AX93" s="65">
        <f>AX50/AY50</f>
        <v>0.284165106064033</v>
      </c>
      <c r="AY93" s="289">
        <f t="shared" ref="AY93:AY95" si="478">SUM(AU93:AX93)</f>
        <v>1</v>
      </c>
    </row>
    <row r="94" hidden="1" outlineLevel="1" spans="1:51">
      <c r="A94" s="3" t="s">
        <v>85</v>
      </c>
      <c r="G94" s="65">
        <f>G51/K51</f>
        <v>0.183061114728112</v>
      </c>
      <c r="H94" s="65">
        <f>H51/K51</f>
        <v>0.236725450788349</v>
      </c>
      <c r="I94" s="65">
        <f>I51/K51</f>
        <v>0.246938602202282</v>
      </c>
      <c r="J94" s="65">
        <f>J51/K51</f>
        <v>0.333274832281258</v>
      </c>
      <c r="K94" s="289">
        <f t="shared" si="470"/>
        <v>1</v>
      </c>
      <c r="L94" s="65">
        <f>L51/P51</f>
        <v>0.268175491115369</v>
      </c>
      <c r="M94" s="65">
        <f>M51/P51</f>
        <v>0.240115083779361</v>
      </c>
      <c r="N94" s="65">
        <f>N51/P51</f>
        <v>0.222567137058025</v>
      </c>
      <c r="O94" s="65">
        <f>O51/P51</f>
        <v>0.269142288047245</v>
      </c>
      <c r="P94" s="289">
        <f t="shared" si="471"/>
        <v>1</v>
      </c>
      <c r="Q94" s="65">
        <f>Q51/U51</f>
        <v>0.249924764261352</v>
      </c>
      <c r="R94" s="65">
        <f>R51/U51</f>
        <v>0.225874406473617</v>
      </c>
      <c r="S94" s="65">
        <f>S51/U51</f>
        <v>0.228917274125594</v>
      </c>
      <c r="T94" s="65">
        <f>T51/U51</f>
        <v>0.295283555139437</v>
      </c>
      <c r="U94" s="289">
        <f t="shared" si="472"/>
        <v>1</v>
      </c>
      <c r="V94" s="65">
        <f>V51/Z51</f>
        <v>0.235410563564115</v>
      </c>
      <c r="W94" s="65">
        <f>W51/Z51</f>
        <v>0.231719697189431</v>
      </c>
      <c r="X94" s="65">
        <f>X51/Z51</f>
        <v>0.223982655103402</v>
      </c>
      <c r="Y94" s="65">
        <f>Y51/Z51</f>
        <v>0.308887084143052</v>
      </c>
      <c r="Z94" s="289">
        <f t="shared" si="473"/>
        <v>1</v>
      </c>
      <c r="AA94" s="65">
        <f>AA51/AE51</f>
        <v>0.237994340900939</v>
      </c>
      <c r="AB94" s="65">
        <f>AB51/AE51</f>
        <v>0.21964212176362</v>
      </c>
      <c r="AC94" s="65">
        <f>AC51/AE51</f>
        <v>0.27182937683489</v>
      </c>
      <c r="AD94" s="65">
        <f>AD51/AE51</f>
        <v>0.270534160500551</v>
      </c>
      <c r="AE94" s="289">
        <f t="shared" si="474"/>
        <v>1</v>
      </c>
      <c r="AF94" s="65">
        <f>AF51/AJ51</f>
        <v>0.237523533028645</v>
      </c>
      <c r="AG94" s="65">
        <f>AG51/AJ51</f>
        <v>0.235488758026585</v>
      </c>
      <c r="AH94" s="65">
        <f>AH51/AJ51</f>
        <v>0.245066779921018</v>
      </c>
      <c r="AI94" s="65">
        <f>AI51/AJ51</f>
        <v>0.281920929023752</v>
      </c>
      <c r="AJ94" s="289">
        <f t="shared" si="475"/>
        <v>1</v>
      </c>
      <c r="AK94" s="65">
        <f>AK51/AO51</f>
        <v>0.236448879290778</v>
      </c>
      <c r="AL94" s="65">
        <f>AL51/AO51</f>
        <v>0.224541015982267</v>
      </c>
      <c r="AM94" s="65">
        <f>AM51/AO51</f>
        <v>0.243456165076472</v>
      </c>
      <c r="AN94" s="65">
        <f>AN51/AO51</f>
        <v>0.295553939650483</v>
      </c>
      <c r="AO94" s="289">
        <f t="shared" si="476"/>
        <v>1</v>
      </c>
      <c r="AP94" s="65">
        <f>AP51/AT51</f>
        <v>0.237219374574366</v>
      </c>
      <c r="AQ94" s="65">
        <f>AQ51/AT51</f>
        <v>0.220044348711296</v>
      </c>
      <c r="AR94" s="65">
        <f>AR51/AT51</f>
        <v>0.245791111634826</v>
      </c>
      <c r="AS94" s="65">
        <f>AS51/AT51</f>
        <v>0.296945165079512</v>
      </c>
      <c r="AT94" s="289">
        <f t="shared" si="477"/>
        <v>1</v>
      </c>
      <c r="AU94" s="65">
        <f>AU51/AY51</f>
        <v>0.229100420184395</v>
      </c>
      <c r="AV94" s="65">
        <f>AV51/AY51</f>
        <v>0.212967386571613</v>
      </c>
      <c r="AW94" s="65">
        <f>AW51/AY51</f>
        <v>0.25272865139827</v>
      </c>
      <c r="AX94" s="65">
        <f>AX51/AY51</f>
        <v>0.305203541845722</v>
      </c>
      <c r="AY94" s="289">
        <f t="shared" si="478"/>
        <v>1</v>
      </c>
    </row>
    <row r="95" hidden="1" outlineLevel="1" spans="1:51">
      <c r="A95" s="3" t="s">
        <v>70</v>
      </c>
      <c r="G95" s="65">
        <f>G52/K52</f>
        <v>0.155295797252434</v>
      </c>
      <c r="H95" s="65">
        <f>H52/K52</f>
        <v>0.223437503999509</v>
      </c>
      <c r="I95" s="65">
        <f>I52/K52</f>
        <v>0.262256733892539</v>
      </c>
      <c r="J95" s="65">
        <f>J52/K52</f>
        <v>0.359009964855519</v>
      </c>
      <c r="K95" s="289">
        <f t="shared" si="470"/>
        <v>1</v>
      </c>
      <c r="L95" s="65">
        <f>L52/P52</f>
        <v>0.210464268168655</v>
      </c>
      <c r="M95" s="65">
        <f>M52/P52</f>
        <v>0.232939413397228</v>
      </c>
      <c r="N95" s="65">
        <f>N52/P52</f>
        <v>0.243796542094739</v>
      </c>
      <c r="O95" s="65">
        <f>O52/P52</f>
        <v>0.312799776339378</v>
      </c>
      <c r="P95" s="289">
        <f t="shared" si="471"/>
        <v>1</v>
      </c>
      <c r="Q95" s="65">
        <f>Q52/U52</f>
        <v>0.219799007558919</v>
      </c>
      <c r="R95" s="65">
        <f>R52/U52</f>
        <v>0.217724503353525</v>
      </c>
      <c r="S95" s="65">
        <f>S52/U52</f>
        <v>0.238005209112241</v>
      </c>
      <c r="T95" s="65">
        <f>T52/U52</f>
        <v>0.324471279975315</v>
      </c>
      <c r="U95" s="289">
        <f t="shared" si="472"/>
        <v>1</v>
      </c>
      <c r="V95" s="65">
        <f>V52/Z52</f>
        <v>0.195294809676133</v>
      </c>
      <c r="W95" s="65">
        <f>W52/Z52</f>
        <v>0.218503988971838</v>
      </c>
      <c r="X95" s="65">
        <f>X52/Z52</f>
        <v>0.246790636154048</v>
      </c>
      <c r="Y95" s="65">
        <f>Y52/Z52</f>
        <v>0.339410565197982</v>
      </c>
      <c r="Z95" s="289">
        <f t="shared" ref="Z95" si="479">SUM(V95:Y95)</f>
        <v>1</v>
      </c>
      <c r="AA95" s="65">
        <f>AA52/AE52</f>
        <v>0.206266960649575</v>
      </c>
      <c r="AB95" s="65">
        <f>AB52/AE52</f>
        <v>0.229151068779836</v>
      </c>
      <c r="AC95" s="65">
        <f>AC52/AE52</f>
        <v>0.244305293612096</v>
      </c>
      <c r="AD95" s="65">
        <f>AD52/AE52</f>
        <v>0.320276676958493</v>
      </c>
      <c r="AE95" s="289">
        <f t="shared" ref="AE95" si="480">SUM(AA95:AD95)</f>
        <v>1</v>
      </c>
      <c r="AF95" s="65">
        <f>AF52/AJ52</f>
        <v>0.208365012802177</v>
      </c>
      <c r="AG95" s="65">
        <f>AG52/AJ52</f>
        <v>0.229489743447572</v>
      </c>
      <c r="AH95" s="65">
        <f>AH52/AJ52</f>
        <v>0.245071674719138</v>
      </c>
      <c r="AI95" s="65">
        <f>AI52/AJ52</f>
        <v>0.317073569031113</v>
      </c>
      <c r="AJ95" s="289">
        <f t="shared" si="475"/>
        <v>1</v>
      </c>
      <c r="AK95" s="65">
        <f>AK52/AO52</f>
        <v>0.201263767348531</v>
      </c>
      <c r="AL95" s="65">
        <f>AL52/AO52</f>
        <v>0.22888650887256</v>
      </c>
      <c r="AM95" s="65">
        <f>AM52/AO52</f>
        <v>0.247001091787467</v>
      </c>
      <c r="AN95" s="65">
        <f>AN52/AO52</f>
        <v>0.322848631991442</v>
      </c>
      <c r="AO95" s="289">
        <f t="shared" si="476"/>
        <v>1</v>
      </c>
      <c r="AP95" s="65">
        <f>AP52/AT52</f>
        <v>0.202617837537357</v>
      </c>
      <c r="AQ95" s="65">
        <f>AQ52/AT52</f>
        <v>0.229308518122608</v>
      </c>
      <c r="AR95" s="65">
        <f>AR52/AT52</f>
        <v>0.246237672875843</v>
      </c>
      <c r="AS95" s="65">
        <f>AS52/AT52</f>
        <v>0.321835971464191</v>
      </c>
      <c r="AT95" s="289">
        <f t="shared" si="477"/>
        <v>1</v>
      </c>
      <c r="AU95" s="65">
        <f>AU52/AY52</f>
        <v>0.202310289323185</v>
      </c>
      <c r="AV95" s="65">
        <f>AV52/AY52</f>
        <v>0.229003071460133</v>
      </c>
      <c r="AW95" s="65">
        <f>AW52/AY52</f>
        <v>0.246496922133057</v>
      </c>
      <c r="AX95" s="65">
        <f>AX52/AY52</f>
        <v>0.322189717083624</v>
      </c>
      <c r="AY95" s="289">
        <f t="shared" si="478"/>
        <v>1</v>
      </c>
    </row>
    <row r="96" hidden="1" outlineLevel="1" spans="1:51">
      <c r="G96" s="290"/>
      <c r="H96" s="290"/>
      <c r="I96" s="290"/>
      <c r="J96" s="290"/>
      <c r="K96" s="273"/>
      <c r="L96" s="290"/>
      <c r="M96" s="290"/>
      <c r="N96" s="290"/>
      <c r="O96" s="290"/>
      <c r="P96" s="273"/>
      <c r="Q96" s="290"/>
      <c r="R96" s="290"/>
      <c r="S96" s="290"/>
      <c r="T96" s="290"/>
      <c r="U96" s="273"/>
      <c r="V96" s="290"/>
      <c r="W96" s="290"/>
      <c r="X96" s="290"/>
      <c r="Y96" s="290"/>
      <c r="Z96" s="273"/>
      <c r="AA96" s="290"/>
      <c r="AB96" s="290"/>
      <c r="AC96" s="290"/>
      <c r="AD96" s="290"/>
      <c r="AE96" s="273"/>
      <c r="AF96" s="290"/>
      <c r="AG96" s="290"/>
      <c r="AH96" s="290"/>
      <c r="AI96" s="290"/>
      <c r="AJ96" s="273"/>
      <c r="AK96" s="290"/>
      <c r="AL96" s="290"/>
      <c r="AM96" s="290"/>
      <c r="AN96" s="290"/>
      <c r="AO96" s="273"/>
      <c r="AP96" s="290"/>
      <c r="AQ96" s="290"/>
      <c r="AR96" s="290"/>
      <c r="AS96" s="290"/>
      <c r="AT96" s="273"/>
      <c r="AU96" s="290"/>
      <c r="AV96" s="290"/>
      <c r="AW96" s="290"/>
      <c r="AX96" s="290"/>
      <c r="AY96" s="273"/>
    </row>
    <row r="97" hidden="1" outlineLevel="1" spans="1:51">
      <c r="A97" s="14" t="s">
        <v>89</v>
      </c>
      <c r="B97" s="15"/>
      <c r="C97" s="15"/>
      <c r="D97" s="15"/>
      <c r="E97" s="15"/>
      <c r="F97" s="15"/>
      <c r="G97" s="283"/>
      <c r="H97" s="283"/>
      <c r="I97" s="283"/>
      <c r="J97" s="283"/>
      <c r="K97" s="284"/>
      <c r="L97" s="283"/>
      <c r="M97" s="283"/>
      <c r="N97" s="283"/>
      <c r="O97" s="283"/>
      <c r="P97" s="284"/>
      <c r="Q97" s="283"/>
      <c r="R97" s="283"/>
      <c r="S97" s="283"/>
      <c r="T97" s="283"/>
      <c r="U97" s="284"/>
      <c r="V97" s="283"/>
      <c r="W97" s="283"/>
      <c r="X97" s="283"/>
      <c r="Y97" s="283"/>
      <c r="Z97" s="284"/>
      <c r="AA97" s="283"/>
      <c r="AB97" s="283"/>
      <c r="AC97" s="283"/>
      <c r="AD97" s="283"/>
      <c r="AE97" s="284"/>
      <c r="AF97" s="283"/>
      <c r="AG97" s="283"/>
      <c r="AH97" s="283"/>
      <c r="AI97" s="283"/>
      <c r="AJ97" s="284"/>
      <c r="AK97" s="283"/>
      <c r="AL97" s="283"/>
      <c r="AM97" s="283"/>
      <c r="AN97" s="283"/>
      <c r="AO97" s="284"/>
      <c r="AP97" s="283"/>
      <c r="AQ97" s="283"/>
      <c r="AR97" s="283"/>
      <c r="AS97" s="283"/>
      <c r="AT97" s="284"/>
      <c r="AU97" s="283"/>
      <c r="AV97" s="283"/>
      <c r="AW97" s="283"/>
      <c r="AX97" s="283"/>
      <c r="AY97" s="284"/>
    </row>
    <row r="98" hidden="1" outlineLevel="1" spans="1:51">
      <c r="A98" s="285" t="s">
        <v>90</v>
      </c>
      <c r="B98" s="286"/>
      <c r="C98" s="286"/>
      <c r="D98" s="286"/>
      <c r="E98" s="286"/>
      <c r="F98" s="286"/>
      <c r="G98" s="287"/>
      <c r="H98" s="287"/>
      <c r="I98" s="287"/>
      <c r="J98" s="287"/>
      <c r="K98" s="288"/>
      <c r="L98" s="287"/>
      <c r="M98" s="287"/>
      <c r="N98" s="287"/>
      <c r="O98" s="287"/>
      <c r="P98" s="288"/>
      <c r="Q98" s="287"/>
      <c r="R98" s="287"/>
      <c r="S98" s="287"/>
      <c r="T98" s="287"/>
      <c r="U98" s="288"/>
      <c r="V98" s="287"/>
      <c r="W98" s="287"/>
      <c r="X98" s="287"/>
      <c r="Y98" s="287"/>
      <c r="Z98" s="288"/>
      <c r="AA98" s="287"/>
      <c r="AB98" s="287"/>
      <c r="AC98" s="287"/>
      <c r="AD98" s="287"/>
      <c r="AE98" s="288"/>
      <c r="AF98" s="287"/>
      <c r="AG98" s="287"/>
      <c r="AH98" s="287"/>
      <c r="AI98" s="287"/>
      <c r="AJ98" s="288"/>
      <c r="AK98" s="287"/>
      <c r="AL98" s="287"/>
      <c r="AM98" s="287"/>
      <c r="AN98" s="287"/>
      <c r="AO98" s="288"/>
      <c r="AP98" s="287"/>
      <c r="AQ98" s="287"/>
      <c r="AR98" s="287"/>
      <c r="AS98" s="287"/>
      <c r="AT98" s="288"/>
      <c r="AU98" s="287"/>
      <c r="AV98" s="287"/>
      <c r="AW98" s="287"/>
      <c r="AX98" s="287"/>
      <c r="AY98" s="288"/>
    </row>
    <row r="99" hidden="1" outlineLevel="1" spans="1:51">
      <c r="A99" s="210" t="s">
        <v>83</v>
      </c>
      <c r="B99" s="216"/>
      <c r="C99" s="216"/>
      <c r="D99" s="216"/>
      <c r="E99" s="216"/>
      <c r="F99" s="216"/>
      <c r="G99" s="331"/>
      <c r="H99" s="331"/>
      <c r="I99" s="331"/>
      <c r="J99" s="331"/>
      <c r="K99" s="332"/>
      <c r="L99" s="331"/>
      <c r="M99" s="331"/>
      <c r="N99" s="331"/>
      <c r="O99" s="331"/>
      <c r="P99" s="30">
        <v>637308</v>
      </c>
      <c r="Q99" s="31">
        <f>297826-SUM(R99:S99)</f>
        <v>86264</v>
      </c>
      <c r="R99" s="31">
        <v>85836</v>
      </c>
      <c r="S99" s="31">
        <v>125726</v>
      </c>
      <c r="T99" s="28">
        <f>U99-SUM(Q99:S99)</f>
        <v>185619</v>
      </c>
      <c r="U99" s="30">
        <v>483445</v>
      </c>
      <c r="V99" s="31">
        <v>156445</v>
      </c>
      <c r="W99" s="31">
        <v>177063</v>
      </c>
      <c r="X99" s="31">
        <v>257440</v>
      </c>
      <c r="Y99" s="28">
        <f>Z99-SUM(V99:X99)</f>
        <v>349344</v>
      </c>
      <c r="Z99" s="30">
        <v>940292</v>
      </c>
      <c r="AA99" s="31">
        <v>252347</v>
      </c>
      <c r="AB99" s="31">
        <v>275120</v>
      </c>
      <c r="AC99" s="31">
        <v>304542</v>
      </c>
      <c r="AD99" s="28">
        <f>AE99-SUM(AA99:AC99)</f>
        <v>378484</v>
      </c>
      <c r="AE99" s="30">
        <v>1210493</v>
      </c>
      <c r="AF99" s="31">
        <v>226960</v>
      </c>
      <c r="AG99" s="31">
        <f>319829-38574</f>
        <v>281255</v>
      </c>
      <c r="AH99" s="31">
        <v>288586</v>
      </c>
      <c r="AI99" s="28">
        <f>AJ99-SUM(AF99:AH99)</f>
        <v>351878</v>
      </c>
      <c r="AJ99" s="30">
        <f>1187253-38574</f>
        <v>1148679</v>
      </c>
      <c r="AK99" s="31">
        <v>230929</v>
      </c>
      <c r="AL99" s="31">
        <f>382599-100000</f>
        <v>282599</v>
      </c>
      <c r="AM99" s="28">
        <f t="shared" ref="AM99:AN99" si="481">AM106*AM49</f>
        <v>310995.7643286</v>
      </c>
      <c r="AN99" s="28">
        <f t="shared" si="481"/>
        <v>388039.7287725</v>
      </c>
      <c r="AO99" s="27">
        <f>SUM(AK99:AN99)</f>
        <v>1212563.4931011</v>
      </c>
      <c r="AP99" s="28">
        <f t="shared" ref="AP99:AS99" si="482">AP106*AP49</f>
        <v>222468.7985856</v>
      </c>
      <c r="AQ99" s="28">
        <f t="shared" si="482"/>
        <v>272500.0675341</v>
      </c>
      <c r="AR99" s="28">
        <f t="shared" si="482"/>
        <v>299961.217181402</v>
      </c>
      <c r="AS99" s="28">
        <f t="shared" si="482"/>
        <v>372295.718731106</v>
      </c>
      <c r="AT99" s="27">
        <f>SUM(AP99:AS99)</f>
        <v>1167225.80203221</v>
      </c>
      <c r="AU99" s="28">
        <f t="shared" ref="AU99:AX99" si="483">AU106*AU49</f>
        <v>210860.37335145</v>
      </c>
      <c r="AV99" s="28">
        <f t="shared" si="483"/>
        <v>260048.63715732</v>
      </c>
      <c r="AW99" s="28">
        <f t="shared" si="483"/>
        <v>286342.564843917</v>
      </c>
      <c r="AX99" s="28">
        <f t="shared" si="483"/>
        <v>353208.094233217</v>
      </c>
      <c r="AY99" s="27">
        <f>SUM(AU99:AX99)</f>
        <v>1110459.6695859</v>
      </c>
    </row>
    <row r="100" hidden="1" outlineLevel="1" spans="1:51">
      <c r="A100" s="210" t="s">
        <v>84</v>
      </c>
      <c r="B100" s="216"/>
      <c r="C100" s="216"/>
      <c r="D100" s="216"/>
      <c r="E100" s="216"/>
      <c r="F100" s="216"/>
      <c r="G100" s="331"/>
      <c r="H100" s="331"/>
      <c r="I100" s="331"/>
      <c r="J100" s="331"/>
      <c r="K100" s="332"/>
      <c r="L100" s="331"/>
      <c r="M100" s="331"/>
      <c r="N100" s="331"/>
      <c r="O100" s="331"/>
      <c r="P100" s="30">
        <v>118235</v>
      </c>
      <c r="Q100" s="31">
        <f>30107-SUM(R100:S100)</f>
        <v>9107</v>
      </c>
      <c r="R100" s="31">
        <v>17545</v>
      </c>
      <c r="S100" s="31">
        <v>3455</v>
      </c>
      <c r="T100" s="28">
        <f t="shared" ref="T100:T102" si="484">U100-SUM(Q100:S100)</f>
        <v>15078</v>
      </c>
      <c r="U100" s="30">
        <v>45185</v>
      </c>
      <c r="V100" s="31">
        <v>-1485</v>
      </c>
      <c r="W100" s="31">
        <v>29860</v>
      </c>
      <c r="X100" s="31">
        <v>20795</v>
      </c>
      <c r="Y100" s="28">
        <f t="shared" ref="Y100:Y102" si="485">Z100-SUM(V100:X100)</f>
        <v>32046</v>
      </c>
      <c r="Z100" s="30">
        <v>81216</v>
      </c>
      <c r="AA100" s="31">
        <v>24501</v>
      </c>
      <c r="AB100" s="31">
        <v>38040</v>
      </c>
      <c r="AC100" s="31">
        <v>21708</v>
      </c>
      <c r="AD100" s="28">
        <f t="shared" ref="AD100:AD102" si="486">AE100-SUM(AA100:AC100)</f>
        <v>25572</v>
      </c>
      <c r="AE100" s="30">
        <v>109821</v>
      </c>
      <c r="AF100" s="31">
        <v>16034</v>
      </c>
      <c r="AG100" s="31">
        <v>24530</v>
      </c>
      <c r="AH100" s="31">
        <v>21484</v>
      </c>
      <c r="AI100" s="28">
        <f t="shared" ref="AI100:AI102" si="487">AJ100-SUM(AF100:AH100)</f>
        <v>29466</v>
      </c>
      <c r="AJ100" s="30">
        <v>91514</v>
      </c>
      <c r="AK100" s="31">
        <v>3404</v>
      </c>
      <c r="AL100" s="31">
        <v>27244</v>
      </c>
      <c r="AM100" s="28">
        <f t="shared" ref="AM100:AN100" si="488">AM107*AM50</f>
        <v>20089.89698</v>
      </c>
      <c r="AN100" s="28">
        <f t="shared" si="488"/>
        <v>25980.894464</v>
      </c>
      <c r="AO100" s="27">
        <f t="shared" ref="AO100:AO103" si="489">SUM(AK100:AN100)</f>
        <v>76718.791444</v>
      </c>
      <c r="AP100" s="28">
        <f t="shared" ref="AP100:AS100" si="490">AP107*AP50</f>
        <v>1834.951335</v>
      </c>
      <c r="AQ100" s="28">
        <f t="shared" si="490"/>
        <v>26750.15805</v>
      </c>
      <c r="AR100" s="28">
        <f t="shared" si="490"/>
        <v>18453.553057716</v>
      </c>
      <c r="AS100" s="28">
        <f t="shared" si="490"/>
        <v>24138.2616428128</v>
      </c>
      <c r="AT100" s="27">
        <f t="shared" ref="AT100:AT103" si="491">SUM(AP100:AS100)</f>
        <v>71176.9240855288</v>
      </c>
      <c r="AU100" s="28">
        <f t="shared" ref="AU100:AX100" si="492">AU107*AU50</f>
        <v>61.1658794669999</v>
      </c>
      <c r="AV100" s="28">
        <f t="shared" si="492"/>
        <v>25102.67598741</v>
      </c>
      <c r="AW100" s="28">
        <f t="shared" si="492"/>
        <v>16743.3115904773</v>
      </c>
      <c r="AX100" s="28">
        <f t="shared" si="492"/>
        <v>22211.0584410415</v>
      </c>
      <c r="AY100" s="27">
        <f t="shared" ref="AY100:AY103" si="493">SUM(AU100:AX100)</f>
        <v>64118.2118983958</v>
      </c>
    </row>
    <row r="101" hidden="1" outlineLevel="1" spans="1:51">
      <c r="A101" s="363" t="s">
        <v>85</v>
      </c>
      <c r="B101" s="364"/>
      <c r="C101" s="364"/>
      <c r="D101" s="364"/>
      <c r="E101" s="364"/>
      <c r="F101" s="364"/>
      <c r="G101" s="324"/>
      <c r="H101" s="324"/>
      <c r="I101" s="324"/>
      <c r="J101" s="324"/>
      <c r="K101" s="325"/>
      <c r="L101" s="324"/>
      <c r="M101" s="324"/>
      <c r="N101" s="324"/>
      <c r="O101" s="324"/>
      <c r="P101" s="327">
        <v>-20240</v>
      </c>
      <c r="Q101" s="326">
        <f>-21128-SUM(R101:S101)</f>
        <v>-9105</v>
      </c>
      <c r="R101" s="326">
        <v>-6380</v>
      </c>
      <c r="S101" s="326">
        <v>-5643</v>
      </c>
      <c r="T101" s="28">
        <f t="shared" si="484"/>
        <v>-7979</v>
      </c>
      <c r="U101" s="327">
        <v>-29107</v>
      </c>
      <c r="V101" s="326">
        <v>-2547</v>
      </c>
      <c r="W101" s="326">
        <v>-464</v>
      </c>
      <c r="X101" s="326">
        <v>-3261</v>
      </c>
      <c r="Y101" s="365">
        <f t="shared" si="485"/>
        <v>-4286</v>
      </c>
      <c r="Z101" s="327">
        <v>-10558</v>
      </c>
      <c r="AA101" s="326">
        <v>-322</v>
      </c>
      <c r="AB101" s="326">
        <v>-3245</v>
      </c>
      <c r="AC101" s="326">
        <v>-4181</v>
      </c>
      <c r="AD101" s="365">
        <f t="shared" si="486"/>
        <v>-4263</v>
      </c>
      <c r="AE101" s="327">
        <v>-12011</v>
      </c>
      <c r="AF101" s="326">
        <v>-4410</v>
      </c>
      <c r="AG101" s="326">
        <v>-5967</v>
      </c>
      <c r="AH101" s="326">
        <v>-6306</v>
      </c>
      <c r="AI101" s="365">
        <f t="shared" si="487"/>
        <v>-10914</v>
      </c>
      <c r="AJ101" s="327">
        <v>-27597</v>
      </c>
      <c r="AK101" s="326">
        <v>-885</v>
      </c>
      <c r="AL101" s="326">
        <v>-3396</v>
      </c>
      <c r="AM101" s="365">
        <f t="shared" ref="AM101:AN101" si="494">AM108*AM51</f>
        <v>-7762.18393731373</v>
      </c>
      <c r="AN101" s="365">
        <f t="shared" si="494"/>
        <v>-14206.4122062248</v>
      </c>
      <c r="AO101" s="366">
        <f t="shared" si="489"/>
        <v>-26249.5961435385</v>
      </c>
      <c r="AP101" s="365">
        <f t="shared" ref="AP101:AS101" si="495">AP108*AP51</f>
        <v>-3215.63225223449</v>
      </c>
      <c r="AQ101" s="365">
        <f t="shared" si="495"/>
        <v>-5678.55409468054</v>
      </c>
      <c r="AR101" s="365">
        <f t="shared" si="495"/>
        <v>-10776.9527924147</v>
      </c>
      <c r="AS101" s="365">
        <f t="shared" si="495"/>
        <v>-18192.7236717146</v>
      </c>
      <c r="AT101" s="366">
        <f t="shared" si="491"/>
        <v>-37863.8628110443</v>
      </c>
      <c r="AU101" s="365">
        <f t="shared" ref="AU101:AX101" si="496">AU108*AU51</f>
        <v>-5487.73339726907</v>
      </c>
      <c r="AV101" s="365">
        <f t="shared" si="496"/>
        <v>-7808.80657543265</v>
      </c>
      <c r="AW101" s="365">
        <f t="shared" si="496"/>
        <v>-13997.9157889768</v>
      </c>
      <c r="AX101" s="365">
        <f t="shared" si="496"/>
        <v>-22421.7575821878</v>
      </c>
      <c r="AY101" s="366">
        <f t="shared" si="493"/>
        <v>-49716.2133438663</v>
      </c>
    </row>
    <row r="102" hidden="1" outlineLevel="1" spans="1:51">
      <c r="A102" s="29" t="s">
        <v>91</v>
      </c>
      <c r="B102" s="135"/>
      <c r="C102" s="135"/>
      <c r="D102" s="135"/>
      <c r="E102" s="135"/>
      <c r="F102" s="135"/>
      <c r="G102" s="331"/>
      <c r="H102" s="331"/>
      <c r="I102" s="331"/>
      <c r="J102" s="331"/>
      <c r="K102" s="332"/>
      <c r="L102" s="331"/>
      <c r="M102" s="331"/>
      <c r="N102" s="331"/>
      <c r="O102" s="331"/>
      <c r="P102" s="30">
        <f>-5880-403622+17283+12100</f>
        <v>-380119</v>
      </c>
      <c r="Q102" s="31">
        <f>-5972-299108+3901-SUM(R102:S102)</f>
        <v>-95992</v>
      </c>
      <c r="R102" s="31">
        <f>-2825-95388-979</f>
        <v>-99192</v>
      </c>
      <c r="S102" s="31">
        <f>-1254-105747+1006</f>
        <v>-105995</v>
      </c>
      <c r="T102" s="28">
        <f t="shared" si="484"/>
        <v>-91665</v>
      </c>
      <c r="U102" s="30">
        <f>-9051-400508+2684+14031</f>
        <v>-392844</v>
      </c>
      <c r="V102" s="31">
        <f>-1889-119405+2889+4436</f>
        <v>-113969</v>
      </c>
      <c r="W102" s="31">
        <f>-3114-116198+2695</f>
        <v>-116617</v>
      </c>
      <c r="X102" s="31">
        <f>-3202-132496-1256</f>
        <v>-136954</v>
      </c>
      <c r="Y102" s="28">
        <f t="shared" si="485"/>
        <v>-154303</v>
      </c>
      <c r="Z102" s="30">
        <f>-526279+4436</f>
        <v>-521843</v>
      </c>
      <c r="AA102" s="31">
        <v>-146677</v>
      </c>
      <c r="AB102" s="31">
        <f>-5002-129355+67</f>
        <v>-134290</v>
      </c>
      <c r="AC102" s="31">
        <f>-4671-139691+1575</f>
        <v>-142787</v>
      </c>
      <c r="AD102" s="28">
        <f t="shared" si="486"/>
        <v>-143729</v>
      </c>
      <c r="AE102" s="30">
        <v>-567483</v>
      </c>
      <c r="AF102" s="31">
        <v>-137051</v>
      </c>
      <c r="AG102" s="31">
        <f>-131734</f>
        <v>-131734</v>
      </c>
      <c r="AH102" s="31">
        <v>-148743</v>
      </c>
      <c r="AI102" s="28">
        <f t="shared" si="487"/>
        <v>-134499</v>
      </c>
      <c r="AJ102" s="30">
        <v>-552027</v>
      </c>
      <c r="AK102" s="31">
        <v>-144651</v>
      </c>
      <c r="AL102" s="31">
        <v>-153747</v>
      </c>
      <c r="AM102" s="28">
        <f t="shared" ref="AM102:AN102" si="497">AM103-SUM(AM99:AM101)</f>
        <v>-154000.258125763</v>
      </c>
      <c r="AN102" s="28">
        <f t="shared" si="497"/>
        <v>-111848.136370275</v>
      </c>
      <c r="AO102" s="27">
        <f t="shared" si="489"/>
        <v>-564246.394496038</v>
      </c>
      <c r="AP102" s="28">
        <f t="shared" ref="AP102" si="498">AP103-SUM(AP99:AP101)</f>
        <v>-117372.324880088</v>
      </c>
      <c r="AQ102" s="28">
        <f t="shared" ref="AQ102" si="499">AQ103-SUM(AQ99:AQ101)</f>
        <v>-132112.798369419</v>
      </c>
      <c r="AR102" s="28">
        <f t="shared" ref="AR102" si="500">AR103-SUM(AR99:AR101)</f>
        <v>-133599.787901122</v>
      </c>
      <c r="AS102" s="28">
        <f t="shared" ref="AS102" si="501">AS103-SUM(AS99:AS101)</f>
        <v>-81870.3857876666</v>
      </c>
      <c r="AT102" s="27">
        <f t="shared" si="491"/>
        <v>-464955.296938296</v>
      </c>
      <c r="AU102" s="28">
        <f t="shared" ref="AU102:AX102" si="502">AU103-SUM(AU99:AU101)</f>
        <v>-96506.2037772681</v>
      </c>
      <c r="AV102" s="28">
        <f t="shared" si="502"/>
        <v>-111447.872982237</v>
      </c>
      <c r="AW102" s="28">
        <f t="shared" si="502"/>
        <v>-109841.781851612</v>
      </c>
      <c r="AX102" s="28">
        <f t="shared" si="502"/>
        <v>-43912.9791188394</v>
      </c>
      <c r="AY102" s="27">
        <f t="shared" si="493"/>
        <v>-361708.837729956</v>
      </c>
    </row>
    <row r="103" hidden="1" outlineLevel="1" spans="1:51">
      <c r="A103" s="2" t="s">
        <v>70</v>
      </c>
      <c r="B103" s="295"/>
      <c r="C103" s="295"/>
      <c r="D103" s="295"/>
      <c r="E103" s="295"/>
      <c r="F103" s="295"/>
      <c r="G103" s="367"/>
      <c r="H103" s="367"/>
      <c r="I103" s="367"/>
      <c r="J103" s="367"/>
      <c r="K103" s="368"/>
      <c r="L103" s="367"/>
      <c r="M103" s="367"/>
      <c r="N103" s="367"/>
      <c r="O103" s="367"/>
      <c r="P103" s="369">
        <f>SUM(P99:P102)</f>
        <v>355184</v>
      </c>
      <c r="Q103" s="370">
        <f>SUM(Q99:Q102)</f>
        <v>-9726</v>
      </c>
      <c r="R103" s="370">
        <f>SUM(R99:R102)</f>
        <v>-2191</v>
      </c>
      <c r="S103" s="370">
        <f>SUM(S99:S102)</f>
        <v>17543</v>
      </c>
      <c r="T103" s="370">
        <f>SUM(T99:T102)</f>
        <v>101053</v>
      </c>
      <c r="U103" s="369">
        <f t="shared" ref="U103:AF103" si="503">SUM(U99:U102)</f>
        <v>106679</v>
      </c>
      <c r="V103" s="370">
        <f t="shared" si="503"/>
        <v>38444</v>
      </c>
      <c r="W103" s="370">
        <f t="shared" si="503"/>
        <v>89842</v>
      </c>
      <c r="X103" s="370">
        <f t="shared" si="503"/>
        <v>138020</v>
      </c>
      <c r="Y103" s="370">
        <f t="shared" si="503"/>
        <v>222801</v>
      </c>
      <c r="Z103" s="369">
        <f t="shared" si="503"/>
        <v>489107</v>
      </c>
      <c r="AA103" s="370">
        <f t="shared" si="503"/>
        <v>129849</v>
      </c>
      <c r="AB103" s="370">
        <f t="shared" si="503"/>
        <v>175625</v>
      </c>
      <c r="AC103" s="370">
        <f t="shared" si="503"/>
        <v>179282</v>
      </c>
      <c r="AD103" s="370">
        <f t="shared" si="503"/>
        <v>256064</v>
      </c>
      <c r="AE103" s="369">
        <f t="shared" si="503"/>
        <v>740820</v>
      </c>
      <c r="AF103" s="370">
        <f t="shared" si="503"/>
        <v>101533</v>
      </c>
      <c r="AG103" s="370">
        <f t="shared" ref="AG103:AH103" si="504">SUM(AG99:AG102)</f>
        <v>168084</v>
      </c>
      <c r="AH103" s="370">
        <f t="shared" si="504"/>
        <v>155021</v>
      </c>
      <c r="AI103" s="370">
        <f t="shared" ref="AI103" si="505">SUM(AI99:AI102)</f>
        <v>235931</v>
      </c>
      <c r="AJ103" s="369">
        <f t="shared" ref="AJ103:AL103" si="506">SUM(AJ99:AJ102)</f>
        <v>660569</v>
      </c>
      <c r="AK103" s="370">
        <f t="shared" si="506"/>
        <v>88797</v>
      </c>
      <c r="AL103" s="370">
        <f t="shared" si="506"/>
        <v>152700</v>
      </c>
      <c r="AM103" s="370">
        <f>IS!AM12</f>
        <v>169323.219245524</v>
      </c>
      <c r="AN103" s="370">
        <f>IS!AN12</f>
        <v>287966.07466</v>
      </c>
      <c r="AO103" s="27">
        <f t="shared" si="489"/>
        <v>698786.293905524</v>
      </c>
      <c r="AP103" s="370">
        <f>IS!AP12</f>
        <v>103715.792788277</v>
      </c>
      <c r="AQ103" s="370">
        <f>IS!AQ12</f>
        <v>161458.87312</v>
      </c>
      <c r="AR103" s="370">
        <f>IS!AR12</f>
        <v>174038.029545581</v>
      </c>
      <c r="AS103" s="370">
        <f>IS!AS12</f>
        <v>296370.870914538</v>
      </c>
      <c r="AT103" s="27">
        <f t="shared" si="491"/>
        <v>735583.566368396</v>
      </c>
      <c r="AU103" s="370">
        <f>IS!AU12</f>
        <v>108927.60205638</v>
      </c>
      <c r="AV103" s="370">
        <f>IS!AV12</f>
        <v>165894.63358706</v>
      </c>
      <c r="AW103" s="370">
        <f>IS!AW12</f>
        <v>179246.178793805</v>
      </c>
      <c r="AX103" s="370">
        <f>IS!AX12</f>
        <v>309084.415973231</v>
      </c>
      <c r="AY103" s="27">
        <f t="shared" si="493"/>
        <v>763152.830410477</v>
      </c>
    </row>
    <row r="104" hidden="1" outlineLevel="1" spans="1:51">
      <c r="G104" s="3"/>
      <c r="H104" s="3"/>
      <c r="I104" s="3"/>
      <c r="J104" s="3"/>
      <c r="K104" s="4"/>
      <c r="L104" s="3"/>
      <c r="M104" s="3"/>
      <c r="N104" s="3"/>
      <c r="O104" s="280"/>
      <c r="P104" s="281" t="str">
        <f>IF(P103-IS!P12=0,"-",P103-IS!P12)</f>
        <v>-</v>
      </c>
      <c r="Q104" s="280"/>
      <c r="R104" s="280"/>
      <c r="S104" s="280"/>
      <c r="T104" s="280"/>
      <c r="U104" s="281" t="str">
        <f>IF(U103-IS!U12=0,"-",U103-IS!U12)</f>
        <v>-</v>
      </c>
      <c r="V104" s="280" t="str">
        <f>IF(V103-IS!V12=0,"-",V103-IS!V12)</f>
        <v>-</v>
      </c>
      <c r="W104" s="280" t="str">
        <f>IF(W103-IS!W12=0,"-",W103-IS!W12)</f>
        <v>-</v>
      </c>
      <c r="X104" s="280" t="str">
        <f>IF(X103-IS!X12=0,"-",X103-IS!X12)</f>
        <v>-</v>
      </c>
      <c r="Y104" s="280" t="str">
        <f>IF(Y103-IS!Y12=0,"-",Y103-IS!Y12)</f>
        <v>-</v>
      </c>
      <c r="Z104" s="281" t="str">
        <f>IF(Z103-IS!Z12=0,"-",Z103-IS!Z12)</f>
        <v>-</v>
      </c>
      <c r="AA104" s="280" t="str">
        <f>IF(AA103-IS!AA12=0,"-",AA103-IS!AA12)</f>
        <v>-</v>
      </c>
      <c r="AB104" s="280" t="str">
        <f>IF(AB103-IS!AB12=0,"-",AB103-IS!AB12)</f>
        <v>-</v>
      </c>
      <c r="AC104" s="280" t="str">
        <f>IF(AC103-IS!AC12=0,"-",AC103-IS!AC12)</f>
        <v>-</v>
      </c>
      <c r="AD104" s="280" t="str">
        <f>IF(AD103-IS!AD12=0,"-",AD103-IS!AD12)</f>
        <v>-</v>
      </c>
      <c r="AE104" s="281" t="str">
        <f>IF(AE103-IS!AE12=0,"-",AE103-IS!AE12)</f>
        <v>-</v>
      </c>
      <c r="AF104" s="280" t="str">
        <f>IF(AF103-IS!AF12=0,"-",AF103-IS!AF12)</f>
        <v>-</v>
      </c>
      <c r="AG104" s="280" t="str">
        <f>IF(AG103-IS!AG12=0,"-",AG103-IS!AG12)</f>
        <v>-</v>
      </c>
      <c r="AH104" s="280" t="str">
        <f>IF(AH103-IS!AH12=0,"-",AH103-IS!AH12)</f>
        <v>-</v>
      </c>
      <c r="AI104" s="280" t="str">
        <f>IF(AI103-IS!AI12=0,"-",AI103-IS!AI12)</f>
        <v>-</v>
      </c>
      <c r="AJ104" s="281" t="str">
        <f>IF(AJ103-IS!AJ12=0,"-",AJ103-IS!AJ12)</f>
        <v>-</v>
      </c>
      <c r="AK104" s="280" t="str">
        <f>IF(AK103-IS!AK12=0,"-",AK103-IS!AK12)</f>
        <v>-</v>
      </c>
      <c r="AL104" s="280" t="str">
        <f>IF(AL103-IS!AL12=0,"-",AL103-IS!AL12)</f>
        <v>-</v>
      </c>
      <c r="AM104" s="3"/>
      <c r="AN104" s="3"/>
      <c r="AO104" s="4"/>
      <c r="AP104" s="3"/>
      <c r="AQ104" s="3"/>
      <c r="AR104" s="3"/>
      <c r="AS104" s="3"/>
      <c r="AT104" s="4"/>
      <c r="AU104" s="3"/>
      <c r="AV104" s="3"/>
      <c r="AW104" s="3"/>
      <c r="AX104" s="3"/>
      <c r="AY104" s="4"/>
    </row>
    <row r="105" hidden="1" outlineLevel="1" spans="1:51">
      <c r="A105" s="285" t="s">
        <v>92</v>
      </c>
      <c r="B105" s="286"/>
      <c r="C105" s="286"/>
      <c r="D105" s="286"/>
      <c r="E105" s="286"/>
      <c r="F105" s="286"/>
      <c r="G105" s="287"/>
      <c r="H105" s="287"/>
      <c r="I105" s="287"/>
      <c r="J105" s="287"/>
      <c r="K105" s="288"/>
      <c r="L105" s="287"/>
      <c r="M105" s="287"/>
      <c r="N105" s="287"/>
      <c r="O105" s="287"/>
      <c r="P105" s="288"/>
      <c r="Q105" s="287"/>
      <c r="R105" s="287"/>
      <c r="S105" s="287"/>
      <c r="T105" s="287"/>
      <c r="U105" s="288"/>
      <c r="V105" s="287"/>
      <c r="W105" s="287"/>
      <c r="X105" s="287"/>
      <c r="Y105" s="287"/>
      <c r="Z105" s="288"/>
      <c r="AA105" s="287"/>
      <c r="AB105" s="287"/>
      <c r="AC105" s="287"/>
      <c r="AD105" s="287"/>
      <c r="AE105" s="288"/>
      <c r="AF105" s="287"/>
      <c r="AG105" s="287"/>
      <c r="AH105" s="287"/>
      <c r="AI105" s="287"/>
      <c r="AJ105" s="288"/>
      <c r="AK105" s="287"/>
      <c r="AL105" s="287"/>
      <c r="AM105" s="287"/>
      <c r="AN105" s="287"/>
      <c r="AO105" s="288"/>
      <c r="AP105" s="287"/>
      <c r="AQ105" s="287"/>
      <c r="AR105" s="287"/>
      <c r="AS105" s="287"/>
      <c r="AT105" s="288"/>
      <c r="AU105" s="287"/>
      <c r="AV105" s="287"/>
      <c r="AW105" s="287"/>
      <c r="AX105" s="287"/>
      <c r="AY105" s="288"/>
    </row>
    <row r="106" hidden="1" outlineLevel="1" spans="1:51">
      <c r="A106" s="210" t="s">
        <v>83</v>
      </c>
      <c r="B106" s="216"/>
      <c r="C106" s="216"/>
      <c r="D106" s="216"/>
      <c r="E106" s="216"/>
      <c r="F106" s="216"/>
      <c r="G106" s="343"/>
      <c r="H106" s="343"/>
      <c r="I106" s="343"/>
      <c r="J106" s="343"/>
      <c r="K106" s="344"/>
      <c r="L106" s="343"/>
      <c r="M106" s="343"/>
      <c r="N106" s="343"/>
      <c r="O106" s="343"/>
      <c r="P106" s="64">
        <f>P99/P49</f>
        <v>0.228754179386539</v>
      </c>
      <c r="Q106" s="66">
        <f t="shared" ref="Q106:T106" si="507">Q99/Q49</f>
        <v>0.139383676740519</v>
      </c>
      <c r="R106" s="66">
        <f t="shared" si="507"/>
        <v>0.139970386991149</v>
      </c>
      <c r="S106" s="66">
        <f t="shared" si="507"/>
        <v>0.176121368335528</v>
      </c>
      <c r="T106" s="66">
        <f t="shared" si="507"/>
        <v>0.191144805172739</v>
      </c>
      <c r="U106" s="64">
        <f t="shared" ref="U106:AG106" si="508">U99/U49</f>
        <v>0.165728460305146</v>
      </c>
      <c r="V106" s="66">
        <f t="shared" si="508"/>
        <v>0.235106090411663</v>
      </c>
      <c r="W106" s="66">
        <f t="shared" si="508"/>
        <v>0.242078840403759</v>
      </c>
      <c r="X106" s="66">
        <f t="shared" si="508"/>
        <v>0.296738230866585</v>
      </c>
      <c r="Y106" s="66">
        <f t="shared" si="508"/>
        <v>0.293256126501458</v>
      </c>
      <c r="Z106" s="64">
        <f t="shared" si="508"/>
        <v>0.272100819666201</v>
      </c>
      <c r="AA106" s="66">
        <f t="shared" si="508"/>
        <v>0.307694840151636</v>
      </c>
      <c r="AB106" s="66">
        <f t="shared" si="508"/>
        <v>0.305273716634266</v>
      </c>
      <c r="AC106" s="66">
        <f t="shared" si="508"/>
        <v>0.30872553978969</v>
      </c>
      <c r="AD106" s="66">
        <f t="shared" si="508"/>
        <v>0.286791137514018</v>
      </c>
      <c r="AE106" s="64">
        <f t="shared" si="508"/>
        <v>0.300555876404154</v>
      </c>
      <c r="AF106" s="66">
        <f t="shared" si="508"/>
        <v>0.259440971920567</v>
      </c>
      <c r="AG106" s="66">
        <f t="shared" si="508"/>
        <v>0.288703551632108</v>
      </c>
      <c r="AH106" s="66">
        <f t="shared" ref="AH106:AK106" si="509">AH99/AH49</f>
        <v>0.272907982236479</v>
      </c>
      <c r="AI106" s="66">
        <f t="shared" si="509"/>
        <v>0.254257581417732</v>
      </c>
      <c r="AJ106" s="64">
        <f t="shared" si="509"/>
        <v>0.267732691279008</v>
      </c>
      <c r="AK106" s="66">
        <f t="shared" si="509"/>
        <v>0.256603744232974</v>
      </c>
      <c r="AL106" s="66">
        <f t="shared" ref="AL106" si="510">AL99/AL49</f>
        <v>0.276912057083673</v>
      </c>
      <c r="AM106" s="66">
        <f t="shared" ref="AM106:AN106" si="511">AH106+AM112/10^4</f>
        <v>0.277907982236479</v>
      </c>
      <c r="AN106" s="66">
        <f t="shared" si="511"/>
        <v>0.259257581417732</v>
      </c>
      <c r="AO106" s="64">
        <f>AO99/AO49</f>
        <v>0.267303755353805</v>
      </c>
      <c r="AP106" s="66">
        <f t="shared" ref="AP106:AP108" si="512">AK106+AP112/10^4</f>
        <v>0.237603744232975</v>
      </c>
      <c r="AQ106" s="66">
        <f t="shared" ref="AQ106:AQ108" si="513">AL106+AQ112/10^4</f>
        <v>0.257912057083673</v>
      </c>
      <c r="AR106" s="66">
        <f t="shared" ref="AR106:AR108" si="514">AM106+AR112/10^4</f>
        <v>0.258907982236479</v>
      </c>
      <c r="AS106" s="66">
        <f t="shared" ref="AS106:AS108" si="515">AN106+AS112/10^4</f>
        <v>0.240257581417732</v>
      </c>
      <c r="AT106" s="64">
        <f>AT99/AT49</f>
        <v>0.248293308632053</v>
      </c>
      <c r="AU106" s="66">
        <f t="shared" ref="AU106:AU108" si="516">AP106+AU112/10^4</f>
        <v>0.218603744232975</v>
      </c>
      <c r="AV106" s="66">
        <f t="shared" ref="AV106:AV108" si="517">AQ106+AV112/10^4</f>
        <v>0.238912057083673</v>
      </c>
      <c r="AW106" s="66">
        <f t="shared" ref="AW106:AW108" si="518">AR106+AW112/10^4</f>
        <v>0.239907982236479</v>
      </c>
      <c r="AX106" s="66">
        <f t="shared" ref="AX106:AX108" si="519">AS106+AX112/10^4</f>
        <v>0.221257581417732</v>
      </c>
      <c r="AY106" s="64">
        <f>AY99/AY49</f>
        <v>0.229293308632053</v>
      </c>
    </row>
    <row r="107" hidden="1" outlineLevel="1" spans="1:51">
      <c r="A107" s="210" t="s">
        <v>84</v>
      </c>
      <c r="B107" s="216"/>
      <c r="C107" s="216"/>
      <c r="D107" s="216"/>
      <c r="E107" s="216"/>
      <c r="F107" s="216"/>
      <c r="G107" s="343"/>
      <c r="H107" s="343"/>
      <c r="I107" s="343"/>
      <c r="J107" s="343"/>
      <c r="K107" s="344"/>
      <c r="L107" s="343"/>
      <c r="M107" s="343"/>
      <c r="N107" s="343"/>
      <c r="O107" s="343"/>
      <c r="P107" s="64">
        <f>P100/P50</f>
        <v>0.156587716138329</v>
      </c>
      <c r="Q107" s="66">
        <f t="shared" ref="Q107:T107" si="520">Q100/Q50</f>
        <v>0.055540986405967</v>
      </c>
      <c r="R107" s="66">
        <f t="shared" si="520"/>
        <v>0.106444939239324</v>
      </c>
      <c r="S107" s="66">
        <f t="shared" si="520"/>
        <v>0.0248847594353212</v>
      </c>
      <c r="T107" s="66">
        <f t="shared" si="520"/>
        <v>0.0779627714581179</v>
      </c>
      <c r="U107" s="64">
        <f t="shared" ref="U107:AG107" si="521">U100/U50</f>
        <v>0.0683548248506889</v>
      </c>
      <c r="V107" s="66">
        <f t="shared" si="521"/>
        <v>-0.0107526103138169</v>
      </c>
      <c r="W107" s="66">
        <f t="shared" si="521"/>
        <v>0.17364301415429</v>
      </c>
      <c r="X107" s="66">
        <f t="shared" si="521"/>
        <v>0.131633919076315</v>
      </c>
      <c r="Y107" s="66">
        <f t="shared" si="521"/>
        <v>0.146295366354714</v>
      </c>
      <c r="Z107" s="64">
        <f t="shared" si="521"/>
        <v>0.118202167389033</v>
      </c>
      <c r="AA107" s="66">
        <f t="shared" si="521"/>
        <v>0.148690966027018</v>
      </c>
      <c r="AB107" s="66">
        <f t="shared" si="521"/>
        <v>0.19050289961038</v>
      </c>
      <c r="AC107" s="66">
        <f t="shared" si="521"/>
        <v>0.119542711132649</v>
      </c>
      <c r="AD107" s="66">
        <f t="shared" si="521"/>
        <v>0.113923204747246</v>
      </c>
      <c r="AE107" s="64">
        <f t="shared" si="521"/>
        <v>0.142528607341286</v>
      </c>
      <c r="AF107" s="66">
        <f t="shared" si="521"/>
        <v>0.0866534079854731</v>
      </c>
      <c r="AG107" s="66">
        <f t="shared" si="521"/>
        <v>0.124385173165661</v>
      </c>
      <c r="AH107" s="66">
        <f t="shared" ref="AH107:AK107" si="522">AH100/AH50</f>
        <v>0.110451904786386</v>
      </c>
      <c r="AI107" s="66">
        <f t="shared" si="522"/>
        <v>0.12207105690518</v>
      </c>
      <c r="AJ107" s="64">
        <f t="shared" si="522"/>
        <v>0.111856161537145</v>
      </c>
      <c r="AK107" s="66">
        <f t="shared" si="522"/>
        <v>0.0203378083681358</v>
      </c>
      <c r="AL107" s="66">
        <f t="shared" ref="AL107" si="523">AL100/AL50</f>
        <v>0.134877964255656</v>
      </c>
      <c r="AM107" s="66">
        <f t="shared" ref="AM107:AN107" si="524">AH107+AM113/10^4</f>
        <v>0.100451904786386</v>
      </c>
      <c r="AN107" s="66">
        <f t="shared" si="524"/>
        <v>0.11207105690518</v>
      </c>
      <c r="AO107" s="64">
        <f>AO100/AO50</f>
        <v>0.0957568439142236</v>
      </c>
      <c r="AP107" s="66">
        <f t="shared" si="512"/>
        <v>0.0103378083681358</v>
      </c>
      <c r="AQ107" s="66">
        <f t="shared" si="513"/>
        <v>0.124877964255656</v>
      </c>
      <c r="AR107" s="66">
        <f t="shared" si="514"/>
        <v>0.0904519047863863</v>
      </c>
      <c r="AS107" s="66">
        <f t="shared" si="515"/>
        <v>0.10207105690518</v>
      </c>
      <c r="AT107" s="64">
        <f>AT100/AT50</f>
        <v>0.0855276590317945</v>
      </c>
      <c r="AU107" s="66">
        <f t="shared" si="516"/>
        <v>0.00033780836813584</v>
      </c>
      <c r="AV107" s="66">
        <f t="shared" si="517"/>
        <v>0.114877964255656</v>
      </c>
      <c r="AW107" s="66">
        <f t="shared" si="518"/>
        <v>0.0804519047863863</v>
      </c>
      <c r="AX107" s="66">
        <f t="shared" si="519"/>
        <v>0.0920710569051801</v>
      </c>
      <c r="AY107" s="64">
        <f>AY100/AY50</f>
        <v>0.0755276590317945</v>
      </c>
    </row>
    <row r="108" hidden="1" outlineLevel="1" spans="1:51">
      <c r="A108" s="210" t="s">
        <v>85</v>
      </c>
      <c r="B108" s="216"/>
      <c r="C108" s="216"/>
      <c r="D108" s="216"/>
      <c r="E108" s="216"/>
      <c r="F108" s="216"/>
      <c r="G108" s="343"/>
      <c r="H108" s="343"/>
      <c r="I108" s="343"/>
      <c r="J108" s="343"/>
      <c r="K108" s="344"/>
      <c r="L108" s="343"/>
      <c r="M108" s="343"/>
      <c r="N108" s="343"/>
      <c r="O108" s="343"/>
      <c r="P108" s="64">
        <f>P101/P51</f>
        <v>-0.117879336754008</v>
      </c>
      <c r="Q108" s="66">
        <f t="shared" ref="Q108:T108" si="525">Q101/Q51</f>
        <v>-0.3045456065826</v>
      </c>
      <c r="R108" s="66">
        <f t="shared" si="525"/>
        <v>-0.236121391561806</v>
      </c>
      <c r="S108" s="66">
        <f t="shared" si="525"/>
        <v>-0.206069237510955</v>
      </c>
      <c r="T108" s="66">
        <f t="shared" si="525"/>
        <v>-0.22588681595561</v>
      </c>
      <c r="U108" s="64">
        <f t="shared" ref="U108:AG108" si="526">U101/U51</f>
        <v>-0.243320738313382</v>
      </c>
      <c r="V108" s="66">
        <f t="shared" si="526"/>
        <v>-0.0784537193901124</v>
      </c>
      <c r="W108" s="66">
        <f t="shared" si="526"/>
        <v>-0.0145199649518087</v>
      </c>
      <c r="X108" s="66">
        <f t="shared" si="526"/>
        <v>-0.105571562692221</v>
      </c>
      <c r="Y108" s="66">
        <f t="shared" si="526"/>
        <v>-0.100615052349876</v>
      </c>
      <c r="Z108" s="64">
        <f t="shared" si="526"/>
        <v>-0.076558285233634</v>
      </c>
      <c r="AA108" s="66">
        <f t="shared" si="526"/>
        <v>-0.00898663168764478</v>
      </c>
      <c r="AB108" s="66">
        <f t="shared" si="526"/>
        <v>-0.0981311237450103</v>
      </c>
      <c r="AC108" s="66">
        <f t="shared" si="526"/>
        <v>-0.102162492364081</v>
      </c>
      <c r="AD108" s="66">
        <f t="shared" si="526"/>
        <v>-0.104664866191996</v>
      </c>
      <c r="AE108" s="64">
        <f t="shared" si="526"/>
        <v>-0.0797786840602043</v>
      </c>
      <c r="AF108" s="66">
        <f t="shared" si="526"/>
        <v>-0.117691014384457</v>
      </c>
      <c r="AG108" s="66">
        <f t="shared" si="526"/>
        <v>-0.160619111709287</v>
      </c>
      <c r="AH108" s="66">
        <f t="shared" ref="AH108:AK108" si="527">AH101/AH51</f>
        <v>-0.163110110964538</v>
      </c>
      <c r="AI108" s="66">
        <f t="shared" si="527"/>
        <v>-0.24539629005059</v>
      </c>
      <c r="AJ108" s="64">
        <f t="shared" si="527"/>
        <v>-0.174933600410758</v>
      </c>
      <c r="AK108" s="66">
        <f t="shared" si="527"/>
        <v>-0.0190306210218476</v>
      </c>
      <c r="AL108" s="66">
        <f t="shared" ref="AL108" si="528">AL101/AL51</f>
        <v>-0.0768986911824646</v>
      </c>
      <c r="AM108" s="66">
        <f t="shared" ref="AM108:AN108" si="529">AH108+AM114/10^4</f>
        <v>-0.162110110964538</v>
      </c>
      <c r="AN108" s="66">
        <f t="shared" si="529"/>
        <v>-0.24439629005059</v>
      </c>
      <c r="AO108" s="64">
        <f>AO101/AO51</f>
        <v>-0.133465671554602</v>
      </c>
      <c r="AP108" s="66">
        <f t="shared" si="512"/>
        <v>-0.0640306210218476</v>
      </c>
      <c r="AQ108" s="66">
        <f t="shared" si="513"/>
        <v>-0.121898691182465</v>
      </c>
      <c r="AR108" s="66">
        <f t="shared" si="514"/>
        <v>-0.207110110964538</v>
      </c>
      <c r="AS108" s="66">
        <f t="shared" si="515"/>
        <v>-0.28939629005059</v>
      </c>
      <c r="AT108" s="64">
        <f>AT101/AT51</f>
        <v>-0.178853075509673</v>
      </c>
      <c r="AU108" s="66">
        <f t="shared" si="516"/>
        <v>-0.109030621021848</v>
      </c>
      <c r="AV108" s="66">
        <f t="shared" si="517"/>
        <v>-0.166898691182465</v>
      </c>
      <c r="AW108" s="66">
        <f t="shared" si="518"/>
        <v>-0.252110110964538</v>
      </c>
      <c r="AX108" s="66">
        <f t="shared" si="519"/>
        <v>-0.33439629005059</v>
      </c>
      <c r="AY108" s="64">
        <f>AY101/AY51</f>
        <v>-0.226297319623868</v>
      </c>
    </row>
    <row r="109" hidden="1" outlineLevel="1" spans="1:51">
      <c r="A109" s="2" t="s">
        <v>70</v>
      </c>
      <c r="B109" s="295"/>
      <c r="C109" s="295"/>
      <c r="D109" s="295"/>
      <c r="E109" s="295"/>
      <c r="F109" s="295"/>
      <c r="G109" s="343"/>
      <c r="H109" s="343"/>
      <c r="I109" s="343"/>
      <c r="J109" s="343"/>
      <c r="K109" s="344"/>
      <c r="L109" s="343"/>
      <c r="M109" s="343"/>
      <c r="N109" s="343"/>
      <c r="O109" s="343"/>
      <c r="P109" s="371">
        <f>P103/P52</f>
        <v>0.095665551954768</v>
      </c>
      <c r="Q109" s="372">
        <f t="shared" ref="Q109:T109" si="530">Q103/Q52</f>
        <v>-0.0119666027693224</v>
      </c>
      <c r="R109" s="372">
        <f t="shared" si="530"/>
        <v>-0.00272143149035326</v>
      </c>
      <c r="S109" s="372">
        <f t="shared" si="530"/>
        <v>0.0199333245462933</v>
      </c>
      <c r="T109" s="372">
        <f t="shared" si="530"/>
        <v>0.0842238880359789</v>
      </c>
      <c r="U109" s="371">
        <f t="shared" ref="U109:AG109" si="531">U103/U52</f>
        <v>0.0288496981002777</v>
      </c>
      <c r="V109" s="372">
        <f t="shared" si="531"/>
        <v>0.0459859759759041</v>
      </c>
      <c r="W109" s="372">
        <f t="shared" si="531"/>
        <v>0.0960522587922104</v>
      </c>
      <c r="X109" s="372">
        <f t="shared" si="531"/>
        <v>0.130647434617121</v>
      </c>
      <c r="Y109" s="372">
        <f t="shared" si="531"/>
        <v>0.153348424916392</v>
      </c>
      <c r="Z109" s="371">
        <f t="shared" si="531"/>
        <v>0.114259263195985</v>
      </c>
      <c r="AA109" s="372">
        <f t="shared" si="531"/>
        <v>0.12721189736757</v>
      </c>
      <c r="AB109" s="372">
        <f t="shared" si="531"/>
        <v>0.154875684980432</v>
      </c>
      <c r="AC109" s="372">
        <f t="shared" si="531"/>
        <v>0.148293665826831</v>
      </c>
      <c r="AD109" s="372">
        <f t="shared" si="531"/>
        <v>0.161563034531146</v>
      </c>
      <c r="AE109" s="371">
        <f t="shared" si="531"/>
        <v>0.149703339559353</v>
      </c>
      <c r="AF109" s="372">
        <f t="shared" si="531"/>
        <v>0.0925289184196641</v>
      </c>
      <c r="AG109" s="372">
        <f t="shared" si="531"/>
        <v>0.139077910902231</v>
      </c>
      <c r="AH109" s="372">
        <f t="shared" ref="AH109:AK109" si="532">AH103/AH52</f>
        <v>0.120113681884429</v>
      </c>
      <c r="AI109" s="372">
        <f t="shared" si="532"/>
        <v>0.141292799984669</v>
      </c>
      <c r="AJ109" s="371">
        <f t="shared" si="532"/>
        <v>0.125433416908899</v>
      </c>
      <c r="AK109" s="372">
        <f t="shared" si="532"/>
        <v>0.0797228639072167</v>
      </c>
      <c r="AL109" s="372">
        <f t="shared" ref="AL109" si="533">AL103/AL52</f>
        <v>0.120550506083182</v>
      </c>
      <c r="AM109" s="372">
        <f t="shared" ref="AM109:AO109" si="534">AM103/AM52</f>
        <v>0.123870485529364</v>
      </c>
      <c r="AN109" s="372">
        <f t="shared" si="534"/>
        <v>0.161173104703096</v>
      </c>
      <c r="AO109" s="371">
        <f t="shared" si="534"/>
        <v>0.126268369947185</v>
      </c>
      <c r="AP109" s="372">
        <f t="shared" ref="AP109:AT109" si="535">AP103/AP52</f>
        <v>0.0891013049723658</v>
      </c>
      <c r="AQ109" s="372">
        <f t="shared" si="535"/>
        <v>0.122562773073374</v>
      </c>
      <c r="AR109" s="372">
        <f t="shared" si="535"/>
        <v>0.123028720908696</v>
      </c>
      <c r="AS109" s="372">
        <f t="shared" si="535"/>
        <v>0.160294190393475</v>
      </c>
      <c r="AT109" s="371">
        <f t="shared" si="535"/>
        <v>0.128040944024509</v>
      </c>
      <c r="AU109" s="372">
        <f t="shared" ref="AU109:AY109" si="536">AU103/AU52</f>
        <v>0.0910783505248431</v>
      </c>
      <c r="AV109" s="372">
        <f t="shared" si="536"/>
        <v>0.122542352956397</v>
      </c>
      <c r="AW109" s="372">
        <f t="shared" si="536"/>
        <v>0.123008065892298</v>
      </c>
      <c r="AX109" s="372">
        <f t="shared" si="536"/>
        <v>0.162278362891026</v>
      </c>
      <c r="AY109" s="371">
        <f t="shared" si="536"/>
        <v>0.129094192125371</v>
      </c>
    </row>
    <row r="110" hidden="1" outlineLevel="1" spans="1:51">
      <c r="G110" s="3"/>
      <c r="H110" s="3"/>
      <c r="I110" s="3"/>
      <c r="J110" s="3"/>
      <c r="K110" s="4"/>
      <c r="L110" s="3"/>
      <c r="M110" s="3"/>
      <c r="N110" s="3"/>
      <c r="O110" s="3"/>
      <c r="P110" s="4"/>
      <c r="Q110" s="3"/>
      <c r="R110" s="3"/>
      <c r="S110" s="3"/>
      <c r="T110" s="3"/>
      <c r="U110" s="4"/>
      <c r="V110" s="3"/>
      <c r="W110" s="3"/>
      <c r="X110" s="3"/>
      <c r="Y110" s="3"/>
      <c r="Z110" s="4"/>
      <c r="AA110" s="3"/>
      <c r="AB110" s="3"/>
      <c r="AC110" s="3"/>
      <c r="AD110" s="3"/>
      <c r="AE110" s="4"/>
      <c r="AF110" s="3"/>
      <c r="AG110" s="3"/>
      <c r="AH110" s="3"/>
      <c r="AI110" s="3"/>
      <c r="AJ110" s="4"/>
      <c r="AK110" s="3"/>
      <c r="AL110" s="3"/>
      <c r="AM110" s="3"/>
      <c r="AN110" s="3"/>
      <c r="AO110" s="4"/>
      <c r="AP110" s="3"/>
      <c r="AQ110" s="3"/>
      <c r="AR110" s="3"/>
      <c r="AS110" s="3"/>
      <c r="AT110" s="4"/>
      <c r="AU110" s="3"/>
      <c r="AV110" s="3"/>
      <c r="AW110" s="3"/>
      <c r="AX110" s="3"/>
      <c r="AY110" s="4"/>
    </row>
    <row r="111" hidden="1" outlineLevel="1" spans="1:51">
      <c r="A111" s="285" t="s">
        <v>93</v>
      </c>
      <c r="B111" s="286"/>
      <c r="C111" s="286"/>
      <c r="D111" s="286"/>
      <c r="E111" s="286"/>
      <c r="F111" s="286"/>
      <c r="G111" s="287"/>
      <c r="H111" s="287"/>
      <c r="I111" s="287"/>
      <c r="J111" s="287"/>
      <c r="K111" s="288"/>
      <c r="L111" s="287"/>
      <c r="M111" s="287"/>
      <c r="N111" s="287"/>
      <c r="O111" s="287"/>
      <c r="P111" s="288"/>
      <c r="Q111" s="287"/>
      <c r="R111" s="287"/>
      <c r="S111" s="287"/>
      <c r="T111" s="287"/>
      <c r="U111" s="288"/>
      <c r="V111" s="287"/>
      <c r="W111" s="287"/>
      <c r="X111" s="287"/>
      <c r="Y111" s="287"/>
      <c r="Z111" s="288"/>
      <c r="AA111" s="287"/>
      <c r="AB111" s="287"/>
      <c r="AC111" s="287"/>
      <c r="AD111" s="287"/>
      <c r="AE111" s="288"/>
      <c r="AF111" s="287"/>
      <c r="AG111" s="287"/>
      <c r="AH111" s="287"/>
      <c r="AI111" s="287"/>
      <c r="AJ111" s="288"/>
      <c r="AK111" s="287"/>
      <c r="AL111" s="287"/>
      <c r="AM111" s="287"/>
      <c r="AN111" s="287"/>
      <c r="AO111" s="288"/>
      <c r="AP111" s="287"/>
      <c r="AQ111" s="287"/>
      <c r="AR111" s="287"/>
      <c r="AS111" s="287"/>
      <c r="AT111" s="288"/>
      <c r="AU111" s="287"/>
      <c r="AV111" s="287"/>
      <c r="AW111" s="287"/>
      <c r="AX111" s="287"/>
      <c r="AY111" s="288"/>
    </row>
    <row r="112" hidden="1" outlineLevel="1" spans="1:51">
      <c r="A112" s="210" t="s">
        <v>83</v>
      </c>
      <c r="B112" s="216"/>
      <c r="C112" s="216"/>
      <c r="D112" s="216"/>
      <c r="E112" s="216"/>
      <c r="F112" s="216"/>
      <c r="G112" s="373"/>
      <c r="H112" s="373"/>
      <c r="I112" s="373"/>
      <c r="J112" s="373"/>
      <c r="K112" s="374"/>
      <c r="L112" s="373"/>
      <c r="M112" s="373"/>
      <c r="N112" s="373"/>
      <c r="O112" s="373"/>
      <c r="P112" s="374"/>
      <c r="Q112" s="373"/>
      <c r="R112" s="373"/>
      <c r="S112" s="373"/>
      <c r="T112" s="373"/>
      <c r="U112" s="375">
        <f t="shared" ref="U112:U115" si="537">(ROUND(U106,3)-ROUND(P106,3))*10^4</f>
        <v>-630</v>
      </c>
      <c r="V112" s="376">
        <f t="shared" ref="V112:V115" si="538">(ROUND(V106,3)-ROUND(Q106,3))*10^4</f>
        <v>960</v>
      </c>
      <c r="W112" s="376">
        <f t="shared" ref="W112:W115" si="539">(ROUND(W106,3)-ROUND(R106,3))*10^4</f>
        <v>1020</v>
      </c>
      <c r="X112" s="376">
        <f t="shared" ref="X112:X115" si="540">(ROUND(X106,3)-ROUND(S106,3))*10^4</f>
        <v>1210</v>
      </c>
      <c r="Y112" s="376">
        <f t="shared" ref="Y112:Y115" si="541">(ROUND(Y106,3)-ROUND(T106,3))*10^4</f>
        <v>1020</v>
      </c>
      <c r="Z112" s="375">
        <f t="shared" ref="Z112:Z115" si="542">(ROUND(Z106,3)-ROUND(U106,3))*10^4</f>
        <v>1060</v>
      </c>
      <c r="AA112" s="376">
        <f t="shared" ref="AA112:AC115" si="543">(ROUND(AA106,3)-ROUND(V106,3))*10^4</f>
        <v>730</v>
      </c>
      <c r="AB112" s="376">
        <f t="shared" si="543"/>
        <v>630</v>
      </c>
      <c r="AC112" s="376">
        <f t="shared" si="543"/>
        <v>120</v>
      </c>
      <c r="AD112" s="376">
        <f t="shared" ref="AD112:AD115" si="544">(ROUND(AD106,3)-ROUND(Y106,3))*10^4</f>
        <v>-60.0000000000001</v>
      </c>
      <c r="AE112" s="375">
        <f t="shared" ref="AE112:AF115" si="545">(ROUND(AE106,3)-ROUND(Z106,3))*10^4</f>
        <v>290</v>
      </c>
      <c r="AF112" s="376">
        <f t="shared" si="545"/>
        <v>-490</v>
      </c>
      <c r="AG112" s="376">
        <f t="shared" ref="AG112:AH115" si="546">(ROUND(AG106,3)-ROUND(AB106,3))*10^4</f>
        <v>-160</v>
      </c>
      <c r="AH112" s="376">
        <f t="shared" si="546"/>
        <v>-360</v>
      </c>
      <c r="AI112" s="376">
        <f t="shared" ref="AI112:AI115" si="547">(ROUND(AI106,3)-ROUND(AD106,3))*10^4</f>
        <v>-330</v>
      </c>
      <c r="AJ112" s="375">
        <f t="shared" ref="AJ112:AL115" si="548">(ROUND(AJ106,3)-ROUND(AE106,3))*10^4</f>
        <v>-330</v>
      </c>
      <c r="AK112" s="376">
        <f t="shared" si="548"/>
        <v>-20</v>
      </c>
      <c r="AL112" s="376">
        <f t="shared" si="548"/>
        <v>-120</v>
      </c>
      <c r="AM112" s="377">
        <v>50</v>
      </c>
      <c r="AN112" s="377">
        <v>50</v>
      </c>
      <c r="AO112" s="375">
        <f>(ROUND(AO106,3)-ROUND(AJ106,3))*10^4</f>
        <v>-10</v>
      </c>
      <c r="AP112" s="377">
        <v>-190</v>
      </c>
      <c r="AQ112" s="377">
        <v>-190</v>
      </c>
      <c r="AR112" s="377">
        <v>-190</v>
      </c>
      <c r="AS112" s="377">
        <v>-190</v>
      </c>
      <c r="AT112" s="375">
        <f>(ROUND(AT106,3)-ROUND(AO106,3))*10^4</f>
        <v>-190</v>
      </c>
      <c r="AU112" s="377">
        <v>-190</v>
      </c>
      <c r="AV112" s="377">
        <v>-190</v>
      </c>
      <c r="AW112" s="377">
        <v>-190</v>
      </c>
      <c r="AX112" s="377">
        <v>-190</v>
      </c>
      <c r="AY112" s="375">
        <f>(ROUND(AY106,3)-ROUND(AT106,3))*10^4</f>
        <v>-190</v>
      </c>
    </row>
    <row r="113" hidden="1" outlineLevel="1" spans="1:51">
      <c r="A113" s="210" t="s">
        <v>84</v>
      </c>
      <c r="B113" s="216"/>
      <c r="C113" s="216"/>
      <c r="D113" s="216"/>
      <c r="E113" s="216"/>
      <c r="F113" s="216"/>
      <c r="G113" s="373"/>
      <c r="H113" s="373"/>
      <c r="I113" s="373"/>
      <c r="J113" s="373"/>
      <c r="K113" s="374"/>
      <c r="L113" s="373"/>
      <c r="M113" s="373"/>
      <c r="N113" s="373"/>
      <c r="O113" s="373"/>
      <c r="P113" s="374"/>
      <c r="Q113" s="373"/>
      <c r="R113" s="373"/>
      <c r="S113" s="373"/>
      <c r="T113" s="373"/>
      <c r="U113" s="375">
        <f t="shared" si="537"/>
        <v>-890</v>
      </c>
      <c r="V113" s="376">
        <f t="shared" si="538"/>
        <v>-670</v>
      </c>
      <c r="W113" s="376">
        <f t="shared" si="539"/>
        <v>680</v>
      </c>
      <c r="X113" s="376">
        <f t="shared" si="540"/>
        <v>1070</v>
      </c>
      <c r="Y113" s="376">
        <f t="shared" si="541"/>
        <v>680</v>
      </c>
      <c r="Z113" s="375">
        <f t="shared" si="542"/>
        <v>500</v>
      </c>
      <c r="AA113" s="376">
        <f t="shared" si="543"/>
        <v>1600</v>
      </c>
      <c r="AB113" s="376">
        <f t="shared" si="543"/>
        <v>170</v>
      </c>
      <c r="AC113" s="376">
        <f t="shared" si="543"/>
        <v>-120</v>
      </c>
      <c r="AD113" s="376">
        <f t="shared" si="544"/>
        <v>-320</v>
      </c>
      <c r="AE113" s="375">
        <f t="shared" si="545"/>
        <v>250</v>
      </c>
      <c r="AF113" s="376">
        <f t="shared" si="545"/>
        <v>-620</v>
      </c>
      <c r="AG113" s="376">
        <f t="shared" si="546"/>
        <v>-670</v>
      </c>
      <c r="AH113" s="376">
        <f t="shared" si="546"/>
        <v>-99.9999999999999</v>
      </c>
      <c r="AI113" s="376">
        <f t="shared" si="547"/>
        <v>79.9999999999999</v>
      </c>
      <c r="AJ113" s="375">
        <f t="shared" si="548"/>
        <v>-310</v>
      </c>
      <c r="AK113" s="376">
        <f t="shared" si="548"/>
        <v>-670</v>
      </c>
      <c r="AL113" s="376">
        <f t="shared" si="548"/>
        <v>110</v>
      </c>
      <c r="AM113" s="377">
        <v>-100</v>
      </c>
      <c r="AN113" s="377">
        <v>-100</v>
      </c>
      <c r="AO113" s="375">
        <f>(ROUND(AO107,3)-ROUND(AJ107,3))*10^4</f>
        <v>-160</v>
      </c>
      <c r="AP113" s="377">
        <v>-100</v>
      </c>
      <c r="AQ113" s="377">
        <v>-100</v>
      </c>
      <c r="AR113" s="377">
        <v>-100</v>
      </c>
      <c r="AS113" s="377">
        <v>-100</v>
      </c>
      <c r="AT113" s="375">
        <f>(ROUND(AT107,3)-ROUND(AO107,3))*10^4</f>
        <v>-100</v>
      </c>
      <c r="AU113" s="377">
        <v>-100</v>
      </c>
      <c r="AV113" s="377">
        <v>-100</v>
      </c>
      <c r="AW113" s="377">
        <v>-100</v>
      </c>
      <c r="AX113" s="377">
        <v>-100</v>
      </c>
      <c r="AY113" s="375">
        <f>(ROUND(AY107,3)-ROUND(AT107,3))*10^4</f>
        <v>-99.9999999999999</v>
      </c>
    </row>
    <row r="114" hidden="1" outlineLevel="1" spans="1:51">
      <c r="A114" s="210" t="s">
        <v>85</v>
      </c>
      <c r="B114" s="216"/>
      <c r="C114" s="216"/>
      <c r="D114" s="216"/>
      <c r="E114" s="216"/>
      <c r="F114" s="216"/>
      <c r="G114" s="373"/>
      <c r="H114" s="373"/>
      <c r="I114" s="373"/>
      <c r="J114" s="373"/>
      <c r="K114" s="374"/>
      <c r="L114" s="373"/>
      <c r="M114" s="373"/>
      <c r="N114" s="373"/>
      <c r="O114" s="373"/>
      <c r="P114" s="374"/>
      <c r="Q114" s="373"/>
      <c r="R114" s="373"/>
      <c r="S114" s="373"/>
      <c r="T114" s="373"/>
      <c r="U114" s="375">
        <f t="shared" si="537"/>
        <v>-1250</v>
      </c>
      <c r="V114" s="376">
        <f t="shared" si="538"/>
        <v>2270</v>
      </c>
      <c r="W114" s="376">
        <f t="shared" si="539"/>
        <v>2210</v>
      </c>
      <c r="X114" s="376">
        <f t="shared" si="540"/>
        <v>1000</v>
      </c>
      <c r="Y114" s="376">
        <f t="shared" si="541"/>
        <v>1250</v>
      </c>
      <c r="Z114" s="375">
        <f t="shared" si="542"/>
        <v>1660</v>
      </c>
      <c r="AA114" s="376">
        <f t="shared" si="543"/>
        <v>690</v>
      </c>
      <c r="AB114" s="376">
        <f t="shared" si="543"/>
        <v>-830</v>
      </c>
      <c r="AC114" s="376">
        <f t="shared" si="543"/>
        <v>40</v>
      </c>
      <c r="AD114" s="376">
        <f t="shared" si="544"/>
        <v>-39.9999999999999</v>
      </c>
      <c r="AE114" s="375">
        <f t="shared" si="545"/>
        <v>-30</v>
      </c>
      <c r="AF114" s="376">
        <f t="shared" si="545"/>
        <v>-1090</v>
      </c>
      <c r="AG114" s="376">
        <f t="shared" si="546"/>
        <v>-630</v>
      </c>
      <c r="AH114" s="376">
        <f t="shared" si="546"/>
        <v>-610</v>
      </c>
      <c r="AI114" s="376">
        <f t="shared" si="547"/>
        <v>-1400</v>
      </c>
      <c r="AJ114" s="375">
        <f t="shared" si="548"/>
        <v>-950</v>
      </c>
      <c r="AK114" s="376">
        <f t="shared" si="548"/>
        <v>990</v>
      </c>
      <c r="AL114" s="376">
        <f t="shared" si="548"/>
        <v>840</v>
      </c>
      <c r="AM114" s="377">
        <v>10</v>
      </c>
      <c r="AN114" s="377">
        <v>10</v>
      </c>
      <c r="AO114" s="375">
        <f>(ROUND(AO108,3)-ROUND(AJ108,3))*10^4</f>
        <v>420</v>
      </c>
      <c r="AP114" s="377">
        <v>-450</v>
      </c>
      <c r="AQ114" s="377">
        <v>-450</v>
      </c>
      <c r="AR114" s="377">
        <v>-450</v>
      </c>
      <c r="AS114" s="377">
        <v>-450</v>
      </c>
      <c r="AT114" s="375">
        <f>(ROUND(AT108,3)-ROUND(AO108,3))*10^4</f>
        <v>-460</v>
      </c>
      <c r="AU114" s="377">
        <v>-450</v>
      </c>
      <c r="AV114" s="377">
        <v>-450</v>
      </c>
      <c r="AW114" s="377">
        <v>-450</v>
      </c>
      <c r="AX114" s="377">
        <v>-450</v>
      </c>
      <c r="AY114" s="375">
        <f>(ROUND(AY108,3)-ROUND(AT108,3))*10^4</f>
        <v>-470</v>
      </c>
    </row>
    <row r="115" hidden="1" outlineLevel="1" spans="1:51">
      <c r="A115" s="2" t="s">
        <v>70</v>
      </c>
      <c r="B115" s="295"/>
      <c r="C115" s="295"/>
      <c r="D115" s="295"/>
      <c r="E115" s="295"/>
      <c r="F115" s="295"/>
      <c r="G115" s="373"/>
      <c r="H115" s="373"/>
      <c r="I115" s="373"/>
      <c r="J115" s="373"/>
      <c r="K115" s="374"/>
      <c r="L115" s="373"/>
      <c r="M115" s="373"/>
      <c r="N115" s="373"/>
      <c r="O115" s="373"/>
      <c r="P115" s="374"/>
      <c r="Q115" s="373"/>
      <c r="R115" s="373"/>
      <c r="S115" s="373"/>
      <c r="T115" s="373"/>
      <c r="U115" s="378">
        <f t="shared" si="537"/>
        <v>-670</v>
      </c>
      <c r="V115" s="379">
        <f t="shared" si="538"/>
        <v>580</v>
      </c>
      <c r="W115" s="379">
        <f t="shared" si="539"/>
        <v>990</v>
      </c>
      <c r="X115" s="379">
        <f t="shared" si="540"/>
        <v>1110</v>
      </c>
      <c r="Y115" s="379">
        <f t="shared" si="541"/>
        <v>690</v>
      </c>
      <c r="Z115" s="378">
        <f t="shared" si="542"/>
        <v>850</v>
      </c>
      <c r="AA115" s="379">
        <f t="shared" si="543"/>
        <v>810</v>
      </c>
      <c r="AB115" s="379">
        <f t="shared" si="543"/>
        <v>590</v>
      </c>
      <c r="AC115" s="379">
        <f t="shared" si="543"/>
        <v>170</v>
      </c>
      <c r="AD115" s="379">
        <f t="shared" si="544"/>
        <v>90.0000000000001</v>
      </c>
      <c r="AE115" s="378">
        <f t="shared" si="545"/>
        <v>360</v>
      </c>
      <c r="AF115" s="379">
        <f t="shared" si="545"/>
        <v>-340</v>
      </c>
      <c r="AG115" s="379">
        <f t="shared" si="546"/>
        <v>-160</v>
      </c>
      <c r="AH115" s="379">
        <f t="shared" si="546"/>
        <v>-280</v>
      </c>
      <c r="AI115" s="379">
        <f t="shared" si="547"/>
        <v>-210</v>
      </c>
      <c r="AJ115" s="378">
        <f t="shared" si="548"/>
        <v>-250</v>
      </c>
      <c r="AK115" s="379">
        <f t="shared" si="548"/>
        <v>-130</v>
      </c>
      <c r="AL115" s="379">
        <f t="shared" si="548"/>
        <v>-180</v>
      </c>
      <c r="AM115" s="379">
        <f t="shared" ref="AM115" si="549">(ROUND(AM109,3)-ROUND(AH109,3))*10^4</f>
        <v>40</v>
      </c>
      <c r="AN115" s="379">
        <f t="shared" ref="AN115:AO115" si="550">(ROUND(AN109,3)-ROUND(AI109,3))*10^4</f>
        <v>200</v>
      </c>
      <c r="AO115" s="378">
        <f t="shared" si="550"/>
        <v>10</v>
      </c>
      <c r="AP115" s="379">
        <f t="shared" ref="AP115" si="551">(ROUND(AP109,3)-ROUND(AK109,3))*10^4</f>
        <v>89.9999999999999</v>
      </c>
      <c r="AQ115" s="379">
        <f t="shared" ref="AQ115" si="552">(ROUND(AQ109,3)-ROUND(AL109,3))*10^4</f>
        <v>20</v>
      </c>
      <c r="AR115" s="379">
        <f t="shared" ref="AR115" si="553">(ROUND(AR109,3)-ROUND(AM109,3))*10^4</f>
        <v>-10</v>
      </c>
      <c r="AS115" s="379">
        <f t="shared" ref="AS115:AT115" si="554">(ROUND(AS109,3)-ROUND(AN109,3))*10^4</f>
        <v>-10</v>
      </c>
      <c r="AT115" s="378">
        <f t="shared" si="554"/>
        <v>20</v>
      </c>
      <c r="AU115" s="379">
        <f t="shared" ref="AU115" si="555">(ROUND(AU109,3)-ROUND(AP109,3))*10^4</f>
        <v>20</v>
      </c>
      <c r="AV115" s="379">
        <f t="shared" ref="AV115" si="556">(ROUND(AV109,3)-ROUND(AQ109,3))*10^4</f>
        <v>0</v>
      </c>
      <c r="AW115" s="379">
        <f t="shared" ref="AW115" si="557">(ROUND(AW109,3)-ROUND(AR109,3))*10^4</f>
        <v>0</v>
      </c>
      <c r="AX115" s="379">
        <f t="shared" ref="AX115:AY115" si="558">(ROUND(AX109,3)-ROUND(AS109,3))*10^4</f>
        <v>20</v>
      </c>
      <c r="AY115" s="378">
        <f t="shared" si="558"/>
        <v>10</v>
      </c>
    </row>
    <row r="116" hidden="1" outlineLevel="1" spans="1:51">
      <c r="G116" s="3"/>
      <c r="H116" s="3"/>
      <c r="I116" s="3"/>
      <c r="J116" s="3"/>
      <c r="K116" s="4"/>
      <c r="L116" s="3"/>
      <c r="M116" s="3"/>
      <c r="N116" s="3"/>
      <c r="O116" s="3"/>
      <c r="P116" s="4"/>
      <c r="Q116" s="3"/>
      <c r="R116" s="3"/>
      <c r="S116" s="3"/>
      <c r="T116" s="3"/>
      <c r="U116" s="4"/>
      <c r="V116" s="3"/>
      <c r="W116" s="3"/>
      <c r="X116" s="3"/>
      <c r="Y116" s="3"/>
      <c r="Z116" s="4"/>
      <c r="AA116" s="3"/>
      <c r="AB116" s="3"/>
      <c r="AC116" s="3"/>
      <c r="AD116" s="3"/>
      <c r="AE116" s="4"/>
      <c r="AF116" s="3"/>
      <c r="AG116" s="3"/>
      <c r="AH116" s="3"/>
      <c r="AI116" s="3"/>
      <c r="AJ116" s="4"/>
      <c r="AK116" s="3"/>
      <c r="AL116" s="3"/>
      <c r="AM116" s="3"/>
      <c r="AN116" s="3"/>
      <c r="AO116" s="4"/>
      <c r="AP116" s="3"/>
      <c r="AQ116" s="3"/>
      <c r="AR116" s="3"/>
      <c r="AS116" s="3"/>
      <c r="AT116" s="4"/>
      <c r="AU116" s="3"/>
      <c r="AV116" s="3"/>
      <c r="AW116" s="3"/>
      <c r="AX116" s="3"/>
      <c r="AY116" s="4"/>
    </row>
    <row r="117" hidden="1" outlineLevel="1" spans="1:51">
      <c r="A117" s="285" t="s">
        <v>94</v>
      </c>
      <c r="B117" s="286"/>
      <c r="C117" s="286"/>
      <c r="D117" s="286"/>
      <c r="E117" s="286"/>
      <c r="F117" s="286"/>
      <c r="G117" s="287"/>
      <c r="H117" s="287"/>
      <c r="I117" s="287"/>
      <c r="J117" s="287"/>
      <c r="K117" s="288"/>
      <c r="L117" s="287"/>
      <c r="M117" s="287"/>
      <c r="N117" s="287"/>
      <c r="O117" s="287"/>
      <c r="P117" s="288"/>
      <c r="Q117" s="287"/>
      <c r="R117" s="287"/>
      <c r="S117" s="287"/>
      <c r="T117" s="287"/>
      <c r="U117" s="288"/>
      <c r="V117" s="287"/>
      <c r="W117" s="287"/>
      <c r="X117" s="287"/>
      <c r="Y117" s="287"/>
      <c r="Z117" s="288"/>
      <c r="AA117" s="287"/>
      <c r="AB117" s="287"/>
      <c r="AC117" s="287"/>
      <c r="AD117" s="287"/>
      <c r="AE117" s="288"/>
      <c r="AF117" s="287"/>
      <c r="AG117" s="287"/>
      <c r="AH117" s="287"/>
      <c r="AI117" s="287"/>
      <c r="AJ117" s="288"/>
      <c r="AK117" s="287"/>
      <c r="AL117" s="287"/>
      <c r="AM117" s="287"/>
      <c r="AN117" s="287"/>
      <c r="AO117" s="288"/>
      <c r="AP117" s="287"/>
      <c r="AQ117" s="287"/>
      <c r="AR117" s="287"/>
      <c r="AS117" s="287"/>
      <c r="AT117" s="288"/>
      <c r="AU117" s="287"/>
      <c r="AV117" s="287"/>
      <c r="AW117" s="287"/>
      <c r="AX117" s="287"/>
      <c r="AY117" s="288"/>
    </row>
    <row r="118" hidden="1" outlineLevel="1" spans="1:51">
      <c r="A118" s="210" t="s">
        <v>83</v>
      </c>
      <c r="B118" s="216"/>
      <c r="C118" s="216"/>
      <c r="D118" s="216"/>
      <c r="E118" s="216"/>
      <c r="F118" s="216"/>
      <c r="G118" s="49"/>
      <c r="H118" s="49"/>
      <c r="I118" s="49"/>
      <c r="J118" s="49"/>
      <c r="K118" s="380"/>
      <c r="L118" s="49"/>
      <c r="M118" s="49"/>
      <c r="N118" s="49"/>
      <c r="O118" s="49"/>
      <c r="P118" s="380"/>
      <c r="Q118" s="49"/>
      <c r="R118" s="49"/>
      <c r="S118" s="49"/>
      <c r="T118" s="49"/>
      <c r="U118" s="381">
        <f t="shared" ref="U118:U122" si="559">(U99-P99)/ABS(P99)</f>
        <v>-0.241426437452535</v>
      </c>
      <c r="V118" s="382">
        <f>(V99-Q99)/ABS(Q99)</f>
        <v>0.813560697394046</v>
      </c>
      <c r="W118" s="382">
        <f t="shared" ref="W118:W122" si="560">(W99-R99)/ABS(R99)</f>
        <v>1.06280581574165</v>
      </c>
      <c r="X118" s="382">
        <f t="shared" ref="X118:X122" si="561">(X99-S99)/ABS(S99)</f>
        <v>1.04762738017594</v>
      </c>
      <c r="Y118" s="382">
        <f t="shared" ref="Y118:Y122" si="562">(Y99-T99)/ABS(T99)</f>
        <v>0.882048712685663</v>
      </c>
      <c r="Z118" s="381">
        <f t="shared" ref="Z118:Z122" si="563">(Z99-U99)/ABS(U99)</f>
        <v>0.944982366142995</v>
      </c>
      <c r="AA118" s="382">
        <f>(AA99-V99)/ABS(V99)</f>
        <v>0.613007766307648</v>
      </c>
      <c r="AB118" s="382">
        <f t="shared" ref="AB118:AB122" si="564">(AB99-W99)/ABS(W99)</f>
        <v>0.553797236012041</v>
      </c>
      <c r="AC118" s="382">
        <f t="shared" ref="AC118:AC122" si="565">(AC99-X99)/ABS(X99)</f>
        <v>0.182963020509633</v>
      </c>
      <c r="AD118" s="382">
        <f t="shared" ref="AD118:AD122" si="566">(AD99-Y99)/ABS(Y99)</f>
        <v>0.083413483557754</v>
      </c>
      <c r="AE118" s="381">
        <f>(AE99-Z99)/ABS(Z99)</f>
        <v>0.287358607751635</v>
      </c>
      <c r="AF118" s="382">
        <f t="shared" ref="AF118:AF122" si="567">(AF99-AA99)/ABS(AA99)</f>
        <v>-0.100603534022596</v>
      </c>
      <c r="AG118" s="382">
        <f t="shared" ref="AG118:AG122" si="568">(AG99-AB99)/ABS(AB99)</f>
        <v>0.0222993602791509</v>
      </c>
      <c r="AH118" s="382">
        <f t="shared" ref="AH118:AI120" si="569">(AH99-AC99)/ABS(AC99)</f>
        <v>-0.0523934301344314</v>
      </c>
      <c r="AI118" s="382">
        <f t="shared" si="569"/>
        <v>-0.0702962344511261</v>
      </c>
      <c r="AJ118" s="381">
        <f>(AJ99-AE99)/ABS(AE99)</f>
        <v>-0.0510651445320213</v>
      </c>
      <c r="AK118" s="382">
        <f t="shared" ref="AK118:AL122" si="570">(AK99-AF99)/ABS(AF99)</f>
        <v>0.0174876630243215</v>
      </c>
      <c r="AL118" s="382">
        <f t="shared" si="570"/>
        <v>0.00477858171410286</v>
      </c>
      <c r="AM118" s="382">
        <f t="shared" ref="AM118:AM122" si="571">(AM99-AH99)/ABS(AH99)</f>
        <v>0.0776536780321983</v>
      </c>
      <c r="AN118" s="382">
        <f t="shared" ref="AN118:AN122" si="572">(AN99-AI99)/ABS(AI99)</f>
        <v>0.102767802398843</v>
      </c>
      <c r="AO118" s="381">
        <f>(AO99-AJ99)/ABS(AJ99)</f>
        <v>0.0556156185506133</v>
      </c>
      <c r="AP118" s="382">
        <f t="shared" ref="AP118:AP122" si="573">(AP99-AK99)/ABS(AK99)</f>
        <v>-0.0366355088117992</v>
      </c>
      <c r="AQ118" s="382">
        <f t="shared" ref="AQ118:AQ122" si="574">(AQ99-AL99)/ABS(AL99)</f>
        <v>-0.035735910126717</v>
      </c>
      <c r="AR118" s="382">
        <f t="shared" ref="AR118:AR122" si="575">(AR99-AM99)/ABS(AM99)</f>
        <v>-0.0354813422331345</v>
      </c>
      <c r="AS118" s="382">
        <f t="shared" ref="AS118:AS122" si="576">(AS99-AN99)/ABS(AN99)</f>
        <v>-0.040573191026593</v>
      </c>
      <c r="AT118" s="381">
        <f>(AT99-AO99)/ABS(AO99)</f>
        <v>-0.0373899522184545</v>
      </c>
      <c r="AU118" s="382">
        <f t="shared" ref="AU118:AU122" si="577">(AU99-AP99)/ABS(AP99)</f>
        <v>-0.0521800149412105</v>
      </c>
      <c r="AV118" s="382">
        <f t="shared" ref="AV118:AV122" si="578">(AV99-AQ99)/ABS(AQ99)</f>
        <v>-0.045693311159353</v>
      </c>
      <c r="AW118" s="382">
        <f t="shared" ref="AW118:AW122" si="579">(AW99-AR99)/ABS(AR99)</f>
        <v>-0.0454013771028574</v>
      </c>
      <c r="AX118" s="382">
        <f t="shared" ref="AX118:AX122" si="580">(AX99-AS99)/ABS(AS99)</f>
        <v>-0.0512700617749387</v>
      </c>
      <c r="AY118" s="381">
        <f>(AY99-AT99)/ABS(AT99)</f>
        <v>-0.0486333769759637</v>
      </c>
    </row>
    <row r="119" hidden="1" outlineLevel="1" spans="1:51">
      <c r="A119" s="210" t="s">
        <v>84</v>
      </c>
      <c r="B119" s="216"/>
      <c r="C119" s="216"/>
      <c r="D119" s="216"/>
      <c r="E119" s="216"/>
      <c r="F119" s="216"/>
      <c r="G119" s="49"/>
      <c r="H119" s="49"/>
      <c r="I119" s="49"/>
      <c r="J119" s="49"/>
      <c r="K119" s="380"/>
      <c r="L119" s="49"/>
      <c r="M119" s="49"/>
      <c r="N119" s="49"/>
      <c r="O119" s="49"/>
      <c r="P119" s="380"/>
      <c r="Q119" s="49"/>
      <c r="R119" s="49"/>
      <c r="S119" s="49"/>
      <c r="T119" s="49"/>
      <c r="U119" s="381">
        <f t="shared" si="559"/>
        <v>-0.617837357804373</v>
      </c>
      <c r="V119" s="382">
        <f t="shared" ref="V119:V122" si="581">(V100-Q100)/ABS(Q100)</f>
        <v>-1.163061381355</v>
      </c>
      <c r="W119" s="382">
        <f t="shared" si="560"/>
        <v>0.701909375890567</v>
      </c>
      <c r="X119" s="382">
        <f t="shared" si="561"/>
        <v>5.01881331403763</v>
      </c>
      <c r="Y119" s="382">
        <f t="shared" si="562"/>
        <v>1.12534818941504</v>
      </c>
      <c r="Z119" s="381">
        <f t="shared" si="563"/>
        <v>0.797410645125595</v>
      </c>
      <c r="AA119" s="382">
        <f t="shared" ref="AA119:AA122" si="582">(AA100-V100)/ABS(V100)</f>
        <v>17.4989898989899</v>
      </c>
      <c r="AB119" s="382">
        <f t="shared" si="564"/>
        <v>0.273945077026122</v>
      </c>
      <c r="AC119" s="382">
        <f t="shared" si="565"/>
        <v>0.0439047848040394</v>
      </c>
      <c r="AD119" s="382">
        <f t="shared" si="566"/>
        <v>-0.202022093240966</v>
      </c>
      <c r="AE119" s="381">
        <f>(AE100-Z100)/ABS(Z100)</f>
        <v>0.352208924349882</v>
      </c>
      <c r="AF119" s="382">
        <f t="shared" si="567"/>
        <v>-0.345577731521162</v>
      </c>
      <c r="AG119" s="382">
        <f t="shared" si="568"/>
        <v>-0.35515247108307</v>
      </c>
      <c r="AH119" s="382">
        <f t="shared" si="569"/>
        <v>-0.0103187764879307</v>
      </c>
      <c r="AI119" s="382">
        <f t="shared" si="569"/>
        <v>0.152275926794932</v>
      </c>
      <c r="AJ119" s="381">
        <f>(AJ100-AE100)/ABS(AE100)</f>
        <v>-0.166698536709737</v>
      </c>
      <c r="AK119" s="382">
        <f t="shared" si="570"/>
        <v>-0.787701135087938</v>
      </c>
      <c r="AL119" s="382">
        <f t="shared" si="570"/>
        <v>0.110640032613127</v>
      </c>
      <c r="AM119" s="382">
        <f t="shared" si="571"/>
        <v>-0.0648902913796313</v>
      </c>
      <c r="AN119" s="382">
        <f t="shared" si="572"/>
        <v>-0.118275488223716</v>
      </c>
      <c r="AO119" s="381">
        <f>(AO100-AJ100)/ABS(AJ100)</f>
        <v>-0.161671531743777</v>
      </c>
      <c r="AP119" s="382">
        <f t="shared" si="573"/>
        <v>-0.460942616039953</v>
      </c>
      <c r="AQ119" s="382">
        <f t="shared" si="574"/>
        <v>-0.0181266315519014</v>
      </c>
      <c r="AR119" s="382">
        <f t="shared" si="575"/>
        <v>-0.0814510857827206</v>
      </c>
      <c r="AS119" s="382">
        <f t="shared" si="576"/>
        <v>-0.0709226090633797</v>
      </c>
      <c r="AT119" s="381">
        <f>(AT100-AO100)/ABS(AO100)</f>
        <v>-0.0722361139189273</v>
      </c>
      <c r="AU119" s="382">
        <f t="shared" si="577"/>
        <v>-0.966666211631711</v>
      </c>
      <c r="AV119" s="382">
        <f t="shared" si="578"/>
        <v>-0.0615877506035894</v>
      </c>
      <c r="AW119" s="382">
        <f t="shared" si="579"/>
        <v>-0.0926781667405563</v>
      </c>
      <c r="AX119" s="382">
        <f t="shared" si="580"/>
        <v>-0.0798401819604583</v>
      </c>
      <c r="AY119" s="381">
        <f>(AY100-AT100)/ABS(AT100)</f>
        <v>-0.099171357540697</v>
      </c>
    </row>
    <row r="120" hidden="1" outlineLevel="1" spans="1:51">
      <c r="A120" s="210" t="s">
        <v>85</v>
      </c>
      <c r="B120" s="216"/>
      <c r="C120" s="216"/>
      <c r="D120" s="216"/>
      <c r="E120" s="216"/>
      <c r="F120" s="216"/>
      <c r="G120" s="49"/>
      <c r="H120" s="49"/>
      <c r="I120" s="49"/>
      <c r="J120" s="49"/>
      <c r="K120" s="380"/>
      <c r="L120" s="49"/>
      <c r="M120" s="49"/>
      <c r="N120" s="49"/>
      <c r="O120" s="49"/>
      <c r="P120" s="380"/>
      <c r="Q120" s="49"/>
      <c r="R120" s="49"/>
      <c r="S120" s="49"/>
      <c r="T120" s="49"/>
      <c r="U120" s="381">
        <f t="shared" si="559"/>
        <v>-0.438092885375494</v>
      </c>
      <c r="V120" s="382">
        <f t="shared" si="581"/>
        <v>0.720263591433278</v>
      </c>
      <c r="W120" s="382">
        <f t="shared" si="560"/>
        <v>0.927272727272727</v>
      </c>
      <c r="X120" s="382">
        <f t="shared" si="561"/>
        <v>0.422115895800106</v>
      </c>
      <c r="Y120" s="382">
        <f t="shared" si="562"/>
        <v>0.462839954881564</v>
      </c>
      <c r="Z120" s="381">
        <f t="shared" si="563"/>
        <v>0.637269385371217</v>
      </c>
      <c r="AA120" s="382">
        <f t="shared" si="582"/>
        <v>0.873576756968983</v>
      </c>
      <c r="AB120" s="382">
        <f t="shared" si="564"/>
        <v>-5.99353448275862</v>
      </c>
      <c r="AC120" s="382">
        <f t="shared" si="565"/>
        <v>-0.282122048451395</v>
      </c>
      <c r="AD120" s="382">
        <f t="shared" si="566"/>
        <v>0.00536630891273915</v>
      </c>
      <c r="AE120" s="381">
        <f>(AE101-Z101)/ABS(Z101)</f>
        <v>-0.137620761507861</v>
      </c>
      <c r="AF120" s="382">
        <f t="shared" si="567"/>
        <v>-12.695652173913</v>
      </c>
      <c r="AG120" s="382">
        <f t="shared" si="568"/>
        <v>-0.838828967642527</v>
      </c>
      <c r="AH120" s="382">
        <f t="shared" si="569"/>
        <v>-0.508251614446305</v>
      </c>
      <c r="AI120" s="382">
        <f t="shared" si="569"/>
        <v>-1.56016889514426</v>
      </c>
      <c r="AJ120" s="381">
        <f>(AJ101-AE101)/ABS(AE101)</f>
        <v>-1.29764382649238</v>
      </c>
      <c r="AK120" s="382">
        <f t="shared" si="570"/>
        <v>0.799319727891156</v>
      </c>
      <c r="AL120" s="382">
        <f t="shared" si="570"/>
        <v>0.43086978381096</v>
      </c>
      <c r="AM120" s="382">
        <f t="shared" si="571"/>
        <v>-0.230920383335511</v>
      </c>
      <c r="AN120" s="382">
        <f t="shared" si="572"/>
        <v>-0.30166870132168</v>
      </c>
      <c r="AO120" s="381">
        <f>(AO101-AJ101)/ABS(AJ101)</f>
        <v>0.0488242872943238</v>
      </c>
      <c r="AP120" s="382">
        <f t="shared" si="573"/>
        <v>-2.63348277088643</v>
      </c>
      <c r="AQ120" s="382">
        <f t="shared" si="574"/>
        <v>-0.672130181001337</v>
      </c>
      <c r="AR120" s="382">
        <f t="shared" si="575"/>
        <v>-0.388391833979694</v>
      </c>
      <c r="AS120" s="382">
        <f t="shared" si="576"/>
        <v>-0.280599450981936</v>
      </c>
      <c r="AT120" s="381">
        <f>(AT101-AO101)/ABS(AO101)</f>
        <v>-0.442455061174901</v>
      </c>
      <c r="AU120" s="382">
        <f t="shared" si="577"/>
        <v>-0.706579909271572</v>
      </c>
      <c r="AV120" s="382">
        <f t="shared" si="578"/>
        <v>-0.375139946759978</v>
      </c>
      <c r="AW120" s="382">
        <f t="shared" si="579"/>
        <v>-0.2988751142001</v>
      </c>
      <c r="AX120" s="382">
        <f t="shared" si="580"/>
        <v>-0.232457436653553</v>
      </c>
      <c r="AY120" s="381">
        <f>(AY101-AT101)/ABS(AT101)</f>
        <v>-0.31302539289163</v>
      </c>
    </row>
    <row r="121" hidden="1" outlineLevel="1" spans="1:51">
      <c r="A121" s="29" t="s">
        <v>91</v>
      </c>
      <c r="B121" s="135"/>
      <c r="C121" s="135"/>
      <c r="D121" s="135"/>
      <c r="E121" s="135"/>
      <c r="F121" s="135"/>
      <c r="G121" s="49"/>
      <c r="H121" s="49"/>
      <c r="I121" s="49"/>
      <c r="J121" s="49"/>
      <c r="K121" s="380"/>
      <c r="L121" s="49"/>
      <c r="M121" s="49"/>
      <c r="N121" s="49"/>
      <c r="O121" s="49"/>
      <c r="P121" s="380"/>
      <c r="Q121" s="49"/>
      <c r="R121" s="49"/>
      <c r="S121" s="49"/>
      <c r="T121" s="49"/>
      <c r="U121" s="381">
        <f t="shared" si="559"/>
        <v>-0.0334763587192432</v>
      </c>
      <c r="V121" s="382">
        <f t="shared" si="581"/>
        <v>-0.187276023001917</v>
      </c>
      <c r="W121" s="382">
        <f t="shared" si="560"/>
        <v>-0.175669408823292</v>
      </c>
      <c r="X121" s="382">
        <f t="shared" si="561"/>
        <v>-0.292079815085617</v>
      </c>
      <c r="Y121" s="382">
        <f t="shared" si="562"/>
        <v>-0.683336060655648</v>
      </c>
      <c r="Z121" s="381">
        <f t="shared" si="563"/>
        <v>-0.328372076447648</v>
      </c>
      <c r="AA121" s="382">
        <f t="shared" si="582"/>
        <v>-0.286990321929648</v>
      </c>
      <c r="AB121" s="382">
        <f t="shared" si="564"/>
        <v>-0.151547373024516</v>
      </c>
      <c r="AC121" s="382">
        <f t="shared" si="565"/>
        <v>-0.0425909429443463</v>
      </c>
      <c r="AD121" s="382">
        <f t="shared" si="566"/>
        <v>0.0685275075662819</v>
      </c>
      <c r="AE121" s="381">
        <f>(AE102-Z102)/ABS(Z102)</f>
        <v>-0.0874592549866531</v>
      </c>
      <c r="AF121" s="382">
        <f t="shared" si="567"/>
        <v>0.0656271944476639</v>
      </c>
      <c r="AG121" s="382">
        <f t="shared" si="568"/>
        <v>0.019033435103135</v>
      </c>
      <c r="AH121" s="382">
        <f>(AH102-AC102)/ABS(AC102)</f>
        <v>-0.0417124808280866</v>
      </c>
      <c r="AI121" s="382">
        <f>(AI102-AD102)/ABS(AD102)</f>
        <v>0.0642180770756076</v>
      </c>
      <c r="AJ121" s="381">
        <f>(AJ102-AE102)/ABS(AE102)</f>
        <v>0.0272360581726677</v>
      </c>
      <c r="AK121" s="382">
        <f t="shared" si="570"/>
        <v>-0.0554538091659309</v>
      </c>
      <c r="AL121" s="382">
        <f t="shared" si="570"/>
        <v>-0.167101887136199</v>
      </c>
      <c r="AM121" s="382">
        <f t="shared" si="571"/>
        <v>-0.0353445750439519</v>
      </c>
      <c r="AN121" s="382">
        <f t="shared" si="572"/>
        <v>0.168409160140409</v>
      </c>
      <c r="AO121" s="381">
        <f>(AO102-AJ102)/ABS(AJ102)</f>
        <v>-0.0221355015172041</v>
      </c>
      <c r="AP121" s="382">
        <f t="shared" si="573"/>
        <v>0.188582692963836</v>
      </c>
      <c r="AQ121" s="382">
        <f t="shared" si="574"/>
        <v>0.140713000127356</v>
      </c>
      <c r="AR121" s="382">
        <f t="shared" si="575"/>
        <v>0.132470363835238</v>
      </c>
      <c r="AS121" s="382">
        <f t="shared" si="576"/>
        <v>0.268021905017413</v>
      </c>
      <c r="AT121" s="381">
        <f>(AT102-AO102)/ABS(AO102)</f>
        <v>0.175971168848007</v>
      </c>
      <c r="AU121" s="382">
        <f t="shared" si="577"/>
        <v>0.177777181496044</v>
      </c>
      <c r="AV121" s="382">
        <f t="shared" si="578"/>
        <v>0.156418800012081</v>
      </c>
      <c r="AW121" s="382">
        <f t="shared" si="579"/>
        <v>0.177829668914545</v>
      </c>
      <c r="AX121" s="382">
        <f t="shared" si="580"/>
        <v>0.463628042101462</v>
      </c>
      <c r="AY121" s="381">
        <f>(AY102-AT102)/ABS(AT102)</f>
        <v>0.222056743708937</v>
      </c>
    </row>
    <row r="122" hidden="1" outlineLevel="1" spans="1:51">
      <c r="A122" s="2" t="s">
        <v>70</v>
      </c>
      <c r="B122" s="295"/>
      <c r="C122" s="295"/>
      <c r="D122" s="295"/>
      <c r="E122" s="295"/>
      <c r="F122" s="295"/>
      <c r="G122" s="383"/>
      <c r="H122" s="383"/>
      <c r="I122" s="383"/>
      <c r="J122" s="383"/>
      <c r="K122" s="384"/>
      <c r="L122" s="383"/>
      <c r="M122" s="383"/>
      <c r="N122" s="383"/>
      <c r="O122" s="383"/>
      <c r="P122" s="384"/>
      <c r="Q122" s="383"/>
      <c r="R122" s="383"/>
      <c r="S122" s="383"/>
      <c r="T122" s="383"/>
      <c r="U122" s="345">
        <f t="shared" si="559"/>
        <v>-0.699651448263435</v>
      </c>
      <c r="V122" s="385">
        <f t="shared" si="581"/>
        <v>4.9527040921242</v>
      </c>
      <c r="W122" s="385">
        <f t="shared" si="560"/>
        <v>42.0050205385669</v>
      </c>
      <c r="X122" s="385">
        <f t="shared" si="561"/>
        <v>6.86752550874993</v>
      </c>
      <c r="Y122" s="385">
        <f t="shared" si="562"/>
        <v>1.20479352419028</v>
      </c>
      <c r="Z122" s="345">
        <f t="shared" si="563"/>
        <v>3.58484800194977</v>
      </c>
      <c r="AA122" s="385">
        <f t="shared" si="582"/>
        <v>2.37761419207158</v>
      </c>
      <c r="AB122" s="385">
        <f t="shared" si="564"/>
        <v>0.954820685202912</v>
      </c>
      <c r="AC122" s="385">
        <f t="shared" si="565"/>
        <v>0.29895667294595</v>
      </c>
      <c r="AD122" s="385">
        <f t="shared" si="566"/>
        <v>0.149294662052684</v>
      </c>
      <c r="AE122" s="345">
        <f>(AE103-Z103)/ABS(Z103)</f>
        <v>0.514637901318116</v>
      </c>
      <c r="AF122" s="385">
        <f t="shared" si="567"/>
        <v>-0.218068679774199</v>
      </c>
      <c r="AG122" s="385">
        <f t="shared" si="568"/>
        <v>-0.0429380782918149</v>
      </c>
      <c r="AH122" s="385">
        <f>(AH103-AC103)/ABS(AC103)</f>
        <v>-0.135323122232014</v>
      </c>
      <c r="AI122" s="385">
        <f>(AI103-AD103)/ABS(AD103)</f>
        <v>-0.0786248750312422</v>
      </c>
      <c r="AJ122" s="345">
        <f>(AJ103-AE103)/ABS(AE103)</f>
        <v>-0.108327258983289</v>
      </c>
      <c r="AK122" s="385">
        <f t="shared" si="570"/>
        <v>-0.125437050023145</v>
      </c>
      <c r="AL122" s="385">
        <f t="shared" si="570"/>
        <v>-0.0915256657385593</v>
      </c>
      <c r="AM122" s="385">
        <f t="shared" si="571"/>
        <v>0.0922598825031687</v>
      </c>
      <c r="AN122" s="385">
        <f t="shared" si="572"/>
        <v>0.220552087940966</v>
      </c>
      <c r="AO122" s="345">
        <f>(AO103-AJ103)/ABS(AJ103)</f>
        <v>0.0578551126461033</v>
      </c>
      <c r="AP122" s="385">
        <f t="shared" si="573"/>
        <v>0.16801009930828</v>
      </c>
      <c r="AQ122" s="385">
        <f t="shared" si="574"/>
        <v>0.0573600073346429</v>
      </c>
      <c r="AR122" s="385">
        <f t="shared" si="575"/>
        <v>0.0278450310658247</v>
      </c>
      <c r="AS122" s="385">
        <f t="shared" si="576"/>
        <v>0.0291867584209738</v>
      </c>
      <c r="AT122" s="345">
        <f>(AT103-AO103)/ABS(AO103)</f>
        <v>0.0526588354462587</v>
      </c>
      <c r="AU122" s="385">
        <f t="shared" si="577"/>
        <v>0.0502508743171061</v>
      </c>
      <c r="AV122" s="385">
        <f t="shared" si="578"/>
        <v>0.0274730052386989</v>
      </c>
      <c r="AW122" s="385">
        <f t="shared" si="579"/>
        <v>0.0299253517281422</v>
      </c>
      <c r="AX122" s="385">
        <f t="shared" si="580"/>
        <v>0.0428974177504774</v>
      </c>
      <c r="AY122" s="345">
        <f>(AY103-AT103)/ABS(AT103)</f>
        <v>0.0374794453038034</v>
      </c>
    </row>
    <row r="123" hidden="1" outlineLevel="1" spans="1:51">
      <c r="G123" s="3"/>
      <c r="H123" s="3"/>
      <c r="I123" s="3"/>
      <c r="J123" s="3"/>
      <c r="K123" s="4"/>
      <c r="L123" s="3"/>
      <c r="M123" s="3"/>
      <c r="N123" s="3"/>
      <c r="O123" s="3"/>
      <c r="P123" s="4"/>
      <c r="Q123" s="3"/>
      <c r="R123" s="3"/>
      <c r="S123" s="3"/>
      <c r="T123" s="3"/>
      <c r="U123" s="4"/>
      <c r="V123" s="3"/>
      <c r="W123" s="3"/>
      <c r="X123" s="3"/>
      <c r="Y123" s="3"/>
      <c r="Z123" s="4"/>
      <c r="AA123" s="3"/>
      <c r="AB123" s="3"/>
      <c r="AC123" s="3"/>
      <c r="AD123" s="3"/>
      <c r="AE123" s="4"/>
      <c r="AF123" s="3"/>
      <c r="AG123" s="3"/>
      <c r="AH123" s="3"/>
      <c r="AI123" s="3"/>
      <c r="AJ123" s="4"/>
      <c r="AK123" s="3"/>
      <c r="AL123" s="3"/>
      <c r="AM123" s="3"/>
      <c r="AN123" s="3"/>
      <c r="AO123" s="4"/>
      <c r="AP123" s="3"/>
      <c r="AQ123" s="3"/>
      <c r="AR123" s="3"/>
      <c r="AS123" s="3"/>
      <c r="AT123" s="4"/>
      <c r="AU123" s="3"/>
      <c r="AV123" s="3"/>
      <c r="AW123" s="3"/>
      <c r="AX123" s="3"/>
      <c r="AY123" s="4"/>
    </row>
    <row r="124" hidden="1" outlineLevel="1" spans="1:51">
      <c r="A124" s="3" t="s">
        <v>95</v>
      </c>
      <c r="G124" s="386"/>
      <c r="H124" s="386"/>
      <c r="I124" s="386"/>
      <c r="J124" s="3"/>
      <c r="K124" s="387"/>
      <c r="L124" s="3"/>
      <c r="M124" s="3"/>
      <c r="N124" s="3"/>
      <c r="O124" s="28"/>
      <c r="P124" s="30">
        <v>5880</v>
      </c>
      <c r="Q124" s="386">
        <f>5972-SUM(R124:S124)</f>
        <v>1893</v>
      </c>
      <c r="R124" s="386">
        <v>2825</v>
      </c>
      <c r="S124" s="386">
        <v>1254</v>
      </c>
      <c r="T124" s="28">
        <f>U124-SUM(Q124:S124)</f>
        <v>3079</v>
      </c>
      <c r="U124" s="30">
        <v>9051</v>
      </c>
      <c r="V124" s="31">
        <v>1889</v>
      </c>
      <c r="W124" s="31">
        <v>3114</v>
      </c>
      <c r="X124" s="31">
        <v>3202</v>
      </c>
      <c r="Y124" s="28">
        <f>Z124-SUM(V124:X124)</f>
        <v>3861</v>
      </c>
      <c r="Z124" s="30">
        <v>12066</v>
      </c>
      <c r="AA124" s="31">
        <v>3371</v>
      </c>
      <c r="AB124" s="31">
        <v>5002</v>
      </c>
      <c r="AC124" s="31">
        <v>4671</v>
      </c>
      <c r="AD124" s="3"/>
      <c r="AE124" s="4"/>
      <c r="AF124" s="3"/>
      <c r="AG124" s="388"/>
      <c r="AH124" s="3"/>
      <c r="AI124" s="3"/>
      <c r="AJ124" s="4"/>
      <c r="AK124" s="3"/>
      <c r="AL124" s="388"/>
      <c r="AM124" s="3"/>
      <c r="AN124" s="3"/>
      <c r="AO124" s="4"/>
      <c r="AP124" s="3"/>
      <c r="AQ124" s="3"/>
      <c r="AR124" s="3"/>
      <c r="AS124" s="3"/>
      <c r="AT124" s="4"/>
      <c r="AU124" s="3"/>
      <c r="AV124" s="3"/>
      <c r="AW124" s="3"/>
      <c r="AX124" s="3"/>
      <c r="AY124" s="4"/>
    </row>
    <row r="125" hidden="1" outlineLevel="1" spans="1:51">
      <c r="A125" s="3" t="s">
        <v>96</v>
      </c>
      <c r="G125" s="386"/>
      <c r="H125" s="386"/>
      <c r="I125" s="386"/>
      <c r="J125" s="3"/>
      <c r="K125" s="387"/>
      <c r="L125" s="3"/>
      <c r="M125" s="3"/>
      <c r="N125" s="3"/>
      <c r="O125" s="28"/>
      <c r="P125" s="30">
        <v>403622</v>
      </c>
      <c r="Q125" s="386">
        <f>299108-SUM(R125:S125)</f>
        <v>97973</v>
      </c>
      <c r="R125" s="386">
        <v>95388</v>
      </c>
      <c r="S125" s="386">
        <v>105747</v>
      </c>
      <c r="T125" s="28">
        <f>U125-SUM(Q125:S125)</f>
        <v>101400</v>
      </c>
      <c r="U125" s="30">
        <v>400508</v>
      </c>
      <c r="V125" s="31">
        <v>119405</v>
      </c>
      <c r="W125" s="31">
        <v>116198</v>
      </c>
      <c r="X125" s="31">
        <v>132496</v>
      </c>
      <c r="Y125" s="28">
        <f>Z125-SUM(V125:X125)</f>
        <v>151983</v>
      </c>
      <c r="Z125" s="30">
        <v>520082</v>
      </c>
      <c r="AA125" s="31">
        <v>145264</v>
      </c>
      <c r="AB125" s="31">
        <v>129355</v>
      </c>
      <c r="AC125" s="31">
        <v>139691</v>
      </c>
      <c r="AD125" s="3"/>
      <c r="AE125" s="4"/>
      <c r="AF125" s="3"/>
      <c r="AG125" s="388"/>
      <c r="AH125" s="3"/>
      <c r="AI125" s="3"/>
      <c r="AJ125" s="4"/>
      <c r="AK125" s="3"/>
      <c r="AL125" s="388"/>
      <c r="AM125" s="3"/>
      <c r="AN125" s="3"/>
      <c r="AO125" s="4"/>
      <c r="AP125" s="3"/>
      <c r="AQ125" s="3"/>
      <c r="AR125" s="3"/>
      <c r="AS125" s="3"/>
      <c r="AT125" s="4"/>
      <c r="AU125" s="3"/>
      <c r="AV125" s="3"/>
      <c r="AW125" s="3"/>
      <c r="AX125" s="3"/>
      <c r="AY125" s="4"/>
    </row>
    <row r="126" hidden="1" outlineLevel="1" spans="1:51">
      <c r="G126" s="386"/>
      <c r="H126" s="386"/>
      <c r="I126" s="386"/>
      <c r="J126" s="3"/>
      <c r="K126" s="387"/>
      <c r="L126" s="3"/>
      <c r="M126" s="3"/>
      <c r="N126" s="3"/>
      <c r="O126" s="28"/>
      <c r="P126" s="30"/>
      <c r="Q126" s="386"/>
      <c r="R126" s="386"/>
      <c r="S126" s="386"/>
      <c r="T126" s="28"/>
      <c r="U126" s="30"/>
      <c r="V126" s="31"/>
      <c r="W126" s="31"/>
      <c r="X126" s="31"/>
      <c r="Y126" s="28"/>
      <c r="Z126" s="30"/>
      <c r="AA126" s="31"/>
      <c r="AB126" s="31"/>
      <c r="AC126" s="31"/>
      <c r="AD126" s="3"/>
      <c r="AE126" s="4"/>
      <c r="AF126" s="3"/>
      <c r="AG126" s="388"/>
      <c r="AH126" s="3"/>
      <c r="AI126" s="3"/>
      <c r="AJ126" s="4"/>
      <c r="AK126" s="3"/>
      <c r="AL126" s="388"/>
      <c r="AM126" s="3"/>
      <c r="AN126" s="3"/>
      <c r="AO126" s="4"/>
      <c r="AP126" s="3"/>
      <c r="AQ126" s="3"/>
      <c r="AR126" s="3"/>
      <c r="AS126" s="3"/>
      <c r="AT126" s="4"/>
      <c r="AU126" s="3"/>
      <c r="AV126" s="3"/>
      <c r="AW126" s="3"/>
      <c r="AX126" s="3"/>
      <c r="AY126" s="4"/>
    </row>
    <row r="127" hidden="1" outlineLevel="1" spans="1:51">
      <c r="A127" s="242" t="s">
        <v>97</v>
      </c>
      <c r="B127" s="389"/>
      <c r="C127" s="389"/>
      <c r="D127" s="389"/>
      <c r="E127" s="389"/>
      <c r="F127" s="389"/>
      <c r="G127" s="390"/>
      <c r="H127" s="390"/>
      <c r="I127" s="390"/>
      <c r="J127" s="391"/>
      <c r="K127" s="392"/>
      <c r="L127" s="391"/>
      <c r="M127" s="391"/>
      <c r="N127" s="391"/>
      <c r="O127" s="393"/>
      <c r="P127" s="394"/>
      <c r="Q127" s="390"/>
      <c r="R127" s="390"/>
      <c r="S127" s="390"/>
      <c r="T127" s="393"/>
      <c r="U127" s="394"/>
      <c r="V127" s="333"/>
      <c r="W127" s="333"/>
      <c r="X127" s="333"/>
      <c r="Y127" s="393"/>
      <c r="Z127" s="394"/>
      <c r="AA127" s="333"/>
      <c r="AB127" s="333"/>
      <c r="AC127" s="333"/>
      <c r="AD127" s="391"/>
      <c r="AE127" s="389"/>
      <c r="AF127" s="391"/>
      <c r="AG127" s="395"/>
      <c r="AH127" s="391"/>
      <c r="AI127" s="391"/>
      <c r="AJ127" s="389"/>
      <c r="AK127" s="391"/>
      <c r="AL127" s="395"/>
      <c r="AM127" s="391"/>
      <c r="AN127" s="391"/>
      <c r="AO127" s="389"/>
      <c r="AP127" s="391"/>
      <c r="AQ127" s="391"/>
      <c r="AR127" s="391"/>
      <c r="AS127" s="391"/>
      <c r="AT127" s="389"/>
      <c r="AU127" s="391"/>
      <c r="AV127" s="391"/>
      <c r="AW127" s="391"/>
      <c r="AX127" s="391"/>
      <c r="AY127" s="389"/>
    </row>
    <row r="128" ht="12" hidden="1" customHeight="1" outlineLevel="1" spans="1:51">
      <c r="A128" s="396" t="s">
        <v>83</v>
      </c>
      <c r="G128" s="386"/>
      <c r="H128" s="386"/>
      <c r="I128" s="386"/>
      <c r="J128" s="3"/>
      <c r="K128" s="387"/>
      <c r="L128" s="3"/>
      <c r="M128" s="3"/>
      <c r="N128" s="3"/>
      <c r="O128" s="28"/>
      <c r="P128" s="30"/>
      <c r="Q128" s="386"/>
      <c r="R128" s="386"/>
      <c r="S128" s="386"/>
      <c r="T128" s="28"/>
      <c r="U128" s="30">
        <v>1262429</v>
      </c>
      <c r="V128" s="31"/>
      <c r="W128" s="31"/>
      <c r="X128" s="31"/>
      <c r="Y128" s="28"/>
      <c r="Z128" s="30">
        <v>1279050</v>
      </c>
      <c r="AA128" s="31">
        <v>273499</v>
      </c>
      <c r="AB128" s="31">
        <v>360569</v>
      </c>
      <c r="AC128" s="31">
        <v>342077</v>
      </c>
      <c r="AD128" s="70">
        <f>AE128-SUM(AA128:AC128)</f>
        <v>460016</v>
      </c>
      <c r="AE128" s="30">
        <v>1436161</v>
      </c>
      <c r="AF128" s="31">
        <v>329923</v>
      </c>
      <c r="AG128" s="31">
        <v>314291</v>
      </c>
      <c r="AH128" s="31">
        <v>396031</v>
      </c>
      <c r="AI128" s="70">
        <f>AJ128-SUM(AF128:AH128)</f>
        <v>608602</v>
      </c>
      <c r="AJ128" s="30">
        <v>1648847</v>
      </c>
      <c r="AK128" s="31">
        <v>334396</v>
      </c>
      <c r="AL128" s="31">
        <f>282049+100000</f>
        <v>382049</v>
      </c>
      <c r="AM128" s="3"/>
      <c r="AN128" s="3"/>
      <c r="AO128" s="4"/>
      <c r="AP128" s="3"/>
      <c r="AQ128" s="3"/>
      <c r="AR128" s="3"/>
      <c r="AS128" s="3"/>
      <c r="AT128" s="4"/>
      <c r="AU128" s="3"/>
      <c r="AV128" s="3"/>
      <c r="AW128" s="3"/>
      <c r="AX128" s="3"/>
      <c r="AY128" s="4"/>
    </row>
    <row r="129" ht="12" hidden="1" customHeight="1" outlineLevel="1" spans="1:51">
      <c r="A129" s="396" t="s">
        <v>84</v>
      </c>
      <c r="G129" s="386"/>
      <c r="H129" s="386"/>
      <c r="I129" s="386"/>
      <c r="J129" s="3"/>
      <c r="K129" s="387"/>
      <c r="L129" s="3"/>
      <c r="M129" s="3"/>
      <c r="N129" s="3"/>
      <c r="O129" s="28"/>
      <c r="P129" s="30"/>
      <c r="Q129" s="386"/>
      <c r="R129" s="386"/>
      <c r="S129" s="386"/>
      <c r="T129" s="28"/>
      <c r="U129" s="30">
        <v>287618</v>
      </c>
      <c r="V129" s="31"/>
      <c r="W129" s="31"/>
      <c r="X129" s="31"/>
      <c r="Y129" s="28"/>
      <c r="Z129" s="30">
        <v>259347</v>
      </c>
      <c r="AA129" s="31">
        <v>57878</v>
      </c>
      <c r="AB129" s="31">
        <v>77401</v>
      </c>
      <c r="AC129" s="31">
        <v>66215</v>
      </c>
      <c r="AD129" s="70">
        <f t="shared" ref="AD129:AD130" si="583">AE129-SUM(AA129:AC129)</f>
        <v>84240</v>
      </c>
      <c r="AE129" s="30">
        <v>285734</v>
      </c>
      <c r="AF129" s="31">
        <v>73597</v>
      </c>
      <c r="AG129" s="31">
        <v>71798</v>
      </c>
      <c r="AH129" s="31">
        <v>72636</v>
      </c>
      <c r="AI129" s="70">
        <f t="shared" ref="AI129:AI130" si="584">AJ129-SUM(AF129:AH129)</f>
        <v>102526</v>
      </c>
      <c r="AJ129" s="30">
        <v>320557</v>
      </c>
      <c r="AK129" s="31">
        <v>62841</v>
      </c>
      <c r="AL129" s="31">
        <v>69075</v>
      </c>
      <c r="AM129" s="3"/>
      <c r="AN129" s="3"/>
      <c r="AO129" s="4"/>
      <c r="AP129" s="3"/>
      <c r="AQ129" s="3"/>
      <c r="AR129" s="3"/>
      <c r="AS129" s="3"/>
      <c r="AT129" s="4"/>
      <c r="AU129" s="3"/>
      <c r="AV129" s="3"/>
      <c r="AW129" s="3"/>
      <c r="AX129" s="3"/>
      <c r="AY129" s="4"/>
    </row>
    <row r="130" s="152" customFormat="1" ht="12" hidden="1" customHeight="1" outlineLevel="1" spans="1:51">
      <c r="A130" s="397" t="s">
        <v>85</v>
      </c>
      <c r="B130" s="149"/>
      <c r="C130" s="149"/>
      <c r="D130" s="149"/>
      <c r="E130" s="149"/>
      <c r="F130" s="149"/>
      <c r="G130" s="398"/>
      <c r="H130" s="398"/>
      <c r="I130" s="398"/>
      <c r="J130" s="148"/>
      <c r="K130" s="399"/>
      <c r="L130" s="148"/>
      <c r="M130" s="148"/>
      <c r="N130" s="148"/>
      <c r="O130" s="365"/>
      <c r="P130" s="327"/>
      <c r="Q130" s="398"/>
      <c r="R130" s="398"/>
      <c r="S130" s="398"/>
      <c r="T130" s="365"/>
      <c r="U130" s="327">
        <v>43166</v>
      </c>
      <c r="V130" s="326"/>
      <c r="W130" s="326"/>
      <c r="X130" s="326"/>
      <c r="Y130" s="365"/>
      <c r="Z130" s="327">
        <v>48868</v>
      </c>
      <c r="AA130" s="326">
        <v>11896</v>
      </c>
      <c r="AB130" s="326">
        <v>13620</v>
      </c>
      <c r="AC130" s="326">
        <v>13742</v>
      </c>
      <c r="AD130" s="330">
        <f t="shared" si="583"/>
        <v>12773</v>
      </c>
      <c r="AE130" s="327">
        <v>52031</v>
      </c>
      <c r="AF130" s="326">
        <v>13613</v>
      </c>
      <c r="AG130" s="326">
        <v>11623</v>
      </c>
      <c r="AH130" s="326">
        <v>15003</v>
      </c>
      <c r="AI130" s="330">
        <f t="shared" si="584"/>
        <v>19241</v>
      </c>
      <c r="AJ130" s="327">
        <v>59480</v>
      </c>
      <c r="AK130" s="326">
        <v>16601</v>
      </c>
      <c r="AL130" s="326">
        <v>14985</v>
      </c>
      <c r="AM130" s="148"/>
      <c r="AN130" s="148"/>
      <c r="AO130" s="149"/>
      <c r="AP130" s="148"/>
      <c r="AQ130" s="148"/>
      <c r="AR130" s="148"/>
      <c r="AS130" s="148"/>
      <c r="AT130" s="149"/>
      <c r="AU130" s="148"/>
      <c r="AV130" s="148"/>
      <c r="AW130" s="148"/>
      <c r="AX130" s="148"/>
      <c r="AY130" s="149"/>
    </row>
    <row r="131" ht="12" hidden="1" customHeight="1" outlineLevel="1" spans="1:51">
      <c r="A131" s="400" t="s">
        <v>70</v>
      </c>
      <c r="G131" s="3"/>
      <c r="H131" s="3"/>
      <c r="I131" s="3"/>
      <c r="J131" s="3"/>
      <c r="K131" s="4"/>
      <c r="L131" s="3"/>
      <c r="M131" s="3"/>
      <c r="N131" s="3"/>
      <c r="O131" s="3"/>
      <c r="P131" s="4"/>
      <c r="Q131" s="3"/>
      <c r="R131" s="3"/>
      <c r="S131" s="3"/>
      <c r="T131" s="3"/>
      <c r="U131" s="27">
        <f>SUM(U128:U130)</f>
        <v>1593213</v>
      </c>
      <c r="V131" s="401"/>
      <c r="W131" s="401"/>
      <c r="X131" s="401"/>
      <c r="Y131" s="401"/>
      <c r="Z131" s="27">
        <f t="shared" ref="Z131:AL131" si="585">SUM(Z128:Z130)</f>
        <v>1587265</v>
      </c>
      <c r="AA131" s="401">
        <f t="shared" si="585"/>
        <v>343273</v>
      </c>
      <c r="AB131" s="401">
        <f t="shared" si="585"/>
        <v>451590</v>
      </c>
      <c r="AC131" s="401">
        <f t="shared" si="585"/>
        <v>422034</v>
      </c>
      <c r="AD131" s="401">
        <f t="shared" si="585"/>
        <v>557029</v>
      </c>
      <c r="AE131" s="27">
        <f t="shared" si="585"/>
        <v>1773926</v>
      </c>
      <c r="AF131" s="401">
        <f t="shared" si="585"/>
        <v>417133</v>
      </c>
      <c r="AG131" s="401">
        <f t="shared" si="585"/>
        <v>397712</v>
      </c>
      <c r="AH131" s="401">
        <f t="shared" si="585"/>
        <v>483670</v>
      </c>
      <c r="AI131" s="401">
        <f t="shared" si="585"/>
        <v>730369</v>
      </c>
      <c r="AJ131" s="27">
        <f t="shared" si="585"/>
        <v>2028884</v>
      </c>
      <c r="AK131" s="401">
        <f t="shared" si="585"/>
        <v>413838</v>
      </c>
      <c r="AL131" s="401">
        <f t="shared" si="585"/>
        <v>466109</v>
      </c>
      <c r="AM131" s="3"/>
      <c r="AN131" s="3"/>
      <c r="AO131" s="4"/>
      <c r="AP131" s="3"/>
      <c r="AQ131" s="3"/>
      <c r="AR131" s="3"/>
      <c r="AS131" s="3"/>
      <c r="AT131" s="4"/>
      <c r="AU131" s="3"/>
      <c r="AV131" s="3"/>
      <c r="AW131" s="3"/>
      <c r="AX131" s="3"/>
      <c r="AY131" s="4"/>
    </row>
    <row r="132" hidden="1" outlineLevel="1" spans="1:51">
      <c r="G132" s="3"/>
      <c r="H132" s="3"/>
      <c r="I132" s="3"/>
      <c r="J132" s="3"/>
      <c r="K132" s="4"/>
      <c r="L132" s="3"/>
      <c r="M132" s="3"/>
      <c r="N132" s="3"/>
      <c r="O132" s="3"/>
      <c r="P132" s="4"/>
      <c r="Q132" s="3"/>
      <c r="R132" s="3"/>
      <c r="S132" s="3"/>
      <c r="T132" s="3"/>
      <c r="U132" s="4"/>
      <c r="V132" s="66"/>
      <c r="W132" s="66"/>
      <c r="X132" s="66"/>
      <c r="Y132" s="66"/>
      <c r="Z132" s="4"/>
      <c r="AA132" s="66"/>
      <c r="AB132" s="66"/>
      <c r="AC132" s="66"/>
      <c r="AD132" s="3"/>
      <c r="AE132" s="4"/>
      <c r="AF132" s="3"/>
      <c r="AG132" s="3"/>
      <c r="AH132" s="3"/>
      <c r="AI132" s="3"/>
      <c r="AJ132" s="4"/>
      <c r="AK132" s="3"/>
      <c r="AL132" s="3"/>
      <c r="AM132" s="3"/>
      <c r="AN132" s="3"/>
      <c r="AO132" s="4"/>
      <c r="AP132" s="3"/>
      <c r="AQ132" s="3"/>
      <c r="AR132" s="3"/>
      <c r="AS132" s="3"/>
      <c r="AT132" s="4"/>
      <c r="AU132" s="3"/>
      <c r="AV132" s="3"/>
      <c r="AW132" s="3"/>
      <c r="AX132" s="3"/>
      <c r="AY132" s="4"/>
    </row>
    <row r="133" hidden="1" outlineLevel="1" spans="1:51">
      <c r="A133" s="242" t="s">
        <v>98</v>
      </c>
      <c r="B133" s="243"/>
      <c r="C133" s="243"/>
      <c r="D133" s="243"/>
      <c r="E133" s="243"/>
      <c r="F133" s="243"/>
      <c r="G133" s="242"/>
      <c r="H133" s="242"/>
      <c r="I133" s="242"/>
      <c r="J133" s="242"/>
      <c r="K133" s="243"/>
      <c r="L133" s="242"/>
      <c r="M133" s="242"/>
      <c r="N133" s="242"/>
      <c r="O133" s="242"/>
      <c r="P133" s="243"/>
      <c r="Q133" s="242"/>
      <c r="R133" s="242"/>
      <c r="S133" s="242"/>
      <c r="T133" s="242"/>
      <c r="U133" s="243"/>
      <c r="V133" s="402"/>
      <c r="W133" s="402"/>
      <c r="X133" s="402"/>
      <c r="Y133" s="402"/>
      <c r="Z133" s="243"/>
      <c r="AA133" s="402"/>
      <c r="AB133" s="402"/>
      <c r="AC133" s="402"/>
      <c r="AD133" s="242"/>
      <c r="AE133" s="243"/>
      <c r="AF133" s="242"/>
      <c r="AG133" s="242"/>
      <c r="AH133" s="242"/>
      <c r="AI133" s="242"/>
      <c r="AJ133" s="243"/>
      <c r="AK133" s="242"/>
      <c r="AL133" s="242"/>
      <c r="AM133" s="242"/>
      <c r="AN133" s="242"/>
      <c r="AO133" s="243"/>
      <c r="AP133" s="242"/>
      <c r="AQ133" s="242"/>
      <c r="AR133" s="242"/>
      <c r="AS133" s="242"/>
      <c r="AT133" s="243"/>
      <c r="AU133" s="242"/>
      <c r="AV133" s="242"/>
      <c r="AW133" s="242"/>
      <c r="AX133" s="242"/>
      <c r="AY133" s="243"/>
    </row>
    <row r="134" ht="12" hidden="1" customHeight="1" outlineLevel="1" spans="1:51">
      <c r="A134" s="400" t="s">
        <v>83</v>
      </c>
      <c r="G134" s="3"/>
      <c r="H134" s="3"/>
      <c r="I134" s="3"/>
      <c r="J134" s="3"/>
      <c r="K134" s="4"/>
      <c r="L134" s="3"/>
      <c r="M134" s="3"/>
      <c r="N134" s="3"/>
      <c r="O134" s="3"/>
      <c r="P134" s="4"/>
      <c r="Q134" s="3"/>
      <c r="R134" s="3"/>
      <c r="S134" s="3"/>
      <c r="T134" s="3"/>
      <c r="U134" s="118">
        <f>U128/U49</f>
        <v>0.432769838170972</v>
      </c>
      <c r="V134" s="66"/>
      <c r="W134" s="66"/>
      <c r="X134" s="66"/>
      <c r="Y134" s="66"/>
      <c r="Z134" s="118">
        <f>Z128/Z49</f>
        <v>0.370130292923958</v>
      </c>
      <c r="AA134" s="66">
        <f>AA128/AA49</f>
        <v>0.333486156311081</v>
      </c>
      <c r="AB134" s="66">
        <f>AB128/AB49</f>
        <v>0.400088102402954</v>
      </c>
      <c r="AC134" s="66">
        <f t="shared" ref="AC134:AH134" si="586">AC128/AC49</f>
        <v>0.346776163795594</v>
      </c>
      <c r="AD134" s="66">
        <f t="shared" si="586"/>
        <v>0.348570908980693</v>
      </c>
      <c r="AE134" s="118">
        <f t="shared" si="586"/>
        <v>0.356587463134827</v>
      </c>
      <c r="AF134" s="66">
        <f t="shared" si="586"/>
        <v>0.3771393363542</v>
      </c>
      <c r="AG134" s="66">
        <f t="shared" si="586"/>
        <v>0.322614452884418</v>
      </c>
      <c r="AH134" s="66">
        <f t="shared" si="586"/>
        <v>0.374515815434896</v>
      </c>
      <c r="AI134" s="66">
        <f t="shared" ref="AI134:AL134" si="587">AI128/AI49</f>
        <v>0.439759440959635</v>
      </c>
      <c r="AJ134" s="118">
        <f t="shared" si="587"/>
        <v>0.384311234746451</v>
      </c>
      <c r="AK134" s="66">
        <f t="shared" si="587"/>
        <v>0.371574231285502</v>
      </c>
      <c r="AL134" s="66">
        <f t="shared" si="587"/>
        <v>0.3743607532113</v>
      </c>
      <c r="AM134" s="3"/>
      <c r="AN134" s="3"/>
      <c r="AO134" s="4"/>
      <c r="AP134" s="3"/>
      <c r="AQ134" s="3"/>
      <c r="AR134" s="3"/>
      <c r="AS134" s="3"/>
      <c r="AT134" s="4"/>
      <c r="AU134" s="3"/>
      <c r="AV134" s="3"/>
      <c r="AW134" s="3"/>
      <c r="AX134" s="3"/>
      <c r="AY134" s="4"/>
    </row>
    <row r="135" ht="12" hidden="1" customHeight="1" outlineLevel="1" spans="1:51">
      <c r="A135" s="400" t="s">
        <v>84</v>
      </c>
      <c r="G135" s="3"/>
      <c r="H135" s="3"/>
      <c r="I135" s="3"/>
      <c r="J135" s="3"/>
      <c r="K135" s="4"/>
      <c r="L135" s="3"/>
      <c r="M135" s="3"/>
      <c r="N135" s="3"/>
      <c r="O135" s="3"/>
      <c r="P135" s="4"/>
      <c r="Q135" s="3"/>
      <c r="R135" s="3"/>
      <c r="S135" s="3"/>
      <c r="T135" s="3"/>
      <c r="U135" s="118">
        <f t="shared" ref="U135:U137" si="588">U129/U50</f>
        <v>0.435101870397376</v>
      </c>
      <c r="V135" s="66"/>
      <c r="W135" s="66"/>
      <c r="X135" s="66"/>
      <c r="Y135" s="66"/>
      <c r="Z135" s="118">
        <f t="shared" ref="Z135:AA137" si="589">Z129/Z50</f>
        <v>0.377454904278017</v>
      </c>
      <c r="AA135" s="66">
        <f t="shared" si="589"/>
        <v>0.351248346259816</v>
      </c>
      <c r="AB135" s="66">
        <f t="shared" ref="AB135:AD135" si="590">AB129/AB50</f>
        <v>0.387621317895454</v>
      </c>
      <c r="AC135" s="66">
        <f t="shared" si="590"/>
        <v>0.364636107317503</v>
      </c>
      <c r="AD135" s="66">
        <f t="shared" si="590"/>
        <v>0.375289017984826</v>
      </c>
      <c r="AE135" s="118">
        <f t="shared" ref="AE135:AG137" si="591">AE129/AE50</f>
        <v>0.370833165697407</v>
      </c>
      <c r="AF135" s="66">
        <f t="shared" si="591"/>
        <v>0.397744222745844</v>
      </c>
      <c r="AG135" s="66">
        <f t="shared" si="591"/>
        <v>0.36406875919071</v>
      </c>
      <c r="AH135" s="66">
        <f t="shared" ref="AH135:AK135" si="592">AH129/AH50</f>
        <v>0.373430671944887</v>
      </c>
      <c r="AI135" s="66">
        <f t="shared" si="592"/>
        <v>0.424742319292082</v>
      </c>
      <c r="AJ135" s="118">
        <f t="shared" si="592"/>
        <v>0.391811914831202</v>
      </c>
      <c r="AK135" s="66">
        <f t="shared" si="592"/>
        <v>0.375454822462404</v>
      </c>
      <c r="AL135" s="66">
        <f t="shared" ref="AL135" si="593">AL129/AL50</f>
        <v>0.341972374870043</v>
      </c>
      <c r="AM135" s="3"/>
      <c r="AN135" s="3"/>
      <c r="AO135" s="4"/>
      <c r="AP135" s="3"/>
      <c r="AQ135" s="3"/>
      <c r="AR135" s="3"/>
      <c r="AS135" s="3"/>
      <c r="AT135" s="4"/>
      <c r="AU135" s="3"/>
      <c r="AV135" s="3"/>
      <c r="AW135" s="3"/>
      <c r="AX135" s="3"/>
      <c r="AY135" s="4"/>
    </row>
    <row r="136" ht="12" hidden="1" customHeight="1" outlineLevel="1" spans="1:51">
      <c r="A136" s="400" t="s">
        <v>85</v>
      </c>
      <c r="G136" s="3"/>
      <c r="H136" s="3"/>
      <c r="I136" s="3"/>
      <c r="J136" s="3"/>
      <c r="K136" s="4"/>
      <c r="L136" s="3"/>
      <c r="M136" s="3"/>
      <c r="N136" s="3"/>
      <c r="O136" s="3"/>
      <c r="P136" s="4"/>
      <c r="Q136" s="3"/>
      <c r="R136" s="3"/>
      <c r="S136" s="3"/>
      <c r="T136" s="3"/>
      <c r="U136" s="118">
        <f t="shared" si="588"/>
        <v>0.360847321607704</v>
      </c>
      <c r="V136" s="66"/>
      <c r="W136" s="66"/>
      <c r="X136" s="66"/>
      <c r="Y136" s="66"/>
      <c r="Z136" s="118">
        <f t="shared" si="589"/>
        <v>0.354352176813528</v>
      </c>
      <c r="AA136" s="66">
        <f t="shared" si="589"/>
        <v>0.332003014149759</v>
      </c>
      <c r="AB136" s="66">
        <f t="shared" ref="AB136:AD136" si="594">AB130/AB51</f>
        <v>0.411878553284142</v>
      </c>
      <c r="AC136" s="66">
        <f t="shared" si="594"/>
        <v>0.33578497251069</v>
      </c>
      <c r="AD136" s="66">
        <f t="shared" si="594"/>
        <v>0.313601767738767</v>
      </c>
      <c r="AE136" s="118">
        <f t="shared" si="591"/>
        <v>0.345596928676754</v>
      </c>
      <c r="AF136" s="66">
        <f t="shared" si="591"/>
        <v>0.363294280910571</v>
      </c>
      <c r="AG136" s="66">
        <f t="shared" si="591"/>
        <v>0.312866756393001</v>
      </c>
      <c r="AH136" s="66">
        <f t="shared" ref="AH136:AK136" si="595">AH130/AH51</f>
        <v>0.388065492356638</v>
      </c>
      <c r="AI136" s="66">
        <f t="shared" si="595"/>
        <v>0.432625070264193</v>
      </c>
      <c r="AJ136" s="118">
        <f t="shared" si="595"/>
        <v>0.377035567359927</v>
      </c>
      <c r="AK136" s="66">
        <f t="shared" si="595"/>
        <v>0.356980044727335</v>
      </c>
      <c r="AL136" s="66">
        <f t="shared" ref="AL136" si="596">AL130/AL51</f>
        <v>0.339318871427924</v>
      </c>
      <c r="AM136" s="3"/>
      <c r="AN136" s="3"/>
      <c r="AO136" s="4"/>
      <c r="AP136" s="3"/>
      <c r="AQ136" s="3"/>
      <c r="AR136" s="3"/>
      <c r="AS136" s="3"/>
      <c r="AT136" s="4"/>
      <c r="AU136" s="3"/>
      <c r="AV136" s="3"/>
      <c r="AW136" s="3"/>
      <c r="AX136" s="3"/>
      <c r="AY136" s="4"/>
    </row>
    <row r="137" ht="12" hidden="1" customHeight="1" outlineLevel="1" spans="1:51">
      <c r="A137" s="400" t="s">
        <v>70</v>
      </c>
      <c r="G137" s="3"/>
      <c r="H137" s="3"/>
      <c r="I137" s="3"/>
      <c r="J137" s="3"/>
      <c r="K137" s="4"/>
      <c r="L137" s="3"/>
      <c r="M137" s="3"/>
      <c r="N137" s="3"/>
      <c r="O137" s="3"/>
      <c r="P137" s="4"/>
      <c r="Q137" s="3"/>
      <c r="R137" s="3"/>
      <c r="S137" s="3"/>
      <c r="T137" s="3"/>
      <c r="U137" s="118">
        <f t="shared" si="588"/>
        <v>0.430860001119599</v>
      </c>
      <c r="V137" s="66"/>
      <c r="W137" s="66"/>
      <c r="X137" s="66"/>
      <c r="Y137" s="66"/>
      <c r="Z137" s="118">
        <f t="shared" si="589"/>
        <v>0.370797656538907</v>
      </c>
      <c r="AA137" s="66">
        <f t="shared" si="589"/>
        <v>0.336301470516199</v>
      </c>
      <c r="AB137" s="66">
        <f t="shared" ref="AB137:AD137" si="597">AB131/AB52</f>
        <v>0.398236643873669</v>
      </c>
      <c r="AC137" s="66">
        <f t="shared" si="597"/>
        <v>0.34908674023918</v>
      </c>
      <c r="AD137" s="66">
        <f t="shared" si="597"/>
        <v>0.351456259223669</v>
      </c>
      <c r="AE137" s="118">
        <f t="shared" si="591"/>
        <v>0.358471216126947</v>
      </c>
      <c r="AF137" s="66">
        <f t="shared" si="591"/>
        <v>0.380141090356335</v>
      </c>
      <c r="AG137" s="66">
        <f t="shared" si="591"/>
        <v>0.329079234791818</v>
      </c>
      <c r="AH137" s="66">
        <f t="shared" ref="AH137:AK137" si="598">AH131/AH52</f>
        <v>0.374758158681997</v>
      </c>
      <c r="AI137" s="66">
        <f t="shared" si="598"/>
        <v>0.437398565817983</v>
      </c>
      <c r="AJ137" s="118">
        <f t="shared" si="598"/>
        <v>0.385258546240884</v>
      </c>
      <c r="AK137" s="66">
        <f t="shared" si="598"/>
        <v>0.37154803150596</v>
      </c>
      <c r="AL137" s="66">
        <f t="shared" ref="AL137" si="599">AL131/AL52</f>
        <v>0.367974301505737</v>
      </c>
      <c r="AM137" s="3"/>
      <c r="AN137" s="3"/>
      <c r="AO137" s="4"/>
      <c r="AP137" s="3"/>
      <c r="AQ137" s="3"/>
      <c r="AR137" s="3"/>
      <c r="AS137" s="3"/>
      <c r="AT137" s="4"/>
      <c r="AU137" s="3"/>
      <c r="AV137" s="3"/>
      <c r="AW137" s="3"/>
      <c r="AX137" s="3"/>
      <c r="AY137" s="4"/>
    </row>
    <row r="138" hidden="1" outlineLevel="1" spans="1:51">
      <c r="A138" s="400"/>
      <c r="G138" s="3"/>
      <c r="H138" s="3"/>
      <c r="I138" s="3"/>
      <c r="J138" s="3"/>
      <c r="K138" s="4"/>
      <c r="L138" s="3"/>
      <c r="M138" s="3"/>
      <c r="N138" s="3"/>
      <c r="O138" s="3"/>
      <c r="P138" s="4"/>
      <c r="Q138" s="3"/>
      <c r="R138" s="3"/>
      <c r="S138" s="3"/>
      <c r="T138" s="3"/>
      <c r="U138" s="4"/>
      <c r="V138" s="66"/>
      <c r="W138" s="66"/>
      <c r="X138" s="66"/>
      <c r="Y138" s="66"/>
      <c r="Z138" s="4"/>
      <c r="AA138" s="66"/>
      <c r="AB138" s="66"/>
      <c r="AC138" s="66"/>
      <c r="AD138" s="3"/>
      <c r="AE138" s="4"/>
      <c r="AF138" s="3"/>
      <c r="AG138" s="3"/>
      <c r="AH138" s="3"/>
      <c r="AI138" s="3"/>
      <c r="AJ138" s="4"/>
      <c r="AK138" s="3"/>
      <c r="AL138" s="3"/>
      <c r="AM138" s="3"/>
      <c r="AN138" s="3"/>
      <c r="AO138" s="4"/>
      <c r="AP138" s="3"/>
      <c r="AQ138" s="3"/>
      <c r="AR138" s="3"/>
      <c r="AS138" s="3"/>
      <c r="AT138" s="4"/>
      <c r="AU138" s="3"/>
      <c r="AV138" s="3"/>
      <c r="AW138" s="3"/>
      <c r="AX138" s="3"/>
      <c r="AY138" s="4"/>
    </row>
    <row r="139" hidden="1" outlineLevel="1" spans="1:51">
      <c r="A139" s="403" t="s">
        <v>99</v>
      </c>
      <c r="B139" s="389"/>
      <c r="C139" s="389"/>
      <c r="D139" s="389"/>
      <c r="E139" s="389"/>
      <c r="F139" s="389"/>
      <c r="G139" s="391"/>
      <c r="H139" s="391"/>
      <c r="I139" s="391"/>
      <c r="J139" s="391"/>
      <c r="K139" s="389"/>
      <c r="L139" s="391"/>
      <c r="M139" s="391"/>
      <c r="N139" s="391"/>
      <c r="O139" s="391"/>
      <c r="P139" s="389"/>
      <c r="Q139" s="391"/>
      <c r="R139" s="391"/>
      <c r="S139" s="391"/>
      <c r="T139" s="391"/>
      <c r="U139" s="389"/>
      <c r="V139" s="404"/>
      <c r="W139" s="404"/>
      <c r="X139" s="404"/>
      <c r="Y139" s="404"/>
      <c r="Z139" s="389"/>
      <c r="AA139" s="404"/>
      <c r="AB139" s="404"/>
      <c r="AC139" s="404"/>
      <c r="AD139" s="391"/>
      <c r="AE139" s="389"/>
      <c r="AF139" s="391"/>
      <c r="AG139" s="391"/>
      <c r="AH139" s="391"/>
      <c r="AI139" s="391"/>
      <c r="AJ139" s="389"/>
      <c r="AK139" s="391"/>
      <c r="AL139" s="391"/>
      <c r="AM139" s="391"/>
      <c r="AN139" s="391"/>
      <c r="AO139" s="389"/>
      <c r="AP139" s="391"/>
      <c r="AQ139" s="391"/>
      <c r="AR139" s="391"/>
      <c r="AS139" s="391"/>
      <c r="AT139" s="389"/>
      <c r="AU139" s="391"/>
      <c r="AV139" s="391"/>
      <c r="AW139" s="391"/>
      <c r="AX139" s="391"/>
      <c r="AY139" s="389"/>
    </row>
    <row r="140" hidden="1" outlineLevel="1" spans="1:51">
      <c r="A140" s="396" t="s">
        <v>83</v>
      </c>
      <c r="G140" s="3"/>
      <c r="H140" s="3"/>
      <c r="I140" s="3"/>
      <c r="J140" s="3"/>
      <c r="K140" s="4"/>
      <c r="L140" s="3"/>
      <c r="M140" s="3"/>
      <c r="N140" s="3"/>
      <c r="O140" s="3"/>
      <c r="P140" s="4"/>
      <c r="Q140" s="3"/>
      <c r="R140" s="3"/>
      <c r="S140" s="3"/>
      <c r="T140" s="3"/>
      <c r="U140" s="30">
        <f>299678+356506+518099</f>
        <v>1174283</v>
      </c>
      <c r="V140" s="66"/>
      <c r="W140" s="66"/>
      <c r="X140" s="66"/>
      <c r="Y140" s="66"/>
      <c r="Z140" s="30">
        <f>312340+353538+570454</f>
        <v>1236332</v>
      </c>
      <c r="AA140" s="405">
        <f>78881+80602+134792</f>
        <v>294275</v>
      </c>
      <c r="AB140" s="405">
        <f>81848+83210+146755</f>
        <v>311813</v>
      </c>
      <c r="AC140" s="405">
        <f>82337+96930+160563</f>
        <v>339830</v>
      </c>
      <c r="AD140" s="70">
        <f>AE140-SUM(AA140:AC140)</f>
        <v>434942</v>
      </c>
      <c r="AE140" s="30">
        <f>327458+403114+650288</f>
        <v>1380860</v>
      </c>
      <c r="AF140" s="31">
        <f>84920+85046+147955</f>
        <v>317921</v>
      </c>
      <c r="AG140" s="31">
        <f>90136+68708+134958</f>
        <v>293802</v>
      </c>
      <c r="AH140" s="31">
        <f>93558+95099+184174</f>
        <v>372831</v>
      </c>
      <c r="AI140" s="70">
        <f>AJ140-SUM(AF140:AH140)</f>
        <v>469741</v>
      </c>
      <c r="AJ140" s="30">
        <f>362255+400501+691539</f>
        <v>1454295</v>
      </c>
      <c r="AK140" s="31">
        <f>93152+81550+159917</f>
        <v>334619</v>
      </c>
      <c r="AL140" s="31">
        <f>95230+83525+177134</f>
        <v>355889</v>
      </c>
      <c r="AM140" s="3"/>
      <c r="AN140" s="3"/>
      <c r="AO140" s="4"/>
      <c r="AP140" s="3"/>
      <c r="AQ140" s="3"/>
      <c r="AR140" s="3"/>
      <c r="AS140" s="3"/>
      <c r="AT140" s="4"/>
      <c r="AU140" s="3"/>
      <c r="AV140" s="3"/>
      <c r="AW140" s="3"/>
      <c r="AX140" s="3"/>
      <c r="AY140" s="4"/>
    </row>
    <row r="141" hidden="1" outlineLevel="1" spans="1:51">
      <c r="A141" s="400" t="s">
        <v>84</v>
      </c>
      <c r="G141" s="3"/>
      <c r="H141" s="3"/>
      <c r="I141" s="3"/>
      <c r="J141" s="3"/>
      <c r="K141" s="4"/>
      <c r="L141" s="3"/>
      <c r="M141" s="3"/>
      <c r="N141" s="3"/>
      <c r="O141" s="3"/>
      <c r="P141" s="4"/>
      <c r="Q141" s="3"/>
      <c r="R141" s="3"/>
      <c r="S141" s="3"/>
      <c r="T141" s="3"/>
      <c r="U141" s="406">
        <f>105868+69466+150657</f>
        <v>325991</v>
      </c>
      <c r="V141" s="66"/>
      <c r="W141" s="66"/>
      <c r="X141" s="66"/>
      <c r="Y141" s="66"/>
      <c r="Z141" s="406">
        <f>120118+72610+153804</f>
        <v>346532</v>
      </c>
      <c r="AA141" s="405">
        <f>26632+17896+37871</f>
        <v>82399</v>
      </c>
      <c r="AB141" s="405">
        <f>28963+19462+41419</f>
        <v>89844</v>
      </c>
      <c r="AC141" s="405">
        <f>31129+20292+42248</f>
        <v>93669</v>
      </c>
      <c r="AD141" s="70">
        <f t="shared" ref="AD141:AD142" si="600">AE141-SUM(AA141:AC141)</f>
        <v>109052</v>
      </c>
      <c r="AE141" s="406">
        <f>114664+83832+176468</f>
        <v>374964</v>
      </c>
      <c r="AF141" s="31">
        <f>28974+23486+42945</f>
        <v>95405</v>
      </c>
      <c r="AG141" s="31">
        <f>30106+22857+42316</f>
        <v>95279</v>
      </c>
      <c r="AH141" s="31">
        <f>30779+21406+48205</f>
        <v>100390</v>
      </c>
      <c r="AI141" s="70">
        <f t="shared" ref="AI141:AI142" si="601">AJ141-SUM(AF141:AH141)</f>
        <v>114995</v>
      </c>
      <c r="AJ141" s="406">
        <f>122036+95771+188262</f>
        <v>406069</v>
      </c>
      <c r="AK141" s="31">
        <f>34615+21366+45147</f>
        <v>101128</v>
      </c>
      <c r="AL141" s="31">
        <f>34057+21272+50342</f>
        <v>105671</v>
      </c>
      <c r="AM141" s="3"/>
      <c r="AN141" s="3"/>
      <c r="AO141" s="4"/>
      <c r="AP141" s="3"/>
      <c r="AQ141" s="3"/>
      <c r="AR141" s="3"/>
      <c r="AS141" s="3"/>
      <c r="AT141" s="4"/>
      <c r="AU141" s="3"/>
      <c r="AV141" s="3"/>
      <c r="AW141" s="3"/>
      <c r="AX141" s="3"/>
      <c r="AY141" s="4"/>
    </row>
    <row r="142" s="152" customFormat="1" hidden="1" outlineLevel="1" spans="1:51">
      <c r="A142" s="397" t="s">
        <v>85</v>
      </c>
      <c r="B142" s="149"/>
      <c r="C142" s="149"/>
      <c r="D142" s="149"/>
      <c r="E142" s="149"/>
      <c r="F142" s="149"/>
      <c r="G142" s="148"/>
      <c r="H142" s="148"/>
      <c r="I142" s="148"/>
      <c r="J142" s="148"/>
      <c r="K142" s="149"/>
      <c r="L142" s="148"/>
      <c r="M142" s="148"/>
      <c r="N142" s="148"/>
      <c r="O142" s="148"/>
      <c r="P142" s="149"/>
      <c r="Q142" s="148"/>
      <c r="R142" s="148"/>
      <c r="S142" s="148"/>
      <c r="T142" s="148"/>
      <c r="U142" s="327">
        <f>39831+18563+46347</f>
        <v>104741</v>
      </c>
      <c r="V142" s="407"/>
      <c r="W142" s="407"/>
      <c r="X142" s="407"/>
      <c r="Y142" s="407"/>
      <c r="Z142" s="327">
        <f>30982+17505+51111</f>
        <v>99598</v>
      </c>
      <c r="AA142" s="408">
        <f>7523+3879+12855</f>
        <v>24257</v>
      </c>
      <c r="AB142" s="408">
        <f>7936+4130+12624</f>
        <v>24690</v>
      </c>
      <c r="AC142" s="408">
        <f>11416+5045+14903</f>
        <v>31364</v>
      </c>
      <c r="AD142" s="330">
        <f t="shared" si="600"/>
        <v>30223</v>
      </c>
      <c r="AE142" s="327">
        <f>33545+19306+57683</f>
        <v>110534</v>
      </c>
      <c r="AF142" s="326">
        <f>10525+4933+12810</f>
        <v>28268</v>
      </c>
      <c r="AG142" s="326">
        <f>12082+4901+12514</f>
        <v>29497</v>
      </c>
      <c r="AH142" s="326">
        <f>10471+4616+14877</f>
        <v>29964</v>
      </c>
      <c r="AI142" s="330">
        <f t="shared" si="601"/>
        <v>38145</v>
      </c>
      <c r="AJ142" s="327">
        <f>48820+20527+56527</f>
        <v>125874</v>
      </c>
      <c r="AK142" s="326">
        <f>12431+5585+12772</f>
        <v>30788</v>
      </c>
      <c r="AL142" s="326">
        <f>11536+5655+15382</f>
        <v>32573</v>
      </c>
      <c r="AM142" s="148"/>
      <c r="AN142" s="148"/>
      <c r="AO142" s="149"/>
      <c r="AP142" s="148"/>
      <c r="AQ142" s="148"/>
      <c r="AR142" s="148"/>
      <c r="AS142" s="148"/>
      <c r="AT142" s="149"/>
      <c r="AU142" s="148"/>
      <c r="AV142" s="148"/>
      <c r="AW142" s="148"/>
      <c r="AX142" s="148"/>
      <c r="AY142" s="149"/>
    </row>
    <row r="143" hidden="1" outlineLevel="1" spans="1:51">
      <c r="A143" s="400" t="s">
        <v>70</v>
      </c>
      <c r="G143" s="3"/>
      <c r="H143" s="3"/>
      <c r="I143" s="3"/>
      <c r="J143" s="3"/>
      <c r="K143" s="4"/>
      <c r="L143" s="3"/>
      <c r="M143" s="3"/>
      <c r="N143" s="3"/>
      <c r="O143" s="3"/>
      <c r="P143" s="4"/>
      <c r="Q143" s="3"/>
      <c r="R143" s="3"/>
      <c r="S143" s="3"/>
      <c r="T143" s="3"/>
      <c r="U143" s="27">
        <f>SUM(U140:U142)</f>
        <v>1605015</v>
      </c>
      <c r="V143" s="66"/>
      <c r="W143" s="66"/>
      <c r="X143" s="66"/>
      <c r="Y143" s="66"/>
      <c r="Z143" s="27">
        <f t="shared" ref="Z143:AL143" si="602">SUM(Z140:Z142)</f>
        <v>1682462</v>
      </c>
      <c r="AA143" s="28">
        <f t="shared" si="602"/>
        <v>400931</v>
      </c>
      <c r="AB143" s="28">
        <f t="shared" si="602"/>
        <v>426347</v>
      </c>
      <c r="AC143" s="28">
        <f t="shared" si="602"/>
        <v>464863</v>
      </c>
      <c r="AD143" s="401">
        <f t="shared" si="602"/>
        <v>574217</v>
      </c>
      <c r="AE143" s="27">
        <f t="shared" si="602"/>
        <v>1866358</v>
      </c>
      <c r="AF143" s="3">
        <f t="shared" si="602"/>
        <v>441594</v>
      </c>
      <c r="AG143" s="3">
        <f t="shared" si="602"/>
        <v>418578</v>
      </c>
      <c r="AH143" s="3">
        <f t="shared" si="602"/>
        <v>503185</v>
      </c>
      <c r="AI143" s="401">
        <f t="shared" si="602"/>
        <v>622881</v>
      </c>
      <c r="AJ143" s="27">
        <f t="shared" si="602"/>
        <v>1986238</v>
      </c>
      <c r="AK143" s="3">
        <f t="shared" si="602"/>
        <v>466535</v>
      </c>
      <c r="AL143" s="3">
        <f t="shared" si="602"/>
        <v>494133</v>
      </c>
      <c r="AM143" s="3"/>
      <c r="AN143" s="3"/>
      <c r="AO143" s="4"/>
      <c r="AP143" s="3"/>
      <c r="AQ143" s="3"/>
      <c r="AR143" s="3"/>
      <c r="AS143" s="3"/>
      <c r="AT143" s="4"/>
      <c r="AU143" s="3"/>
      <c r="AV143" s="3"/>
      <c r="AW143" s="3"/>
      <c r="AX143" s="3"/>
      <c r="AY143" s="4"/>
    </row>
    <row r="144" hidden="1" outlineLevel="1" spans="1:51">
      <c r="A144" s="400"/>
      <c r="G144" s="3"/>
      <c r="H144" s="3"/>
      <c r="I144" s="3"/>
      <c r="J144" s="3"/>
      <c r="K144" s="4"/>
      <c r="L144" s="3"/>
      <c r="M144" s="3"/>
      <c r="N144" s="3"/>
      <c r="O144" s="3"/>
      <c r="P144" s="4"/>
      <c r="Q144" s="3"/>
      <c r="R144" s="3"/>
      <c r="S144" s="3"/>
      <c r="T144" s="3"/>
      <c r="U144" s="4"/>
      <c r="V144" s="66"/>
      <c r="W144" s="66"/>
      <c r="X144" s="66"/>
      <c r="Y144" s="66"/>
      <c r="Z144" s="4"/>
      <c r="AA144" s="66"/>
      <c r="AB144" s="66"/>
      <c r="AC144" s="66"/>
      <c r="AD144" s="3"/>
      <c r="AE144" s="4"/>
      <c r="AF144" s="3"/>
      <c r="AG144" s="3"/>
      <c r="AH144" s="3"/>
      <c r="AI144" s="3"/>
      <c r="AJ144" s="4"/>
      <c r="AK144" s="3"/>
      <c r="AL144" s="3"/>
      <c r="AM144" s="3"/>
      <c r="AN144" s="3"/>
      <c r="AO144" s="4"/>
      <c r="AP144" s="3"/>
      <c r="AQ144" s="3"/>
      <c r="AR144" s="3"/>
      <c r="AS144" s="3"/>
      <c r="AT144" s="4"/>
      <c r="AU144" s="3"/>
      <c r="AV144" s="3"/>
      <c r="AW144" s="3"/>
      <c r="AX144" s="3"/>
      <c r="AY144" s="4"/>
    </row>
    <row r="145" hidden="1" outlineLevel="1" spans="1:56">
      <c r="A145" s="403" t="s">
        <v>100</v>
      </c>
      <c r="B145" s="389"/>
      <c r="C145" s="389"/>
      <c r="D145" s="389"/>
      <c r="E145" s="389"/>
      <c r="F145" s="389"/>
      <c r="G145" s="391"/>
      <c r="H145" s="391"/>
      <c r="I145" s="391"/>
      <c r="J145" s="391"/>
      <c r="K145" s="389"/>
      <c r="L145" s="391"/>
      <c r="M145" s="391"/>
      <c r="N145" s="391"/>
      <c r="O145" s="391"/>
      <c r="P145" s="389"/>
      <c r="Q145" s="391"/>
      <c r="R145" s="391"/>
      <c r="S145" s="391"/>
      <c r="T145" s="391"/>
      <c r="U145" s="389"/>
      <c r="V145" s="404"/>
      <c r="W145" s="404"/>
      <c r="X145" s="404"/>
      <c r="Y145" s="404"/>
      <c r="Z145" s="389"/>
      <c r="AA145" s="404"/>
      <c r="AB145" s="404"/>
      <c r="AC145" s="404"/>
      <c r="AD145" s="391"/>
      <c r="AE145" s="389"/>
      <c r="AF145" s="391"/>
      <c r="AG145" s="391"/>
      <c r="AH145" s="391"/>
      <c r="AI145" s="391"/>
      <c r="AJ145" s="389"/>
      <c r="AK145" s="391"/>
      <c r="AL145" s="391"/>
      <c r="AM145" s="391"/>
      <c r="AN145" s="391"/>
      <c r="AO145" s="389"/>
      <c r="AP145" s="391"/>
      <c r="AQ145" s="391"/>
      <c r="AR145" s="391"/>
      <c r="AS145" s="391"/>
      <c r="AT145" s="389"/>
      <c r="AU145" s="391"/>
      <c r="AV145" s="391"/>
      <c r="AW145" s="391"/>
      <c r="AX145" s="391"/>
      <c r="AY145" s="389"/>
    </row>
    <row r="146" hidden="1" outlineLevel="1" spans="1:56">
      <c r="A146" s="400" t="s">
        <v>83</v>
      </c>
      <c r="G146" s="3"/>
      <c r="H146" s="3"/>
      <c r="I146" s="3"/>
      <c r="J146" s="3"/>
      <c r="K146" s="4"/>
      <c r="L146" s="3"/>
      <c r="M146" s="3"/>
      <c r="N146" s="3"/>
      <c r="O146" s="3"/>
      <c r="P146" s="4"/>
      <c r="Q146" s="3"/>
      <c r="R146" s="3"/>
      <c r="S146" s="3"/>
      <c r="T146" s="3"/>
      <c r="U146" s="118">
        <f>U140/U49</f>
        <v>0.402552748611545</v>
      </c>
      <c r="V146" s="66"/>
      <c r="W146" s="66"/>
      <c r="X146" s="66"/>
      <c r="Y146" s="66"/>
      <c r="Z146" s="118">
        <f>Z140/Z49</f>
        <v>0.357768598030775</v>
      </c>
      <c r="AA146" s="66">
        <f t="shared" ref="AA146:AB146" si="603">AA140/AA49</f>
        <v>0.358819003537283</v>
      </c>
      <c r="AB146" s="66">
        <f t="shared" si="603"/>
        <v>0.345988344740042</v>
      </c>
      <c r="AC146" s="66">
        <f t="shared" ref="AC146:AE146" si="604">AC140/AC49</f>
        <v>0.344498296414716</v>
      </c>
      <c r="AD146" s="66">
        <f t="shared" si="604"/>
        <v>0.329571424241506</v>
      </c>
      <c r="AE146" s="118">
        <f t="shared" si="604"/>
        <v>0.342856660461019</v>
      </c>
      <c r="AF146" s="66">
        <f t="shared" ref="AF146:AG146" si="605">AF140/AF49</f>
        <v>0.363419691725232</v>
      </c>
      <c r="AG146" s="66">
        <f t="shared" si="605"/>
        <v>0.301582837199754</v>
      </c>
      <c r="AH146" s="66">
        <f t="shared" ref="AH146:AK146" si="606">AH140/AH49</f>
        <v>0.352576202328625</v>
      </c>
      <c r="AI146" s="66">
        <f t="shared" si="606"/>
        <v>0.339422216088379</v>
      </c>
      <c r="AJ146" s="118">
        <f t="shared" si="606"/>
        <v>0.338965293405386</v>
      </c>
      <c r="AK146" s="66">
        <f t="shared" si="606"/>
        <v>0.371822024481523</v>
      </c>
      <c r="AL146" s="66">
        <f t="shared" ref="AL146" si="607">AL140/AL49</f>
        <v>0.348727189705028</v>
      </c>
      <c r="AM146" s="3"/>
      <c r="AN146" s="3"/>
      <c r="AO146" s="4"/>
      <c r="AP146" s="3"/>
      <c r="AQ146" s="3"/>
      <c r="AR146" s="3"/>
      <c r="AS146" s="3"/>
      <c r="AT146" s="4"/>
      <c r="AU146" s="3"/>
      <c r="AV146" s="3"/>
      <c r="AW146" s="3"/>
      <c r="AX146" s="3"/>
      <c r="AY146" s="4"/>
    </row>
    <row r="147" hidden="1" outlineLevel="1" spans="1:56">
      <c r="A147" s="400" t="s">
        <v>84</v>
      </c>
      <c r="G147" s="3"/>
      <c r="H147" s="3"/>
      <c r="I147" s="3"/>
      <c r="J147" s="3"/>
      <c r="K147" s="4"/>
      <c r="L147" s="3"/>
      <c r="M147" s="3"/>
      <c r="N147" s="3"/>
      <c r="O147" s="3"/>
      <c r="P147" s="4"/>
      <c r="Q147" s="3"/>
      <c r="R147" s="3"/>
      <c r="S147" s="3"/>
      <c r="T147" s="3"/>
      <c r="U147" s="118">
        <f t="shared" ref="U147:U149" si="608">U141/U50</f>
        <v>0.493151658911164</v>
      </c>
      <c r="V147" s="66"/>
      <c r="W147" s="66"/>
      <c r="X147" s="66"/>
      <c r="Y147" s="66"/>
      <c r="Z147" s="118">
        <f t="shared" ref="Z147:AB149" si="609">Z141/Z50</f>
        <v>0.504344383737887</v>
      </c>
      <c r="AA147" s="66">
        <f t="shared" si="609"/>
        <v>0.500060687713166</v>
      </c>
      <c r="AB147" s="66">
        <f t="shared" si="609"/>
        <v>0.449935397281678</v>
      </c>
      <c r="AC147" s="66">
        <f t="shared" ref="AC147:AD147" si="610">AC141/AC50</f>
        <v>0.515821181549848</v>
      </c>
      <c r="AD147" s="66">
        <f t="shared" si="610"/>
        <v>0.485826424374184</v>
      </c>
      <c r="AE147" s="118">
        <f t="shared" ref="AE147:AG149" si="611">AE141/AE50</f>
        <v>0.486638226961308</v>
      </c>
      <c r="AF147" s="66">
        <f t="shared" si="611"/>
        <v>0.515602369268683</v>
      </c>
      <c r="AG147" s="66">
        <f t="shared" si="611"/>
        <v>0.483134729476193</v>
      </c>
      <c r="AH147" s="66">
        <f t="shared" ref="AH147:AK147" si="612">AH141/AH50</f>
        <v>0.516117423268727</v>
      </c>
      <c r="AI147" s="66">
        <f t="shared" si="612"/>
        <v>0.476398601398601</v>
      </c>
      <c r="AJ147" s="118">
        <f t="shared" si="612"/>
        <v>0.496331923631652</v>
      </c>
      <c r="AK147" s="66">
        <f t="shared" si="612"/>
        <v>0.60420736916946</v>
      </c>
      <c r="AL147" s="66">
        <f t="shared" ref="AL147" si="613">AL141/AL50</f>
        <v>0.523149660874301</v>
      </c>
      <c r="AM147" s="3"/>
      <c r="AN147" s="3"/>
      <c r="AO147" s="4"/>
      <c r="AP147" s="3"/>
      <c r="AQ147" s="3"/>
      <c r="AR147" s="3"/>
      <c r="AS147" s="3"/>
      <c r="AT147" s="4"/>
      <c r="AU147" s="3"/>
      <c r="AV147" s="3"/>
      <c r="AW147" s="3"/>
      <c r="AX147" s="3"/>
      <c r="AY147" s="4"/>
    </row>
    <row r="148" hidden="1" outlineLevel="1" spans="1:56">
      <c r="A148" s="400" t="s">
        <v>85</v>
      </c>
      <c r="G148" s="3"/>
      <c r="H148" s="3"/>
      <c r="I148" s="3"/>
      <c r="J148" s="3"/>
      <c r="K148" s="4"/>
      <c r="L148" s="3"/>
      <c r="M148" s="3"/>
      <c r="N148" s="3"/>
      <c r="O148" s="3"/>
      <c r="P148" s="4"/>
      <c r="Q148" s="3"/>
      <c r="R148" s="3"/>
      <c r="S148" s="3"/>
      <c r="T148" s="3"/>
      <c r="U148" s="118">
        <f t="shared" si="608"/>
        <v>0.875585166856149</v>
      </c>
      <c r="V148" s="66"/>
      <c r="W148" s="66"/>
      <c r="X148" s="66"/>
      <c r="Y148" s="66"/>
      <c r="Z148" s="118">
        <f t="shared" si="609"/>
        <v>0.722206108420106</v>
      </c>
      <c r="AA148" s="66">
        <f t="shared" si="609"/>
        <v>0.676983617537886</v>
      </c>
      <c r="AB148" s="66">
        <f t="shared" si="609"/>
        <v>0.746643280512883</v>
      </c>
      <c r="AC148" s="66">
        <f t="shared" ref="AC148:AD148" si="614">AC142/AC51</f>
        <v>0.76637751985339</v>
      </c>
      <c r="AD148" s="66">
        <f t="shared" si="614"/>
        <v>0.742032899582617</v>
      </c>
      <c r="AE148" s="118">
        <f t="shared" si="611"/>
        <v>0.73418175538345</v>
      </c>
      <c r="AF148" s="66">
        <f t="shared" si="611"/>
        <v>0.754396733473886</v>
      </c>
      <c r="AG148" s="66">
        <f t="shared" si="611"/>
        <v>0.79399730820996</v>
      </c>
      <c r="AH148" s="66">
        <f t="shared" ref="AH148:AK148" si="615">AH142/AH51</f>
        <v>0.775044618607899</v>
      </c>
      <c r="AI148" s="66">
        <f t="shared" si="615"/>
        <v>0.857672849915683</v>
      </c>
      <c r="AJ148" s="118">
        <f t="shared" si="615"/>
        <v>0.797898033050831</v>
      </c>
      <c r="AK148" s="66">
        <f t="shared" si="615"/>
        <v>0.662050576294512</v>
      </c>
      <c r="AL148" s="66">
        <f t="shared" ref="AL148" si="616">AL142/AL51</f>
        <v>0.73757981975454</v>
      </c>
      <c r="AM148" s="3"/>
      <c r="AN148" s="3"/>
      <c r="AO148" s="4"/>
      <c r="AP148" s="3"/>
      <c r="AQ148" s="3"/>
      <c r="AR148" s="3"/>
      <c r="AS148" s="3"/>
      <c r="AT148" s="4"/>
      <c r="AU148" s="3"/>
      <c r="AV148" s="3"/>
      <c r="AW148" s="3"/>
      <c r="AX148" s="3"/>
      <c r="AY148" s="4"/>
    </row>
    <row r="149" hidden="1" outlineLevel="1" spans="1:56">
      <c r="A149" s="400" t="s">
        <v>70</v>
      </c>
      <c r="G149" s="3"/>
      <c r="H149" s="3"/>
      <c r="I149" s="3"/>
      <c r="J149" s="3"/>
      <c r="K149" s="4"/>
      <c r="L149" s="3"/>
      <c r="M149" s="3"/>
      <c r="N149" s="3"/>
      <c r="O149" s="3"/>
      <c r="P149" s="4"/>
      <c r="Q149" s="3"/>
      <c r="R149" s="3"/>
      <c r="S149" s="3"/>
      <c r="T149" s="3"/>
      <c r="U149" s="118">
        <f t="shared" si="608"/>
        <v>0.434051670866967</v>
      </c>
      <c r="V149" s="66"/>
      <c r="W149" s="66"/>
      <c r="X149" s="66"/>
      <c r="Y149" s="66"/>
      <c r="Z149" s="118">
        <f t="shared" si="609"/>
        <v>0.39303642858361</v>
      </c>
      <c r="AA149" s="66">
        <f t="shared" si="609"/>
        <v>0.392788494508832</v>
      </c>
      <c r="AB149" s="66">
        <f t="shared" si="609"/>
        <v>0.375975992394887</v>
      </c>
      <c r="AC149" s="66">
        <f t="shared" ref="AC149:AD149" si="617">AC143/AC52</f>
        <v>0.384512881255552</v>
      </c>
      <c r="AD149" s="66">
        <f t="shared" si="617"/>
        <v>0.362300991156004</v>
      </c>
      <c r="AE149" s="118">
        <f t="shared" si="611"/>
        <v>0.377149679292291</v>
      </c>
      <c r="AF149" s="66">
        <f t="shared" si="611"/>
        <v>0.402432856318765</v>
      </c>
      <c r="AG149" s="66">
        <f t="shared" si="611"/>
        <v>0.346344409876216</v>
      </c>
      <c r="AH149" s="66">
        <f t="shared" ref="AH149:AK149" si="618">AH143/AH52</f>
        <v>0.389878810090352</v>
      </c>
      <c r="AI149" s="66">
        <f t="shared" si="618"/>
        <v>0.373026861867455</v>
      </c>
      <c r="AJ149" s="118">
        <f t="shared" si="618"/>
        <v>0.377160628389007</v>
      </c>
      <c r="AK149" s="66">
        <f t="shared" si="618"/>
        <v>0.41885994248627</v>
      </c>
      <c r="AL149" s="66">
        <f t="shared" ref="AL149" si="619">AL143/AL52</f>
        <v>0.390098121954166</v>
      </c>
      <c r="AM149" s="282"/>
      <c r="AN149" s="282"/>
      <c r="AO149" s="118"/>
      <c r="AP149" s="3"/>
      <c r="AQ149" s="3"/>
      <c r="AR149" s="3"/>
      <c r="AS149" s="3"/>
      <c r="AT149" s="4"/>
      <c r="AU149" s="3"/>
      <c r="AV149" s="3"/>
      <c r="AW149" s="3"/>
      <c r="AX149" s="3"/>
      <c r="AY149" s="4"/>
    </row>
    <row r="150" hidden="1" outlineLevel="1" spans="1:56">
      <c r="A150" s="400"/>
      <c r="G150" s="3"/>
      <c r="H150" s="3"/>
      <c r="I150" s="3"/>
      <c r="J150" s="3"/>
      <c r="K150" s="4"/>
      <c r="L150" s="3"/>
      <c r="M150" s="3"/>
      <c r="N150" s="3"/>
      <c r="O150" s="3"/>
      <c r="P150" s="4"/>
      <c r="Q150" s="3"/>
      <c r="R150" s="3"/>
      <c r="S150" s="3"/>
      <c r="T150" s="3"/>
      <c r="U150" s="4"/>
      <c r="V150" s="66"/>
      <c r="W150" s="66"/>
      <c r="X150" s="66"/>
      <c r="Y150" s="66"/>
      <c r="Z150" s="4"/>
      <c r="AA150" s="66"/>
      <c r="AB150" s="66"/>
      <c r="AC150" s="66"/>
      <c r="AD150" s="3"/>
      <c r="AE150" s="4"/>
      <c r="AF150" s="3"/>
      <c r="AG150" s="3"/>
      <c r="AH150" s="3"/>
      <c r="AI150" s="3"/>
      <c r="AJ150" s="118"/>
      <c r="AK150" s="282"/>
      <c r="AL150" s="3"/>
      <c r="AM150" s="282"/>
      <c r="AN150" s="282"/>
      <c r="AO150" s="118"/>
      <c r="AP150" s="3"/>
      <c r="AQ150" s="3"/>
      <c r="AR150" s="3"/>
      <c r="AS150" s="3"/>
      <c r="AT150" s="4"/>
      <c r="AU150" s="3"/>
      <c r="AV150" s="3"/>
      <c r="AW150" s="3"/>
      <c r="AX150" s="3"/>
      <c r="AY150" s="4"/>
    </row>
    <row r="151" hidden="1" outlineLevel="1" spans="1:56">
      <c r="G151" s="3"/>
      <c r="H151" s="3"/>
      <c r="I151" s="3"/>
      <c r="J151" s="3"/>
      <c r="K151" s="4"/>
      <c r="L151" s="3"/>
      <c r="M151" s="3"/>
      <c r="N151" s="3"/>
      <c r="O151" s="3"/>
      <c r="P151" s="4"/>
      <c r="Q151" s="3"/>
      <c r="R151" s="3"/>
      <c r="S151" s="3"/>
      <c r="T151" s="3"/>
      <c r="U151" s="4"/>
      <c r="V151" s="3"/>
      <c r="W151" s="3"/>
      <c r="X151" s="3"/>
      <c r="Y151" s="3"/>
      <c r="Z151" s="4"/>
      <c r="AA151" s="3"/>
      <c r="AB151" s="3"/>
      <c r="AC151" s="3"/>
      <c r="AD151" s="3"/>
      <c r="AE151" s="4"/>
      <c r="AF151" s="3"/>
      <c r="AG151" s="3"/>
      <c r="AH151" s="3"/>
      <c r="AI151" s="3"/>
      <c r="AJ151" s="4"/>
      <c r="AK151" s="3"/>
      <c r="AL151" s="3"/>
      <c r="AM151" s="3"/>
      <c r="AN151" s="3"/>
      <c r="AO151" s="4"/>
      <c r="AP151" s="3"/>
      <c r="AQ151" s="3"/>
      <c r="AR151" s="3"/>
      <c r="AS151" s="3"/>
      <c r="AT151" s="4"/>
      <c r="AU151" s="3"/>
      <c r="AV151" s="3"/>
      <c r="AW151" s="3"/>
      <c r="AX151" s="3"/>
      <c r="AY151" s="4"/>
    </row>
    <row r="152" collapsed="1" spans="1:56">
      <c r="A152" s="267" t="s">
        <v>101</v>
      </c>
      <c r="B152" s="268"/>
      <c r="C152" s="268"/>
      <c r="D152" s="268"/>
      <c r="E152" s="268"/>
      <c r="F152" s="268"/>
      <c r="G152" s="267"/>
      <c r="H152" s="267"/>
      <c r="I152" s="267"/>
      <c r="J152" s="267"/>
      <c r="K152" s="268"/>
      <c r="L152" s="267"/>
      <c r="M152" s="267"/>
      <c r="N152" s="267"/>
      <c r="O152" s="267"/>
      <c r="P152" s="268"/>
      <c r="Q152" s="267"/>
      <c r="R152" s="267"/>
      <c r="S152" s="267"/>
      <c r="T152" s="267"/>
      <c r="U152" s="268"/>
      <c r="V152" s="267"/>
      <c r="W152" s="267"/>
      <c r="X152" s="267"/>
      <c r="Y152" s="267"/>
      <c r="Z152" s="268"/>
      <c r="AA152" s="267"/>
      <c r="AB152" s="267"/>
      <c r="AC152" s="267"/>
      <c r="AD152" s="267"/>
      <c r="AE152" s="268"/>
      <c r="AF152" s="267"/>
      <c r="AG152" s="267"/>
      <c r="AH152" s="409"/>
      <c r="AI152" s="409"/>
      <c r="AJ152" s="268"/>
      <c r="AK152" s="267"/>
      <c r="AL152" s="267"/>
      <c r="AM152" s="267"/>
      <c r="AN152" s="267"/>
      <c r="AO152" s="268"/>
      <c r="AP152" s="267"/>
      <c r="AQ152" s="267"/>
      <c r="AR152" s="267"/>
      <c r="AS152" s="267"/>
      <c r="AT152" s="268"/>
      <c r="AU152" s="267"/>
      <c r="AV152" s="267"/>
      <c r="AW152" s="267"/>
      <c r="AX152" s="267"/>
      <c r="AY152" s="268"/>
    </row>
    <row r="153" spans="1:56">
      <c r="A153" s="29" t="s">
        <v>68</v>
      </c>
      <c r="B153" s="135"/>
      <c r="C153" s="135"/>
      <c r="D153" s="135"/>
      <c r="E153" s="135"/>
      <c r="F153" s="135"/>
      <c r="G153" s="386">
        <f>253+7</f>
        <v>260</v>
      </c>
      <c r="H153" s="386">
        <f>253+7</f>
        <v>260</v>
      </c>
      <c r="I153" s="386">
        <f>255+6</f>
        <v>261</v>
      </c>
      <c r="J153" s="386">
        <f>190+7</f>
        <v>197</v>
      </c>
      <c r="K153" s="4">
        <f>J153</f>
        <v>197</v>
      </c>
      <c r="L153" s="386">
        <f>184+7</f>
        <v>191</v>
      </c>
      <c r="M153" s="3"/>
      <c r="N153" s="3"/>
      <c r="O153" s="3"/>
      <c r="P153" s="4"/>
      <c r="Q153" s="3"/>
      <c r="R153" s="3"/>
      <c r="S153" s="3"/>
      <c r="T153" s="3"/>
      <c r="U153" s="387">
        <v>184</v>
      </c>
      <c r="V153" s="3"/>
      <c r="W153" s="3"/>
      <c r="X153" s="3"/>
      <c r="Y153" s="3"/>
      <c r="Z153" s="387">
        <v>194</v>
      </c>
      <c r="AA153" s="3"/>
      <c r="AB153" s="3"/>
      <c r="AC153" s="3"/>
      <c r="AD153" s="3"/>
      <c r="AE153" s="387">
        <v>215</v>
      </c>
      <c r="AF153" s="3"/>
      <c r="AG153" s="3"/>
      <c r="AH153" s="3"/>
      <c r="AI153" s="3"/>
      <c r="AJ153" s="387">
        <v>239</v>
      </c>
      <c r="AK153" s="3"/>
      <c r="AL153" s="3"/>
      <c r="AM153" s="3"/>
      <c r="AN153" s="3"/>
      <c r="AO153" s="4"/>
      <c r="AP153" s="3"/>
      <c r="AQ153" s="3"/>
      <c r="AR153" s="3"/>
      <c r="AS153" s="3"/>
      <c r="AT153" s="4"/>
      <c r="AU153" s="3"/>
      <c r="AV153" s="3"/>
      <c r="AW153" s="3"/>
      <c r="AX153" s="3"/>
      <c r="AY153" s="4"/>
    </row>
    <row r="154" spans="1:56">
      <c r="A154" s="29" t="s">
        <v>69</v>
      </c>
      <c r="B154" s="135"/>
      <c r="C154" s="135"/>
      <c r="D154" s="135"/>
      <c r="E154" s="135"/>
      <c r="F154" s="135"/>
      <c r="G154" s="386">
        <f>390+10</f>
        <v>400</v>
      </c>
      <c r="H154" s="386">
        <f>386+10</f>
        <v>396</v>
      </c>
      <c r="I154" s="386">
        <f>386+10</f>
        <v>396</v>
      </c>
      <c r="J154" s="386">
        <f>347+10</f>
        <v>357</v>
      </c>
      <c r="K154" s="4">
        <f>J154</f>
        <v>357</v>
      </c>
      <c r="L154" s="386">
        <f>349+10</f>
        <v>359</v>
      </c>
      <c r="M154" s="3"/>
      <c r="N154" s="3"/>
      <c r="O154" s="3"/>
      <c r="P154" s="4"/>
      <c r="Q154" s="3"/>
      <c r="R154" s="3"/>
      <c r="S154" s="3"/>
      <c r="T154" s="3"/>
      <c r="U154" s="387">
        <v>389</v>
      </c>
      <c r="V154" s="3"/>
      <c r="W154" s="3"/>
      <c r="X154" s="3"/>
      <c r="Y154" s="3"/>
      <c r="Z154" s="387">
        <v>384</v>
      </c>
      <c r="AA154" s="3"/>
      <c r="AB154" s="3"/>
      <c r="AC154" s="3"/>
      <c r="AD154" s="3"/>
      <c r="AE154" s="387">
        <v>385</v>
      </c>
      <c r="AF154" s="3"/>
      <c r="AG154" s="3"/>
      <c r="AH154" s="3"/>
      <c r="AI154" s="3"/>
      <c r="AJ154" s="387">
        <v>396</v>
      </c>
      <c r="AK154" s="3"/>
      <c r="AL154" s="3"/>
      <c r="AM154" s="3"/>
      <c r="AN154" s="3"/>
      <c r="AO154" s="4"/>
      <c r="AP154" s="3"/>
      <c r="AQ154" s="3"/>
      <c r="AR154" s="3"/>
      <c r="AS154" s="3"/>
      <c r="AT154" s="4"/>
      <c r="AU154" s="3"/>
      <c r="AV154" s="3"/>
      <c r="AW154" s="3"/>
      <c r="AX154" s="3"/>
      <c r="AY154" s="4"/>
      <c r="BC154" s="119"/>
      <c r="BD154" s="119"/>
    </row>
    <row r="155" spans="1:56">
      <c r="A155" s="285" t="s">
        <v>83</v>
      </c>
      <c r="B155" s="286"/>
      <c r="C155" s="286"/>
      <c r="D155" s="286"/>
      <c r="E155" s="286"/>
      <c r="F155" s="286"/>
      <c r="G155" s="287">
        <f t="shared" ref="G155:L155" si="620">SUM(G153:G154)</f>
        <v>660</v>
      </c>
      <c r="H155" s="410">
        <f t="shared" si="620"/>
        <v>656</v>
      </c>
      <c r="I155" s="410">
        <f t="shared" si="620"/>
        <v>657</v>
      </c>
      <c r="J155" s="410">
        <f t="shared" si="620"/>
        <v>554</v>
      </c>
      <c r="K155" s="288">
        <f t="shared" si="620"/>
        <v>554</v>
      </c>
      <c r="L155" s="287">
        <f t="shared" si="620"/>
        <v>550</v>
      </c>
      <c r="M155" s="287"/>
      <c r="N155" s="287"/>
      <c r="O155" s="287"/>
      <c r="P155" s="288"/>
      <c r="Q155" s="287"/>
      <c r="R155" s="287"/>
      <c r="S155" s="287"/>
      <c r="T155" s="287"/>
      <c r="U155" s="288">
        <f>U153+U154</f>
        <v>573</v>
      </c>
      <c r="V155" s="411">
        <v>569</v>
      </c>
      <c r="W155" s="411">
        <v>573</v>
      </c>
      <c r="X155" s="411">
        <v>578</v>
      </c>
      <c r="Y155" s="411">
        <v>578</v>
      </c>
      <c r="Z155" s="288">
        <f>Z153+Z154</f>
        <v>578</v>
      </c>
      <c r="AA155" s="411">
        <v>572</v>
      </c>
      <c r="AB155" s="411">
        <v>577</v>
      </c>
      <c r="AC155" s="411">
        <v>589</v>
      </c>
      <c r="AD155" s="411">
        <v>600</v>
      </c>
      <c r="AE155" s="288">
        <f>AE153+AE154</f>
        <v>600</v>
      </c>
      <c r="AF155" s="411">
        <v>605</v>
      </c>
      <c r="AG155" s="411">
        <v>614</v>
      </c>
      <c r="AH155" s="411">
        <v>630</v>
      </c>
      <c r="AI155" s="411">
        <v>635</v>
      </c>
      <c r="AJ155" s="288">
        <f>SUM(AJ153:AJ154)</f>
        <v>635</v>
      </c>
      <c r="AK155" s="411">
        <v>639</v>
      </c>
      <c r="AL155" s="411">
        <v>651</v>
      </c>
      <c r="AM155" s="287"/>
      <c r="AN155" s="287"/>
      <c r="AO155" s="288"/>
      <c r="AP155" s="287"/>
      <c r="AQ155" s="287"/>
      <c r="AR155" s="287"/>
      <c r="AS155" s="287"/>
      <c r="AT155" s="288"/>
      <c r="AU155" s="287"/>
      <c r="AV155" s="287"/>
      <c r="AW155" s="287"/>
      <c r="AX155" s="287"/>
      <c r="AY155" s="288"/>
      <c r="BC155" s="138"/>
      <c r="BD155" s="138"/>
    </row>
    <row r="156" spans="1:56">
      <c r="A156" s="29" t="s">
        <v>68</v>
      </c>
      <c r="B156" s="135"/>
      <c r="C156" s="135"/>
      <c r="D156" s="135"/>
      <c r="E156" s="135"/>
      <c r="F156" s="135"/>
      <c r="G156" s="386">
        <f>20+5</f>
        <v>25</v>
      </c>
      <c r="H156" s="386">
        <f>22+6</f>
        <v>28</v>
      </c>
      <c r="I156" s="386">
        <f>21+6</f>
        <v>27</v>
      </c>
      <c r="J156" s="386">
        <f>16+6</f>
        <v>22</v>
      </c>
      <c r="K156" s="4">
        <f>J156</f>
        <v>22</v>
      </c>
      <c r="L156" s="386">
        <f>17+6</f>
        <v>23</v>
      </c>
      <c r="M156" s="3"/>
      <c r="N156" s="3"/>
      <c r="O156" s="3"/>
      <c r="P156" s="4"/>
      <c r="Q156" s="3"/>
      <c r="R156" s="3"/>
      <c r="S156" s="3"/>
      <c r="T156" s="3"/>
      <c r="U156" s="387">
        <v>29</v>
      </c>
      <c r="V156" s="386"/>
      <c r="W156" s="386"/>
      <c r="X156" s="386"/>
      <c r="Y156" s="386"/>
      <c r="Z156" s="387">
        <v>29</v>
      </c>
      <c r="AA156" s="386"/>
      <c r="AB156" s="386"/>
      <c r="AC156" s="386"/>
      <c r="AD156" s="386"/>
      <c r="AE156" s="387">
        <v>33</v>
      </c>
      <c r="AF156" s="386"/>
      <c r="AG156" s="386"/>
      <c r="AH156" s="3"/>
      <c r="AI156" s="3"/>
      <c r="AJ156" s="387">
        <v>36</v>
      </c>
      <c r="AK156" s="386"/>
      <c r="AL156" s="386"/>
      <c r="AM156" s="3"/>
      <c r="AN156" s="3"/>
      <c r="AO156" s="4"/>
      <c r="AP156" s="3"/>
      <c r="AQ156" s="3"/>
      <c r="AR156" s="3"/>
      <c r="AS156" s="3"/>
      <c r="AT156" s="4"/>
      <c r="AU156" s="3"/>
      <c r="AV156" s="3"/>
      <c r="AW156" s="3"/>
      <c r="AX156" s="3"/>
      <c r="AY156" s="4"/>
    </row>
    <row r="157" spans="1:56">
      <c r="A157" s="29" t="s">
        <v>69</v>
      </c>
      <c r="B157" s="135"/>
      <c r="C157" s="135"/>
      <c r="D157" s="135"/>
      <c r="E157" s="135"/>
      <c r="F157" s="135"/>
      <c r="G157" s="386">
        <f>109+6</f>
        <v>115</v>
      </c>
      <c r="H157" s="386">
        <f>111+6</f>
        <v>117</v>
      </c>
      <c r="I157" s="386">
        <f>111+6</f>
        <v>117</v>
      </c>
      <c r="J157" s="386">
        <f>107+6</f>
        <v>113</v>
      </c>
      <c r="K157" s="4">
        <f>J157</f>
        <v>113</v>
      </c>
      <c r="L157" s="386">
        <f>106+6</f>
        <v>112</v>
      </c>
      <c r="M157" s="3"/>
      <c r="N157" s="3"/>
      <c r="O157" s="3"/>
      <c r="P157" s="4"/>
      <c r="Q157" s="3"/>
      <c r="R157" s="3"/>
      <c r="S157" s="3"/>
      <c r="T157" s="3"/>
      <c r="U157" s="387">
        <v>112</v>
      </c>
      <c r="V157" s="386"/>
      <c r="W157" s="386"/>
      <c r="X157" s="386"/>
      <c r="Y157" s="386"/>
      <c r="Z157" s="387">
        <v>108</v>
      </c>
      <c r="AA157" s="386"/>
      <c r="AB157" s="386"/>
      <c r="AC157" s="386"/>
      <c r="AD157" s="386"/>
      <c r="AE157" s="387">
        <v>100</v>
      </c>
      <c r="AF157" s="386"/>
      <c r="AG157" s="386"/>
      <c r="AH157" s="3"/>
      <c r="AI157" s="3"/>
      <c r="AJ157" s="387">
        <v>101</v>
      </c>
      <c r="AK157" s="386"/>
      <c r="AL157" s="386"/>
      <c r="AM157" s="3"/>
      <c r="AN157" s="3"/>
      <c r="AO157" s="4"/>
      <c r="AP157" s="3"/>
      <c r="AQ157" s="3"/>
      <c r="AR157" s="3"/>
      <c r="AS157" s="3"/>
      <c r="AT157" s="4"/>
      <c r="AU157" s="3"/>
      <c r="AV157" s="3"/>
      <c r="AW157" s="3"/>
      <c r="AX157" s="3"/>
      <c r="AY157" s="4"/>
    </row>
    <row r="158" spans="1:56">
      <c r="A158" s="285" t="s">
        <v>84</v>
      </c>
      <c r="B158" s="286"/>
      <c r="C158" s="286"/>
      <c r="D158" s="286"/>
      <c r="E158" s="286"/>
      <c r="F158" s="286"/>
      <c r="G158" s="287">
        <f t="shared" ref="G158:L158" si="621">SUM(G156:G157)</f>
        <v>140</v>
      </c>
      <c r="H158" s="410">
        <f t="shared" si="621"/>
        <v>145</v>
      </c>
      <c r="I158" s="410">
        <f t="shared" si="621"/>
        <v>144</v>
      </c>
      <c r="J158" s="410">
        <f t="shared" si="621"/>
        <v>135</v>
      </c>
      <c r="K158" s="288">
        <f t="shared" si="621"/>
        <v>135</v>
      </c>
      <c r="L158" s="287">
        <f t="shared" si="621"/>
        <v>135</v>
      </c>
      <c r="M158" s="287"/>
      <c r="N158" s="287"/>
      <c r="O158" s="287"/>
      <c r="P158" s="288"/>
      <c r="Q158" s="287"/>
      <c r="R158" s="287"/>
      <c r="S158" s="287"/>
      <c r="T158" s="287"/>
      <c r="U158" s="288">
        <f>U156+U157</f>
        <v>141</v>
      </c>
      <c r="V158" s="411">
        <v>141</v>
      </c>
      <c r="W158" s="411">
        <v>139</v>
      </c>
      <c r="X158" s="411">
        <v>139</v>
      </c>
      <c r="Y158" s="411">
        <v>137</v>
      </c>
      <c r="Z158" s="288">
        <f>Z156+Z157</f>
        <v>137</v>
      </c>
      <c r="AA158" s="411">
        <v>134</v>
      </c>
      <c r="AB158" s="411">
        <v>133</v>
      </c>
      <c r="AC158" s="411">
        <v>133</v>
      </c>
      <c r="AD158" s="411">
        <v>133</v>
      </c>
      <c r="AE158" s="288">
        <f>AE156+AE157</f>
        <v>133</v>
      </c>
      <c r="AF158" s="411">
        <v>133</v>
      </c>
      <c r="AG158" s="411">
        <v>135</v>
      </c>
      <c r="AH158" s="411">
        <v>139</v>
      </c>
      <c r="AI158" s="411">
        <v>137</v>
      </c>
      <c r="AJ158" s="288">
        <f>SUM(AJ156:AJ157)</f>
        <v>137</v>
      </c>
      <c r="AK158" s="411">
        <v>139</v>
      </c>
      <c r="AL158" s="411">
        <v>141</v>
      </c>
      <c r="AM158" s="287"/>
      <c r="AN158" s="287"/>
      <c r="AO158" s="288"/>
      <c r="AP158" s="287"/>
      <c r="AQ158" s="287"/>
      <c r="AR158" s="287"/>
      <c r="AS158" s="287"/>
      <c r="AT158" s="288"/>
      <c r="AU158" s="287"/>
      <c r="AV158" s="287"/>
      <c r="AW158" s="287"/>
      <c r="AX158" s="287"/>
      <c r="AY158" s="288"/>
    </row>
    <row r="159" spans="1:56">
      <c r="A159" s="29" t="s">
        <v>68</v>
      </c>
      <c r="B159" s="135"/>
      <c r="C159" s="135"/>
      <c r="D159" s="135"/>
      <c r="E159" s="135"/>
      <c r="F159" s="135"/>
      <c r="G159" s="386">
        <v>21</v>
      </c>
      <c r="H159" s="386">
        <v>21</v>
      </c>
      <c r="I159" s="386">
        <v>21</v>
      </c>
      <c r="J159" s="386">
        <v>19</v>
      </c>
      <c r="K159" s="4">
        <f>J159</f>
        <v>19</v>
      </c>
      <c r="L159" s="386">
        <v>18</v>
      </c>
      <c r="M159" s="3"/>
      <c r="N159" s="3"/>
      <c r="O159" s="3"/>
      <c r="P159" s="4"/>
      <c r="Q159" s="3"/>
      <c r="R159" s="3"/>
      <c r="S159" s="3"/>
      <c r="T159" s="3"/>
      <c r="U159" s="387">
        <v>20</v>
      </c>
      <c r="V159" s="386"/>
      <c r="W159" s="386"/>
      <c r="X159" s="386"/>
      <c r="Y159" s="386"/>
      <c r="Z159" s="387">
        <v>24</v>
      </c>
      <c r="AA159" s="386"/>
      <c r="AB159" s="386"/>
      <c r="AC159" s="386"/>
      <c r="AD159" s="386"/>
      <c r="AE159" s="387">
        <v>30</v>
      </c>
      <c r="AF159" s="386"/>
      <c r="AG159" s="386"/>
      <c r="AH159" s="3"/>
      <c r="AI159" s="3"/>
      <c r="AJ159" s="387">
        <v>31</v>
      </c>
      <c r="AK159" s="386"/>
      <c r="AL159" s="386"/>
      <c r="AM159" s="3"/>
      <c r="AN159" s="3"/>
      <c r="AO159" s="4"/>
      <c r="AP159" s="3"/>
      <c r="AQ159" s="3"/>
      <c r="AR159" s="3"/>
      <c r="AS159" s="3"/>
      <c r="AT159" s="4"/>
      <c r="AU159" s="3"/>
      <c r="AV159" s="3"/>
      <c r="AW159" s="3"/>
      <c r="AX159" s="3"/>
      <c r="AY159" s="4"/>
    </row>
    <row r="160" spans="1:56">
      <c r="A160" s="29" t="s">
        <v>69</v>
      </c>
      <c r="B160" s="135"/>
      <c r="C160" s="135"/>
      <c r="D160" s="135"/>
      <c r="E160" s="135"/>
      <c r="F160" s="135"/>
      <c r="G160" s="386">
        <v>28</v>
      </c>
      <c r="H160" s="386">
        <v>28</v>
      </c>
      <c r="I160" s="386">
        <v>27</v>
      </c>
      <c r="J160" s="386">
        <v>27</v>
      </c>
      <c r="K160" s="4">
        <f>J160</f>
        <v>27</v>
      </c>
      <c r="L160" s="386">
        <v>28</v>
      </c>
      <c r="M160" s="3"/>
      <c r="N160" s="3"/>
      <c r="O160" s="3"/>
      <c r="P160" s="4"/>
      <c r="Q160" s="3"/>
      <c r="R160" s="3"/>
      <c r="S160" s="3"/>
      <c r="T160" s="3"/>
      <c r="U160" s="387">
        <v>28</v>
      </c>
      <c r="V160" s="386"/>
      <c r="W160" s="386"/>
      <c r="X160" s="386"/>
      <c r="Y160" s="386"/>
      <c r="Z160" s="387">
        <v>26</v>
      </c>
      <c r="AA160" s="386"/>
      <c r="AB160" s="386"/>
      <c r="AC160" s="386"/>
      <c r="AD160" s="386"/>
      <c r="AE160" s="387">
        <v>26</v>
      </c>
      <c r="AF160" s="386"/>
      <c r="AG160" s="386"/>
      <c r="AH160" s="3"/>
      <c r="AI160" s="3"/>
      <c r="AJ160" s="387">
        <v>26</v>
      </c>
      <c r="AK160" s="386"/>
      <c r="AL160" s="386"/>
      <c r="AM160" s="3"/>
      <c r="AN160" s="3"/>
      <c r="AO160" s="4"/>
      <c r="AP160" s="3"/>
      <c r="AQ160" s="3"/>
      <c r="AR160" s="3"/>
      <c r="AS160" s="3"/>
      <c r="AT160" s="4"/>
      <c r="AU160" s="3"/>
      <c r="AV160" s="3"/>
      <c r="AW160" s="3"/>
      <c r="AX160" s="3"/>
      <c r="AY160" s="4"/>
    </row>
    <row r="161" spans="1:51">
      <c r="A161" s="285" t="s">
        <v>85</v>
      </c>
      <c r="B161" s="286"/>
      <c r="C161" s="286"/>
      <c r="D161" s="286"/>
      <c r="E161" s="286"/>
      <c r="F161" s="286"/>
      <c r="G161" s="287">
        <f t="shared" ref="G161:L161" si="622">SUM(G159:G160)</f>
        <v>49</v>
      </c>
      <c r="H161" s="410">
        <f t="shared" si="622"/>
        <v>49</v>
      </c>
      <c r="I161" s="410">
        <f t="shared" si="622"/>
        <v>48</v>
      </c>
      <c r="J161" s="410">
        <f t="shared" si="622"/>
        <v>46</v>
      </c>
      <c r="K161" s="288">
        <f t="shared" si="622"/>
        <v>46</v>
      </c>
      <c r="L161" s="287">
        <f t="shared" si="622"/>
        <v>46</v>
      </c>
      <c r="M161" s="287"/>
      <c r="N161" s="287"/>
      <c r="O161" s="287"/>
      <c r="P161" s="288"/>
      <c r="Q161" s="287"/>
      <c r="R161" s="287"/>
      <c r="S161" s="287"/>
      <c r="T161" s="287"/>
      <c r="U161" s="288">
        <f>U159+U160</f>
        <v>48</v>
      </c>
      <c r="V161" s="412">
        <v>48</v>
      </c>
      <c r="W161" s="411">
        <v>47</v>
      </c>
      <c r="X161" s="411">
        <v>48</v>
      </c>
      <c r="Y161" s="411">
        <v>50</v>
      </c>
      <c r="Z161" s="288">
        <f>Z159+Z160</f>
        <v>50</v>
      </c>
      <c r="AA161" s="411">
        <v>47</v>
      </c>
      <c r="AB161" s="411">
        <v>47</v>
      </c>
      <c r="AC161" s="411">
        <v>51</v>
      </c>
      <c r="AD161" s="411">
        <v>56</v>
      </c>
      <c r="AE161" s="288">
        <f>AE159+AE160</f>
        <v>56</v>
      </c>
      <c r="AF161" s="411">
        <v>55</v>
      </c>
      <c r="AG161" s="411">
        <v>58</v>
      </c>
      <c r="AH161" s="411">
        <v>58</v>
      </c>
      <c r="AI161" s="411">
        <v>57</v>
      </c>
      <c r="AJ161" s="288">
        <f>SUM(AJ159:AJ160)</f>
        <v>57</v>
      </c>
      <c r="AK161" s="411">
        <v>56</v>
      </c>
      <c r="AL161" s="411">
        <v>54</v>
      </c>
      <c r="AM161" s="287"/>
      <c r="AN161" s="287"/>
      <c r="AO161" s="288"/>
      <c r="AP161" s="287"/>
      <c r="AQ161" s="287"/>
      <c r="AR161" s="287"/>
      <c r="AS161" s="287"/>
      <c r="AT161" s="288"/>
      <c r="AU161" s="287"/>
      <c r="AV161" s="287"/>
      <c r="AW161" s="287"/>
      <c r="AX161" s="287"/>
      <c r="AY161" s="288"/>
    </row>
    <row r="162" spans="1:51">
      <c r="A162" s="29" t="s">
        <v>68</v>
      </c>
      <c r="B162" s="4">
        <f>B187</f>
        <v>379</v>
      </c>
      <c r="C162" s="4">
        <f t="shared" ref="C162:G162" si="623">C187</f>
        <v>355</v>
      </c>
      <c r="D162" s="4">
        <f t="shared" si="623"/>
        <v>330</v>
      </c>
      <c r="E162" s="4">
        <f t="shared" si="623"/>
        <v>319</v>
      </c>
      <c r="F162" s="4">
        <f t="shared" si="623"/>
        <v>308</v>
      </c>
      <c r="G162" s="3">
        <f t="shared" si="623"/>
        <v>306</v>
      </c>
      <c r="H162" s="3">
        <f t="shared" ref="H162:J162" si="624">H187</f>
        <v>309</v>
      </c>
      <c r="I162" s="3">
        <f t="shared" si="624"/>
        <v>309</v>
      </c>
      <c r="J162" s="3">
        <f t="shared" si="624"/>
        <v>238</v>
      </c>
      <c r="K162" s="4">
        <f>J162</f>
        <v>238</v>
      </c>
      <c r="L162" s="386">
        <f t="shared" ref="L162:O162" si="625">L187</f>
        <v>232</v>
      </c>
      <c r="M162" s="3">
        <f t="shared" si="625"/>
        <v>228</v>
      </c>
      <c r="N162" s="3">
        <f t="shared" si="625"/>
        <v>229</v>
      </c>
      <c r="O162" s="3">
        <f t="shared" si="625"/>
        <v>224</v>
      </c>
      <c r="P162" s="4">
        <f>O162</f>
        <v>224</v>
      </c>
      <c r="Q162" s="3">
        <f t="shared" ref="Q162:T162" si="626">Q187</f>
        <v>220</v>
      </c>
      <c r="R162" s="3">
        <f t="shared" si="626"/>
        <v>221</v>
      </c>
      <c r="S162" s="3">
        <f t="shared" si="626"/>
        <v>228</v>
      </c>
      <c r="T162" s="3">
        <f t="shared" si="626"/>
        <v>233</v>
      </c>
      <c r="U162" s="188">
        <f>U153+U156+U159</f>
        <v>233</v>
      </c>
      <c r="V162" s="413">
        <v>233</v>
      </c>
      <c r="W162" s="386">
        <v>233</v>
      </c>
      <c r="X162" s="386">
        <v>239</v>
      </c>
      <c r="Y162" s="414">
        <v>247</v>
      </c>
      <c r="Z162" s="415">
        <f>Z153+Z156+Z159</f>
        <v>247</v>
      </c>
      <c r="AA162" s="413">
        <v>246</v>
      </c>
      <c r="AB162" s="386">
        <v>255</v>
      </c>
      <c r="AC162" s="386">
        <v>267</v>
      </c>
      <c r="AD162" s="414">
        <v>278</v>
      </c>
      <c r="AE162" s="4">
        <f>AE153+AE156+AE159</f>
        <v>278</v>
      </c>
      <c r="AF162" s="413">
        <v>281</v>
      </c>
      <c r="AG162" s="386">
        <v>292</v>
      </c>
      <c r="AH162" s="386">
        <v>304</v>
      </c>
      <c r="AI162" s="386">
        <v>306</v>
      </c>
      <c r="AJ162" s="4">
        <f>AI162</f>
        <v>306</v>
      </c>
      <c r="AK162" s="413">
        <v>309</v>
      </c>
      <c r="AL162" s="386">
        <v>315</v>
      </c>
      <c r="AM162" s="3">
        <f t="shared" ref="AM162:AN164" si="627">AL162+AM166</f>
        <v>320</v>
      </c>
      <c r="AN162" s="3">
        <f t="shared" si="627"/>
        <v>324</v>
      </c>
      <c r="AO162" s="416">
        <f>AN162</f>
        <v>324</v>
      </c>
      <c r="AP162" s="3">
        <f t="shared" ref="AP162:AS164" si="628">AO162+AP166</f>
        <v>326</v>
      </c>
      <c r="AQ162" s="3">
        <f t="shared" si="628"/>
        <v>332</v>
      </c>
      <c r="AR162" s="3">
        <f t="shared" si="628"/>
        <v>337</v>
      </c>
      <c r="AS162" s="3">
        <f t="shared" si="628"/>
        <v>342</v>
      </c>
      <c r="AT162" s="416">
        <f>AS162</f>
        <v>342</v>
      </c>
      <c r="AU162" s="3">
        <f t="shared" ref="AU162:AU164" si="629">AT162+AU166</f>
        <v>344</v>
      </c>
      <c r="AV162" s="3">
        <f t="shared" ref="AV162:AV164" si="630">AU162+AV166</f>
        <v>350</v>
      </c>
      <c r="AW162" s="3">
        <f t="shared" ref="AW162:AW164" si="631">AV162+AW166</f>
        <v>355</v>
      </c>
      <c r="AX162" s="3">
        <f t="shared" ref="AX162:AX164" si="632">AW162+AX166</f>
        <v>360</v>
      </c>
      <c r="AY162" s="416">
        <f>AX162</f>
        <v>360</v>
      </c>
    </row>
    <row r="163" spans="1:51">
      <c r="A163" s="29" t="s">
        <v>69</v>
      </c>
      <c r="B163" s="27">
        <f>B191</f>
        <v>553</v>
      </c>
      <c r="C163" s="27">
        <f t="shared" ref="C163:F163" si="633">C191</f>
        <v>543</v>
      </c>
      <c r="D163" s="27">
        <f t="shared" si="633"/>
        <v>538</v>
      </c>
      <c r="E163" s="27">
        <f t="shared" si="633"/>
        <v>542</v>
      </c>
      <c r="F163" s="27">
        <f t="shared" si="633"/>
        <v>546</v>
      </c>
      <c r="G163" s="28">
        <f t="shared" ref="G163:J163" si="634">G191</f>
        <v>543</v>
      </c>
      <c r="H163" s="28">
        <f t="shared" si="634"/>
        <v>541</v>
      </c>
      <c r="I163" s="28">
        <f t="shared" si="634"/>
        <v>540</v>
      </c>
      <c r="J163" s="28">
        <f t="shared" si="634"/>
        <v>497</v>
      </c>
      <c r="K163" s="4">
        <f t="shared" ref="K163:K164" si="635">J163</f>
        <v>497</v>
      </c>
      <c r="L163" s="31">
        <f t="shared" ref="L163:O163" si="636">L191</f>
        <v>499</v>
      </c>
      <c r="M163" s="28">
        <f t="shared" si="636"/>
        <v>505</v>
      </c>
      <c r="N163" s="28">
        <f t="shared" si="636"/>
        <v>506</v>
      </c>
      <c r="O163" s="28">
        <f t="shared" si="636"/>
        <v>505</v>
      </c>
      <c r="P163" s="4">
        <f t="shared" ref="P163:P164" si="637">O163</f>
        <v>505</v>
      </c>
      <c r="Q163" s="28">
        <f t="shared" ref="Q163:T163" si="638">Q191</f>
        <v>508</v>
      </c>
      <c r="R163" s="28">
        <f t="shared" si="638"/>
        <v>513</v>
      </c>
      <c r="S163" s="28">
        <f t="shared" si="638"/>
        <v>523</v>
      </c>
      <c r="T163" s="28">
        <f t="shared" si="638"/>
        <v>529</v>
      </c>
      <c r="U163" s="188">
        <f>U154+U157+U160</f>
        <v>529</v>
      </c>
      <c r="V163" s="413">
        <v>525</v>
      </c>
      <c r="W163" s="386">
        <v>526</v>
      </c>
      <c r="X163" s="386">
        <v>526</v>
      </c>
      <c r="Y163" s="414">
        <v>518</v>
      </c>
      <c r="Z163" s="415">
        <f>Z154+Z157+Z160</f>
        <v>518</v>
      </c>
      <c r="AA163" s="413">
        <v>507</v>
      </c>
      <c r="AB163" s="386">
        <v>502</v>
      </c>
      <c r="AC163" s="386">
        <v>506</v>
      </c>
      <c r="AD163" s="414">
        <v>511</v>
      </c>
      <c r="AE163" s="4">
        <f>AE154+AE157+AE160</f>
        <v>511</v>
      </c>
      <c r="AF163" s="413">
        <v>512</v>
      </c>
      <c r="AG163" s="386">
        <v>515</v>
      </c>
      <c r="AH163" s="386">
        <v>523</v>
      </c>
      <c r="AI163" s="386">
        <v>523</v>
      </c>
      <c r="AJ163" s="4">
        <f t="shared" ref="AJ163:AJ164" si="639">AI163</f>
        <v>523</v>
      </c>
      <c r="AK163" s="413">
        <v>525</v>
      </c>
      <c r="AL163" s="386">
        <v>531</v>
      </c>
      <c r="AM163" s="3">
        <f t="shared" si="627"/>
        <v>534</v>
      </c>
      <c r="AN163" s="3">
        <f t="shared" si="627"/>
        <v>537</v>
      </c>
      <c r="AO163" s="416">
        <f t="shared" ref="AO163:AO164" si="640">AN163</f>
        <v>537</v>
      </c>
      <c r="AP163" s="3">
        <f t="shared" si="628"/>
        <v>539</v>
      </c>
      <c r="AQ163" s="3">
        <f t="shared" si="628"/>
        <v>543</v>
      </c>
      <c r="AR163" s="3">
        <f t="shared" si="628"/>
        <v>546</v>
      </c>
      <c r="AS163" s="3">
        <f t="shared" si="628"/>
        <v>549</v>
      </c>
      <c r="AT163" s="416">
        <f t="shared" ref="AT163:AT164" si="641">AS163</f>
        <v>549</v>
      </c>
      <c r="AU163" s="3">
        <f t="shared" si="629"/>
        <v>551</v>
      </c>
      <c r="AV163" s="3">
        <f t="shared" si="630"/>
        <v>555</v>
      </c>
      <c r="AW163" s="3">
        <f t="shared" si="631"/>
        <v>558</v>
      </c>
      <c r="AX163" s="3">
        <f t="shared" si="632"/>
        <v>561</v>
      </c>
      <c r="AY163" s="416">
        <f t="shared" ref="AY163:AY164" si="642">AX163</f>
        <v>561</v>
      </c>
    </row>
    <row r="164" spans="1:51">
      <c r="A164" s="285" t="s">
        <v>70</v>
      </c>
      <c r="B164" s="288">
        <f>SUM(B162:B163)</f>
        <v>932</v>
      </c>
      <c r="C164" s="288">
        <f t="shared" ref="C164:F164" si="643">SUM(C162:C163)</f>
        <v>898</v>
      </c>
      <c r="D164" s="288">
        <f t="shared" si="643"/>
        <v>868</v>
      </c>
      <c r="E164" s="288">
        <f t="shared" si="643"/>
        <v>861</v>
      </c>
      <c r="F164" s="288">
        <f t="shared" si="643"/>
        <v>854</v>
      </c>
      <c r="G164" s="287">
        <f t="shared" ref="G164:J164" si="644">G162+G163</f>
        <v>849</v>
      </c>
      <c r="H164" s="287">
        <f t="shared" si="644"/>
        <v>850</v>
      </c>
      <c r="I164" s="287">
        <f t="shared" si="644"/>
        <v>849</v>
      </c>
      <c r="J164" s="287">
        <f t="shared" si="644"/>
        <v>735</v>
      </c>
      <c r="K164" s="288">
        <f t="shared" si="635"/>
        <v>735</v>
      </c>
      <c r="L164" s="287">
        <f t="shared" ref="L164:O164" si="645">L162+L163</f>
        <v>731</v>
      </c>
      <c r="M164" s="287">
        <f t="shared" si="645"/>
        <v>733</v>
      </c>
      <c r="N164" s="287">
        <f t="shared" si="645"/>
        <v>735</v>
      </c>
      <c r="O164" s="287">
        <f t="shared" si="645"/>
        <v>729</v>
      </c>
      <c r="P164" s="288">
        <f t="shared" si="637"/>
        <v>729</v>
      </c>
      <c r="Q164" s="287">
        <f t="shared" ref="Q164:S164" si="646">Q162+Q163</f>
        <v>728</v>
      </c>
      <c r="R164" s="287">
        <f t="shared" si="646"/>
        <v>734</v>
      </c>
      <c r="S164" s="287">
        <f t="shared" si="646"/>
        <v>751</v>
      </c>
      <c r="T164" s="287">
        <f t="shared" ref="T164:V164" si="647">T162+T163</f>
        <v>762</v>
      </c>
      <c r="U164" s="288">
        <f t="shared" si="647"/>
        <v>762</v>
      </c>
      <c r="V164" s="287">
        <f t="shared" si="647"/>
        <v>758</v>
      </c>
      <c r="W164" s="287">
        <f t="shared" ref="W164" si="648">W162+W163</f>
        <v>759</v>
      </c>
      <c r="X164" s="287">
        <f t="shared" ref="X164" si="649">X162+X163</f>
        <v>765</v>
      </c>
      <c r="Y164" s="287">
        <f t="shared" ref="Y164:Z164" si="650">Y162+Y163</f>
        <v>765</v>
      </c>
      <c r="Z164" s="288">
        <f t="shared" si="650"/>
        <v>765</v>
      </c>
      <c r="AA164" s="287">
        <f t="shared" ref="AA164" si="651">AA162+AA163</f>
        <v>753</v>
      </c>
      <c r="AB164" s="287">
        <f t="shared" ref="AB164" si="652">AB162+AB163</f>
        <v>757</v>
      </c>
      <c r="AC164" s="287">
        <f t="shared" ref="AC164" si="653">AC162+AC163</f>
        <v>773</v>
      </c>
      <c r="AD164" s="287">
        <f t="shared" ref="AD164:AE164" si="654">AD162+AD163</f>
        <v>789</v>
      </c>
      <c r="AE164" s="288">
        <f t="shared" si="654"/>
        <v>789</v>
      </c>
      <c r="AF164" s="287">
        <f t="shared" ref="AF164:AI164" si="655">AF162+AF163</f>
        <v>793</v>
      </c>
      <c r="AG164" s="287">
        <f t="shared" si="655"/>
        <v>807</v>
      </c>
      <c r="AH164" s="287">
        <f t="shared" si="655"/>
        <v>827</v>
      </c>
      <c r="AI164" s="287">
        <f t="shared" si="655"/>
        <v>829</v>
      </c>
      <c r="AJ164" s="288">
        <f t="shared" si="639"/>
        <v>829</v>
      </c>
      <c r="AK164" s="287">
        <f t="shared" ref="AK164:AL164" si="656">AK162+AK163</f>
        <v>834</v>
      </c>
      <c r="AL164" s="287">
        <f t="shared" si="656"/>
        <v>846</v>
      </c>
      <c r="AM164" s="287">
        <f t="shared" si="627"/>
        <v>854</v>
      </c>
      <c r="AN164" s="287">
        <f t="shared" si="627"/>
        <v>861</v>
      </c>
      <c r="AO164" s="288">
        <f t="shared" si="640"/>
        <v>861</v>
      </c>
      <c r="AP164" s="287">
        <f t="shared" si="628"/>
        <v>865</v>
      </c>
      <c r="AQ164" s="287">
        <f t="shared" si="628"/>
        <v>875</v>
      </c>
      <c r="AR164" s="287">
        <f t="shared" si="628"/>
        <v>883</v>
      </c>
      <c r="AS164" s="287">
        <f t="shared" si="628"/>
        <v>891</v>
      </c>
      <c r="AT164" s="288">
        <f t="shared" si="641"/>
        <v>891</v>
      </c>
      <c r="AU164" s="287">
        <f t="shared" si="629"/>
        <v>895</v>
      </c>
      <c r="AV164" s="287">
        <f t="shared" si="630"/>
        <v>905</v>
      </c>
      <c r="AW164" s="287">
        <f t="shared" si="631"/>
        <v>913</v>
      </c>
      <c r="AX164" s="287">
        <f t="shared" si="632"/>
        <v>921</v>
      </c>
      <c r="AY164" s="288">
        <f t="shared" si="642"/>
        <v>921</v>
      </c>
    </row>
    <row r="165" spans="1:51">
      <c r="A165" s="2"/>
      <c r="B165" s="273"/>
      <c r="C165" s="273"/>
      <c r="D165" s="273"/>
      <c r="E165" s="273"/>
      <c r="F165" s="273"/>
      <c r="G165" s="290"/>
      <c r="H165" s="290"/>
      <c r="I165" s="290"/>
      <c r="J165" s="290"/>
      <c r="K165" s="273"/>
      <c r="L165" s="290"/>
      <c r="M165" s="290"/>
      <c r="N165" s="290"/>
      <c r="O165" s="290"/>
      <c r="P165" s="273"/>
      <c r="Q165" s="290"/>
      <c r="R165" s="290"/>
      <c r="S165" s="290"/>
      <c r="T165" s="290"/>
      <c r="U165" s="273"/>
      <c r="V165" s="290"/>
      <c r="W165" s="290"/>
      <c r="X165" s="290"/>
      <c r="Y165" s="290"/>
      <c r="Z165" s="273"/>
      <c r="AA165" s="290"/>
      <c r="AB165" s="290"/>
      <c r="AC165" s="290"/>
      <c r="AD165" s="290"/>
      <c r="AE165" s="273"/>
      <c r="AF165" s="290"/>
      <c r="AG165" s="290"/>
      <c r="AH165" s="290"/>
      <c r="AI165" s="290"/>
      <c r="AJ165" s="273"/>
      <c r="AK165" s="290"/>
      <c r="AL165" s="290"/>
      <c r="AM165" s="290"/>
      <c r="AN165" s="290"/>
      <c r="AO165" s="273"/>
      <c r="AP165" s="290"/>
      <c r="AQ165" s="290"/>
      <c r="AR165" s="290"/>
      <c r="AS165" s="290"/>
      <c r="AT165" s="273"/>
      <c r="AU165" s="290"/>
      <c r="AV165" s="290"/>
      <c r="AW165" s="290"/>
      <c r="AX165" s="290"/>
      <c r="AY165" s="273"/>
    </row>
    <row r="166" spans="1:51">
      <c r="A166" s="29" t="s">
        <v>102</v>
      </c>
      <c r="B166" s="135"/>
      <c r="C166" s="135"/>
      <c r="D166" s="135"/>
      <c r="E166" s="135"/>
      <c r="F166" s="135"/>
      <c r="G166" s="386">
        <f>2-4</f>
        <v>-2</v>
      </c>
      <c r="H166" s="386">
        <f>4-1</f>
        <v>3</v>
      </c>
      <c r="I166" s="386">
        <f>8-7</f>
        <v>1</v>
      </c>
      <c r="J166" s="417">
        <f>K166-SUM(G166:I166)</f>
        <v>-74</v>
      </c>
      <c r="K166" s="387">
        <f>9-81</f>
        <v>-72</v>
      </c>
      <c r="L166" s="31">
        <f>1-7</f>
        <v>-6</v>
      </c>
      <c r="M166" s="28">
        <f t="shared" ref="M166:O167" si="657">M162-L162</f>
        <v>-4</v>
      </c>
      <c r="N166" s="28">
        <f t="shared" si="657"/>
        <v>1</v>
      </c>
      <c r="O166" s="28">
        <f t="shared" si="657"/>
        <v>-5</v>
      </c>
      <c r="P166" s="27">
        <f>P162-K162</f>
        <v>-14</v>
      </c>
      <c r="Q166" s="28">
        <f t="shared" ref="Q166:T167" si="658">Q162-P162</f>
        <v>-4</v>
      </c>
      <c r="R166" s="28">
        <f t="shared" si="658"/>
        <v>1</v>
      </c>
      <c r="S166" s="28">
        <f t="shared" si="658"/>
        <v>7</v>
      </c>
      <c r="T166" s="28">
        <f t="shared" si="658"/>
        <v>5</v>
      </c>
      <c r="U166" s="27">
        <f>U162-P162</f>
        <v>9</v>
      </c>
      <c r="V166" s="28">
        <f t="shared" ref="V166:Y167" si="659">V162-U162</f>
        <v>0</v>
      </c>
      <c r="W166" s="28">
        <f t="shared" si="659"/>
        <v>0</v>
      </c>
      <c r="X166" s="28">
        <f t="shared" si="659"/>
        <v>6</v>
      </c>
      <c r="Y166" s="28">
        <f t="shared" si="659"/>
        <v>8</v>
      </c>
      <c r="Z166" s="27">
        <f>Z162-U162</f>
        <v>14</v>
      </c>
      <c r="AA166" s="28">
        <f t="shared" ref="AA166:AD167" si="660">AA162-Z162</f>
        <v>-1</v>
      </c>
      <c r="AB166" s="28">
        <f t="shared" si="660"/>
        <v>9</v>
      </c>
      <c r="AC166" s="28">
        <f t="shared" si="660"/>
        <v>12</v>
      </c>
      <c r="AD166" s="28">
        <f t="shared" si="660"/>
        <v>11</v>
      </c>
      <c r="AE166" s="27">
        <f>AE162-Z162</f>
        <v>31</v>
      </c>
      <c r="AF166" s="28">
        <f t="shared" ref="AF166:AL167" si="661">AF162-AE162</f>
        <v>3</v>
      </c>
      <c r="AG166" s="28">
        <f t="shared" si="661"/>
        <v>11</v>
      </c>
      <c r="AH166" s="28">
        <f t="shared" si="661"/>
        <v>12</v>
      </c>
      <c r="AI166" s="28">
        <f>AI162-AH162</f>
        <v>2</v>
      </c>
      <c r="AJ166" s="27">
        <f>AJ162-AE162</f>
        <v>28</v>
      </c>
      <c r="AK166" s="28">
        <f>AK162-AJ162</f>
        <v>3</v>
      </c>
      <c r="AL166" s="28">
        <f t="shared" si="661"/>
        <v>6</v>
      </c>
      <c r="AM166" s="28">
        <f>ROUND(AM168*0.6,0)</f>
        <v>5</v>
      </c>
      <c r="AN166" s="28">
        <f>ROUND(AN168*0.6,0)</f>
        <v>4</v>
      </c>
      <c r="AO166" s="27">
        <f>AO162-AJ162</f>
        <v>18</v>
      </c>
      <c r="AP166" s="28">
        <f t="shared" ref="AP166:AX166" si="662">ROUND(AP168*0.6,0)</f>
        <v>2</v>
      </c>
      <c r="AQ166" s="28">
        <f t="shared" si="662"/>
        <v>6</v>
      </c>
      <c r="AR166" s="28">
        <f t="shared" si="662"/>
        <v>5</v>
      </c>
      <c r="AS166" s="28">
        <f t="shared" si="662"/>
        <v>5</v>
      </c>
      <c r="AT166" s="27">
        <f>AT162-AO162</f>
        <v>18</v>
      </c>
      <c r="AU166" s="28">
        <f t="shared" si="662"/>
        <v>2</v>
      </c>
      <c r="AV166" s="28">
        <f t="shared" si="662"/>
        <v>6</v>
      </c>
      <c r="AW166" s="28">
        <f t="shared" si="662"/>
        <v>5</v>
      </c>
      <c r="AX166" s="28">
        <f t="shared" si="662"/>
        <v>5</v>
      </c>
      <c r="AY166" s="27">
        <f>AY162-AT162</f>
        <v>18</v>
      </c>
    </row>
    <row r="167" spans="1:51">
      <c r="A167" s="29" t="s">
        <v>103</v>
      </c>
      <c r="B167" s="135"/>
      <c r="C167" s="135"/>
      <c r="D167" s="135"/>
      <c r="E167" s="135"/>
      <c r="F167" s="135"/>
      <c r="G167" s="386">
        <v>-3</v>
      </c>
      <c r="H167" s="386">
        <f>3-5</f>
        <v>-2</v>
      </c>
      <c r="I167" s="386">
        <f>4-10</f>
        <v>-6</v>
      </c>
      <c r="J167" s="417">
        <f>K167-SUM(G167:I167)</f>
        <v>-39</v>
      </c>
      <c r="K167" s="387">
        <f>6-56</f>
        <v>-50</v>
      </c>
      <c r="L167" s="31">
        <f>3-1</f>
        <v>2</v>
      </c>
      <c r="M167" s="28">
        <f t="shared" si="657"/>
        <v>6</v>
      </c>
      <c r="N167" s="28">
        <f t="shared" si="657"/>
        <v>1</v>
      </c>
      <c r="O167" s="28">
        <f t="shared" si="657"/>
        <v>-1</v>
      </c>
      <c r="P167" s="27">
        <f>P163-K163</f>
        <v>8</v>
      </c>
      <c r="Q167" s="28">
        <f t="shared" si="658"/>
        <v>3</v>
      </c>
      <c r="R167" s="28">
        <f t="shared" si="658"/>
        <v>5</v>
      </c>
      <c r="S167" s="28">
        <f t="shared" si="658"/>
        <v>10</v>
      </c>
      <c r="T167" s="28">
        <f t="shared" si="658"/>
        <v>6</v>
      </c>
      <c r="U167" s="27">
        <f>U163-P163</f>
        <v>24</v>
      </c>
      <c r="V167" s="28">
        <f t="shared" si="659"/>
        <v>-4</v>
      </c>
      <c r="W167" s="28">
        <f t="shared" si="659"/>
        <v>1</v>
      </c>
      <c r="X167" s="28">
        <f t="shared" si="659"/>
        <v>0</v>
      </c>
      <c r="Y167" s="28">
        <f t="shared" si="659"/>
        <v>-8</v>
      </c>
      <c r="Z167" s="27">
        <f>Z163-U163</f>
        <v>-11</v>
      </c>
      <c r="AA167" s="28">
        <f t="shared" si="660"/>
        <v>-11</v>
      </c>
      <c r="AB167" s="28">
        <f t="shared" si="660"/>
        <v>-5</v>
      </c>
      <c r="AC167" s="28">
        <f t="shared" si="660"/>
        <v>4</v>
      </c>
      <c r="AD167" s="28">
        <f t="shared" si="660"/>
        <v>5</v>
      </c>
      <c r="AE167" s="27">
        <f>AE163-Z163</f>
        <v>-7</v>
      </c>
      <c r="AF167" s="28">
        <f t="shared" si="661"/>
        <v>1</v>
      </c>
      <c r="AG167" s="28">
        <f t="shared" si="661"/>
        <v>3</v>
      </c>
      <c r="AH167" s="28">
        <f t="shared" si="661"/>
        <v>8</v>
      </c>
      <c r="AI167" s="28">
        <f t="shared" si="661"/>
        <v>0</v>
      </c>
      <c r="AJ167" s="27">
        <f>AJ163-AE163</f>
        <v>12</v>
      </c>
      <c r="AK167" s="28">
        <f t="shared" si="661"/>
        <v>2</v>
      </c>
      <c r="AL167" s="28">
        <f t="shared" si="661"/>
        <v>6</v>
      </c>
      <c r="AM167" s="28">
        <f t="shared" ref="AM167" si="663">AM168-AM166</f>
        <v>3</v>
      </c>
      <c r="AN167" s="28">
        <f t="shared" ref="AN167" si="664">AN168-AN166</f>
        <v>3</v>
      </c>
      <c r="AO167" s="27">
        <f>AO163-AJ163</f>
        <v>14</v>
      </c>
      <c r="AP167" s="28">
        <f t="shared" ref="AP167" si="665">AP168-AP166</f>
        <v>2</v>
      </c>
      <c r="AQ167" s="28">
        <f t="shared" ref="AQ167" si="666">AQ168-AQ166</f>
        <v>4</v>
      </c>
      <c r="AR167" s="28">
        <f t="shared" ref="AR167" si="667">AR168-AR166</f>
        <v>3</v>
      </c>
      <c r="AS167" s="28">
        <f t="shared" ref="AS167" si="668">AS168-AS166</f>
        <v>3</v>
      </c>
      <c r="AT167" s="27">
        <f>AT163-AO163</f>
        <v>12</v>
      </c>
      <c r="AU167" s="28">
        <f t="shared" ref="AU167:AX167" si="669">AU168-AU166</f>
        <v>2</v>
      </c>
      <c r="AV167" s="28">
        <f t="shared" si="669"/>
        <v>4</v>
      </c>
      <c r="AW167" s="28">
        <f t="shared" si="669"/>
        <v>3</v>
      </c>
      <c r="AX167" s="28">
        <f t="shared" si="669"/>
        <v>3</v>
      </c>
      <c r="AY167" s="27">
        <f>AY163-AT163</f>
        <v>12</v>
      </c>
    </row>
    <row r="168" spans="1:51">
      <c r="A168" s="285" t="s">
        <v>104</v>
      </c>
      <c r="B168" s="286"/>
      <c r="C168" s="286"/>
      <c r="D168" s="286"/>
      <c r="E168" s="286"/>
      <c r="F168" s="286"/>
      <c r="G168" s="418">
        <f t="shared" ref="G168:L168" si="670">SUM(G166:G167)</f>
        <v>-5</v>
      </c>
      <c r="H168" s="419">
        <f t="shared" si="670"/>
        <v>1</v>
      </c>
      <c r="I168" s="419">
        <f t="shared" si="670"/>
        <v>-5</v>
      </c>
      <c r="J168" s="419">
        <f t="shared" si="670"/>
        <v>-113</v>
      </c>
      <c r="K168" s="420">
        <f t="shared" si="670"/>
        <v>-122</v>
      </c>
      <c r="L168" s="421">
        <f t="shared" si="670"/>
        <v>-4</v>
      </c>
      <c r="M168" s="421">
        <f t="shared" ref="M168:O168" si="671">SUM(M166:M167)</f>
        <v>2</v>
      </c>
      <c r="N168" s="421">
        <f t="shared" si="671"/>
        <v>2</v>
      </c>
      <c r="O168" s="421">
        <f t="shared" si="671"/>
        <v>-6</v>
      </c>
      <c r="P168" s="422">
        <f>P164-K164</f>
        <v>-6</v>
      </c>
      <c r="Q168" s="421">
        <f>SUM(Q166:Q167)</f>
        <v>-1</v>
      </c>
      <c r="R168" s="421">
        <f t="shared" ref="R168:T168" si="672">SUM(R166:R167)</f>
        <v>6</v>
      </c>
      <c r="S168" s="421">
        <f t="shared" si="672"/>
        <v>17</v>
      </c>
      <c r="T168" s="421">
        <f t="shared" si="672"/>
        <v>11</v>
      </c>
      <c r="U168" s="422">
        <f>U164-P164</f>
        <v>33</v>
      </c>
      <c r="V168" s="421">
        <f>SUM(V166:V167)</f>
        <v>-4</v>
      </c>
      <c r="W168" s="421">
        <f t="shared" ref="W168:Y168" si="673">SUM(W166:W167)</f>
        <v>1</v>
      </c>
      <c r="X168" s="421">
        <f t="shared" si="673"/>
        <v>6</v>
      </c>
      <c r="Y168" s="421">
        <f t="shared" si="673"/>
        <v>0</v>
      </c>
      <c r="Z168" s="422">
        <f>Z164-U164</f>
        <v>3</v>
      </c>
      <c r="AA168" s="421">
        <f>SUM(AA166:AA167)</f>
        <v>-12</v>
      </c>
      <c r="AB168" s="421">
        <f t="shared" ref="AB168" si="674">SUM(AB166:AB167)</f>
        <v>4</v>
      </c>
      <c r="AC168" s="421">
        <f t="shared" ref="AC168" si="675">SUM(AC166:AC167)</f>
        <v>16</v>
      </c>
      <c r="AD168" s="421">
        <f t="shared" ref="AD168" si="676">SUM(AD166:AD167)</f>
        <v>16</v>
      </c>
      <c r="AE168" s="422">
        <f>AE164-Z164</f>
        <v>24</v>
      </c>
      <c r="AF168" s="421">
        <f>SUM(AF166:AF167)</f>
        <v>4</v>
      </c>
      <c r="AG168" s="421">
        <f t="shared" ref="AG168:AH168" si="677">SUM(AG166:AG167)</f>
        <v>14</v>
      </c>
      <c r="AH168" s="421">
        <f t="shared" si="677"/>
        <v>20</v>
      </c>
      <c r="AI168" s="421">
        <f t="shared" ref="AI168:AL168" si="678">SUM(AI166:AI167)</f>
        <v>2</v>
      </c>
      <c r="AJ168" s="422">
        <f t="shared" si="678"/>
        <v>40</v>
      </c>
      <c r="AK168" s="421">
        <f t="shared" si="678"/>
        <v>5</v>
      </c>
      <c r="AL168" s="421">
        <f t="shared" si="678"/>
        <v>12</v>
      </c>
      <c r="AM168" s="423">
        <v>8</v>
      </c>
      <c r="AN168" s="423">
        <v>7</v>
      </c>
      <c r="AO168" s="422">
        <f>AO164-AJ164</f>
        <v>32</v>
      </c>
      <c r="AP168" s="423">
        <v>4</v>
      </c>
      <c r="AQ168" s="423">
        <v>10</v>
      </c>
      <c r="AR168" s="423">
        <v>8</v>
      </c>
      <c r="AS168" s="423">
        <v>8</v>
      </c>
      <c r="AT168" s="422">
        <f>AT164-AO164</f>
        <v>30</v>
      </c>
      <c r="AU168" s="423">
        <v>4</v>
      </c>
      <c r="AV168" s="423">
        <v>10</v>
      </c>
      <c r="AW168" s="423">
        <v>8</v>
      </c>
      <c r="AX168" s="423">
        <v>8</v>
      </c>
      <c r="AY168" s="422">
        <f>AY164-AT164</f>
        <v>30</v>
      </c>
    </row>
    <row r="169" spans="1:51">
      <c r="B169" s="273"/>
      <c r="C169" s="273"/>
      <c r="D169" s="273"/>
      <c r="E169" s="273"/>
      <c r="F169" s="273"/>
      <c r="G169" s="3"/>
      <c r="H169" s="3"/>
      <c r="I169" s="3"/>
      <c r="J169" s="3"/>
      <c r="K169" s="4"/>
      <c r="L169" s="3"/>
      <c r="M169" s="3"/>
      <c r="N169" s="3"/>
      <c r="O169" s="3"/>
      <c r="P169" s="4"/>
      <c r="Q169" s="3"/>
      <c r="R169" s="3"/>
      <c r="S169" s="3"/>
      <c r="T169" s="3"/>
      <c r="U169" s="4"/>
      <c r="V169" s="3"/>
      <c r="W169" s="3"/>
      <c r="X169" s="3"/>
      <c r="Y169" s="3"/>
      <c r="Z169" s="4"/>
      <c r="AA169" s="3"/>
      <c r="AB169" s="3"/>
      <c r="AC169" s="3"/>
      <c r="AD169" s="3"/>
      <c r="AE169" s="4"/>
      <c r="AF169" s="3"/>
      <c r="AG169" s="3"/>
      <c r="AH169" s="3"/>
      <c r="AI169" s="3"/>
      <c r="AJ169" s="4"/>
      <c r="AK169" s="3"/>
      <c r="AL169" s="3"/>
      <c r="AM169" s="3"/>
      <c r="AN169" s="3"/>
      <c r="AO169" s="4"/>
      <c r="AP169" s="3"/>
      <c r="AQ169" s="3"/>
      <c r="AR169" s="3"/>
      <c r="AS169" s="3"/>
      <c r="AT169" s="4"/>
      <c r="AU169" s="3"/>
      <c r="AV169" s="3"/>
      <c r="AW169" s="3"/>
      <c r="AX169" s="3"/>
      <c r="AY169" s="4"/>
    </row>
    <row r="170" spans="1:51">
      <c r="A170" s="14" t="s">
        <v>105</v>
      </c>
      <c r="B170" s="424"/>
      <c r="C170" s="424"/>
      <c r="D170" s="424"/>
      <c r="E170" s="424"/>
      <c r="F170" s="424"/>
      <c r="G170" s="62"/>
      <c r="H170" s="62"/>
      <c r="I170" s="62"/>
      <c r="J170" s="62"/>
      <c r="K170" s="63"/>
      <c r="L170" s="62"/>
      <c r="M170" s="62"/>
      <c r="N170" s="62"/>
      <c r="O170" s="62"/>
      <c r="P170" s="63"/>
      <c r="Q170" s="62"/>
      <c r="R170" s="62"/>
      <c r="S170" s="62"/>
      <c r="T170" s="62"/>
      <c r="U170" s="63"/>
      <c r="V170" s="62"/>
      <c r="W170" s="62"/>
      <c r="X170" s="62"/>
      <c r="Y170" s="62"/>
      <c r="Z170" s="63"/>
      <c r="AA170" s="62"/>
      <c r="AB170" s="62"/>
      <c r="AC170" s="62"/>
      <c r="AD170" s="62"/>
      <c r="AE170" s="63"/>
      <c r="AF170" s="62"/>
      <c r="AG170" s="62"/>
      <c r="AH170" s="62"/>
      <c r="AI170" s="62"/>
      <c r="AJ170" s="63"/>
      <c r="AK170" s="62"/>
      <c r="AL170" s="62"/>
      <c r="AM170" s="62"/>
      <c r="AN170" s="62"/>
      <c r="AO170" s="63"/>
      <c r="AP170" s="62"/>
      <c r="AQ170" s="62"/>
      <c r="AR170" s="62"/>
      <c r="AS170" s="62"/>
      <c r="AT170" s="63"/>
      <c r="AU170" s="62"/>
      <c r="AV170" s="62"/>
      <c r="AW170" s="62"/>
      <c r="AX170" s="62"/>
      <c r="AY170" s="63"/>
    </row>
    <row r="171" spans="1:51">
      <c r="A171" s="29" t="s">
        <v>68</v>
      </c>
      <c r="B171" s="27"/>
      <c r="C171" s="27"/>
      <c r="D171" s="27"/>
      <c r="E171" s="27"/>
      <c r="F171" s="27"/>
      <c r="G171" s="28"/>
      <c r="H171" s="28"/>
      <c r="I171" s="28"/>
      <c r="J171" s="28"/>
      <c r="K171" s="27"/>
      <c r="L171" s="28"/>
      <c r="M171" s="28"/>
      <c r="N171" s="28"/>
      <c r="O171" s="28"/>
      <c r="P171" s="27"/>
      <c r="Q171" s="28"/>
      <c r="R171" s="28"/>
      <c r="S171" s="28"/>
      <c r="T171" s="28"/>
      <c r="U171" s="30">
        <v>1176</v>
      </c>
      <c r="V171" s="28"/>
      <c r="W171" s="28"/>
      <c r="X171" s="28"/>
      <c r="Y171" s="28"/>
      <c r="Z171" s="30">
        <v>1188</v>
      </c>
      <c r="AA171" s="28"/>
      <c r="AB171" s="28"/>
      <c r="AC171" s="28"/>
      <c r="AD171" s="28"/>
      <c r="AE171" s="30">
        <v>1305</v>
      </c>
      <c r="AF171" s="3"/>
      <c r="AG171" s="3"/>
      <c r="AH171" s="3"/>
      <c r="AI171" s="3"/>
      <c r="AJ171" s="30">
        <v>1454</v>
      </c>
      <c r="AK171" s="3"/>
      <c r="AL171" s="3"/>
      <c r="AM171" s="3"/>
      <c r="AN171" s="3"/>
      <c r="AO171" s="4"/>
      <c r="AP171" s="3"/>
      <c r="AQ171" s="3"/>
      <c r="AR171" s="3"/>
      <c r="AS171" s="3"/>
      <c r="AT171" s="4"/>
      <c r="AU171" s="3"/>
      <c r="AV171" s="3"/>
      <c r="AW171" s="3"/>
      <c r="AX171" s="3"/>
      <c r="AY171" s="4"/>
    </row>
    <row r="172" spans="1:51">
      <c r="A172" s="29" t="s">
        <v>69</v>
      </c>
      <c r="B172" s="27"/>
      <c r="C172" s="27"/>
      <c r="D172" s="27"/>
      <c r="E172" s="27"/>
      <c r="F172" s="27"/>
      <c r="G172" s="28"/>
      <c r="H172" s="28"/>
      <c r="I172" s="28"/>
      <c r="J172" s="28"/>
      <c r="K172" s="27"/>
      <c r="L172" s="28"/>
      <c r="M172" s="28"/>
      <c r="N172" s="28"/>
      <c r="O172" s="28"/>
      <c r="P172" s="27"/>
      <c r="Q172" s="28"/>
      <c r="R172" s="28"/>
      <c r="S172" s="28"/>
      <c r="T172" s="28"/>
      <c r="U172" s="30">
        <v>2487</v>
      </c>
      <c r="V172" s="28"/>
      <c r="W172" s="28"/>
      <c r="X172" s="28"/>
      <c r="Y172" s="28"/>
      <c r="Z172" s="30">
        <v>2459</v>
      </c>
      <c r="AA172" s="28"/>
      <c r="AB172" s="28"/>
      <c r="AC172" s="28"/>
      <c r="AD172" s="28"/>
      <c r="AE172" s="30">
        <v>2478</v>
      </c>
      <c r="AF172" s="3"/>
      <c r="AG172" s="3"/>
      <c r="AH172" s="3"/>
      <c r="AI172" s="3"/>
      <c r="AJ172" s="30">
        <v>2539</v>
      </c>
      <c r="AK172" s="3"/>
      <c r="AL172" s="3"/>
      <c r="AM172" s="3"/>
      <c r="AN172" s="3"/>
      <c r="AO172" s="4"/>
      <c r="AP172" s="3"/>
      <c r="AQ172" s="3"/>
      <c r="AR172" s="3"/>
      <c r="AS172" s="3"/>
      <c r="AT172" s="4"/>
      <c r="AU172" s="3"/>
      <c r="AV172" s="3"/>
      <c r="AW172" s="3"/>
      <c r="AX172" s="3"/>
      <c r="AY172" s="4"/>
    </row>
    <row r="173" spans="1:51">
      <c r="A173" s="242" t="s">
        <v>83</v>
      </c>
      <c r="B173" s="425"/>
      <c r="C173" s="425"/>
      <c r="D173" s="425"/>
      <c r="E173" s="425"/>
      <c r="F173" s="425"/>
      <c r="G173" s="393"/>
      <c r="H173" s="393"/>
      <c r="I173" s="393"/>
      <c r="J173" s="393"/>
      <c r="K173" s="425"/>
      <c r="L173" s="393"/>
      <c r="M173" s="393"/>
      <c r="N173" s="393"/>
      <c r="O173" s="393"/>
      <c r="P173" s="425"/>
      <c r="Q173" s="393"/>
      <c r="R173" s="393"/>
      <c r="S173" s="393"/>
      <c r="T173" s="393"/>
      <c r="U173" s="425">
        <f>SUM(U171:U172)</f>
        <v>3663</v>
      </c>
      <c r="V173" s="393"/>
      <c r="W173" s="393"/>
      <c r="X173" s="393"/>
      <c r="Y173" s="393"/>
      <c r="Z173" s="425">
        <f>SUM(Z171:Z172)</f>
        <v>3647</v>
      </c>
      <c r="AA173" s="393"/>
      <c r="AB173" s="393"/>
      <c r="AC173" s="393"/>
      <c r="AD173" s="393"/>
      <c r="AE173" s="425">
        <f>SUM(AE171:AE172)</f>
        <v>3783</v>
      </c>
      <c r="AF173" s="391"/>
      <c r="AG173" s="391"/>
      <c r="AH173" s="391"/>
      <c r="AI173" s="391"/>
      <c r="AJ173" s="425">
        <f>SUM(AJ171:AJ172)</f>
        <v>3993</v>
      </c>
      <c r="AK173" s="391"/>
      <c r="AL173" s="391"/>
      <c r="AM173" s="391"/>
      <c r="AN173" s="391"/>
      <c r="AO173" s="389"/>
      <c r="AP173" s="391"/>
      <c r="AQ173" s="391"/>
      <c r="AR173" s="391"/>
      <c r="AS173" s="391"/>
      <c r="AT173" s="389"/>
      <c r="AU173" s="391"/>
      <c r="AV173" s="391"/>
      <c r="AW173" s="391"/>
      <c r="AX173" s="391"/>
      <c r="AY173" s="389"/>
    </row>
    <row r="174" spans="1:51">
      <c r="A174" s="29" t="s">
        <v>68</v>
      </c>
      <c r="B174" s="27"/>
      <c r="C174" s="27"/>
      <c r="D174" s="27"/>
      <c r="E174" s="27"/>
      <c r="F174" s="27"/>
      <c r="G174" s="28"/>
      <c r="H174" s="28"/>
      <c r="I174" s="28"/>
      <c r="J174" s="28"/>
      <c r="K174" s="27"/>
      <c r="L174" s="28"/>
      <c r="M174" s="28"/>
      <c r="N174" s="28"/>
      <c r="O174" s="28"/>
      <c r="P174" s="27"/>
      <c r="Q174" s="28"/>
      <c r="R174" s="28"/>
      <c r="S174" s="28"/>
      <c r="T174" s="28"/>
      <c r="U174" s="30">
        <v>181</v>
      </c>
      <c r="V174" s="28"/>
      <c r="W174" s="28"/>
      <c r="X174" s="28"/>
      <c r="Y174" s="28"/>
      <c r="Z174" s="30">
        <v>187</v>
      </c>
      <c r="AA174" s="28"/>
      <c r="AB174" s="28"/>
      <c r="AC174" s="28"/>
      <c r="AD174" s="28"/>
      <c r="AE174" s="30">
        <v>214</v>
      </c>
      <c r="AF174" s="3"/>
      <c r="AG174" s="3"/>
      <c r="AH174" s="3"/>
      <c r="AI174" s="3"/>
      <c r="AJ174" s="30">
        <v>227</v>
      </c>
      <c r="AK174" s="3"/>
      <c r="AL174" s="3"/>
      <c r="AM174" s="3"/>
      <c r="AN174" s="3"/>
      <c r="AO174" s="4"/>
      <c r="AP174" s="3"/>
      <c r="AQ174" s="3"/>
      <c r="AR174" s="3"/>
      <c r="AS174" s="3"/>
      <c r="AT174" s="4"/>
      <c r="AU174" s="3"/>
      <c r="AV174" s="3"/>
      <c r="AW174" s="3"/>
      <c r="AX174" s="3"/>
      <c r="AY174" s="4"/>
    </row>
    <row r="175" spans="1:51">
      <c r="A175" s="29" t="s">
        <v>69</v>
      </c>
      <c r="B175" s="27"/>
      <c r="C175" s="27"/>
      <c r="D175" s="27"/>
      <c r="E175" s="27"/>
      <c r="F175" s="27"/>
      <c r="G175" s="28"/>
      <c r="H175" s="28"/>
      <c r="I175" s="28"/>
      <c r="J175" s="28"/>
      <c r="K175" s="27"/>
      <c r="L175" s="28"/>
      <c r="M175" s="28"/>
      <c r="N175" s="28"/>
      <c r="O175" s="28"/>
      <c r="P175" s="27"/>
      <c r="Q175" s="28"/>
      <c r="R175" s="28"/>
      <c r="S175" s="28"/>
      <c r="T175" s="28"/>
      <c r="U175" s="30">
        <v>907</v>
      </c>
      <c r="V175" s="28"/>
      <c r="W175" s="28"/>
      <c r="X175" s="28"/>
      <c r="Y175" s="28"/>
      <c r="Z175" s="30">
        <v>828</v>
      </c>
      <c r="AA175" s="28"/>
      <c r="AB175" s="28"/>
      <c r="AC175" s="28"/>
      <c r="AD175" s="28"/>
      <c r="AE175" s="30">
        <v>769</v>
      </c>
      <c r="AF175" s="3"/>
      <c r="AG175" s="3"/>
      <c r="AH175" s="3"/>
      <c r="AI175" s="3"/>
      <c r="AJ175" s="30">
        <v>748</v>
      </c>
      <c r="AK175" s="3"/>
      <c r="AL175" s="3"/>
      <c r="AM175" s="3"/>
      <c r="AN175" s="3"/>
      <c r="AO175" s="4"/>
      <c r="AP175" s="3"/>
      <c r="AQ175" s="3"/>
      <c r="AR175" s="3"/>
      <c r="AS175" s="3"/>
      <c r="AT175" s="4"/>
      <c r="AU175" s="3"/>
      <c r="AV175" s="3"/>
      <c r="AW175" s="3"/>
      <c r="AX175" s="3"/>
      <c r="AY175" s="4"/>
    </row>
    <row r="176" spans="1:51">
      <c r="A176" s="242" t="s">
        <v>84</v>
      </c>
      <c r="B176" s="425"/>
      <c r="C176" s="425"/>
      <c r="D176" s="425"/>
      <c r="E176" s="425"/>
      <c r="F176" s="425"/>
      <c r="G176" s="393"/>
      <c r="H176" s="393"/>
      <c r="I176" s="393"/>
      <c r="J176" s="393"/>
      <c r="K176" s="425"/>
      <c r="L176" s="393"/>
      <c r="M176" s="393"/>
      <c r="N176" s="393"/>
      <c r="O176" s="393"/>
      <c r="P176" s="425"/>
      <c r="Q176" s="393"/>
      <c r="R176" s="393"/>
      <c r="S176" s="393"/>
      <c r="T176" s="393"/>
      <c r="U176" s="425">
        <f>SUM(U174:U175)</f>
        <v>1088</v>
      </c>
      <c r="V176" s="393"/>
      <c r="W176" s="393"/>
      <c r="X176" s="393"/>
      <c r="Y176" s="393"/>
      <c r="Z176" s="425">
        <f>SUM(Z174:Z175)</f>
        <v>1015</v>
      </c>
      <c r="AA176" s="393"/>
      <c r="AB176" s="393"/>
      <c r="AC176" s="393"/>
      <c r="AD176" s="393"/>
      <c r="AE176" s="425">
        <f>SUM(AE174:AE175)</f>
        <v>983</v>
      </c>
      <c r="AF176" s="391"/>
      <c r="AG176" s="391"/>
      <c r="AH176" s="391"/>
      <c r="AI176" s="391"/>
      <c r="AJ176" s="425">
        <f>SUM(AJ174:AJ175)</f>
        <v>975</v>
      </c>
      <c r="AK176" s="391"/>
      <c r="AL176" s="391"/>
      <c r="AM176" s="391"/>
      <c r="AN176" s="391"/>
      <c r="AO176" s="389"/>
      <c r="AP176" s="391"/>
      <c r="AQ176" s="391"/>
      <c r="AR176" s="391"/>
      <c r="AS176" s="391"/>
      <c r="AT176" s="389"/>
      <c r="AU176" s="391"/>
      <c r="AV176" s="391"/>
      <c r="AW176" s="391"/>
      <c r="AX176" s="391"/>
      <c r="AY176" s="389"/>
    </row>
    <row r="177" spans="1:51">
      <c r="A177" s="29" t="s">
        <v>68</v>
      </c>
      <c r="B177" s="27"/>
      <c r="C177" s="27"/>
      <c r="D177" s="27"/>
      <c r="E177" s="27"/>
      <c r="F177" s="27"/>
      <c r="G177" s="28"/>
      <c r="H177" s="28"/>
      <c r="I177" s="28"/>
      <c r="J177" s="28"/>
      <c r="K177" s="27"/>
      <c r="L177" s="28"/>
      <c r="M177" s="28"/>
      <c r="N177" s="28"/>
      <c r="O177" s="28"/>
      <c r="P177" s="27"/>
      <c r="Q177" s="28"/>
      <c r="R177" s="28"/>
      <c r="S177" s="28"/>
      <c r="T177" s="28"/>
      <c r="U177" s="30">
        <v>132</v>
      </c>
      <c r="V177" s="28"/>
      <c r="W177" s="28"/>
      <c r="X177" s="28"/>
      <c r="Y177" s="28"/>
      <c r="Z177" s="30">
        <v>149</v>
      </c>
      <c r="AA177" s="28"/>
      <c r="AB177" s="28"/>
      <c r="AC177" s="28"/>
      <c r="AD177" s="28"/>
      <c r="AE177" s="30">
        <v>174</v>
      </c>
      <c r="AF177" s="3"/>
      <c r="AG177" s="3"/>
      <c r="AH177" s="3"/>
      <c r="AI177" s="3"/>
      <c r="AJ177" s="30">
        <v>180</v>
      </c>
      <c r="AK177" s="3"/>
      <c r="AL177" s="3"/>
      <c r="AM177" s="3"/>
      <c r="AN177" s="3"/>
      <c r="AO177" s="4"/>
      <c r="AP177" s="3"/>
      <c r="AQ177" s="3"/>
      <c r="AR177" s="3"/>
      <c r="AS177" s="3"/>
      <c r="AT177" s="4"/>
      <c r="AU177" s="3"/>
      <c r="AV177" s="3"/>
      <c r="AW177" s="3"/>
      <c r="AX177" s="3"/>
      <c r="AY177" s="4"/>
    </row>
    <row r="178" spans="1:51">
      <c r="A178" s="29" t="s">
        <v>69</v>
      </c>
      <c r="B178" s="27"/>
      <c r="C178" s="27"/>
      <c r="D178" s="27"/>
      <c r="E178" s="27"/>
      <c r="F178" s="27"/>
      <c r="G178" s="28"/>
      <c r="H178" s="28"/>
      <c r="I178" s="28"/>
      <c r="J178" s="28"/>
      <c r="K178" s="27"/>
      <c r="L178" s="28"/>
      <c r="M178" s="28"/>
      <c r="N178" s="28"/>
      <c r="O178" s="28"/>
      <c r="P178" s="27"/>
      <c r="Q178" s="28"/>
      <c r="R178" s="28"/>
      <c r="S178" s="28"/>
      <c r="T178" s="28"/>
      <c r="U178" s="30">
        <v>185</v>
      </c>
      <c r="V178" s="28"/>
      <c r="W178" s="28"/>
      <c r="X178" s="28"/>
      <c r="Y178" s="28"/>
      <c r="Z178" s="30">
        <v>169</v>
      </c>
      <c r="AA178" s="28"/>
      <c r="AB178" s="28"/>
      <c r="AC178" s="28"/>
      <c r="AD178" s="28"/>
      <c r="AE178" s="30">
        <v>154</v>
      </c>
      <c r="AF178" s="3"/>
      <c r="AG178" s="3"/>
      <c r="AH178" s="3"/>
      <c r="AI178" s="3"/>
      <c r="AJ178" s="30">
        <v>152</v>
      </c>
      <c r="AK178" s="3"/>
      <c r="AL178" s="3"/>
      <c r="AM178" s="3"/>
      <c r="AN178" s="3"/>
      <c r="AO178" s="4"/>
      <c r="AP178" s="3"/>
      <c r="AQ178" s="3"/>
      <c r="AR178" s="3"/>
      <c r="AS178" s="3"/>
      <c r="AT178" s="4"/>
      <c r="AU178" s="3"/>
      <c r="AV178" s="3"/>
      <c r="AW178" s="3"/>
      <c r="AX178" s="3"/>
      <c r="AY178" s="4"/>
    </row>
    <row r="179" spans="1:51">
      <c r="A179" s="242" t="s">
        <v>85</v>
      </c>
      <c r="B179" s="425"/>
      <c r="C179" s="425"/>
      <c r="D179" s="425"/>
      <c r="E179" s="425"/>
      <c r="F179" s="425"/>
      <c r="G179" s="393"/>
      <c r="H179" s="393"/>
      <c r="I179" s="393"/>
      <c r="J179" s="393"/>
      <c r="K179" s="425"/>
      <c r="L179" s="393"/>
      <c r="M179" s="393"/>
      <c r="N179" s="393"/>
      <c r="O179" s="393"/>
      <c r="P179" s="425"/>
      <c r="Q179" s="393"/>
      <c r="R179" s="393"/>
      <c r="S179" s="393"/>
      <c r="T179" s="393"/>
      <c r="U179" s="425">
        <f>SUM(U177:U178)</f>
        <v>317</v>
      </c>
      <c r="V179" s="393"/>
      <c r="W179" s="393"/>
      <c r="X179" s="393"/>
      <c r="Y179" s="393"/>
      <c r="Z179" s="425">
        <f>SUM(Z177:Z178)</f>
        <v>318</v>
      </c>
      <c r="AA179" s="393"/>
      <c r="AB179" s="393"/>
      <c r="AC179" s="393"/>
      <c r="AD179" s="393"/>
      <c r="AE179" s="425">
        <f>SUM(AE177:AE178)</f>
        <v>328</v>
      </c>
      <c r="AF179" s="391"/>
      <c r="AG179" s="391"/>
      <c r="AH179" s="391"/>
      <c r="AI179" s="391"/>
      <c r="AJ179" s="425">
        <f>SUM(AJ177:AJ178)</f>
        <v>332</v>
      </c>
      <c r="AK179" s="391"/>
      <c r="AL179" s="391"/>
      <c r="AM179" s="391"/>
      <c r="AN179" s="391"/>
      <c r="AO179" s="389"/>
      <c r="AP179" s="391"/>
      <c r="AQ179" s="391"/>
      <c r="AR179" s="391"/>
      <c r="AS179" s="391"/>
      <c r="AT179" s="389"/>
      <c r="AU179" s="391"/>
      <c r="AV179" s="391"/>
      <c r="AW179" s="391"/>
      <c r="AX179" s="391"/>
      <c r="AY179" s="389"/>
    </row>
    <row r="180" spans="1:51">
      <c r="A180" s="29" t="s">
        <v>68</v>
      </c>
      <c r="B180" s="27">
        <f>2634+619</f>
        <v>3253</v>
      </c>
      <c r="C180" s="27">
        <f>2411+641</f>
        <v>3052</v>
      </c>
      <c r="D180" s="27">
        <f>2210+619</f>
        <v>2829</v>
      </c>
      <c r="E180" s="27">
        <f>2028+646</f>
        <v>2674</v>
      </c>
      <c r="F180" s="27">
        <f>1829+617</f>
        <v>2446</v>
      </c>
      <c r="G180" s="28">
        <f>1275+378</f>
        <v>1653</v>
      </c>
      <c r="H180" s="28">
        <f>1216+382</f>
        <v>1598</v>
      </c>
      <c r="I180" s="28">
        <f>1224+387</f>
        <v>1611</v>
      </c>
      <c r="J180" s="28">
        <f>1311+393</f>
        <v>1704</v>
      </c>
      <c r="K180" s="27">
        <f>J180</f>
        <v>1704</v>
      </c>
      <c r="L180" s="28">
        <f>1146+347</f>
        <v>1493</v>
      </c>
      <c r="M180" s="28">
        <f>1149+350</f>
        <v>1499</v>
      </c>
      <c r="N180" s="28">
        <f>1133+370</f>
        <v>1503</v>
      </c>
      <c r="O180" s="28">
        <f>1161+367</f>
        <v>1528</v>
      </c>
      <c r="P180" s="27">
        <f>O180</f>
        <v>1528</v>
      </c>
      <c r="Q180" s="28"/>
      <c r="R180" s="28"/>
      <c r="S180" s="28"/>
      <c r="T180" s="28"/>
      <c r="U180" s="27">
        <f>U171+U174+U177</f>
        <v>1489</v>
      </c>
      <c r="V180" s="31">
        <f>1146+350</f>
        <v>1496</v>
      </c>
      <c r="W180" s="28"/>
      <c r="X180" s="28"/>
      <c r="Y180" s="28"/>
      <c r="Z180" s="27">
        <f>Z171+Z174+Z177</f>
        <v>1524</v>
      </c>
      <c r="AA180" s="28"/>
      <c r="AB180" s="28"/>
      <c r="AC180" s="28"/>
      <c r="AD180" s="28"/>
      <c r="AE180" s="27">
        <f>AE171+AE174+AE177</f>
        <v>1693</v>
      </c>
      <c r="AF180" s="3"/>
      <c r="AG180" s="3"/>
      <c r="AH180" s="3"/>
      <c r="AI180" s="3"/>
      <c r="AJ180" s="27">
        <f>AJ171+AJ174+AJ177</f>
        <v>1861</v>
      </c>
      <c r="AK180" s="3"/>
      <c r="AL180" s="3"/>
      <c r="AM180" s="3"/>
      <c r="AN180" s="3"/>
      <c r="AO180" s="27">
        <f>(AJ180+AO166*AO229/10^3)</f>
        <v>1969</v>
      </c>
      <c r="AP180" s="3"/>
      <c r="AQ180" s="3"/>
      <c r="AR180" s="3"/>
      <c r="AS180" s="3"/>
      <c r="AT180" s="27">
        <f>(AO180+AT166*AT229/10^3)</f>
        <v>2077</v>
      </c>
      <c r="AU180" s="3"/>
      <c r="AV180" s="3"/>
      <c r="AW180" s="3"/>
      <c r="AX180" s="3"/>
      <c r="AY180" s="27">
        <f>(AT180+AY166*AY229/10^3)</f>
        <v>2185</v>
      </c>
    </row>
    <row r="181" spans="1:51">
      <c r="A181" s="29" t="s">
        <v>69</v>
      </c>
      <c r="B181" s="27">
        <f>2856+1183</f>
        <v>4039</v>
      </c>
      <c r="C181" s="27">
        <f>2737+1218</f>
        <v>3955</v>
      </c>
      <c r="D181" s="27">
        <f>2681+1200</f>
        <v>3881</v>
      </c>
      <c r="E181" s="27">
        <f>2658+1234</f>
        <v>3892</v>
      </c>
      <c r="F181" s="27">
        <f>2605+1263</f>
        <v>3868</v>
      </c>
      <c r="G181" s="28">
        <f>2324+1212</f>
        <v>3536</v>
      </c>
      <c r="H181" s="28">
        <f>2349+1203</f>
        <v>3552</v>
      </c>
      <c r="I181" s="28">
        <f>2344+1204</f>
        <v>3548</v>
      </c>
      <c r="J181" s="28">
        <f>2309+1219</f>
        <v>3528</v>
      </c>
      <c r="K181" s="27">
        <f>J181</f>
        <v>3528</v>
      </c>
      <c r="L181" s="28">
        <f>2318+1218</f>
        <v>3536</v>
      </c>
      <c r="M181" s="28">
        <f>2353+1207</f>
        <v>3560</v>
      </c>
      <c r="N181" s="28">
        <f>2387+1210</f>
        <v>3597</v>
      </c>
      <c r="O181" s="28">
        <f>2312+1212</f>
        <v>3524</v>
      </c>
      <c r="P181" s="27">
        <f t="shared" ref="P181:P182" si="679">O181</f>
        <v>3524</v>
      </c>
      <c r="Q181" s="28"/>
      <c r="R181" s="28"/>
      <c r="S181" s="28"/>
      <c r="T181" s="28"/>
      <c r="U181" s="27">
        <f>U172+U175+U178</f>
        <v>3579</v>
      </c>
      <c r="V181" s="31">
        <f>2407+1120</f>
        <v>3527</v>
      </c>
      <c r="W181" s="28"/>
      <c r="X181" s="28"/>
      <c r="Y181" s="28"/>
      <c r="Z181" s="27">
        <f>Z172+Z175+Z178</f>
        <v>3456</v>
      </c>
      <c r="AA181" s="28"/>
      <c r="AB181" s="28"/>
      <c r="AC181" s="28"/>
      <c r="AD181" s="28"/>
      <c r="AE181" s="27">
        <f>AE172+AE175+AE178</f>
        <v>3401</v>
      </c>
      <c r="AF181" s="3"/>
      <c r="AG181" s="3"/>
      <c r="AH181" s="3"/>
      <c r="AI181" s="3"/>
      <c r="AJ181" s="27">
        <f>AJ172+AJ175+AJ178</f>
        <v>3439</v>
      </c>
      <c r="AK181" s="3"/>
      <c r="AL181" s="3"/>
      <c r="AM181" s="3"/>
      <c r="AN181" s="3"/>
      <c r="AO181" s="27">
        <f>(AJ181+AO167*AO230/10^3)</f>
        <v>3483.33333333333</v>
      </c>
      <c r="AP181" s="3"/>
      <c r="AQ181" s="3"/>
      <c r="AR181" s="3"/>
      <c r="AS181" s="3"/>
      <c r="AT181" s="27">
        <f>(AO181+AT167*AT230/10^3)</f>
        <v>3521.33333333333</v>
      </c>
      <c r="AU181" s="3"/>
      <c r="AV181" s="3"/>
      <c r="AW181" s="3"/>
      <c r="AX181" s="3"/>
      <c r="AY181" s="27">
        <f>(AT181+AY167*AY230/10^3)</f>
        <v>3559.33333333333</v>
      </c>
    </row>
    <row r="182" spans="1:51">
      <c r="A182" s="242" t="s">
        <v>70</v>
      </c>
      <c r="B182" s="425">
        <f t="shared" ref="B182:O182" si="680">SUM(B180:B181)</f>
        <v>7292</v>
      </c>
      <c r="C182" s="425">
        <f t="shared" si="680"/>
        <v>7007</v>
      </c>
      <c r="D182" s="425">
        <f t="shared" si="680"/>
        <v>6710</v>
      </c>
      <c r="E182" s="425">
        <f t="shared" si="680"/>
        <v>6566</v>
      </c>
      <c r="F182" s="425">
        <f t="shared" si="680"/>
        <v>6314</v>
      </c>
      <c r="G182" s="393">
        <f t="shared" si="680"/>
        <v>5189</v>
      </c>
      <c r="H182" s="393">
        <f t="shared" si="680"/>
        <v>5150</v>
      </c>
      <c r="I182" s="393">
        <f t="shared" si="680"/>
        <v>5159</v>
      </c>
      <c r="J182" s="393">
        <f t="shared" si="680"/>
        <v>5232</v>
      </c>
      <c r="K182" s="425">
        <f t="shared" si="680"/>
        <v>5232</v>
      </c>
      <c r="L182" s="393">
        <f t="shared" si="680"/>
        <v>5029</v>
      </c>
      <c r="M182" s="393">
        <f t="shared" si="680"/>
        <v>5059</v>
      </c>
      <c r="N182" s="393">
        <f t="shared" si="680"/>
        <v>5100</v>
      </c>
      <c r="O182" s="393">
        <f t="shared" si="680"/>
        <v>5052</v>
      </c>
      <c r="P182" s="425">
        <f t="shared" si="679"/>
        <v>5052</v>
      </c>
      <c r="Q182" s="393"/>
      <c r="R182" s="393"/>
      <c r="S182" s="393"/>
      <c r="T182" s="393"/>
      <c r="U182" s="425">
        <f>U173+U176+U179</f>
        <v>5068</v>
      </c>
      <c r="V182" s="393">
        <f>SUM(V180:V181)</f>
        <v>5023</v>
      </c>
      <c r="W182" s="393"/>
      <c r="X182" s="393"/>
      <c r="Y182" s="393"/>
      <c r="Z182" s="425">
        <f>Z173+Z176+Z179</f>
        <v>4980</v>
      </c>
      <c r="AA182" s="393"/>
      <c r="AB182" s="393"/>
      <c r="AC182" s="393"/>
      <c r="AD182" s="393"/>
      <c r="AE182" s="425">
        <f>AE173+AE176+AE179</f>
        <v>5094</v>
      </c>
      <c r="AF182" s="391"/>
      <c r="AG182" s="391"/>
      <c r="AH182" s="391"/>
      <c r="AI182" s="391"/>
      <c r="AJ182" s="425">
        <f>AJ173+AJ176+AJ179</f>
        <v>5300</v>
      </c>
      <c r="AK182" s="391"/>
      <c r="AL182" s="391"/>
      <c r="AM182" s="391"/>
      <c r="AN182" s="391"/>
      <c r="AO182" s="425">
        <f>SUM(AO180:AO181)</f>
        <v>5452.33333333333</v>
      </c>
      <c r="AP182" s="391"/>
      <c r="AQ182" s="391"/>
      <c r="AR182" s="391"/>
      <c r="AS182" s="391"/>
      <c r="AT182" s="425">
        <f>SUM(AT180:AT181)</f>
        <v>5598.33333333333</v>
      </c>
      <c r="AU182" s="391"/>
      <c r="AV182" s="391"/>
      <c r="AW182" s="391"/>
      <c r="AX182" s="391"/>
      <c r="AY182" s="425">
        <f>SUM(AY180:AY181)</f>
        <v>5744.33333333333</v>
      </c>
    </row>
    <row r="183" spans="1:51">
      <c r="G183" s="3"/>
      <c r="H183" s="3"/>
      <c r="I183" s="3"/>
      <c r="J183" s="3"/>
      <c r="K183" s="4"/>
      <c r="L183" s="3"/>
      <c r="M183" s="3"/>
      <c r="N183" s="3"/>
      <c r="O183" s="3"/>
      <c r="P183" s="4"/>
      <c r="Q183" s="3"/>
      <c r="R183" s="3"/>
      <c r="S183" s="3"/>
      <c r="T183" s="3"/>
      <c r="U183" s="4"/>
      <c r="V183" s="3"/>
      <c r="W183" s="3"/>
      <c r="X183" s="3"/>
      <c r="Y183" s="3"/>
      <c r="Z183" s="4"/>
      <c r="AA183" s="3"/>
      <c r="AB183" s="3"/>
      <c r="AC183" s="3"/>
      <c r="AD183" s="3"/>
      <c r="AE183" s="4"/>
      <c r="AF183" s="3"/>
      <c r="AG183" s="3"/>
      <c r="AH183" s="3"/>
      <c r="AI183" s="3"/>
      <c r="AJ183" s="4"/>
      <c r="AK183" s="3"/>
      <c r="AL183" s="3"/>
      <c r="AM183" s="3"/>
      <c r="AN183" s="3"/>
      <c r="AO183" s="4"/>
      <c r="AP183" s="3"/>
      <c r="AQ183" s="3"/>
      <c r="AR183" s="3"/>
      <c r="AS183" s="3"/>
      <c r="AT183" s="4"/>
      <c r="AU183" s="3"/>
      <c r="AV183" s="3"/>
      <c r="AW183" s="3"/>
      <c r="AX183" s="3"/>
      <c r="AY183" s="4"/>
    </row>
    <row r="184" hidden="1" outlineLevel="1" collapsed="1" spans="1:51">
      <c r="A184" s="267" t="s">
        <v>106</v>
      </c>
      <c r="B184" s="268"/>
      <c r="C184" s="268"/>
      <c r="D184" s="268"/>
      <c r="E184" s="268"/>
      <c r="F184" s="268"/>
      <c r="G184" s="267"/>
      <c r="H184" s="267"/>
      <c r="I184" s="267"/>
      <c r="J184" s="267"/>
      <c r="K184" s="268"/>
      <c r="L184" s="267"/>
      <c r="M184" s="267"/>
      <c r="N184" s="267"/>
      <c r="O184" s="267"/>
      <c r="P184" s="268"/>
      <c r="Q184" s="267"/>
      <c r="R184" s="267"/>
      <c r="S184" s="267"/>
      <c r="T184" s="267"/>
      <c r="U184" s="268"/>
      <c r="V184" s="267"/>
      <c r="W184" s="267"/>
      <c r="X184" s="267"/>
      <c r="Y184" s="267"/>
      <c r="Z184" s="268"/>
      <c r="AA184" s="267"/>
      <c r="AB184" s="267"/>
      <c r="AC184" s="267"/>
      <c r="AD184" s="267"/>
      <c r="AE184" s="268"/>
      <c r="AF184" s="267"/>
      <c r="AG184" s="267"/>
      <c r="AH184" s="409"/>
      <c r="AI184" s="409"/>
      <c r="AJ184" s="268"/>
      <c r="AK184" s="267"/>
      <c r="AL184" s="267"/>
      <c r="AM184" s="267"/>
      <c r="AN184" s="267"/>
      <c r="AO184" s="268"/>
      <c r="AP184" s="267"/>
      <c r="AQ184" s="267"/>
      <c r="AR184" s="267"/>
      <c r="AS184" s="267"/>
      <c r="AT184" s="268"/>
      <c r="AU184" s="267"/>
      <c r="AV184" s="267"/>
      <c r="AW184" s="267"/>
      <c r="AX184" s="267"/>
      <c r="AY184" s="268"/>
    </row>
    <row r="185" hidden="1" outlineLevel="1" spans="1:51">
      <c r="A185" s="29" t="s">
        <v>107</v>
      </c>
      <c r="B185" s="387">
        <v>340</v>
      </c>
      <c r="C185" s="387">
        <v>311</v>
      </c>
      <c r="D185" s="387">
        <v>285</v>
      </c>
      <c r="E185" s="387">
        <v>270</v>
      </c>
      <c r="F185" s="387">
        <v>256</v>
      </c>
      <c r="G185" s="386">
        <v>253</v>
      </c>
      <c r="H185" s="386">
        <v>253</v>
      </c>
      <c r="I185" s="386">
        <v>255</v>
      </c>
      <c r="J185" s="386">
        <v>190</v>
      </c>
      <c r="K185" s="4">
        <f>J185</f>
        <v>190</v>
      </c>
      <c r="L185" s="386">
        <v>184</v>
      </c>
      <c r="M185" s="386">
        <v>179</v>
      </c>
      <c r="N185" s="386">
        <v>181</v>
      </c>
      <c r="O185" s="386">
        <v>173</v>
      </c>
      <c r="P185" s="4">
        <f>O185</f>
        <v>173</v>
      </c>
      <c r="Q185" s="386">
        <v>171</v>
      </c>
      <c r="R185" s="386">
        <v>172</v>
      </c>
      <c r="S185" s="386">
        <v>174</v>
      </c>
      <c r="T185" s="386">
        <v>180</v>
      </c>
      <c r="U185" s="4">
        <f>T185</f>
        <v>180</v>
      </c>
      <c r="V185" s="386">
        <v>179</v>
      </c>
      <c r="W185" s="3"/>
      <c r="X185" s="3"/>
      <c r="Y185" s="3"/>
      <c r="Z185" s="4"/>
      <c r="AA185" s="3"/>
      <c r="AB185" s="3"/>
      <c r="AC185" s="3"/>
      <c r="AD185" s="3"/>
      <c r="AE185" s="4"/>
      <c r="AF185" s="3"/>
      <c r="AG185" s="3"/>
      <c r="AH185" s="3"/>
      <c r="AI185" s="3"/>
      <c r="AJ185" s="4"/>
      <c r="AK185" s="3"/>
      <c r="AL185" s="3"/>
      <c r="AM185" s="3"/>
      <c r="AN185" s="3"/>
      <c r="AO185" s="4"/>
      <c r="AP185" s="3"/>
      <c r="AQ185" s="3"/>
      <c r="AR185" s="3"/>
      <c r="AS185" s="3"/>
      <c r="AT185" s="4"/>
      <c r="AU185" s="3"/>
      <c r="AV185" s="3"/>
      <c r="AW185" s="3"/>
      <c r="AX185" s="3"/>
      <c r="AY185" s="4"/>
    </row>
    <row r="186" hidden="1" outlineLevel="1" spans="1:51">
      <c r="A186" s="97" t="s">
        <v>108</v>
      </c>
      <c r="B186" s="399">
        <v>39</v>
      </c>
      <c r="C186" s="399">
        <v>44</v>
      </c>
      <c r="D186" s="399">
        <v>45</v>
      </c>
      <c r="E186" s="399">
        <v>49</v>
      </c>
      <c r="F186" s="399">
        <v>52</v>
      </c>
      <c r="G186" s="398">
        <v>53</v>
      </c>
      <c r="H186" s="398">
        <v>56</v>
      </c>
      <c r="I186" s="398">
        <v>54</v>
      </c>
      <c r="J186" s="398">
        <v>48</v>
      </c>
      <c r="K186" s="149">
        <f>J186</f>
        <v>48</v>
      </c>
      <c r="L186" s="398">
        <v>48</v>
      </c>
      <c r="M186" s="398">
        <v>49</v>
      </c>
      <c r="N186" s="398">
        <v>48</v>
      </c>
      <c r="O186" s="398">
        <v>51</v>
      </c>
      <c r="P186" s="149">
        <f>O186</f>
        <v>51</v>
      </c>
      <c r="Q186" s="398">
        <v>49</v>
      </c>
      <c r="R186" s="398">
        <v>49</v>
      </c>
      <c r="S186" s="398">
        <v>54</v>
      </c>
      <c r="T186" s="398">
        <v>53</v>
      </c>
      <c r="U186" s="149">
        <f>T186</f>
        <v>53</v>
      </c>
      <c r="V186" s="398">
        <v>54</v>
      </c>
      <c r="W186" s="3"/>
      <c r="X186" s="3"/>
      <c r="Y186" s="3"/>
      <c r="Z186" s="4"/>
      <c r="AA186" s="3"/>
      <c r="AB186" s="3"/>
      <c r="AC186" s="3"/>
      <c r="AD186" s="3"/>
      <c r="AE186" s="4"/>
      <c r="AF186" s="3"/>
      <c r="AG186" s="3"/>
      <c r="AH186" s="3"/>
      <c r="AI186" s="3"/>
      <c r="AJ186" s="4"/>
      <c r="AK186" s="3"/>
      <c r="AL186" s="3"/>
      <c r="AM186" s="3"/>
      <c r="AN186" s="3"/>
      <c r="AO186" s="4"/>
      <c r="AP186" s="3"/>
      <c r="AQ186" s="3"/>
      <c r="AR186" s="3"/>
      <c r="AS186" s="3"/>
      <c r="AT186" s="4"/>
      <c r="AU186" s="3"/>
      <c r="AV186" s="3"/>
      <c r="AW186" s="3"/>
      <c r="AX186" s="3"/>
      <c r="AY186" s="4"/>
    </row>
    <row r="187" hidden="1" outlineLevel="1" spans="1:51">
      <c r="A187" s="3" t="s">
        <v>109</v>
      </c>
      <c r="B187" s="4">
        <f t="shared" ref="B187:F187" si="681">B185+B186</f>
        <v>379</v>
      </c>
      <c r="C187" s="4">
        <f t="shared" si="681"/>
        <v>355</v>
      </c>
      <c r="D187" s="4">
        <f t="shared" si="681"/>
        <v>330</v>
      </c>
      <c r="E187" s="4">
        <f t="shared" si="681"/>
        <v>319</v>
      </c>
      <c r="F187" s="4">
        <f t="shared" si="681"/>
        <v>308</v>
      </c>
      <c r="G187" s="3">
        <f t="shared" ref="G187:H187" si="682">G185+G186</f>
        <v>306</v>
      </c>
      <c r="H187" s="3">
        <f t="shared" si="682"/>
        <v>309</v>
      </c>
      <c r="I187" s="3">
        <f t="shared" ref="I187:K187" si="683">I185+I186</f>
        <v>309</v>
      </c>
      <c r="J187" s="3">
        <f t="shared" si="683"/>
        <v>238</v>
      </c>
      <c r="K187" s="4">
        <f t="shared" si="683"/>
        <v>238</v>
      </c>
      <c r="L187" s="3">
        <f t="shared" ref="L187" si="684">L185+L186</f>
        <v>232</v>
      </c>
      <c r="M187" s="3">
        <f t="shared" ref="M187:P187" si="685">M185+M186</f>
        <v>228</v>
      </c>
      <c r="N187" s="3">
        <f t="shared" si="685"/>
        <v>229</v>
      </c>
      <c r="O187" s="3">
        <f t="shared" si="685"/>
        <v>224</v>
      </c>
      <c r="P187" s="4">
        <f t="shared" si="685"/>
        <v>224</v>
      </c>
      <c r="Q187" s="3">
        <f t="shared" ref="Q187:V187" si="686">Q185+Q186</f>
        <v>220</v>
      </c>
      <c r="R187" s="3">
        <f t="shared" si="686"/>
        <v>221</v>
      </c>
      <c r="S187" s="3">
        <f t="shared" si="686"/>
        <v>228</v>
      </c>
      <c r="T187" s="3">
        <f t="shared" si="686"/>
        <v>233</v>
      </c>
      <c r="U187" s="4">
        <f t="shared" si="686"/>
        <v>233</v>
      </c>
      <c r="V187" s="3">
        <f t="shared" si="686"/>
        <v>233</v>
      </c>
      <c r="W187" s="3"/>
      <c r="X187" s="3"/>
      <c r="Y187" s="3"/>
      <c r="Z187" s="4"/>
      <c r="AA187" s="3"/>
      <c r="AB187" s="3"/>
      <c r="AC187" s="3"/>
      <c r="AD187" s="3"/>
      <c r="AE187" s="4"/>
      <c r="AF187" s="3"/>
      <c r="AG187" s="3"/>
      <c r="AH187" s="3"/>
      <c r="AI187" s="3"/>
      <c r="AJ187" s="4"/>
      <c r="AK187" s="3"/>
      <c r="AL187" s="3"/>
      <c r="AM187" s="3"/>
      <c r="AN187" s="3"/>
      <c r="AO187" s="4"/>
      <c r="AP187" s="3"/>
      <c r="AQ187" s="3"/>
      <c r="AR187" s="3"/>
      <c r="AS187" s="3"/>
      <c r="AT187" s="4"/>
      <c r="AU187" s="3"/>
      <c r="AV187" s="3"/>
      <c r="AW187" s="3"/>
      <c r="AX187" s="3"/>
      <c r="AY187" s="4"/>
    </row>
    <row r="188" hidden="1" outlineLevel="1" spans="1:51">
      <c r="G188" s="3"/>
      <c r="H188" s="3"/>
      <c r="I188" s="3"/>
      <c r="J188" s="3"/>
      <c r="K188" s="4"/>
      <c r="L188" s="3"/>
      <c r="M188" s="3"/>
      <c r="N188" s="3"/>
      <c r="O188" s="3"/>
      <c r="P188" s="4"/>
      <c r="Q188" s="3"/>
      <c r="R188" s="3"/>
      <c r="S188" s="3"/>
      <c r="T188" s="3"/>
      <c r="U188" s="4"/>
      <c r="V188" s="3"/>
      <c r="W188" s="3"/>
      <c r="X188" s="3"/>
      <c r="Y188" s="3"/>
      <c r="Z188" s="4"/>
      <c r="AA188" s="3"/>
      <c r="AB188" s="3"/>
      <c r="AC188" s="3"/>
      <c r="AD188" s="3"/>
      <c r="AE188" s="4"/>
      <c r="AF188" s="3"/>
      <c r="AG188" s="3"/>
      <c r="AH188" s="3"/>
      <c r="AI188" s="3"/>
      <c r="AJ188" s="4"/>
      <c r="AK188" s="3"/>
      <c r="AL188" s="3"/>
      <c r="AM188" s="3"/>
      <c r="AN188" s="3"/>
      <c r="AO188" s="4"/>
      <c r="AP188" s="3"/>
      <c r="AQ188" s="3"/>
      <c r="AR188" s="3"/>
      <c r="AS188" s="3"/>
      <c r="AT188" s="4"/>
      <c r="AU188" s="3"/>
      <c r="AV188" s="3"/>
      <c r="AW188" s="3"/>
      <c r="AX188" s="3"/>
      <c r="AY188" s="4"/>
    </row>
    <row r="189" hidden="1" outlineLevel="1" spans="1:51">
      <c r="A189" s="29" t="s">
        <v>107</v>
      </c>
      <c r="B189" s="387">
        <v>414</v>
      </c>
      <c r="C189" s="387">
        <v>398</v>
      </c>
      <c r="D189" s="387">
        <v>394</v>
      </c>
      <c r="E189" s="387">
        <v>393</v>
      </c>
      <c r="F189" s="387">
        <v>391</v>
      </c>
      <c r="G189" s="386">
        <v>390</v>
      </c>
      <c r="H189" s="386">
        <v>386</v>
      </c>
      <c r="I189" s="386">
        <v>386</v>
      </c>
      <c r="J189" s="386">
        <v>347</v>
      </c>
      <c r="K189" s="4">
        <f>J189</f>
        <v>347</v>
      </c>
      <c r="L189" s="386">
        <v>349</v>
      </c>
      <c r="M189" s="386">
        <v>355</v>
      </c>
      <c r="N189" s="386">
        <v>355</v>
      </c>
      <c r="O189" s="386">
        <v>351</v>
      </c>
      <c r="P189" s="4">
        <f>O189</f>
        <v>351</v>
      </c>
      <c r="Q189" s="386">
        <v>352</v>
      </c>
      <c r="R189" s="386">
        <v>358</v>
      </c>
      <c r="S189" s="386">
        <v>367</v>
      </c>
      <c r="T189" s="386">
        <v>380</v>
      </c>
      <c r="U189" s="4">
        <f>T189</f>
        <v>380</v>
      </c>
      <c r="V189" s="386">
        <v>377</v>
      </c>
      <c r="W189" s="3"/>
      <c r="X189" s="3"/>
      <c r="Y189" s="3"/>
      <c r="Z189" s="4"/>
      <c r="AA189" s="3"/>
      <c r="AB189" s="3"/>
      <c r="AC189" s="3"/>
      <c r="AD189" s="3"/>
      <c r="AE189" s="4"/>
      <c r="AF189" s="3"/>
      <c r="AG189" s="3"/>
      <c r="AH189" s="3"/>
      <c r="AI189" s="3"/>
      <c r="AJ189" s="4"/>
      <c r="AK189" s="3"/>
      <c r="AL189" s="3"/>
      <c r="AM189" s="3"/>
      <c r="AN189" s="3"/>
      <c r="AO189" s="4"/>
      <c r="AP189" s="3"/>
      <c r="AQ189" s="3"/>
      <c r="AR189" s="3"/>
      <c r="AS189" s="3"/>
      <c r="AT189" s="4"/>
      <c r="AU189" s="3"/>
      <c r="AV189" s="3"/>
      <c r="AW189" s="3"/>
      <c r="AX189" s="3"/>
      <c r="AY189" s="4"/>
    </row>
    <row r="190" hidden="1" outlineLevel="1" spans="1:51">
      <c r="A190" s="97" t="s">
        <v>108</v>
      </c>
      <c r="B190" s="399">
        <v>139</v>
      </c>
      <c r="C190" s="399">
        <v>145</v>
      </c>
      <c r="D190" s="399">
        <v>144</v>
      </c>
      <c r="E190" s="399">
        <v>149</v>
      </c>
      <c r="F190" s="399">
        <v>155</v>
      </c>
      <c r="G190" s="398">
        <v>153</v>
      </c>
      <c r="H190" s="398">
        <v>155</v>
      </c>
      <c r="I190" s="398">
        <v>154</v>
      </c>
      <c r="J190" s="398">
        <v>150</v>
      </c>
      <c r="K190" s="149">
        <f>J190</f>
        <v>150</v>
      </c>
      <c r="L190" s="398">
        <v>150</v>
      </c>
      <c r="M190" s="398">
        <v>150</v>
      </c>
      <c r="N190" s="398">
        <v>151</v>
      </c>
      <c r="O190" s="398">
        <v>154</v>
      </c>
      <c r="P190" s="149">
        <f>O190</f>
        <v>154</v>
      </c>
      <c r="Q190" s="398">
        <v>156</v>
      </c>
      <c r="R190" s="398">
        <v>155</v>
      </c>
      <c r="S190" s="398">
        <v>156</v>
      </c>
      <c r="T190" s="398">
        <v>149</v>
      </c>
      <c r="U190" s="149">
        <f>T190</f>
        <v>149</v>
      </c>
      <c r="V190" s="398">
        <v>148</v>
      </c>
      <c r="W190" s="3"/>
      <c r="X190" s="3"/>
      <c r="Y190" s="3"/>
      <c r="Z190" s="4"/>
      <c r="AA190" s="3"/>
      <c r="AB190" s="3"/>
      <c r="AC190" s="3"/>
      <c r="AD190" s="3"/>
      <c r="AE190" s="4"/>
      <c r="AF190" s="3"/>
      <c r="AG190" s="3"/>
      <c r="AH190" s="3"/>
      <c r="AI190" s="3"/>
      <c r="AJ190" s="4"/>
      <c r="AK190" s="3"/>
      <c r="AL190" s="3"/>
      <c r="AM190" s="3"/>
      <c r="AN190" s="3"/>
      <c r="AO190" s="4"/>
      <c r="AP190" s="3"/>
      <c r="AQ190" s="3"/>
      <c r="AR190" s="3"/>
      <c r="AS190" s="3"/>
      <c r="AT190" s="4"/>
      <c r="AU190" s="3"/>
      <c r="AV190" s="3"/>
      <c r="AW190" s="3"/>
      <c r="AX190" s="3"/>
      <c r="AY190" s="4"/>
    </row>
    <row r="191" hidden="1" outlineLevel="1" spans="1:51">
      <c r="A191" s="3" t="s">
        <v>110</v>
      </c>
      <c r="B191" s="4">
        <f t="shared" ref="B191:F191" si="687">B189+B190</f>
        <v>553</v>
      </c>
      <c r="C191" s="4">
        <f t="shared" si="687"/>
        <v>543</v>
      </c>
      <c r="D191" s="4">
        <f t="shared" si="687"/>
        <v>538</v>
      </c>
      <c r="E191" s="4">
        <f t="shared" si="687"/>
        <v>542</v>
      </c>
      <c r="F191" s="4">
        <f t="shared" si="687"/>
        <v>546</v>
      </c>
      <c r="G191" s="3">
        <f t="shared" ref="G191:H191" si="688">G189+G190</f>
        <v>543</v>
      </c>
      <c r="H191" s="3">
        <f t="shared" si="688"/>
        <v>541</v>
      </c>
      <c r="I191" s="3">
        <f t="shared" ref="I191:K191" si="689">I189+I190</f>
        <v>540</v>
      </c>
      <c r="J191" s="3">
        <f t="shared" si="689"/>
        <v>497</v>
      </c>
      <c r="K191" s="4">
        <f t="shared" si="689"/>
        <v>497</v>
      </c>
      <c r="L191" s="3">
        <f t="shared" ref="L191" si="690">L189+L190</f>
        <v>499</v>
      </c>
      <c r="M191" s="3">
        <f t="shared" ref="M191:P191" si="691">M189+M190</f>
        <v>505</v>
      </c>
      <c r="N191" s="3">
        <f t="shared" si="691"/>
        <v>506</v>
      </c>
      <c r="O191" s="3">
        <f t="shared" si="691"/>
        <v>505</v>
      </c>
      <c r="P191" s="4">
        <f t="shared" si="691"/>
        <v>505</v>
      </c>
      <c r="Q191" s="3">
        <f t="shared" ref="Q191:V191" si="692">Q189+Q190</f>
        <v>508</v>
      </c>
      <c r="R191" s="3">
        <f t="shared" si="692"/>
        <v>513</v>
      </c>
      <c r="S191" s="3">
        <f t="shared" si="692"/>
        <v>523</v>
      </c>
      <c r="T191" s="3">
        <f t="shared" si="692"/>
        <v>529</v>
      </c>
      <c r="U191" s="4">
        <f t="shared" si="692"/>
        <v>529</v>
      </c>
      <c r="V191" s="3">
        <f t="shared" si="692"/>
        <v>525</v>
      </c>
      <c r="W191" s="3"/>
      <c r="X191" s="3"/>
      <c r="Y191" s="3"/>
      <c r="Z191" s="4"/>
      <c r="AA191" s="3"/>
      <c r="AB191" s="3"/>
      <c r="AC191" s="3"/>
      <c r="AD191" s="3"/>
      <c r="AE191" s="4"/>
      <c r="AF191" s="3"/>
      <c r="AG191" s="3"/>
      <c r="AH191" s="3"/>
      <c r="AI191" s="3"/>
      <c r="AJ191" s="4"/>
      <c r="AK191" s="3"/>
      <c r="AL191" s="3"/>
      <c r="AM191" s="3"/>
      <c r="AN191" s="3"/>
      <c r="AO191" s="4"/>
      <c r="AP191" s="3"/>
      <c r="AQ191" s="3"/>
      <c r="AR191" s="3"/>
      <c r="AS191" s="3"/>
      <c r="AT191" s="4"/>
      <c r="AU191" s="3"/>
      <c r="AV191" s="3"/>
      <c r="AW191" s="3"/>
      <c r="AX191" s="3"/>
      <c r="AY191" s="4"/>
    </row>
    <row r="192" hidden="1" outlineLevel="1" spans="1:51">
      <c r="G192" s="3"/>
      <c r="H192" s="3"/>
      <c r="I192" s="3"/>
      <c r="J192" s="3"/>
      <c r="K192" s="4"/>
      <c r="L192" s="3"/>
      <c r="M192" s="3"/>
      <c r="N192" s="3"/>
      <c r="O192" s="3"/>
      <c r="P192" s="4"/>
      <c r="Q192" s="3"/>
      <c r="R192" s="3"/>
      <c r="S192" s="3"/>
      <c r="T192" s="3"/>
      <c r="U192" s="4"/>
      <c r="V192" s="3"/>
      <c r="W192" s="3"/>
      <c r="X192" s="3"/>
      <c r="Y192" s="3"/>
      <c r="Z192" s="4"/>
      <c r="AA192" s="3"/>
      <c r="AB192" s="3"/>
      <c r="AC192" s="3"/>
      <c r="AD192" s="3"/>
      <c r="AE192" s="4"/>
      <c r="AF192" s="3"/>
      <c r="AG192" s="3"/>
      <c r="AH192" s="3"/>
      <c r="AI192" s="3"/>
      <c r="AJ192" s="4"/>
      <c r="AK192" s="3"/>
      <c r="AL192" s="3"/>
      <c r="AM192" s="3"/>
      <c r="AN192" s="3"/>
      <c r="AO192" s="4"/>
      <c r="AP192" s="3"/>
      <c r="AQ192" s="3"/>
      <c r="AR192" s="3"/>
      <c r="AS192" s="3"/>
      <c r="AT192" s="4"/>
      <c r="AU192" s="3"/>
      <c r="AV192" s="3"/>
      <c r="AW192" s="3"/>
      <c r="AX192" s="3"/>
      <c r="AY192" s="4"/>
    </row>
    <row r="193" hidden="1" outlineLevel="1" spans="1:51">
      <c r="G193" s="3"/>
      <c r="H193" s="3"/>
      <c r="I193" s="3"/>
      <c r="J193" s="3"/>
      <c r="K193" s="4"/>
      <c r="L193" s="3"/>
      <c r="M193" s="3"/>
      <c r="N193" s="3"/>
      <c r="O193" s="3"/>
      <c r="P193" s="4"/>
      <c r="Q193" s="3"/>
      <c r="R193" s="3"/>
      <c r="S193" s="3"/>
      <c r="T193" s="3"/>
      <c r="U193" s="4"/>
      <c r="V193" s="3"/>
      <c r="W193" s="3"/>
      <c r="X193" s="3"/>
      <c r="Y193" s="3"/>
      <c r="Z193" s="4"/>
      <c r="AA193" s="3"/>
      <c r="AB193" s="3"/>
      <c r="AC193" s="3"/>
      <c r="AD193" s="3"/>
      <c r="AE193" s="4"/>
      <c r="AF193" s="3"/>
      <c r="AG193" s="3"/>
      <c r="AH193" s="3"/>
      <c r="AI193" s="3"/>
      <c r="AJ193" s="4"/>
      <c r="AK193" s="3"/>
      <c r="AL193" s="3"/>
      <c r="AM193" s="3"/>
      <c r="AN193" s="3"/>
      <c r="AO193" s="4"/>
      <c r="AP193" s="3"/>
      <c r="AQ193" s="3"/>
      <c r="AR193" s="3"/>
      <c r="AS193" s="3"/>
      <c r="AT193" s="4"/>
      <c r="AU193" s="3"/>
      <c r="AV193" s="3"/>
      <c r="AW193" s="3"/>
      <c r="AX193" s="3"/>
      <c r="AY193" s="4"/>
    </row>
    <row r="194" hidden="1" outlineLevel="1" spans="1:51">
      <c r="A194" s="29" t="s">
        <v>107</v>
      </c>
      <c r="B194" s="4">
        <f t="shared" ref="B194:F194" si="693">B185+B189</f>
        <v>754</v>
      </c>
      <c r="C194" s="4">
        <f t="shared" si="693"/>
        <v>709</v>
      </c>
      <c r="D194" s="4">
        <f t="shared" si="693"/>
        <v>679</v>
      </c>
      <c r="E194" s="4">
        <f t="shared" si="693"/>
        <v>663</v>
      </c>
      <c r="F194" s="4">
        <f t="shared" si="693"/>
        <v>647</v>
      </c>
      <c r="G194" s="3">
        <f t="shared" ref="G194:H194" si="694">G185+G189</f>
        <v>643</v>
      </c>
      <c r="H194" s="3">
        <f t="shared" si="694"/>
        <v>639</v>
      </c>
      <c r="I194" s="3">
        <f t="shared" ref="I194:K194" si="695">I185+I189</f>
        <v>641</v>
      </c>
      <c r="J194" s="3">
        <f t="shared" si="695"/>
        <v>537</v>
      </c>
      <c r="K194" s="4">
        <f t="shared" si="695"/>
        <v>537</v>
      </c>
      <c r="L194" s="3">
        <f t="shared" ref="L194:P194" si="696">L185+L189</f>
        <v>533</v>
      </c>
      <c r="M194" s="3">
        <f t="shared" ref="M194:O194" si="697">M185+M189</f>
        <v>534</v>
      </c>
      <c r="N194" s="3">
        <f t="shared" si="697"/>
        <v>536</v>
      </c>
      <c r="O194" s="3">
        <f t="shared" si="697"/>
        <v>524</v>
      </c>
      <c r="P194" s="4">
        <f t="shared" si="696"/>
        <v>524</v>
      </c>
      <c r="Q194" s="3">
        <f t="shared" ref="Q194:S194" si="698">Q185+Q189</f>
        <v>523</v>
      </c>
      <c r="R194" s="3">
        <f t="shared" si="698"/>
        <v>530</v>
      </c>
      <c r="S194" s="3">
        <f t="shared" si="698"/>
        <v>541</v>
      </c>
      <c r="T194" s="3">
        <f t="shared" ref="T194:V195" si="699">T185+T189</f>
        <v>560</v>
      </c>
      <c r="U194" s="4">
        <f t="shared" si="699"/>
        <v>560</v>
      </c>
      <c r="V194" s="3">
        <f t="shared" si="699"/>
        <v>556</v>
      </c>
      <c r="W194" s="3"/>
      <c r="X194" s="3"/>
      <c r="Y194" s="3"/>
      <c r="Z194" s="4"/>
      <c r="AA194" s="3"/>
      <c r="AB194" s="3"/>
      <c r="AC194" s="3"/>
      <c r="AD194" s="3"/>
      <c r="AE194" s="4"/>
      <c r="AF194" s="3"/>
      <c r="AG194" s="3"/>
      <c r="AH194" s="3"/>
      <c r="AI194" s="3"/>
      <c r="AJ194" s="4"/>
      <c r="AK194" s="3"/>
      <c r="AL194" s="3"/>
      <c r="AM194" s="3"/>
      <c r="AN194" s="3"/>
      <c r="AO194" s="4"/>
      <c r="AP194" s="3"/>
      <c r="AQ194" s="3"/>
      <c r="AR194" s="3"/>
      <c r="AS194" s="3"/>
      <c r="AT194" s="4"/>
      <c r="AU194" s="3"/>
      <c r="AV194" s="3"/>
      <c r="AW194" s="3"/>
      <c r="AX194" s="3"/>
      <c r="AY194" s="4"/>
    </row>
    <row r="195" hidden="1" outlineLevel="1" spans="1:51">
      <c r="A195" s="97" t="s">
        <v>108</v>
      </c>
      <c r="B195" s="149">
        <f t="shared" ref="B195:F195" si="700">B186+B190</f>
        <v>178</v>
      </c>
      <c r="C195" s="149">
        <f t="shared" si="700"/>
        <v>189</v>
      </c>
      <c r="D195" s="149">
        <f t="shared" si="700"/>
        <v>189</v>
      </c>
      <c r="E195" s="149">
        <f t="shared" si="700"/>
        <v>198</v>
      </c>
      <c r="F195" s="149">
        <f t="shared" si="700"/>
        <v>207</v>
      </c>
      <c r="G195" s="148">
        <f t="shared" ref="G195:H195" si="701">G186+G190</f>
        <v>206</v>
      </c>
      <c r="H195" s="148">
        <f t="shared" si="701"/>
        <v>211</v>
      </c>
      <c r="I195" s="148">
        <f t="shared" ref="I195:K195" si="702">I186+I190</f>
        <v>208</v>
      </c>
      <c r="J195" s="148">
        <f t="shared" si="702"/>
        <v>198</v>
      </c>
      <c r="K195" s="149">
        <f t="shared" si="702"/>
        <v>198</v>
      </c>
      <c r="L195" s="148">
        <f t="shared" ref="L195:P195" si="703">L186+L190</f>
        <v>198</v>
      </c>
      <c r="M195" s="148">
        <f t="shared" ref="M195:O195" si="704">M186+M190</f>
        <v>199</v>
      </c>
      <c r="N195" s="148">
        <f t="shared" si="704"/>
        <v>199</v>
      </c>
      <c r="O195" s="148">
        <f t="shared" si="704"/>
        <v>205</v>
      </c>
      <c r="P195" s="149">
        <f t="shared" si="703"/>
        <v>205</v>
      </c>
      <c r="Q195" s="148">
        <f t="shared" ref="Q195:S195" si="705">Q186+Q190</f>
        <v>205</v>
      </c>
      <c r="R195" s="148">
        <f t="shared" si="705"/>
        <v>204</v>
      </c>
      <c r="S195" s="148">
        <f t="shared" si="705"/>
        <v>210</v>
      </c>
      <c r="T195" s="148">
        <f t="shared" si="699"/>
        <v>202</v>
      </c>
      <c r="U195" s="149">
        <f t="shared" si="699"/>
        <v>202</v>
      </c>
      <c r="V195" s="148">
        <f t="shared" si="699"/>
        <v>202</v>
      </c>
      <c r="W195" s="3"/>
      <c r="X195" s="3"/>
      <c r="Y195" s="3"/>
      <c r="Z195" s="4"/>
      <c r="AA195" s="3"/>
      <c r="AB195" s="3"/>
      <c r="AC195" s="3"/>
      <c r="AD195" s="3"/>
      <c r="AE195" s="4"/>
      <c r="AF195" s="3"/>
      <c r="AG195" s="3"/>
      <c r="AH195" s="3"/>
      <c r="AI195" s="3"/>
      <c r="AJ195" s="4"/>
      <c r="AK195" s="3"/>
      <c r="AL195" s="3"/>
      <c r="AM195" s="3"/>
      <c r="AN195" s="3"/>
      <c r="AO195" s="4"/>
      <c r="AP195" s="3"/>
      <c r="AQ195" s="3"/>
      <c r="AR195" s="3"/>
      <c r="AS195" s="3"/>
      <c r="AT195" s="4"/>
      <c r="AU195" s="3"/>
      <c r="AV195" s="3"/>
      <c r="AW195" s="3"/>
      <c r="AX195" s="3"/>
      <c r="AY195" s="4"/>
    </row>
    <row r="196" hidden="1" outlineLevel="1" spans="1:51">
      <c r="A196" s="252" t="s">
        <v>74</v>
      </c>
      <c r="B196" s="253">
        <f t="shared" ref="B196:F196" si="706">B194+B195</f>
        <v>932</v>
      </c>
      <c r="C196" s="253">
        <f t="shared" si="706"/>
        <v>898</v>
      </c>
      <c r="D196" s="253">
        <f t="shared" si="706"/>
        <v>868</v>
      </c>
      <c r="E196" s="253">
        <f t="shared" si="706"/>
        <v>861</v>
      </c>
      <c r="F196" s="253">
        <f t="shared" si="706"/>
        <v>854</v>
      </c>
      <c r="G196" s="252">
        <f t="shared" ref="G196:H196" si="707">G194+G195</f>
        <v>849</v>
      </c>
      <c r="H196" s="252">
        <f t="shared" si="707"/>
        <v>850</v>
      </c>
      <c r="I196" s="252">
        <f t="shared" ref="I196:K196" si="708">I194+I195</f>
        <v>849</v>
      </c>
      <c r="J196" s="252">
        <f t="shared" si="708"/>
        <v>735</v>
      </c>
      <c r="K196" s="253">
        <f t="shared" si="708"/>
        <v>735</v>
      </c>
      <c r="L196" s="252">
        <f t="shared" ref="L196" si="709">L194+L195</f>
        <v>731</v>
      </c>
      <c r="M196" s="252">
        <f t="shared" ref="M196:P196" si="710">M194+M195</f>
        <v>733</v>
      </c>
      <c r="N196" s="252">
        <f t="shared" si="710"/>
        <v>735</v>
      </c>
      <c r="O196" s="252">
        <f t="shared" si="710"/>
        <v>729</v>
      </c>
      <c r="P196" s="253">
        <f t="shared" si="710"/>
        <v>729</v>
      </c>
      <c r="Q196" s="252">
        <f t="shared" ref="Q196:V196" si="711">Q194+Q195</f>
        <v>728</v>
      </c>
      <c r="R196" s="252">
        <f t="shared" si="711"/>
        <v>734</v>
      </c>
      <c r="S196" s="252">
        <f t="shared" si="711"/>
        <v>751</v>
      </c>
      <c r="T196" s="252">
        <f t="shared" si="711"/>
        <v>762</v>
      </c>
      <c r="U196" s="253">
        <f t="shared" si="711"/>
        <v>762</v>
      </c>
      <c r="V196" s="252">
        <f t="shared" si="711"/>
        <v>758</v>
      </c>
      <c r="W196" s="252"/>
      <c r="X196" s="252"/>
      <c r="Y196" s="252"/>
      <c r="Z196" s="253"/>
      <c r="AA196" s="252"/>
      <c r="AB196" s="252"/>
      <c r="AC196" s="252"/>
      <c r="AD196" s="252"/>
      <c r="AE196" s="253"/>
      <c r="AF196" s="252"/>
      <c r="AG196" s="252"/>
      <c r="AH196" s="252"/>
      <c r="AI196" s="252"/>
      <c r="AJ196" s="253"/>
      <c r="AK196" s="252"/>
      <c r="AL196" s="252"/>
      <c r="AM196" s="252"/>
      <c r="AN196" s="252"/>
      <c r="AO196" s="253"/>
      <c r="AP196" s="252"/>
      <c r="AQ196" s="252"/>
      <c r="AR196" s="252"/>
      <c r="AS196" s="252"/>
      <c r="AT196" s="253"/>
      <c r="AU196" s="252"/>
      <c r="AV196" s="252"/>
      <c r="AW196" s="252"/>
      <c r="AX196" s="252"/>
      <c r="AY196" s="253"/>
    </row>
    <row r="197" collapsed="1" spans="1:51">
      <c r="A197" s="267" t="s">
        <v>111</v>
      </c>
      <c r="B197" s="268"/>
      <c r="C197" s="268"/>
      <c r="D197" s="268"/>
      <c r="E197" s="268"/>
      <c r="F197" s="268"/>
      <c r="G197" s="267"/>
      <c r="H197" s="267"/>
      <c r="I197" s="267"/>
      <c r="J197" s="267"/>
      <c r="K197" s="268"/>
      <c r="L197" s="267"/>
      <c r="M197" s="267"/>
      <c r="N197" s="267"/>
      <c r="O197" s="267"/>
      <c r="P197" s="268"/>
      <c r="Q197" s="267"/>
      <c r="R197" s="267"/>
      <c r="S197" s="267"/>
      <c r="T197" s="267"/>
      <c r="U197" s="268"/>
      <c r="V197" s="267"/>
      <c r="W197" s="267"/>
      <c r="X197" s="267"/>
      <c r="Y197" s="267"/>
      <c r="Z197" s="268"/>
      <c r="AA197" s="267"/>
      <c r="AB197" s="267"/>
      <c r="AC197" s="267"/>
      <c r="AD197" s="267"/>
      <c r="AE197" s="268"/>
      <c r="AF197" s="267"/>
      <c r="AG197" s="267"/>
      <c r="AH197" s="267"/>
      <c r="AI197" s="267"/>
      <c r="AJ197" s="268"/>
      <c r="AK197" s="267"/>
      <c r="AL197" s="267"/>
      <c r="AM197" s="267"/>
      <c r="AN197" s="267"/>
      <c r="AO197" s="268"/>
      <c r="AP197" s="267"/>
      <c r="AQ197" s="267"/>
      <c r="AR197" s="267"/>
      <c r="AS197" s="267"/>
      <c r="AT197" s="268"/>
      <c r="AU197" s="267"/>
      <c r="AV197" s="267"/>
      <c r="AW197" s="267"/>
      <c r="AX197" s="267"/>
      <c r="AY197" s="268"/>
    </row>
    <row r="198" spans="1:51">
      <c r="A198" s="426" t="s">
        <v>112</v>
      </c>
      <c r="B198" s="427"/>
      <c r="C198" s="427"/>
      <c r="D198" s="427"/>
      <c r="E198" s="427"/>
      <c r="F198" s="427"/>
      <c r="G198" s="428"/>
      <c r="H198" s="428"/>
      <c r="I198" s="428"/>
      <c r="J198" s="428"/>
      <c r="K198" s="429"/>
      <c r="L198" s="428"/>
      <c r="M198" s="428"/>
      <c r="N198" s="428"/>
      <c r="O198" s="428"/>
      <c r="P198" s="429"/>
      <c r="Q198" s="428"/>
      <c r="R198" s="428"/>
      <c r="S198" s="428"/>
      <c r="T198" s="428"/>
      <c r="U198" s="429"/>
      <c r="V198" s="428"/>
      <c r="W198" s="428"/>
      <c r="X198" s="428"/>
      <c r="Y198" s="428"/>
      <c r="Z198" s="429"/>
      <c r="AA198" s="428"/>
      <c r="AB198" s="428"/>
      <c r="AC198" s="428"/>
      <c r="AD198" s="428"/>
      <c r="AE198" s="429"/>
      <c r="AF198" s="428"/>
      <c r="AG198" s="428"/>
      <c r="AH198" s="428"/>
      <c r="AI198" s="428"/>
      <c r="AJ198" s="429"/>
      <c r="AK198" s="428"/>
      <c r="AL198" s="428"/>
      <c r="AM198" s="428"/>
      <c r="AN198" s="428"/>
      <c r="AO198" s="429"/>
      <c r="AP198" s="428"/>
      <c r="AQ198" s="428"/>
      <c r="AR198" s="428"/>
      <c r="AS198" s="428"/>
      <c r="AT198" s="429"/>
      <c r="AU198" s="428"/>
      <c r="AV198" s="428"/>
      <c r="AW198" s="428"/>
      <c r="AX198" s="428"/>
      <c r="AY198" s="429"/>
    </row>
    <row r="199" spans="1:51">
      <c r="A199" s="29" t="s">
        <v>68</v>
      </c>
      <c r="B199" s="27">
        <f t="shared" ref="B199:AJ199" si="712">B7/B162</f>
        <v>4329.79419525066</v>
      </c>
      <c r="C199" s="27">
        <f t="shared" si="712"/>
        <v>4188.8</v>
      </c>
      <c r="D199" s="27">
        <f t="shared" si="712"/>
        <v>4406.33939393939</v>
      </c>
      <c r="E199" s="27">
        <f t="shared" si="712"/>
        <v>4506.4921630094</v>
      </c>
      <c r="F199" s="27">
        <f t="shared" si="712"/>
        <v>4755.06168831169</v>
      </c>
      <c r="G199" s="28">
        <f t="shared" si="712"/>
        <v>693.944444444444</v>
      </c>
      <c r="H199" s="28">
        <f t="shared" si="712"/>
        <v>870.809061488673</v>
      </c>
      <c r="I199" s="28">
        <f t="shared" si="712"/>
        <v>1109.99352750809</v>
      </c>
      <c r="J199" s="28">
        <f t="shared" si="712"/>
        <v>1960.58823529412</v>
      </c>
      <c r="K199" s="27">
        <f t="shared" si="712"/>
        <v>5424.51680672269</v>
      </c>
      <c r="L199" s="28">
        <f t="shared" si="712"/>
        <v>1461.19396551724</v>
      </c>
      <c r="M199" s="28">
        <f t="shared" si="712"/>
        <v>1536.69736842105</v>
      </c>
      <c r="N199" s="28">
        <f t="shared" si="712"/>
        <v>1671.82969432314</v>
      </c>
      <c r="O199" s="28">
        <f t="shared" si="712"/>
        <v>2199</v>
      </c>
      <c r="P199" s="27">
        <f t="shared" si="712"/>
        <v>6985.66517857143</v>
      </c>
      <c r="Q199" s="28">
        <f t="shared" si="712"/>
        <v>1745.12727272727</v>
      </c>
      <c r="R199" s="28">
        <f t="shared" si="712"/>
        <v>1665.86877828054</v>
      </c>
      <c r="S199" s="28">
        <f t="shared" si="712"/>
        <v>1852.33333333333</v>
      </c>
      <c r="T199" s="28">
        <f t="shared" si="712"/>
        <v>2405.31330472103</v>
      </c>
      <c r="U199" s="27">
        <f t="shared" si="712"/>
        <v>7445.72961373391</v>
      </c>
      <c r="V199" s="28">
        <f t="shared" si="712"/>
        <v>1871.43347639485</v>
      </c>
      <c r="W199" s="28">
        <f t="shared" si="712"/>
        <v>1985.88412017167</v>
      </c>
      <c r="X199" s="28">
        <f t="shared" si="712"/>
        <v>2291.7489539749</v>
      </c>
      <c r="Y199" s="28">
        <f t="shared" si="712"/>
        <v>3057.5020242915</v>
      </c>
      <c r="Z199" s="27">
        <f t="shared" si="712"/>
        <v>8913.70850202429</v>
      </c>
      <c r="AA199" s="28">
        <f t="shared" si="712"/>
        <v>2323.22357723577</v>
      </c>
      <c r="AB199" s="28">
        <f t="shared" si="712"/>
        <v>2283.98431372549</v>
      </c>
      <c r="AC199" s="28">
        <f t="shared" si="712"/>
        <v>2358.93258426966</v>
      </c>
      <c r="AD199" s="28">
        <f t="shared" si="712"/>
        <v>2779.38848920863</v>
      </c>
      <c r="AE199" s="27">
        <f t="shared" si="712"/>
        <v>9195.80575539568</v>
      </c>
      <c r="AF199" s="28">
        <f t="shared" si="712"/>
        <v>1949.98932384342</v>
      </c>
      <c r="AG199" s="28">
        <f t="shared" si="712"/>
        <v>1889.95890410959</v>
      </c>
      <c r="AH199" s="28">
        <f t="shared" si="712"/>
        <v>2030.74013157895</v>
      </c>
      <c r="AI199" s="28">
        <f t="shared" si="712"/>
        <v>2635.62745098039</v>
      </c>
      <c r="AJ199" s="27">
        <f t="shared" si="712"/>
        <v>8247.2614379085</v>
      </c>
      <c r="AK199" s="28">
        <f t="shared" ref="AK199:AS199" si="713">AK7/AK162</f>
        <v>1827.56957928803</v>
      </c>
      <c r="AL199" s="28">
        <f t="shared" si="713"/>
        <v>1894.62857142857</v>
      </c>
      <c r="AM199" s="28">
        <f t="shared" si="713"/>
        <v>2083.539375</v>
      </c>
      <c r="AN199" s="28">
        <f t="shared" si="713"/>
        <v>2663.44796296296</v>
      </c>
      <c r="AO199" s="27">
        <f t="shared" si="713"/>
        <v>8306.22450617284</v>
      </c>
      <c r="AP199" s="28">
        <f t="shared" si="713"/>
        <v>1818.88021472393</v>
      </c>
      <c r="AQ199" s="28">
        <f t="shared" si="713"/>
        <v>1869.51903614458</v>
      </c>
      <c r="AR199" s="28">
        <f t="shared" si="713"/>
        <v>2057.57241543027</v>
      </c>
      <c r="AS199" s="28">
        <f t="shared" si="713"/>
        <v>2624.19715087719</v>
      </c>
      <c r="AT199" s="27">
        <f t="shared" ref="AT199:AX199" si="714">AT7/AT162</f>
        <v>8200.32923859649</v>
      </c>
      <c r="AU199" s="28">
        <f t="shared" si="714"/>
        <v>1766.79890625</v>
      </c>
      <c r="AV199" s="28">
        <f t="shared" si="714"/>
        <v>1817.70665142857</v>
      </c>
      <c r="AW199" s="28">
        <f t="shared" si="714"/>
        <v>2002.07592</v>
      </c>
      <c r="AX199" s="28">
        <f t="shared" si="714"/>
        <v>2555.31197566667</v>
      </c>
      <c r="AY199" s="27">
        <f t="shared" ref="AY199" si="715">AY7/AY162</f>
        <v>7985.07059608333</v>
      </c>
    </row>
    <row r="200" spans="1:51">
      <c r="A200" s="97" t="s">
        <v>69</v>
      </c>
      <c r="B200" s="366">
        <f t="shared" ref="B200:AJ200" si="716">B8/B163</f>
        <v>3395.4575045208</v>
      </c>
      <c r="C200" s="366">
        <f t="shared" si="716"/>
        <v>3388.05893186004</v>
      </c>
      <c r="D200" s="366">
        <f t="shared" si="716"/>
        <v>3789.2156133829</v>
      </c>
      <c r="E200" s="366">
        <f t="shared" si="716"/>
        <v>3971.47232472325</v>
      </c>
      <c r="F200" s="366">
        <f t="shared" si="716"/>
        <v>3953.32234432234</v>
      </c>
      <c r="G200" s="365">
        <f t="shared" si="716"/>
        <v>502.78453038674</v>
      </c>
      <c r="H200" s="365">
        <f t="shared" si="716"/>
        <v>793.43438077634</v>
      </c>
      <c r="I200" s="365">
        <f t="shared" si="716"/>
        <v>882.712962962963</v>
      </c>
      <c r="J200" s="365">
        <f t="shared" si="716"/>
        <v>1318.76056338028</v>
      </c>
      <c r="K200" s="366">
        <f t="shared" si="716"/>
        <v>3690.8430583501</v>
      </c>
      <c r="L200" s="365">
        <f t="shared" si="716"/>
        <v>886.589178356713</v>
      </c>
      <c r="M200" s="365">
        <f t="shared" si="716"/>
        <v>1018.77821782178</v>
      </c>
      <c r="N200" s="365">
        <f t="shared" si="716"/>
        <v>1032.23517786561</v>
      </c>
      <c r="O200" s="365">
        <f t="shared" si="716"/>
        <v>1324.31089108911</v>
      </c>
      <c r="P200" s="366">
        <f t="shared" si="716"/>
        <v>4253.42376237624</v>
      </c>
      <c r="Q200" s="365">
        <f t="shared" si="716"/>
        <v>844.161417322835</v>
      </c>
      <c r="R200" s="365">
        <f t="shared" si="716"/>
        <v>851.723196881092</v>
      </c>
      <c r="S200" s="365">
        <f t="shared" si="716"/>
        <v>875.242829827916</v>
      </c>
      <c r="T200" s="365">
        <f t="shared" si="716"/>
        <v>1208.65028355388</v>
      </c>
      <c r="U200" s="366">
        <f t="shared" si="716"/>
        <v>3710.57844990548</v>
      </c>
      <c r="V200" s="365">
        <f t="shared" si="716"/>
        <v>761.809523809524</v>
      </c>
      <c r="W200" s="365">
        <f t="shared" si="716"/>
        <v>898.543726235741</v>
      </c>
      <c r="X200" s="365">
        <f t="shared" si="716"/>
        <v>967.115969581749</v>
      </c>
      <c r="Y200" s="365">
        <f t="shared" si="716"/>
        <v>1346.91891891892</v>
      </c>
      <c r="Z200" s="366">
        <f t="shared" si="716"/>
        <v>4013.49613899614</v>
      </c>
      <c r="AA200" s="365">
        <f t="shared" si="716"/>
        <v>886.029585798817</v>
      </c>
      <c r="AB200" s="365">
        <f t="shared" si="716"/>
        <v>1098.72111553785</v>
      </c>
      <c r="AC200" s="365">
        <f t="shared" si="716"/>
        <v>1144.52766798419</v>
      </c>
      <c r="AD200" s="365">
        <f t="shared" si="716"/>
        <v>1589.52446183953</v>
      </c>
      <c r="AE200" s="366">
        <f t="shared" si="716"/>
        <v>4681.31702544031</v>
      </c>
      <c r="AF200" s="365">
        <f t="shared" si="716"/>
        <v>1072.9765625</v>
      </c>
      <c r="AG200" s="365">
        <f t="shared" si="716"/>
        <v>1275.13009708738</v>
      </c>
      <c r="AH200" s="365">
        <f t="shared" si="716"/>
        <v>1287.33078393881</v>
      </c>
      <c r="AI200" s="365">
        <f t="shared" si="716"/>
        <v>1650.66921606119</v>
      </c>
      <c r="AJ200" s="366">
        <f t="shared" si="716"/>
        <v>5244.034416826</v>
      </c>
      <c r="AK200" s="365">
        <f t="shared" ref="AK200:AS200" si="717">AK8/AK163</f>
        <v>1045.90857142857</v>
      </c>
      <c r="AL200" s="365">
        <f t="shared" si="717"/>
        <v>1261.5461393597</v>
      </c>
      <c r="AM200" s="365">
        <f t="shared" si="717"/>
        <v>1311.24524344569</v>
      </c>
      <c r="AN200" s="365">
        <f t="shared" si="717"/>
        <v>1720.16945996276</v>
      </c>
      <c r="AO200" s="366">
        <f t="shared" si="717"/>
        <v>5294.07627560521</v>
      </c>
      <c r="AP200" s="365">
        <f t="shared" si="717"/>
        <v>1059.49179962894</v>
      </c>
      <c r="AQ200" s="365">
        <f t="shared" si="717"/>
        <v>1283.01333333333</v>
      </c>
      <c r="AR200" s="365">
        <f t="shared" si="717"/>
        <v>1320.89946666667</v>
      </c>
      <c r="AS200" s="365">
        <f t="shared" si="717"/>
        <v>1733.04723132969</v>
      </c>
      <c r="AT200" s="366">
        <f t="shared" ref="AT200:AX200" si="718">AT8/AT163</f>
        <v>5355.91322185792</v>
      </c>
      <c r="AU200" s="365">
        <f t="shared" si="718"/>
        <v>1067.51009509982</v>
      </c>
      <c r="AV200" s="365">
        <f t="shared" si="718"/>
        <v>1292.93067963964</v>
      </c>
      <c r="AW200" s="365">
        <f t="shared" si="718"/>
        <v>1337.73028245161</v>
      </c>
      <c r="AX200" s="365">
        <f t="shared" si="718"/>
        <v>1755.3358868984</v>
      </c>
      <c r="AY200" s="366">
        <f t="shared" ref="AY200" si="719">AY8/AY163</f>
        <v>5413.49647015686</v>
      </c>
    </row>
    <row r="201" spans="1:51">
      <c r="A201" s="3" t="s">
        <v>74</v>
      </c>
      <c r="B201" s="27">
        <f t="shared" ref="B201:AJ201" si="720">B9/B164</f>
        <v>3775.40772532189</v>
      </c>
      <c r="C201" s="27">
        <f t="shared" si="720"/>
        <v>3704.61024498886</v>
      </c>
      <c r="D201" s="27">
        <f t="shared" si="720"/>
        <v>4023.83640552995</v>
      </c>
      <c r="E201" s="27">
        <f t="shared" si="720"/>
        <v>4169.6968641115</v>
      </c>
      <c r="F201" s="27">
        <f t="shared" si="720"/>
        <v>4242.47423887588</v>
      </c>
      <c r="G201" s="28">
        <f t="shared" si="720"/>
        <v>571.683156654888</v>
      </c>
      <c r="H201" s="28">
        <f t="shared" si="720"/>
        <v>821.562352941176</v>
      </c>
      <c r="I201" s="28">
        <f t="shared" si="720"/>
        <v>965.433451118963</v>
      </c>
      <c r="J201" s="28">
        <f t="shared" si="720"/>
        <v>1526.59047619048</v>
      </c>
      <c r="K201" s="27">
        <f t="shared" si="720"/>
        <v>4252.2231292517</v>
      </c>
      <c r="L201" s="28">
        <f t="shared" si="720"/>
        <v>1068.95348837209</v>
      </c>
      <c r="M201" s="28">
        <f t="shared" si="720"/>
        <v>1179.87721691678</v>
      </c>
      <c r="N201" s="28">
        <f t="shared" si="720"/>
        <v>1231.51020408163</v>
      </c>
      <c r="O201" s="28">
        <f t="shared" si="720"/>
        <v>1593.0768175583</v>
      </c>
      <c r="P201" s="27">
        <f t="shared" si="720"/>
        <v>5092.96021947874</v>
      </c>
      <c r="Q201" s="28">
        <f t="shared" si="720"/>
        <v>1116.43131868132</v>
      </c>
      <c r="R201" s="28">
        <f t="shared" si="720"/>
        <v>1096.85422343324</v>
      </c>
      <c r="S201" s="28">
        <f t="shared" si="720"/>
        <v>1171.8828229028</v>
      </c>
      <c r="T201" s="28">
        <f t="shared" si="720"/>
        <v>1574.55905511811</v>
      </c>
      <c r="U201" s="27">
        <f t="shared" si="720"/>
        <v>4852.69160104987</v>
      </c>
      <c r="V201" s="28">
        <f t="shared" si="720"/>
        <v>1102.8944591029</v>
      </c>
      <c r="W201" s="28">
        <f t="shared" si="720"/>
        <v>1232.33860342556</v>
      </c>
      <c r="X201" s="28">
        <f t="shared" si="720"/>
        <v>1380.95555555556</v>
      </c>
      <c r="Y201" s="28">
        <f t="shared" si="720"/>
        <v>1899.22483660131</v>
      </c>
      <c r="Z201" s="27">
        <f t="shared" si="720"/>
        <v>5595.65620915033</v>
      </c>
      <c r="AA201" s="28">
        <f t="shared" si="720"/>
        <v>1355.55112881806</v>
      </c>
      <c r="AB201" s="28">
        <f t="shared" si="720"/>
        <v>1497.98414795244</v>
      </c>
      <c r="AC201" s="28">
        <f t="shared" si="720"/>
        <v>1563.99223803364</v>
      </c>
      <c r="AD201" s="28">
        <f t="shared" si="720"/>
        <v>2008.76679340938</v>
      </c>
      <c r="AE201" s="27">
        <f t="shared" si="720"/>
        <v>6271.97338403042</v>
      </c>
      <c r="AF201" s="28">
        <f t="shared" si="720"/>
        <v>1383.74653215637</v>
      </c>
      <c r="AG201" s="28">
        <f t="shared" si="720"/>
        <v>1497.59603469641</v>
      </c>
      <c r="AH201" s="28">
        <f t="shared" si="720"/>
        <v>1560.60338573156</v>
      </c>
      <c r="AI201" s="28">
        <f t="shared" si="720"/>
        <v>2014.23642943305</v>
      </c>
      <c r="AJ201" s="27">
        <f t="shared" si="720"/>
        <v>6352.58383594692</v>
      </c>
      <c r="AK201" s="28">
        <f t="shared" ref="AK201:AS201" si="721">AK9/AK164</f>
        <v>1335.51678657074</v>
      </c>
      <c r="AL201" s="28">
        <f t="shared" si="721"/>
        <v>1497.268321513</v>
      </c>
      <c r="AM201" s="28">
        <f t="shared" si="721"/>
        <v>1600.62946135831</v>
      </c>
      <c r="AN201" s="28">
        <f t="shared" si="721"/>
        <v>2075.13140534262</v>
      </c>
      <c r="AO201" s="27">
        <f t="shared" si="721"/>
        <v>6427.56759581882</v>
      </c>
      <c r="AP201" s="28">
        <f t="shared" si="721"/>
        <v>1345.68905202312</v>
      </c>
      <c r="AQ201" s="28">
        <f t="shared" si="721"/>
        <v>1505.55035428571</v>
      </c>
      <c r="AR201" s="28">
        <f t="shared" si="721"/>
        <v>1602.05324212911</v>
      </c>
      <c r="AS201" s="28">
        <f t="shared" si="721"/>
        <v>2075.10477620651</v>
      </c>
      <c r="AT201" s="27">
        <f t="shared" ref="AT201:AX201" si="722">AT9/AT164</f>
        <v>6447.70926868687</v>
      </c>
      <c r="AU201" s="28">
        <f t="shared" si="722"/>
        <v>1336.28702363129</v>
      </c>
      <c r="AV201" s="28">
        <f t="shared" si="722"/>
        <v>1495.88271292818</v>
      </c>
      <c r="AW201" s="28">
        <f t="shared" si="722"/>
        <v>1596.04649420372</v>
      </c>
      <c r="AX201" s="28">
        <f t="shared" si="722"/>
        <v>2068.03012355049</v>
      </c>
      <c r="AY201" s="27">
        <f t="shared" ref="AY201" si="723">AY9/AY164</f>
        <v>6418.67202426493</v>
      </c>
    </row>
    <row r="202" spans="1:51">
      <c r="G202" s="3"/>
      <c r="H202" s="3"/>
      <c r="I202" s="3"/>
      <c r="J202" s="3"/>
      <c r="K202" s="4"/>
      <c r="L202" s="3"/>
      <c r="M202" s="3"/>
      <c r="N202" s="3"/>
      <c r="O202" s="3"/>
      <c r="P202" s="4"/>
      <c r="Q202" s="3"/>
      <c r="R202" s="3"/>
      <c r="S202" s="3"/>
      <c r="T202" s="3"/>
      <c r="U202" s="4"/>
      <c r="V202" s="3"/>
      <c r="W202" s="3"/>
      <c r="X202" s="3"/>
      <c r="Y202" s="3"/>
      <c r="Z202" s="4"/>
      <c r="AA202" s="3"/>
      <c r="AB202" s="3"/>
      <c r="AC202" s="3"/>
      <c r="AD202" s="3"/>
      <c r="AE202" s="4"/>
      <c r="AF202" s="3"/>
      <c r="AG202" s="3"/>
      <c r="AH202" s="3"/>
      <c r="AI202" s="3"/>
      <c r="AJ202" s="4"/>
      <c r="AK202" s="3"/>
      <c r="AL202" s="3"/>
      <c r="AM202" s="3"/>
      <c r="AN202" s="3"/>
      <c r="AO202" s="4"/>
      <c r="AP202" s="3"/>
      <c r="AQ202" s="3"/>
      <c r="AR202" s="3"/>
      <c r="AS202" s="3"/>
      <c r="AT202" s="4"/>
      <c r="AU202" s="3"/>
      <c r="AV202" s="3"/>
      <c r="AW202" s="3"/>
      <c r="AX202" s="3"/>
      <c r="AY202" s="4"/>
    </row>
    <row r="203" spans="1:51">
      <c r="A203" s="2" t="s">
        <v>113</v>
      </c>
      <c r="B203" s="295"/>
      <c r="C203" s="295"/>
      <c r="D203" s="295"/>
      <c r="E203" s="295"/>
      <c r="F203" s="295"/>
      <c r="G203" s="3"/>
      <c r="H203" s="3"/>
      <c r="I203" s="3"/>
      <c r="J203" s="3"/>
      <c r="K203" s="4"/>
      <c r="L203" s="3"/>
      <c r="M203" s="3"/>
      <c r="N203" s="3"/>
      <c r="O203" s="3"/>
      <c r="P203" s="4"/>
      <c r="Q203" s="3"/>
      <c r="R203" s="3"/>
      <c r="S203" s="3"/>
      <c r="T203" s="3"/>
      <c r="U203" s="4"/>
      <c r="V203" s="3"/>
      <c r="W203" s="3"/>
      <c r="X203" s="3"/>
      <c r="Y203" s="3"/>
      <c r="Z203" s="4"/>
      <c r="AA203" s="3"/>
      <c r="AB203" s="3"/>
      <c r="AC203" s="3"/>
      <c r="AD203" s="3"/>
      <c r="AE203" s="4"/>
      <c r="AF203" s="3"/>
      <c r="AG203" s="3"/>
      <c r="AH203" s="3"/>
      <c r="AI203" s="3"/>
      <c r="AJ203" s="4"/>
      <c r="AK203" s="3"/>
      <c r="AL203" s="3"/>
      <c r="AM203" s="3"/>
      <c r="AN203" s="3"/>
      <c r="AO203" s="4"/>
      <c r="AP203" s="3"/>
      <c r="AQ203" s="3"/>
      <c r="AR203" s="3"/>
      <c r="AS203" s="3"/>
      <c r="AT203" s="4"/>
      <c r="AU203" s="3"/>
      <c r="AV203" s="3"/>
      <c r="AW203" s="3"/>
      <c r="AX203" s="3"/>
      <c r="AY203" s="4"/>
    </row>
    <row r="204" spans="1:51">
      <c r="A204" s="29" t="s">
        <v>68</v>
      </c>
      <c r="B204" s="135"/>
      <c r="C204" s="118">
        <f t="shared" ref="C204:F204" si="724">C199/B199-1</f>
        <v>-0.0325637175562099</v>
      </c>
      <c r="D204" s="118">
        <f t="shared" si="724"/>
        <v>0.0519335833506955</v>
      </c>
      <c r="E204" s="118">
        <f t="shared" si="724"/>
        <v>0.0227292453249888</v>
      </c>
      <c r="F204" s="118">
        <f t="shared" si="724"/>
        <v>0.055158095545492</v>
      </c>
      <c r="G204" s="430"/>
      <c r="H204" s="430"/>
      <c r="I204" s="430"/>
      <c r="J204" s="430"/>
      <c r="K204" s="64">
        <f t="shared" ref="K204:K206" si="725">K199/F199-1</f>
        <v>0.140787893468674</v>
      </c>
      <c r="L204" s="430">
        <f t="shared" ref="L204:L206" si="726">L199/G199-1</f>
        <v>1.10563536780965</v>
      </c>
      <c r="M204" s="430">
        <f t="shared" ref="M204:M206" si="727">M199/H199-1</f>
        <v>0.764677742091963</v>
      </c>
      <c r="N204" s="430">
        <f t="shared" ref="N204:N206" si="728">N199/I199-1</f>
        <v>0.506161660308382</v>
      </c>
      <c r="O204" s="430">
        <f t="shared" ref="O204:O206" si="729">O199/J199-1</f>
        <v>0.121602160216022</v>
      </c>
      <c r="P204" s="64">
        <f t="shared" ref="P204:P206" si="730">P199/K199-1</f>
        <v>0.287794918418169</v>
      </c>
      <c r="Q204" s="430">
        <f t="shared" ref="Q204:Q206" si="731">Q199/L199-1</f>
        <v>0.194315959352818</v>
      </c>
      <c r="R204" s="430">
        <f t="shared" ref="R204:R206" si="732">R199/M199-1</f>
        <v>0.0840578063800637</v>
      </c>
      <c r="S204" s="430">
        <f t="shared" ref="S204:S206" si="733">S199/N199-1</f>
        <v>0.107967719213929</v>
      </c>
      <c r="T204" s="430">
        <f t="shared" ref="T204:T206" si="734">T199/O199-1</f>
        <v>0.0938214209736379</v>
      </c>
      <c r="U204" s="64">
        <f t="shared" ref="U204:U206" si="735">U199/P199-1</f>
        <v>0.0658583575653937</v>
      </c>
      <c r="V204" s="430">
        <f t="shared" ref="V204:V206" si="736">V199/Q199-1</f>
        <v>0.0723764997782577</v>
      </c>
      <c r="W204" s="430">
        <f t="shared" ref="W204:W206" si="737">W199/R199-1</f>
        <v>0.192101170310329</v>
      </c>
      <c r="X204" s="430">
        <f t="shared" ref="X204:X206" si="738">X199/S199-1</f>
        <v>0.237222757229564</v>
      </c>
      <c r="Y204" s="430">
        <f t="shared" ref="Y204:Y206" si="739">Y199/T199-1</f>
        <v>0.27114501811069</v>
      </c>
      <c r="Z204" s="64">
        <f t="shared" ref="Z204:Z206" si="740">Z199/U199-1</f>
        <v>0.197157157786478</v>
      </c>
      <c r="AA204" s="430">
        <f t="shared" ref="AA204:AI206" si="741">AA199/V199-1</f>
        <v>0.241413924961552</v>
      </c>
      <c r="AB204" s="430">
        <f t="shared" si="741"/>
        <v>0.150109561039265</v>
      </c>
      <c r="AC204" s="430">
        <f t="shared" si="741"/>
        <v>0.029315440584468</v>
      </c>
      <c r="AD204" s="430">
        <f t="shared" si="741"/>
        <v>-0.0909610305645868</v>
      </c>
      <c r="AE204" s="64">
        <f t="shared" si="741"/>
        <v>0.0316475744419202</v>
      </c>
      <c r="AF204" s="430">
        <f t="shared" si="741"/>
        <v>-0.160653609514603</v>
      </c>
      <c r="AG204" s="430">
        <f t="shared" si="741"/>
        <v>-0.172516688161134</v>
      </c>
      <c r="AH204" s="430">
        <f t="shared" si="741"/>
        <v>-0.139127525254108</v>
      </c>
      <c r="AI204" s="430">
        <f t="shared" si="741"/>
        <v>-0.051723981295315</v>
      </c>
      <c r="AJ204" s="64">
        <f>AJ199/AE199-1</f>
        <v>-0.103149668742255</v>
      </c>
      <c r="AK204" s="430">
        <f t="shared" ref="AK204:AK206" si="742">AK199/AF199-1</f>
        <v>-0.0627796998981009</v>
      </c>
      <c r="AL204" s="430">
        <f t="shared" ref="AL204:AL206" si="743">AL199/AG199-1</f>
        <v>0.00247077717342337</v>
      </c>
      <c r="AM204" s="430">
        <f t="shared" ref="AM204:AM206" si="744">AM199/AH199-1</f>
        <v>0.0260000000000002</v>
      </c>
      <c r="AN204" s="430">
        <f t="shared" ref="AN204:AN206" si="745">AN199/AI199-1</f>
        <v>0.0105555555555557</v>
      </c>
      <c r="AO204" s="64">
        <f>AO199/AJ199-1</f>
        <v>0.00714941180272533</v>
      </c>
      <c r="AP204" s="430">
        <f t="shared" ref="AP204:AP206" si="746">AP199/AK199-1</f>
        <v>-0.00475460122699367</v>
      </c>
      <c r="AQ204" s="430">
        <f t="shared" ref="AQ204:AQ206" si="747">AQ199/AL199-1</f>
        <v>-0.0132530120481927</v>
      </c>
      <c r="AR204" s="430">
        <f t="shared" ref="AR204:AR206" si="748">AR199/AM199-1</f>
        <v>-0.0124629080118693</v>
      </c>
      <c r="AS204" s="430">
        <f t="shared" ref="AS204:AT206" si="749">AS199/AN199-1</f>
        <v>-0.0147368421052632</v>
      </c>
      <c r="AT204" s="64">
        <f>AT199/AO199-1</f>
        <v>-0.0127489050527892</v>
      </c>
      <c r="AU204" s="430">
        <f t="shared" ref="AU204:AU206" si="750">AU199/AP199-1</f>
        <v>-0.0286337209302328</v>
      </c>
      <c r="AV204" s="430">
        <f t="shared" ref="AV204:AV206" si="751">AV199/AQ199-1</f>
        <v>-0.0277142857142858</v>
      </c>
      <c r="AW204" s="430">
        <f t="shared" ref="AW204:AW206" si="752">AW199/AR199-1</f>
        <v>-0.0269718309859157</v>
      </c>
      <c r="AX204" s="430">
        <f t="shared" ref="AX204:AX206" si="753">AX199/AS199-1</f>
        <v>-0.0262500000000001</v>
      </c>
      <c r="AY204" s="64">
        <f>AY199/AT199-1</f>
        <v>-0.0262500000000001</v>
      </c>
    </row>
    <row r="205" spans="1:51">
      <c r="A205" s="97" t="s">
        <v>69</v>
      </c>
      <c r="B205" s="291"/>
      <c r="C205" s="118">
        <f t="shared" ref="C205:F205" si="754">C200/B200-1</f>
        <v>-0.00217896193691369</v>
      </c>
      <c r="D205" s="118">
        <f t="shared" si="754"/>
        <v>0.118403100297499</v>
      </c>
      <c r="E205" s="118">
        <f t="shared" si="754"/>
        <v>0.0480987966735507</v>
      </c>
      <c r="F205" s="118">
        <f t="shared" si="754"/>
        <v>-0.00457008860112551</v>
      </c>
      <c r="G205" s="431"/>
      <c r="H205" s="431"/>
      <c r="I205" s="431"/>
      <c r="J205" s="431"/>
      <c r="K205" s="432">
        <f t="shared" si="725"/>
        <v>-0.0663946076517664</v>
      </c>
      <c r="L205" s="431">
        <f t="shared" si="726"/>
        <v>0.76335810824321</v>
      </c>
      <c r="M205" s="431">
        <f t="shared" si="727"/>
        <v>0.284010678772141</v>
      </c>
      <c r="N205" s="431">
        <f t="shared" si="728"/>
        <v>0.169389395167321</v>
      </c>
      <c r="O205" s="431">
        <f t="shared" si="729"/>
        <v>0.00420874559260453</v>
      </c>
      <c r="P205" s="432">
        <f t="shared" si="730"/>
        <v>0.152426070448421</v>
      </c>
      <c r="Q205" s="431">
        <f t="shared" si="731"/>
        <v>-0.0478550404963417</v>
      </c>
      <c r="R205" s="431">
        <f t="shared" si="732"/>
        <v>-0.163975846772486</v>
      </c>
      <c r="S205" s="431">
        <f t="shared" si="733"/>
        <v>-0.15208970920979</v>
      </c>
      <c r="T205" s="431">
        <f t="shared" si="734"/>
        <v>-0.0873364466859552</v>
      </c>
      <c r="U205" s="432">
        <f t="shared" si="735"/>
        <v>-0.127625494847823</v>
      </c>
      <c r="V205" s="431">
        <f t="shared" si="736"/>
        <v>-0.0975546759463146</v>
      </c>
      <c r="W205" s="431">
        <f t="shared" si="737"/>
        <v>0.0549715324486888</v>
      </c>
      <c r="X205" s="431">
        <f t="shared" si="738"/>
        <v>0.10496874309944</v>
      </c>
      <c r="Y205" s="431">
        <f t="shared" si="739"/>
        <v>0.114399208146862</v>
      </c>
      <c r="Z205" s="432">
        <f t="shared" si="740"/>
        <v>0.0816362443700316</v>
      </c>
      <c r="AA205" s="431">
        <f t="shared" si="741"/>
        <v>0.163059213762667</v>
      </c>
      <c r="AB205" s="431">
        <f t="shared" si="741"/>
        <v>0.222779797418104</v>
      </c>
      <c r="AC205" s="431">
        <f t="shared" si="741"/>
        <v>0.18344407907892</v>
      </c>
      <c r="AD205" s="431">
        <f t="shared" si="741"/>
        <v>0.180118891726114</v>
      </c>
      <c r="AE205" s="432">
        <f t="shared" si="741"/>
        <v>0.166393803137235</v>
      </c>
      <c r="AF205" s="431">
        <f t="shared" si="741"/>
        <v>0.210994056742065</v>
      </c>
      <c r="AG205" s="431">
        <f t="shared" si="741"/>
        <v>0.160558470256735</v>
      </c>
      <c r="AH205" s="431">
        <f t="shared" si="741"/>
        <v>0.124770348458363</v>
      </c>
      <c r="AI205" s="431">
        <f t="shared" si="741"/>
        <v>0.0384673250960186</v>
      </c>
      <c r="AJ205" s="432">
        <f t="shared" ref="AJ205:AJ206" si="755">AJ200/AE200-1</f>
        <v>0.120204931289131</v>
      </c>
      <c r="AK205" s="431">
        <f t="shared" si="742"/>
        <v>-0.0252270105587032</v>
      </c>
      <c r="AL205" s="431">
        <f t="shared" si="743"/>
        <v>-0.0106529974931249</v>
      </c>
      <c r="AM205" s="431">
        <f t="shared" si="744"/>
        <v>0.0185767790262175</v>
      </c>
      <c r="AN205" s="431">
        <f t="shared" si="745"/>
        <v>0.0421042830540037</v>
      </c>
      <c r="AO205" s="432">
        <f t="shared" ref="AO205:AO206" si="756">AO200/AJ200-1</f>
        <v>0.00954262592530797</v>
      </c>
      <c r="AP205" s="431">
        <f t="shared" si="746"/>
        <v>0.0129870129870131</v>
      </c>
      <c r="AQ205" s="431">
        <f t="shared" si="747"/>
        <v>0.0170165745856354</v>
      </c>
      <c r="AR205" s="431">
        <f t="shared" si="748"/>
        <v>0.00736263736263743</v>
      </c>
      <c r="AS205" s="431">
        <f t="shared" si="749"/>
        <v>0.00748633879781435</v>
      </c>
      <c r="AT205" s="432">
        <f t="shared" si="749"/>
        <v>0.0116804033477285</v>
      </c>
      <c r="AU205" s="431">
        <f t="shared" si="750"/>
        <v>0.00756805807622496</v>
      </c>
      <c r="AV205" s="431">
        <f t="shared" si="751"/>
        <v>0.00772972972972985</v>
      </c>
      <c r="AW205" s="431">
        <f t="shared" si="752"/>
        <v>0.0127419354838707</v>
      </c>
      <c r="AX205" s="431">
        <f t="shared" si="753"/>
        <v>0.0128609625668448</v>
      </c>
      <c r="AY205" s="432">
        <f t="shared" ref="AY205:AY206" si="757">AY200/AT200-1</f>
        <v>0.0107513407916948</v>
      </c>
    </row>
    <row r="206" spans="1:51">
      <c r="A206" s="38" t="s">
        <v>74</v>
      </c>
      <c r="B206" s="84"/>
      <c r="C206" s="433">
        <f t="shared" ref="C206:F206" si="758">C201/B201-1</f>
        <v>-0.0187522740545826</v>
      </c>
      <c r="D206" s="433">
        <f t="shared" si="758"/>
        <v>0.0861699718540971</v>
      </c>
      <c r="E206" s="433">
        <f t="shared" si="758"/>
        <v>0.0362491025681582</v>
      </c>
      <c r="F206" s="433">
        <f t="shared" si="758"/>
        <v>0.0174538766572636</v>
      </c>
      <c r="G206" s="434"/>
      <c r="H206" s="434"/>
      <c r="I206" s="434"/>
      <c r="J206" s="434"/>
      <c r="K206" s="435">
        <f t="shared" si="725"/>
        <v>0.00229792565067055</v>
      </c>
      <c r="L206" s="434">
        <f t="shared" si="726"/>
        <v>0.869835547765483</v>
      </c>
      <c r="M206" s="434">
        <f t="shared" si="727"/>
        <v>0.43613836818696</v>
      </c>
      <c r="N206" s="434">
        <f t="shared" si="728"/>
        <v>0.275603411767304</v>
      </c>
      <c r="O206" s="434">
        <f t="shared" si="729"/>
        <v>0.0435521787963304</v>
      </c>
      <c r="P206" s="435">
        <f t="shared" si="730"/>
        <v>0.197717068148065</v>
      </c>
      <c r="Q206" s="434">
        <f t="shared" si="731"/>
        <v>0.0444152442792713</v>
      </c>
      <c r="R206" s="434">
        <f t="shared" si="732"/>
        <v>-0.0703657908578751</v>
      </c>
      <c r="S206" s="434">
        <f t="shared" si="733"/>
        <v>-0.0484180975368386</v>
      </c>
      <c r="T206" s="434">
        <f t="shared" si="734"/>
        <v>-0.0116238980042224</v>
      </c>
      <c r="U206" s="435">
        <f t="shared" si="735"/>
        <v>-0.0471766140072973</v>
      </c>
      <c r="V206" s="434">
        <f t="shared" si="736"/>
        <v>-0.0121251162986055</v>
      </c>
      <c r="W206" s="434">
        <f t="shared" si="737"/>
        <v>0.123520862752609</v>
      </c>
      <c r="X206" s="434">
        <f t="shared" si="738"/>
        <v>0.178407540896349</v>
      </c>
      <c r="Y206" s="434">
        <f t="shared" si="739"/>
        <v>0.206194731425201</v>
      </c>
      <c r="Z206" s="435">
        <f t="shared" si="740"/>
        <v>0.153103611187597</v>
      </c>
      <c r="AA206" s="434">
        <f t="shared" si="741"/>
        <v>0.229085083916978</v>
      </c>
      <c r="AB206" s="434">
        <f t="shared" si="741"/>
        <v>0.215562138350988</v>
      </c>
      <c r="AC206" s="434">
        <f t="shared" si="741"/>
        <v>0.132543499855391</v>
      </c>
      <c r="AD206" s="434">
        <f t="shared" si="741"/>
        <v>0.0576771926614539</v>
      </c>
      <c r="AE206" s="435">
        <f t="shared" si="741"/>
        <v>0.120864676027477</v>
      </c>
      <c r="AF206" s="434">
        <f t="shared" si="741"/>
        <v>0.0207999556334637</v>
      </c>
      <c r="AG206" s="434">
        <f t="shared" si="741"/>
        <v>-0.000259090362583647</v>
      </c>
      <c r="AH206" s="434">
        <f t="shared" si="741"/>
        <v>-0.00216679611296278</v>
      </c>
      <c r="AI206" s="434">
        <f t="shared" si="741"/>
        <v>0.00272288253749431</v>
      </c>
      <c r="AJ206" s="435">
        <f t="shared" si="755"/>
        <v>0.0128524862879289</v>
      </c>
      <c r="AK206" s="434">
        <f t="shared" si="742"/>
        <v>-0.0348544653698</v>
      </c>
      <c r="AL206" s="434">
        <f t="shared" si="743"/>
        <v>-0.000218826155926943</v>
      </c>
      <c r="AM206" s="434">
        <f t="shared" si="744"/>
        <v>0.0256478205754955</v>
      </c>
      <c r="AN206" s="434">
        <f t="shared" si="745"/>
        <v>0.0302322880371662</v>
      </c>
      <c r="AO206" s="435">
        <f t="shared" si="756"/>
        <v>0.0118036631720759</v>
      </c>
      <c r="AP206" s="434">
        <f t="shared" si="746"/>
        <v>0.00761672601547603</v>
      </c>
      <c r="AQ206" s="434">
        <f t="shared" si="747"/>
        <v>0.00553142857142852</v>
      </c>
      <c r="AR206" s="434">
        <f t="shared" si="748"/>
        <v>0.000889513035442491</v>
      </c>
      <c r="AS206" s="434">
        <f t="shared" si="749"/>
        <v>-1.28325059545187e-5</v>
      </c>
      <c r="AT206" s="435">
        <f t="shared" si="749"/>
        <v>0.00313363843596992</v>
      </c>
      <c r="AU206" s="434">
        <f t="shared" si="750"/>
        <v>-0.00698677631188371</v>
      </c>
      <c r="AV206" s="434">
        <f t="shared" si="751"/>
        <v>-0.00642133378668963</v>
      </c>
      <c r="AW206" s="434">
        <f t="shared" si="752"/>
        <v>-0.00374940592947992</v>
      </c>
      <c r="AX206" s="434">
        <f t="shared" si="753"/>
        <v>-0.00340929900848386</v>
      </c>
      <c r="AY206" s="435">
        <f t="shared" si="757"/>
        <v>-0.00450349778687398</v>
      </c>
    </row>
    <row r="207" spans="1:51">
      <c r="G207" s="3"/>
      <c r="H207" s="3"/>
      <c r="I207" s="3"/>
      <c r="J207" s="3"/>
      <c r="K207" s="4"/>
      <c r="L207" s="3"/>
      <c r="M207" s="3"/>
      <c r="N207" s="3"/>
      <c r="O207" s="3"/>
      <c r="P207" s="4"/>
      <c r="Q207" s="3"/>
      <c r="R207" s="3"/>
      <c r="S207" s="3"/>
      <c r="T207" s="3"/>
      <c r="U207" s="4"/>
      <c r="V207" s="3"/>
      <c r="W207" s="3"/>
      <c r="X207" s="3"/>
      <c r="Y207" s="3"/>
      <c r="Z207" s="4"/>
      <c r="AA207" s="3"/>
      <c r="AB207" s="3"/>
      <c r="AC207" s="3"/>
      <c r="AD207" s="3"/>
      <c r="AE207" s="4"/>
      <c r="AF207" s="3"/>
      <c r="AG207" s="3"/>
      <c r="AH207" s="3"/>
      <c r="AI207" s="3"/>
      <c r="AJ207" s="4"/>
      <c r="AK207" s="3"/>
      <c r="AL207" s="3"/>
      <c r="AM207" s="3"/>
      <c r="AN207" s="3"/>
      <c r="AO207" s="4"/>
      <c r="AP207" s="3"/>
      <c r="AQ207" s="3"/>
      <c r="AR207" s="3"/>
      <c r="AS207" s="3"/>
      <c r="AT207" s="4"/>
      <c r="AU207" s="3"/>
      <c r="AV207" s="3"/>
      <c r="AW207" s="3"/>
      <c r="AX207" s="3"/>
      <c r="AY207" s="4"/>
    </row>
    <row r="208" spans="1:51">
      <c r="A208" s="436" t="s">
        <v>114</v>
      </c>
      <c r="B208" s="59"/>
      <c r="C208" s="59"/>
      <c r="D208" s="59"/>
      <c r="E208" s="59"/>
      <c r="F208" s="59"/>
      <c r="G208" s="58"/>
      <c r="H208" s="58"/>
      <c r="I208" s="58"/>
      <c r="J208" s="58"/>
      <c r="K208" s="59"/>
      <c r="L208" s="58"/>
      <c r="M208" s="58"/>
      <c r="N208" s="58"/>
      <c r="O208" s="58"/>
      <c r="P208" s="59"/>
      <c r="Q208" s="58"/>
      <c r="R208" s="58"/>
      <c r="S208" s="58"/>
      <c r="T208" s="58"/>
      <c r="U208" s="59"/>
      <c r="V208" s="58"/>
      <c r="W208" s="58"/>
      <c r="X208" s="58"/>
      <c r="Y208" s="58"/>
      <c r="Z208" s="59"/>
      <c r="AA208" s="58"/>
      <c r="AB208" s="58"/>
      <c r="AC208" s="58"/>
      <c r="AD208" s="58"/>
      <c r="AE208" s="59"/>
      <c r="AF208" s="58"/>
      <c r="AG208" s="58"/>
      <c r="AH208" s="58"/>
      <c r="AI208" s="58"/>
      <c r="AJ208" s="59"/>
      <c r="AK208" s="58"/>
      <c r="AL208" s="58"/>
      <c r="AM208" s="58"/>
      <c r="AN208" s="58"/>
      <c r="AO208" s="59"/>
      <c r="AP208" s="58"/>
      <c r="AQ208" s="58"/>
      <c r="AR208" s="58"/>
      <c r="AS208" s="58"/>
      <c r="AT208" s="59"/>
      <c r="AU208" s="58"/>
      <c r="AV208" s="58"/>
      <c r="AW208" s="58"/>
      <c r="AX208" s="58"/>
      <c r="AY208" s="59"/>
    </row>
    <row r="209" spans="1:51">
      <c r="A209" s="29" t="s">
        <v>68</v>
      </c>
      <c r="B209" s="437">
        <f>B7/B180</f>
        <v>504.454964648017</v>
      </c>
      <c r="C209" s="437">
        <f t="shared" ref="C209:P209" si="759">C7/C180</f>
        <v>487.229357798165</v>
      </c>
      <c r="D209" s="437">
        <f t="shared" si="759"/>
        <v>513.99505125486</v>
      </c>
      <c r="E209" s="437">
        <f t="shared" si="759"/>
        <v>537.610695587135</v>
      </c>
      <c r="F209" s="437">
        <f t="shared" si="759"/>
        <v>598.756745707277</v>
      </c>
      <c r="G209" s="438">
        <f t="shared" si="759"/>
        <v>128.461584996975</v>
      </c>
      <c r="H209" s="438">
        <f t="shared" si="759"/>
        <v>168.385481852315</v>
      </c>
      <c r="I209" s="438">
        <f t="shared" si="759"/>
        <v>212.903786468032</v>
      </c>
      <c r="J209" s="438">
        <f t="shared" si="759"/>
        <v>273.838028169014</v>
      </c>
      <c r="K209" s="437">
        <f t="shared" si="759"/>
        <v>757.649647887324</v>
      </c>
      <c r="L209" s="438">
        <f t="shared" si="759"/>
        <v>227.057602143336</v>
      </c>
      <c r="M209" s="438">
        <f t="shared" si="759"/>
        <v>233.733822548366</v>
      </c>
      <c r="N209" s="438">
        <f t="shared" si="759"/>
        <v>254.723220226214</v>
      </c>
      <c r="O209" s="438">
        <f t="shared" si="759"/>
        <v>322.366492146597</v>
      </c>
      <c r="P209" s="437">
        <f t="shared" si="759"/>
        <v>1024.07657068063</v>
      </c>
      <c r="Q209" s="3"/>
      <c r="R209" s="3"/>
      <c r="S209" s="3"/>
      <c r="T209" s="3"/>
      <c r="U209" s="437">
        <f t="shared" ref="U209:V209" si="760">U7/U180</f>
        <v>1165.11417058428</v>
      </c>
      <c r="V209" s="438">
        <f t="shared" si="760"/>
        <v>291.473262032086</v>
      </c>
      <c r="W209" s="438"/>
      <c r="X209" s="438"/>
      <c r="Y209" s="438"/>
      <c r="Z209" s="437">
        <f t="shared" ref="Z209" si="761">Z7/Z180</f>
        <v>1444.67585301837</v>
      </c>
      <c r="AA209" s="438"/>
      <c r="AB209" s="438"/>
      <c r="AC209" s="438"/>
      <c r="AD209" s="438"/>
      <c r="AE209" s="437">
        <f t="shared" ref="AE209" si="762">AE7/AE180</f>
        <v>1510.00236266982</v>
      </c>
      <c r="AF209" s="3"/>
      <c r="AG209" s="3"/>
      <c r="AH209" s="3"/>
      <c r="AI209" s="3"/>
      <c r="AJ209" s="437">
        <f t="shared" ref="AJ209:AJ211" si="763">AJ7/AJ180</f>
        <v>1356.07845244492</v>
      </c>
      <c r="AK209" s="3"/>
      <c r="AL209" s="3"/>
      <c r="AM209" s="3"/>
      <c r="AN209" s="3"/>
      <c r="AO209" s="437">
        <f t="shared" ref="AO209:AO211" si="764">AO7/AO180</f>
        <v>1366.79367191468</v>
      </c>
      <c r="AP209" s="3"/>
      <c r="AQ209" s="3"/>
      <c r="AR209" s="3"/>
      <c r="AS209" s="3"/>
      <c r="AT209" s="437">
        <f t="shared" ref="AT209:AT211" si="765">AT7/AT180</f>
        <v>1350.27087125662</v>
      </c>
      <c r="AU209" s="3"/>
      <c r="AV209" s="3"/>
      <c r="AW209" s="3"/>
      <c r="AX209" s="3"/>
      <c r="AY209" s="437">
        <f t="shared" ref="AY209:AY211" si="766">AY7/AY180</f>
        <v>1315.61803871396</v>
      </c>
    </row>
    <row r="210" s="152" customFormat="1" spans="1:51">
      <c r="A210" s="97" t="s">
        <v>69</v>
      </c>
      <c r="B210" s="439">
        <f>B8/B181</f>
        <v>464.889329041842</v>
      </c>
      <c r="C210" s="439">
        <f t="shared" ref="C210:P210" si="767">C8/C181</f>
        <v>465.162073324905</v>
      </c>
      <c r="D210" s="439">
        <f t="shared" si="767"/>
        <v>525.276475135274</v>
      </c>
      <c r="E210" s="439">
        <f t="shared" si="767"/>
        <v>553.067317574512</v>
      </c>
      <c r="F210" s="439">
        <f t="shared" si="767"/>
        <v>558.043950361944</v>
      </c>
      <c r="G210" s="440">
        <f t="shared" si="767"/>
        <v>77.2092760180995</v>
      </c>
      <c r="H210" s="440">
        <f t="shared" si="767"/>
        <v>120.846846846847</v>
      </c>
      <c r="I210" s="440">
        <f t="shared" si="767"/>
        <v>134.347519729425</v>
      </c>
      <c r="J210" s="440">
        <f t="shared" si="767"/>
        <v>185.777777777778</v>
      </c>
      <c r="K210" s="439">
        <f t="shared" si="767"/>
        <v>519.940192743764</v>
      </c>
      <c r="L210" s="440">
        <f t="shared" si="767"/>
        <v>125.115384615385</v>
      </c>
      <c r="M210" s="440">
        <f t="shared" si="767"/>
        <v>144.517696629213</v>
      </c>
      <c r="N210" s="440">
        <f t="shared" si="767"/>
        <v>145.207395051432</v>
      </c>
      <c r="O210" s="440">
        <f t="shared" si="767"/>
        <v>189.777809307605</v>
      </c>
      <c r="P210" s="439">
        <f t="shared" si="767"/>
        <v>609.52866061294</v>
      </c>
      <c r="Q210" s="148"/>
      <c r="R210" s="148"/>
      <c r="S210" s="148"/>
      <c r="T210" s="148"/>
      <c r="U210" s="439">
        <f t="shared" ref="U210:V210" si="768">U8/U181</f>
        <v>548.448169879855</v>
      </c>
      <c r="V210" s="440">
        <f t="shared" si="768"/>
        <v>113.396654380493</v>
      </c>
      <c r="W210" s="440"/>
      <c r="X210" s="440"/>
      <c r="Y210" s="440"/>
      <c r="Z210" s="439">
        <f t="shared" ref="Z210" si="769">Z8/Z181</f>
        <v>601.559895833333</v>
      </c>
      <c r="AA210" s="440"/>
      <c r="AB210" s="440"/>
      <c r="AC210" s="440"/>
      <c r="AD210" s="440"/>
      <c r="AE210" s="439">
        <f t="shared" ref="AE210" si="770">AE8/AE181</f>
        <v>703.36753895913</v>
      </c>
      <c r="AF210" s="148"/>
      <c r="AG210" s="148"/>
      <c r="AH210" s="148"/>
      <c r="AI210" s="148"/>
      <c r="AJ210" s="439">
        <f t="shared" si="763"/>
        <v>797.507996510614</v>
      </c>
      <c r="AK210" s="148"/>
      <c r="AL210" s="148"/>
      <c r="AM210" s="148"/>
      <c r="AN210" s="148"/>
      <c r="AO210" s="439">
        <f t="shared" si="764"/>
        <v>816.148983732057</v>
      </c>
      <c r="AP210" s="148"/>
      <c r="AQ210" s="148"/>
      <c r="AR210" s="148"/>
      <c r="AS210" s="148"/>
      <c r="AT210" s="439">
        <f t="shared" si="765"/>
        <v>835.0235778493</v>
      </c>
      <c r="AU210" s="148"/>
      <c r="AV210" s="148"/>
      <c r="AW210" s="148"/>
      <c r="AX210" s="148"/>
      <c r="AY210" s="439">
        <f t="shared" si="766"/>
        <v>853.241670656865</v>
      </c>
    </row>
    <row r="211" spans="1:51">
      <c r="A211" s="3" t="s">
        <v>74</v>
      </c>
      <c r="B211" s="437">
        <f>B9/B182</f>
        <v>482.539769610532</v>
      </c>
      <c r="C211" s="437">
        <f t="shared" ref="C211:P211" si="771">C9/C182</f>
        <v>474.77379763094</v>
      </c>
      <c r="D211" s="437">
        <f t="shared" si="771"/>
        <v>520.520119225037</v>
      </c>
      <c r="E211" s="437">
        <f t="shared" si="771"/>
        <v>546.77261650929</v>
      </c>
      <c r="F211" s="437">
        <f t="shared" si="771"/>
        <v>573.815806145074</v>
      </c>
      <c r="G211" s="438">
        <f t="shared" si="771"/>
        <v>93.5361341298902</v>
      </c>
      <c r="H211" s="438">
        <f t="shared" si="771"/>
        <v>135.597669902913</v>
      </c>
      <c r="I211" s="438">
        <f t="shared" si="771"/>
        <v>158.878270982749</v>
      </c>
      <c r="J211" s="438">
        <f t="shared" si="771"/>
        <v>214.457951070336</v>
      </c>
      <c r="K211" s="437">
        <f t="shared" si="771"/>
        <v>597.359327217125</v>
      </c>
      <c r="L211" s="438">
        <f t="shared" si="771"/>
        <v>155.379797176377</v>
      </c>
      <c r="M211" s="438">
        <f t="shared" si="771"/>
        <v>170.952757461949</v>
      </c>
      <c r="N211" s="438">
        <f t="shared" si="771"/>
        <v>177.482352941176</v>
      </c>
      <c r="O211" s="438">
        <f t="shared" si="771"/>
        <v>229.879849564529</v>
      </c>
      <c r="P211" s="437">
        <f t="shared" si="771"/>
        <v>734.910530482977</v>
      </c>
      <c r="Q211" s="3"/>
      <c r="R211" s="3"/>
      <c r="S211" s="3"/>
      <c r="T211" s="3"/>
      <c r="U211" s="437">
        <f t="shared" ref="U211:V211" si="772">U9/U182</f>
        <v>729.6272691397</v>
      </c>
      <c r="V211" s="438">
        <f t="shared" si="772"/>
        <v>166.433207246665</v>
      </c>
      <c r="W211" s="438"/>
      <c r="X211" s="438"/>
      <c r="Y211" s="438"/>
      <c r="Z211" s="437">
        <f t="shared" ref="Z211" si="773">Z9/Z182</f>
        <v>859.573694779117</v>
      </c>
      <c r="AA211" s="438"/>
      <c r="AB211" s="438"/>
      <c r="AC211" s="438"/>
      <c r="AD211" s="438"/>
      <c r="AE211" s="437">
        <f t="shared" ref="AE211" si="774">AE9/AE182</f>
        <v>971.45406360424</v>
      </c>
      <c r="AF211" s="3"/>
      <c r="AG211" s="3"/>
      <c r="AH211" s="3"/>
      <c r="AI211" s="3"/>
      <c r="AJ211" s="437">
        <f t="shared" si="763"/>
        <v>993.64</v>
      </c>
      <c r="AK211" s="3"/>
      <c r="AL211" s="3"/>
      <c r="AM211" s="3"/>
      <c r="AN211" s="3"/>
      <c r="AO211" s="437">
        <f t="shared" si="764"/>
        <v>1015.00318518066</v>
      </c>
      <c r="AP211" s="3"/>
      <c r="AQ211" s="3"/>
      <c r="AR211" s="3"/>
      <c r="AS211" s="3"/>
      <c r="AT211" s="437">
        <f t="shared" si="765"/>
        <v>1026.18201102709</v>
      </c>
      <c r="AU211" s="3"/>
      <c r="AV211" s="3"/>
      <c r="AW211" s="3"/>
      <c r="AX211" s="3"/>
      <c r="AY211" s="437">
        <f t="shared" si="766"/>
        <v>1029.11801793327</v>
      </c>
    </row>
    <row r="212" spans="1:51">
      <c r="G212" s="3"/>
      <c r="H212" s="3"/>
      <c r="I212" s="3"/>
      <c r="J212" s="3"/>
      <c r="K212" s="4"/>
      <c r="L212" s="3"/>
      <c r="M212" s="3"/>
      <c r="N212" s="3"/>
      <c r="O212" s="3"/>
      <c r="P212" s="4"/>
      <c r="Q212" s="3"/>
      <c r="R212" s="3"/>
      <c r="S212" s="3"/>
      <c r="T212" s="3"/>
      <c r="U212" s="4"/>
      <c r="V212" s="3"/>
      <c r="W212" s="3"/>
      <c r="X212" s="3"/>
      <c r="Y212" s="3"/>
      <c r="Z212" s="4"/>
      <c r="AA212" s="3"/>
      <c r="AB212" s="3"/>
      <c r="AC212" s="3"/>
      <c r="AD212" s="3"/>
      <c r="AE212" s="4"/>
      <c r="AF212" s="3"/>
      <c r="AG212" s="3"/>
      <c r="AH212" s="3"/>
      <c r="AI212" s="3"/>
      <c r="AJ212" s="4"/>
      <c r="AK212" s="3"/>
      <c r="AL212" s="3"/>
      <c r="AM212" s="3"/>
      <c r="AN212" s="3"/>
      <c r="AO212" s="4"/>
      <c r="AP212" s="3"/>
      <c r="AQ212" s="3"/>
      <c r="AR212" s="3"/>
      <c r="AS212" s="3"/>
      <c r="AT212" s="4"/>
      <c r="AU212" s="3"/>
      <c r="AV212" s="3"/>
      <c r="AW212" s="3"/>
      <c r="AX212" s="3"/>
      <c r="AY212" s="4"/>
    </row>
    <row r="213" spans="1:51">
      <c r="A213" s="2" t="s">
        <v>113</v>
      </c>
      <c r="G213" s="3"/>
      <c r="H213" s="3"/>
      <c r="I213" s="3"/>
      <c r="J213" s="3"/>
      <c r="K213" s="4"/>
      <c r="L213" s="3"/>
      <c r="M213" s="3"/>
      <c r="N213" s="3"/>
      <c r="O213" s="3"/>
      <c r="P213" s="4"/>
      <c r="Q213" s="3"/>
      <c r="R213" s="3"/>
      <c r="S213" s="3"/>
      <c r="T213" s="3"/>
      <c r="U213" s="4"/>
      <c r="V213" s="3"/>
      <c r="W213" s="3"/>
      <c r="X213" s="3"/>
      <c r="Y213" s="3"/>
      <c r="Z213" s="4"/>
      <c r="AA213" s="3"/>
      <c r="AB213" s="3"/>
      <c r="AC213" s="3"/>
      <c r="AD213" s="3"/>
      <c r="AE213" s="4"/>
      <c r="AF213" s="3"/>
      <c r="AG213" s="3"/>
      <c r="AH213" s="3"/>
      <c r="AI213" s="3"/>
      <c r="AJ213" s="4"/>
      <c r="AK213" s="3"/>
      <c r="AL213" s="3"/>
      <c r="AM213" s="3"/>
      <c r="AN213" s="3"/>
      <c r="AO213" s="4"/>
      <c r="AP213" s="3"/>
      <c r="AQ213" s="3"/>
      <c r="AR213" s="3"/>
      <c r="AS213" s="3"/>
      <c r="AT213" s="4"/>
      <c r="AU213" s="3"/>
      <c r="AV213" s="3"/>
      <c r="AW213" s="3"/>
      <c r="AX213" s="3"/>
      <c r="AY213" s="4"/>
    </row>
    <row r="214" spans="1:51">
      <c r="A214" s="29" t="s">
        <v>68</v>
      </c>
      <c r="C214" s="118">
        <f>C209/B209-1</f>
        <v>-0.0341469666412565</v>
      </c>
      <c r="D214" s="118">
        <f t="shared" ref="D214:F214" si="775">D209/C209-1</f>
        <v>0.054934484197857</v>
      </c>
      <c r="E214" s="118">
        <f t="shared" si="775"/>
        <v>0.0459452756881999</v>
      </c>
      <c r="F214" s="118">
        <f t="shared" si="775"/>
        <v>0.113736669716667</v>
      </c>
      <c r="G214" s="3"/>
      <c r="H214" s="3"/>
      <c r="I214" s="3"/>
      <c r="J214" s="3"/>
      <c r="K214" s="118">
        <f>K209/F209-1</f>
        <v>0.265371377139736</v>
      </c>
      <c r="L214" s="441">
        <f t="shared" ref="L214:P216" si="776">L209/G209-1</f>
        <v>0.767513627896479</v>
      </c>
      <c r="M214" s="441">
        <f t="shared" si="776"/>
        <v>0.388087737595838</v>
      </c>
      <c r="N214" s="441">
        <f t="shared" si="776"/>
        <v>0.196424095841345</v>
      </c>
      <c r="O214" s="441">
        <f t="shared" si="776"/>
        <v>0.177215941489437</v>
      </c>
      <c r="P214" s="118">
        <f t="shared" si="776"/>
        <v>0.351649239904256</v>
      </c>
      <c r="Q214" s="3"/>
      <c r="R214" s="3"/>
      <c r="S214" s="3"/>
      <c r="T214" s="3"/>
      <c r="U214" s="118">
        <f t="shared" ref="U214:U216" si="777">U209/P209-1</f>
        <v>0.137721732868001</v>
      </c>
      <c r="V214" s="3"/>
      <c r="W214" s="3"/>
      <c r="X214" s="3"/>
      <c r="Y214" s="3"/>
      <c r="Z214" s="118">
        <f t="shared" ref="Z214:Z216" si="778">Z209/U209-1</f>
        <v>0.239943594792854</v>
      </c>
      <c r="AA214" s="3"/>
      <c r="AB214" s="3"/>
      <c r="AC214" s="3"/>
      <c r="AD214" s="3"/>
      <c r="AE214" s="118">
        <f t="shared" ref="AE214:AE216" si="779">AE209/Z209-1</f>
        <v>0.0452188008230061</v>
      </c>
      <c r="AF214" s="3"/>
      <c r="AG214" s="3"/>
      <c r="AH214" s="3"/>
      <c r="AI214" s="3"/>
      <c r="AJ214" s="118">
        <f t="shared" ref="AJ214:AJ216" si="780">AJ209/AE209-1</f>
        <v>-0.101936204889603</v>
      </c>
      <c r="AK214" s="3"/>
      <c r="AL214" s="3"/>
      <c r="AM214" s="3"/>
      <c r="AN214" s="3"/>
      <c r="AO214" s="118">
        <f t="shared" ref="AO214:AO216" si="781">AO209/AJ209-1</f>
        <v>0.00790162210042977</v>
      </c>
      <c r="AP214" s="3"/>
      <c r="AQ214" s="3"/>
      <c r="AR214" s="3"/>
      <c r="AS214" s="3"/>
      <c r="AT214" s="118">
        <f t="shared" ref="AT214:AT216" si="782">AT209/AO209-1</f>
        <v>-0.0120887307262049</v>
      </c>
      <c r="AU214" s="3"/>
      <c r="AV214" s="3"/>
      <c r="AW214" s="3"/>
      <c r="AX214" s="3"/>
      <c r="AY214" s="118">
        <f t="shared" ref="AY214:AY216" si="783">AY209/AT209-1</f>
        <v>-0.0256636155606408</v>
      </c>
    </row>
    <row r="215" spans="1:51">
      <c r="A215" s="97" t="s">
        <v>69</v>
      </c>
      <c r="B215" s="149"/>
      <c r="C215" s="442">
        <f t="shared" ref="C215:F216" si="784">C210/B210-1</f>
        <v>0.000586686477887843</v>
      </c>
      <c r="D215" s="442">
        <f t="shared" si="784"/>
        <v>0.12923323989138</v>
      </c>
      <c r="E215" s="442">
        <f t="shared" si="784"/>
        <v>0.0529070760918438</v>
      </c>
      <c r="F215" s="442">
        <f t="shared" si="784"/>
        <v>0.00899824059258747</v>
      </c>
      <c r="G215" s="148"/>
      <c r="H215" s="148"/>
      <c r="I215" s="148"/>
      <c r="J215" s="148"/>
      <c r="K215" s="442">
        <f t="shared" ref="K215:K216" si="785">K210/F210-1</f>
        <v>-0.0682809258902746</v>
      </c>
      <c r="L215" s="443">
        <f t="shared" si="776"/>
        <v>0.620470895052232</v>
      </c>
      <c r="M215" s="443">
        <f t="shared" si="776"/>
        <v>0.195874782007059</v>
      </c>
      <c r="N215" s="443">
        <f t="shared" si="776"/>
        <v>0.0808342077611737</v>
      </c>
      <c r="O215" s="443">
        <f t="shared" si="776"/>
        <v>0.0215312701964385</v>
      </c>
      <c r="P215" s="442">
        <f t="shared" si="776"/>
        <v>0.172305332650685</v>
      </c>
      <c r="Q215" s="148"/>
      <c r="R215" s="148"/>
      <c r="S215" s="148"/>
      <c r="T215" s="148"/>
      <c r="U215" s="442">
        <f t="shared" si="777"/>
        <v>-0.10020938256072</v>
      </c>
      <c r="V215" s="148"/>
      <c r="W215" s="148"/>
      <c r="X215" s="148"/>
      <c r="Y215" s="148"/>
      <c r="Z215" s="442">
        <f t="shared" si="778"/>
        <v>0.0968400094490487</v>
      </c>
      <c r="AA215" s="148"/>
      <c r="AB215" s="148"/>
      <c r="AC215" s="148"/>
      <c r="AD215" s="148"/>
      <c r="AE215" s="442">
        <f t="shared" si="779"/>
        <v>0.169239412119991</v>
      </c>
      <c r="AF215" s="148"/>
      <c r="AG215" s="148"/>
      <c r="AH215" s="148"/>
      <c r="AI215" s="148"/>
      <c r="AJ215" s="442">
        <f t="shared" si="780"/>
        <v>0.133842482538783</v>
      </c>
      <c r="AK215" s="148"/>
      <c r="AL215" s="148"/>
      <c r="AM215" s="148"/>
      <c r="AN215" s="148"/>
      <c r="AO215" s="442">
        <f t="shared" si="781"/>
        <v>0.0233740442766779</v>
      </c>
      <c r="AP215" s="148"/>
      <c r="AQ215" s="148"/>
      <c r="AR215" s="148"/>
      <c r="AS215" s="148"/>
      <c r="AT215" s="442">
        <f t="shared" si="782"/>
        <v>0.023126407669998</v>
      </c>
      <c r="AU215" s="148"/>
      <c r="AV215" s="148"/>
      <c r="AW215" s="148"/>
      <c r="AX215" s="148"/>
      <c r="AY215" s="442">
        <f t="shared" si="783"/>
        <v>0.0218174591602407</v>
      </c>
    </row>
    <row r="216" spans="1:51">
      <c r="A216" s="38" t="s">
        <v>74</v>
      </c>
      <c r="B216" s="84"/>
      <c r="C216" s="433">
        <f t="shared" si="784"/>
        <v>-0.0160939521852461</v>
      </c>
      <c r="D216" s="433">
        <f t="shared" si="784"/>
        <v>0.0963539306978711</v>
      </c>
      <c r="E216" s="433">
        <f t="shared" si="784"/>
        <v>0.0504351250117641</v>
      </c>
      <c r="F216" s="433">
        <f t="shared" si="784"/>
        <v>0.0494596635223497</v>
      </c>
      <c r="G216" s="38"/>
      <c r="H216" s="38"/>
      <c r="I216" s="38"/>
      <c r="J216" s="38"/>
      <c r="K216" s="433">
        <f t="shared" si="785"/>
        <v>0.0410297534852124</v>
      </c>
      <c r="L216" s="444">
        <f t="shared" si="776"/>
        <v>0.661174033134691</v>
      </c>
      <c r="M216" s="444">
        <f t="shared" si="776"/>
        <v>0.260735214582599</v>
      </c>
      <c r="N216" s="444">
        <f t="shared" si="776"/>
        <v>0.117096452795914</v>
      </c>
      <c r="O216" s="444">
        <f t="shared" si="776"/>
        <v>0.0719110595677313</v>
      </c>
      <c r="P216" s="433">
        <f t="shared" si="776"/>
        <v>0.230265431539592</v>
      </c>
      <c r="Q216" s="38"/>
      <c r="R216" s="38"/>
      <c r="S216" s="38"/>
      <c r="T216" s="38"/>
      <c r="U216" s="433">
        <f t="shared" si="777"/>
        <v>-0.00718898576647808</v>
      </c>
      <c r="V216" s="38"/>
      <c r="W216" s="38"/>
      <c r="X216" s="38"/>
      <c r="Y216" s="38"/>
      <c r="Z216" s="433">
        <f t="shared" si="778"/>
        <v>0.178099738230228</v>
      </c>
      <c r="AA216" s="38"/>
      <c r="AB216" s="38"/>
      <c r="AC216" s="38"/>
      <c r="AD216" s="38"/>
      <c r="AE216" s="433">
        <f t="shared" si="779"/>
        <v>0.130157971916385</v>
      </c>
      <c r="AF216" s="38"/>
      <c r="AG216" s="38"/>
      <c r="AH216" s="38"/>
      <c r="AI216" s="38"/>
      <c r="AJ216" s="433">
        <f t="shared" si="780"/>
        <v>0.0228378646268115</v>
      </c>
      <c r="AK216" s="38"/>
      <c r="AL216" s="38"/>
      <c r="AM216" s="38"/>
      <c r="AN216" s="38"/>
      <c r="AO216" s="433">
        <f t="shared" si="781"/>
        <v>0.0214999247017598</v>
      </c>
      <c r="AP216" s="38"/>
      <c r="AQ216" s="38"/>
      <c r="AR216" s="38"/>
      <c r="AS216" s="38"/>
      <c r="AT216" s="433">
        <f t="shared" si="782"/>
        <v>0.0110135869617445</v>
      </c>
      <c r="AU216" s="38"/>
      <c r="AV216" s="38"/>
      <c r="AW216" s="38"/>
      <c r="AX216" s="38"/>
      <c r="AY216" s="433">
        <f t="shared" si="783"/>
        <v>0.00286109761682307</v>
      </c>
    </row>
    <row r="217" spans="1:51">
      <c r="G217" s="3"/>
      <c r="H217" s="3"/>
      <c r="I217" s="3"/>
      <c r="J217" s="3"/>
      <c r="K217" s="4"/>
      <c r="L217" s="3"/>
      <c r="M217" s="3"/>
      <c r="N217" s="3"/>
      <c r="O217" s="3"/>
      <c r="P217" s="4"/>
      <c r="Q217" s="3"/>
      <c r="R217" s="3"/>
      <c r="S217" s="3"/>
      <c r="T217" s="3"/>
      <c r="U217" s="4"/>
      <c r="V217" s="3"/>
      <c r="W217" s="3"/>
      <c r="X217" s="3"/>
      <c r="Y217" s="3"/>
      <c r="Z217" s="4"/>
      <c r="AA217" s="3"/>
      <c r="AB217" s="3"/>
      <c r="AC217" s="3"/>
      <c r="AD217" s="3"/>
      <c r="AE217" s="4"/>
      <c r="AF217" s="3"/>
      <c r="AG217" s="3"/>
      <c r="AH217" s="3"/>
      <c r="AI217" s="3"/>
      <c r="AJ217" s="4"/>
      <c r="AK217" s="3"/>
      <c r="AL217" s="3"/>
      <c r="AM217" s="3"/>
      <c r="AN217" s="3"/>
      <c r="AO217" s="4"/>
      <c r="AP217" s="3"/>
      <c r="AQ217" s="3"/>
      <c r="AR217" s="3"/>
      <c r="AS217" s="3"/>
      <c r="AT217" s="4"/>
      <c r="AU217" s="3"/>
      <c r="AV217" s="3"/>
      <c r="AW217" s="3"/>
      <c r="AX217" s="3"/>
      <c r="AY217" s="4"/>
    </row>
    <row r="218" spans="1:51">
      <c r="A218" s="445" t="s">
        <v>115</v>
      </c>
      <c r="B218" s="59"/>
      <c r="C218" s="59"/>
      <c r="D218" s="59"/>
      <c r="E218" s="59"/>
      <c r="F218" s="59"/>
      <c r="G218" s="58"/>
      <c r="H218" s="58"/>
      <c r="I218" s="58"/>
      <c r="J218" s="58"/>
      <c r="K218" s="59"/>
      <c r="L218" s="58"/>
      <c r="M218" s="58"/>
      <c r="N218" s="58"/>
      <c r="O218" s="58"/>
      <c r="P218" s="59"/>
      <c r="Q218" s="58"/>
      <c r="R218" s="58"/>
      <c r="S218" s="58"/>
      <c r="T218" s="58"/>
      <c r="U218" s="59"/>
      <c r="V218" s="58"/>
      <c r="W218" s="58"/>
      <c r="X218" s="58"/>
      <c r="Y218" s="58"/>
      <c r="Z218" s="59"/>
      <c r="AA218" s="58"/>
      <c r="AB218" s="58"/>
      <c r="AC218" s="58"/>
      <c r="AD218" s="58"/>
      <c r="AE218" s="59"/>
      <c r="AF218" s="58"/>
      <c r="AG218" s="58"/>
      <c r="AH218" s="58"/>
      <c r="AI218" s="58"/>
      <c r="AJ218" s="59"/>
      <c r="AK218" s="58"/>
      <c r="AL218" s="58"/>
      <c r="AM218" s="58"/>
      <c r="AN218" s="58"/>
      <c r="AO218" s="59"/>
      <c r="AP218" s="58"/>
      <c r="AQ218" s="58"/>
      <c r="AR218" s="58"/>
      <c r="AS218" s="58"/>
      <c r="AT218" s="59"/>
      <c r="AU218" s="58"/>
      <c r="AV218" s="58"/>
      <c r="AW218" s="58"/>
      <c r="AX218" s="58"/>
      <c r="AY218" s="59"/>
    </row>
    <row r="219" spans="1:51">
      <c r="A219" s="231" t="s">
        <v>68</v>
      </c>
      <c r="C219" s="446">
        <f t="shared" ref="C219:F221" si="786">C180/C162*10^3</f>
        <v>8597.18309859155</v>
      </c>
      <c r="D219" s="446">
        <f t="shared" si="786"/>
        <v>8572.72727272727</v>
      </c>
      <c r="E219" s="446">
        <f t="shared" si="786"/>
        <v>8382.44514106583</v>
      </c>
      <c r="F219" s="446">
        <f t="shared" si="786"/>
        <v>7941.55844155844</v>
      </c>
      <c r="G219" s="3"/>
      <c r="H219" s="3"/>
      <c r="I219" s="3"/>
      <c r="J219" s="3"/>
      <c r="K219" s="446">
        <f>K180/K162*10^3</f>
        <v>7159.66386554622</v>
      </c>
      <c r="L219" s="441"/>
      <c r="M219" s="441"/>
      <c r="N219" s="441"/>
      <c r="O219" s="441"/>
      <c r="P219" s="446">
        <f>P180/P162*10^3</f>
        <v>6821.42857142857</v>
      </c>
      <c r="Q219" s="3"/>
      <c r="R219" s="3"/>
      <c r="S219" s="3"/>
      <c r="T219" s="3"/>
      <c r="U219" s="446">
        <f>U180/U162*10^3</f>
        <v>6390.55793991416</v>
      </c>
      <c r="V219" s="3"/>
      <c r="W219" s="3"/>
      <c r="X219" s="3"/>
      <c r="Y219" s="3"/>
      <c r="Z219" s="446">
        <f>Z180/Z162*10^3</f>
        <v>6170.04048582996</v>
      </c>
      <c r="AA219" s="3"/>
      <c r="AB219" s="3"/>
      <c r="AC219" s="3"/>
      <c r="AD219" s="3"/>
      <c r="AE219" s="446">
        <f>AE180/AE162*10^3</f>
        <v>6089.92805755396</v>
      </c>
      <c r="AF219" s="3"/>
      <c r="AG219" s="3"/>
      <c r="AH219" s="3"/>
      <c r="AI219" s="3"/>
      <c r="AJ219" s="446">
        <f>AJ180/AJ162*10^3</f>
        <v>6081.69934640523</v>
      </c>
      <c r="AK219" s="3"/>
      <c r="AL219" s="3"/>
      <c r="AM219" s="3"/>
      <c r="AN219" s="3"/>
      <c r="AO219" s="446">
        <f>AO180/AO162*10^3</f>
        <v>6077.16049382716</v>
      </c>
      <c r="AP219" s="3"/>
      <c r="AQ219" s="3"/>
      <c r="AR219" s="3"/>
      <c r="AS219" s="3"/>
      <c r="AT219" s="446">
        <f>AT180/AT162*10^3</f>
        <v>6073.09941520468</v>
      </c>
      <c r="AU219" s="3"/>
      <c r="AV219" s="3"/>
      <c r="AW219" s="3"/>
      <c r="AX219" s="3"/>
      <c r="AY219" s="446">
        <f>AY180/AY162*10^3</f>
        <v>6069.44444444444</v>
      </c>
    </row>
    <row r="220" ht="15.55" spans="1:51">
      <c r="A220" s="447" t="s">
        <v>69</v>
      </c>
      <c r="C220" s="448">
        <f t="shared" si="786"/>
        <v>7283.60957642726</v>
      </c>
      <c r="D220" s="448">
        <f t="shared" si="786"/>
        <v>7213.75464684015</v>
      </c>
      <c r="E220" s="448">
        <f t="shared" si="786"/>
        <v>7180.81180811808</v>
      </c>
      <c r="F220" s="448">
        <f t="shared" si="786"/>
        <v>7084.24908424908</v>
      </c>
      <c r="G220" s="3"/>
      <c r="H220" s="3"/>
      <c r="I220" s="3"/>
      <c r="J220" s="3"/>
      <c r="K220" s="448">
        <f t="shared" ref="K220:K221" si="787">K181/K163*10^3</f>
        <v>7098.59154929577</v>
      </c>
      <c r="L220" s="441"/>
      <c r="M220" s="441"/>
      <c r="N220" s="441"/>
      <c r="O220" s="441"/>
      <c r="P220" s="448">
        <f t="shared" ref="P220:P221" si="788">P181/P163*10^3</f>
        <v>6978.21782178218</v>
      </c>
      <c r="Q220" s="3"/>
      <c r="R220" s="3"/>
      <c r="S220" s="3"/>
      <c r="T220" s="3"/>
      <c r="U220" s="448">
        <f t="shared" ref="U220:U221" si="789">U181/U163*10^3</f>
        <v>6765.595463138</v>
      </c>
      <c r="V220" s="3"/>
      <c r="W220" s="3"/>
      <c r="X220" s="3"/>
      <c r="Y220" s="3"/>
      <c r="Z220" s="448">
        <f t="shared" ref="Z220:Z221" si="790">Z181/Z163*10^3</f>
        <v>6671.81467181467</v>
      </c>
      <c r="AA220" s="3"/>
      <c r="AB220" s="3"/>
      <c r="AC220" s="3"/>
      <c r="AD220" s="3"/>
      <c r="AE220" s="448">
        <f t="shared" ref="AE220:AE221" si="791">AE181/AE163*10^3</f>
        <v>6655.57729941292</v>
      </c>
      <c r="AF220" s="3"/>
      <c r="AG220" s="3"/>
      <c r="AH220" s="3"/>
      <c r="AI220" s="3"/>
      <c r="AJ220" s="448">
        <f t="shared" ref="AJ220:AJ221" si="792">AJ181/AJ163*10^3</f>
        <v>6575.5258126195</v>
      </c>
      <c r="AK220" s="3"/>
      <c r="AL220" s="3"/>
      <c r="AM220" s="3"/>
      <c r="AN220" s="3"/>
      <c r="AO220" s="448">
        <f t="shared" ref="AO220:AO221" si="793">AO181/AO163*10^3</f>
        <v>6486.65425201738</v>
      </c>
      <c r="AP220" s="3"/>
      <c r="AQ220" s="3"/>
      <c r="AR220" s="3"/>
      <c r="AS220" s="3"/>
      <c r="AT220" s="448">
        <f t="shared" ref="AT220:AT221" si="794">AT181/AT163*10^3</f>
        <v>6414.08621736491</v>
      </c>
      <c r="AU220" s="3"/>
      <c r="AV220" s="3"/>
      <c r="AW220" s="3"/>
      <c r="AX220" s="3"/>
      <c r="AY220" s="448">
        <f t="shared" ref="AY220:AY221" si="795">AY181/AY163*10^3</f>
        <v>6344.62269756387</v>
      </c>
    </row>
    <row r="221" spans="1:51">
      <c r="A221" s="188" t="s">
        <v>74</v>
      </c>
      <c r="C221" s="446">
        <f t="shared" si="786"/>
        <v>7802.89532293987</v>
      </c>
      <c r="D221" s="446">
        <f t="shared" si="786"/>
        <v>7730.41474654378</v>
      </c>
      <c r="E221" s="446">
        <f t="shared" si="786"/>
        <v>7626.0162601626</v>
      </c>
      <c r="F221" s="446">
        <f t="shared" si="786"/>
        <v>7393.44262295082</v>
      </c>
      <c r="G221" s="3"/>
      <c r="H221" s="3"/>
      <c r="I221" s="3"/>
      <c r="J221" s="3"/>
      <c r="K221" s="446">
        <f t="shared" si="787"/>
        <v>7118.36734693878</v>
      </c>
      <c r="L221" s="441"/>
      <c r="M221" s="441"/>
      <c r="N221" s="441"/>
      <c r="O221" s="441"/>
      <c r="P221" s="446">
        <f t="shared" si="788"/>
        <v>6930.04115226337</v>
      </c>
      <c r="Q221" s="3"/>
      <c r="R221" s="3"/>
      <c r="S221" s="3"/>
      <c r="T221" s="3"/>
      <c r="U221" s="446">
        <f t="shared" si="789"/>
        <v>6650.9186351706</v>
      </c>
      <c r="V221" s="3"/>
      <c r="W221" s="3"/>
      <c r="X221" s="3"/>
      <c r="Y221" s="3"/>
      <c r="Z221" s="446">
        <f t="shared" si="790"/>
        <v>6509.80392156863</v>
      </c>
      <c r="AA221" s="3"/>
      <c r="AB221" s="3"/>
      <c r="AC221" s="3"/>
      <c r="AD221" s="3"/>
      <c r="AE221" s="446">
        <f t="shared" si="791"/>
        <v>6456.27376425856</v>
      </c>
      <c r="AF221" s="3"/>
      <c r="AG221" s="3"/>
      <c r="AH221" s="3"/>
      <c r="AI221" s="3"/>
      <c r="AJ221" s="446">
        <f t="shared" si="792"/>
        <v>6393.24487334138</v>
      </c>
      <c r="AK221" s="3"/>
      <c r="AL221" s="3"/>
      <c r="AM221" s="3"/>
      <c r="AN221" s="3"/>
      <c r="AO221" s="446">
        <f t="shared" si="793"/>
        <v>6332.55903987611</v>
      </c>
      <c r="AP221" s="3"/>
      <c r="AQ221" s="3"/>
      <c r="AR221" s="3"/>
      <c r="AS221" s="3"/>
      <c r="AT221" s="446">
        <f t="shared" si="794"/>
        <v>6283.20239431351</v>
      </c>
      <c r="AU221" s="3"/>
      <c r="AV221" s="3"/>
      <c r="AW221" s="3"/>
      <c r="AX221" s="3"/>
      <c r="AY221" s="446">
        <f t="shared" si="795"/>
        <v>6237.06116539993</v>
      </c>
    </row>
    <row r="222" spans="1:51">
      <c r="A222" s="188"/>
      <c r="G222" s="3"/>
      <c r="H222" s="3"/>
      <c r="I222" s="3"/>
      <c r="J222" s="3"/>
      <c r="K222" s="4"/>
      <c r="L222" s="3"/>
      <c r="M222" s="3"/>
      <c r="N222" s="3"/>
      <c r="O222" s="3"/>
      <c r="P222" s="4"/>
      <c r="Q222" s="3"/>
      <c r="R222" s="3"/>
      <c r="S222" s="3"/>
      <c r="T222" s="3"/>
      <c r="U222" s="4"/>
      <c r="V222" s="3"/>
      <c r="W222" s="3"/>
      <c r="X222" s="3"/>
      <c r="Y222" s="3"/>
      <c r="Z222" s="4"/>
      <c r="AA222" s="3"/>
      <c r="AB222" s="3"/>
      <c r="AC222" s="3"/>
      <c r="AD222" s="3"/>
      <c r="AE222" s="4"/>
      <c r="AF222" s="3"/>
      <c r="AG222" s="3"/>
      <c r="AH222" s="3"/>
      <c r="AI222" s="3"/>
      <c r="AJ222" s="4"/>
      <c r="AK222" s="3"/>
      <c r="AL222" s="3"/>
      <c r="AM222" s="3"/>
      <c r="AN222" s="3"/>
      <c r="AO222" s="4"/>
      <c r="AP222" s="3"/>
      <c r="AQ222" s="3"/>
      <c r="AR222" s="3"/>
      <c r="AS222" s="3"/>
      <c r="AT222" s="4"/>
      <c r="AU222" s="3"/>
      <c r="AV222" s="3"/>
      <c r="AW222" s="3"/>
      <c r="AX222" s="3"/>
      <c r="AY222" s="4"/>
    </row>
    <row r="223" spans="1:51">
      <c r="A223" s="449" t="s">
        <v>113</v>
      </c>
      <c r="G223" s="3"/>
      <c r="H223" s="3"/>
      <c r="I223" s="3"/>
      <c r="J223" s="3"/>
      <c r="K223" s="4"/>
      <c r="L223" s="3"/>
      <c r="M223" s="3"/>
      <c r="N223" s="3"/>
      <c r="O223" s="3"/>
      <c r="P223" s="4"/>
      <c r="Q223" s="3"/>
      <c r="R223" s="3"/>
      <c r="S223" s="3"/>
      <c r="T223" s="3"/>
      <c r="U223" s="4"/>
      <c r="V223" s="3"/>
      <c r="W223" s="3"/>
      <c r="X223" s="3"/>
      <c r="Y223" s="3"/>
      <c r="Z223" s="4"/>
      <c r="AA223" s="3"/>
      <c r="AB223" s="3"/>
      <c r="AC223" s="3"/>
      <c r="AD223" s="3"/>
      <c r="AE223" s="4"/>
      <c r="AF223" s="3"/>
      <c r="AG223" s="3"/>
      <c r="AH223" s="3"/>
      <c r="AI223" s="3"/>
      <c r="AJ223" s="4"/>
      <c r="AK223" s="3"/>
      <c r="AL223" s="3"/>
      <c r="AM223" s="3"/>
      <c r="AN223" s="3"/>
      <c r="AO223" s="4"/>
      <c r="AP223" s="3"/>
      <c r="AQ223" s="3"/>
      <c r="AR223" s="3"/>
      <c r="AS223" s="3"/>
      <c r="AT223" s="4"/>
      <c r="AU223" s="3"/>
      <c r="AV223" s="3"/>
      <c r="AW223" s="3"/>
      <c r="AX223" s="3"/>
      <c r="AY223" s="4"/>
    </row>
    <row r="224" spans="1:51">
      <c r="A224" s="231" t="s">
        <v>68</v>
      </c>
      <c r="C224" s="446"/>
      <c r="D224" s="118">
        <f t="shared" ref="D224:F224" si="796">D219/C219-1</f>
        <v>-0.00284463243178823</v>
      </c>
      <c r="E224" s="118">
        <f t="shared" si="796"/>
        <v>-0.0221962189636887</v>
      </c>
      <c r="F224" s="118">
        <f t="shared" si="796"/>
        <v>-0.0525964312426541</v>
      </c>
      <c r="G224" s="3"/>
      <c r="H224" s="3"/>
      <c r="I224" s="3"/>
      <c r="J224" s="3"/>
      <c r="K224" s="118">
        <f>K219/F219-1</f>
        <v>-0.098456062719446</v>
      </c>
      <c r="L224" s="441"/>
      <c r="M224" s="441"/>
      <c r="N224" s="441"/>
      <c r="O224" s="441"/>
      <c r="P224" s="118">
        <f>P219/K219-1</f>
        <v>-0.0472417840375586</v>
      </c>
      <c r="Q224" s="3"/>
      <c r="R224" s="3"/>
      <c r="S224" s="3"/>
      <c r="T224" s="3"/>
      <c r="U224" s="118">
        <f>U219/P219-1</f>
        <v>-0.063164281059704</v>
      </c>
      <c r="V224" s="3"/>
      <c r="W224" s="3"/>
      <c r="X224" s="3"/>
      <c r="Y224" s="3"/>
      <c r="Z224" s="118">
        <f>Z219/U219-1</f>
        <v>-0.0345067607801338</v>
      </c>
      <c r="AA224" s="3"/>
      <c r="AB224" s="3"/>
      <c r="AC224" s="3"/>
      <c r="AD224" s="3"/>
      <c r="AE224" s="118">
        <f>AE219/Z219-1</f>
        <v>-0.0129841009082499</v>
      </c>
      <c r="AF224" s="3"/>
      <c r="AG224" s="3"/>
      <c r="AH224" s="3"/>
      <c r="AI224" s="3"/>
      <c r="AJ224" s="118">
        <f>AJ219/AE219-1</f>
        <v>-0.00135120005868072</v>
      </c>
      <c r="AK224" s="3"/>
      <c r="AL224" s="3"/>
      <c r="AM224" s="3"/>
      <c r="AN224" s="3"/>
      <c r="AO224" s="118">
        <f>AO219/AJ219-1</f>
        <v>-0.000746313212729111</v>
      </c>
      <c r="AP224" s="3"/>
      <c r="AQ224" s="3"/>
      <c r="AR224" s="3"/>
      <c r="AS224" s="3"/>
      <c r="AT224" s="118">
        <f>AT219/AO219-1</f>
        <v>-0.000668252652962886</v>
      </c>
      <c r="AU224" s="3"/>
      <c r="AV224" s="3"/>
      <c r="AW224" s="3"/>
      <c r="AX224" s="3"/>
      <c r="AY224" s="118">
        <f>AY219/AT219-1</f>
        <v>-0.000601829561868161</v>
      </c>
    </row>
    <row r="225" ht="15.55" spans="1:51">
      <c r="A225" s="447" t="s">
        <v>69</v>
      </c>
      <c r="C225" s="448"/>
      <c r="D225" s="442">
        <f t="shared" ref="D225:F226" si="797">D220/C220-1</f>
        <v>-0.00959070208996193</v>
      </c>
      <c r="E225" s="442">
        <f t="shared" si="797"/>
        <v>-0.00456667024799595</v>
      </c>
      <c r="F225" s="442">
        <f t="shared" si="797"/>
        <v>-0.0134473269108418</v>
      </c>
      <c r="G225" s="3"/>
      <c r="H225" s="3"/>
      <c r="I225" s="3"/>
      <c r="J225" s="3"/>
      <c r="K225" s="442">
        <f t="shared" ref="K225:K226" si="798">K220/F220-1</f>
        <v>0.00202455685509118</v>
      </c>
      <c r="L225" s="441"/>
      <c r="M225" s="441"/>
      <c r="N225" s="441"/>
      <c r="O225" s="441"/>
      <c r="P225" s="442">
        <f t="shared" ref="P225:P226" si="799">P220/K220-1</f>
        <v>-0.0169574100267169</v>
      </c>
      <c r="Q225" s="3"/>
      <c r="R225" s="3"/>
      <c r="S225" s="3"/>
      <c r="T225" s="3"/>
      <c r="U225" s="442">
        <f t="shared" ref="U225:U226" si="800">U220/P220-1</f>
        <v>-0.0304694356172849</v>
      </c>
      <c r="V225" s="3"/>
      <c r="W225" s="3"/>
      <c r="X225" s="3"/>
      <c r="Y225" s="3"/>
      <c r="Z225" s="442">
        <f t="shared" ref="Z225:Z226" si="801">Z220/U220-1</f>
        <v>-0.0138614245906786</v>
      </c>
      <c r="AA225" s="3"/>
      <c r="AB225" s="3"/>
      <c r="AC225" s="3"/>
      <c r="AD225" s="3"/>
      <c r="AE225" s="442">
        <f t="shared" ref="AE225:AE226" si="802">AE220/Z220-1</f>
        <v>-0.00243372653475393</v>
      </c>
      <c r="AF225" s="3"/>
      <c r="AG225" s="3"/>
      <c r="AH225" s="3"/>
      <c r="AI225" s="3"/>
      <c r="AJ225" s="442">
        <f t="shared" ref="AJ225" si="803">AJ220/AE220-1</f>
        <v>-0.0120277300063022</v>
      </c>
      <c r="AK225" s="3"/>
      <c r="AL225" s="3"/>
      <c r="AM225" s="3"/>
      <c r="AN225" s="3"/>
      <c r="AO225" s="442">
        <f t="shared" ref="AO225:AO226" si="804">AO220/AJ220-1</f>
        <v>-0.0135155063084937</v>
      </c>
      <c r="AP225" s="3"/>
      <c r="AQ225" s="3"/>
      <c r="AR225" s="3"/>
      <c r="AS225" s="3"/>
      <c r="AT225" s="442">
        <f t="shared" ref="AT225:AT226" si="805">AT220/AO220-1</f>
        <v>-0.0111872826626925</v>
      </c>
      <c r="AU225" s="3"/>
      <c r="AV225" s="3"/>
      <c r="AW225" s="3"/>
      <c r="AX225" s="3"/>
      <c r="AY225" s="442">
        <f t="shared" ref="AY225:AY226" si="806">AY220/AT220-1</f>
        <v>-0.0108298388027545</v>
      </c>
    </row>
    <row r="226" spans="1:51">
      <c r="A226" s="189" t="s">
        <v>74</v>
      </c>
      <c r="B226" s="84"/>
      <c r="C226" s="450"/>
      <c r="D226" s="433">
        <f t="shared" si="797"/>
        <v>-0.00928893358123128</v>
      </c>
      <c r="E226" s="433">
        <f t="shared" si="797"/>
        <v>-0.013504901069875</v>
      </c>
      <c r="F226" s="433">
        <f t="shared" si="797"/>
        <v>-0.0304973959243594</v>
      </c>
      <c r="G226" s="38"/>
      <c r="H226" s="38"/>
      <c r="I226" s="38"/>
      <c r="J226" s="38"/>
      <c r="K226" s="433">
        <f t="shared" si="798"/>
        <v>-0.037205303407394</v>
      </c>
      <c r="L226" s="444"/>
      <c r="M226" s="444"/>
      <c r="N226" s="444"/>
      <c r="O226" s="444"/>
      <c r="P226" s="433">
        <f t="shared" si="799"/>
        <v>-0.026456374825386</v>
      </c>
      <c r="Q226" s="38"/>
      <c r="R226" s="38"/>
      <c r="S226" s="38"/>
      <c r="T226" s="38"/>
      <c r="U226" s="433">
        <f t="shared" si="800"/>
        <v>-0.0402771803168309</v>
      </c>
      <c r="V226" s="38"/>
      <c r="W226" s="38"/>
      <c r="X226" s="38"/>
      <c r="Y226" s="38"/>
      <c r="Z226" s="433">
        <f t="shared" si="801"/>
        <v>-0.0212173267096895</v>
      </c>
      <c r="AA226" s="38"/>
      <c r="AB226" s="38"/>
      <c r="AC226" s="38"/>
      <c r="AD226" s="38"/>
      <c r="AE226" s="433">
        <f t="shared" si="802"/>
        <v>-0.00822300609281235</v>
      </c>
      <c r="AF226" s="38"/>
      <c r="AG226" s="38"/>
      <c r="AH226" s="38"/>
      <c r="AI226" s="38"/>
      <c r="AJ226" s="433">
        <f t="shared" ref="AJ226" si="807">AJ221/AE221-1</f>
        <v>-0.00976242538940997</v>
      </c>
      <c r="AK226" s="38"/>
      <c r="AL226" s="38"/>
      <c r="AM226" s="38"/>
      <c r="AN226" s="38"/>
      <c r="AO226" s="433">
        <f t="shared" si="804"/>
        <v>-0.00949218036654753</v>
      </c>
      <c r="AP226" s="38"/>
      <c r="AQ226" s="38"/>
      <c r="AR226" s="38"/>
      <c r="AS226" s="38"/>
      <c r="AT226" s="433">
        <f t="shared" si="805"/>
        <v>-0.0077941074456328</v>
      </c>
      <c r="AU226" s="38"/>
      <c r="AV226" s="38"/>
      <c r="AW226" s="38"/>
      <c r="AX226" s="38"/>
      <c r="AY226" s="433">
        <f t="shared" si="806"/>
        <v>-0.00734358469103857</v>
      </c>
    </row>
    <row r="227" spans="1:51">
      <c r="G227" s="3"/>
      <c r="H227" s="3"/>
      <c r="I227" s="3"/>
      <c r="J227" s="3"/>
      <c r="K227" s="4"/>
      <c r="L227" s="3"/>
      <c r="M227" s="3"/>
      <c r="N227" s="3"/>
      <c r="O227" s="3"/>
      <c r="P227" s="4"/>
      <c r="Q227" s="3"/>
      <c r="R227" s="3"/>
      <c r="S227" s="3"/>
      <c r="T227" s="3"/>
      <c r="U227" s="4"/>
      <c r="V227" s="3"/>
      <c r="W227" s="3"/>
      <c r="X227" s="3"/>
      <c r="Y227" s="3"/>
      <c r="Z227" s="4"/>
      <c r="AA227" s="3"/>
      <c r="AB227" s="3"/>
      <c r="AC227" s="3"/>
      <c r="AD227" s="3"/>
      <c r="AE227" s="4"/>
      <c r="AF227" s="3"/>
      <c r="AG227" s="3"/>
      <c r="AH227" s="3"/>
      <c r="AI227" s="3"/>
      <c r="AJ227" s="4"/>
      <c r="AK227" s="3"/>
      <c r="AL227" s="3"/>
      <c r="AM227" s="3"/>
      <c r="AN227" s="3"/>
      <c r="AO227" s="4"/>
      <c r="AP227" s="3"/>
      <c r="AQ227" s="3"/>
      <c r="AR227" s="3"/>
      <c r="AS227" s="3"/>
      <c r="AT227" s="4"/>
      <c r="AU227" s="3"/>
      <c r="AV227" s="3"/>
      <c r="AW227" s="3"/>
      <c r="AX227" s="3"/>
      <c r="AY227" s="4"/>
    </row>
    <row r="228" spans="1:51">
      <c r="A228" s="2" t="s">
        <v>116</v>
      </c>
      <c r="G228" s="3"/>
      <c r="H228" s="3"/>
      <c r="I228" s="3"/>
      <c r="J228" s="3"/>
      <c r="K228" s="4"/>
      <c r="L228" s="3"/>
      <c r="M228" s="3"/>
      <c r="N228" s="3"/>
      <c r="O228" s="3"/>
      <c r="P228" s="4"/>
      <c r="Q228" s="3"/>
      <c r="R228" s="3"/>
      <c r="S228" s="3"/>
      <c r="T228" s="3"/>
      <c r="U228" s="4"/>
      <c r="V228" s="3"/>
      <c r="W228" s="3"/>
      <c r="X228" s="3"/>
      <c r="Y228" s="3"/>
      <c r="Z228" s="4"/>
      <c r="AA228" s="3"/>
      <c r="AB228" s="3"/>
      <c r="AC228" s="3"/>
      <c r="AD228" s="3"/>
      <c r="AE228" s="4"/>
      <c r="AF228" s="3"/>
      <c r="AG228" s="3"/>
      <c r="AH228" s="3"/>
      <c r="AI228" s="3"/>
      <c r="AJ228" s="4"/>
      <c r="AK228" s="3"/>
      <c r="AL228" s="3"/>
      <c r="AM228" s="3"/>
      <c r="AN228" s="3"/>
      <c r="AO228" s="4"/>
      <c r="AP228" s="3"/>
      <c r="AQ228" s="3"/>
      <c r="AR228" s="3"/>
      <c r="AS228" s="3"/>
      <c r="AT228" s="4"/>
      <c r="AU228" s="3"/>
      <c r="AV228" s="3"/>
      <c r="AW228" s="3"/>
      <c r="AX228" s="3"/>
      <c r="AY228" s="4"/>
    </row>
    <row r="229" spans="1:51">
      <c r="A229" s="3" t="s">
        <v>68</v>
      </c>
      <c r="G229" s="3"/>
      <c r="H229" s="3"/>
      <c r="I229" s="3"/>
      <c r="J229" s="3"/>
      <c r="K229" s="4"/>
      <c r="L229" s="3"/>
      <c r="M229" s="3"/>
      <c r="N229" s="3"/>
      <c r="O229" s="3"/>
      <c r="P229" s="4"/>
      <c r="Q229" s="3"/>
      <c r="R229" s="3"/>
      <c r="S229" s="3"/>
      <c r="T229" s="3"/>
      <c r="U229" s="27"/>
      <c r="V229" s="3"/>
      <c r="W229" s="3"/>
      <c r="X229" s="3"/>
      <c r="Y229" s="3"/>
      <c r="Z229" s="27"/>
      <c r="AA229" s="3"/>
      <c r="AB229" s="3"/>
      <c r="AC229" s="3"/>
      <c r="AD229" s="3"/>
      <c r="AE229" s="27">
        <f>(AE180-Z180)/AE166*10^3</f>
        <v>5451.61290322581</v>
      </c>
      <c r="AF229" s="3"/>
      <c r="AG229" s="3"/>
      <c r="AH229" s="3"/>
      <c r="AI229" s="3"/>
      <c r="AJ229" s="27">
        <f>(AJ180-AE180)/AJ166*10^3</f>
        <v>6000</v>
      </c>
      <c r="AK229" s="3"/>
      <c r="AL229" s="3"/>
      <c r="AM229" s="3"/>
      <c r="AN229" s="3"/>
      <c r="AO229" s="451">
        <f>AJ229</f>
        <v>6000</v>
      </c>
      <c r="AP229" s="3"/>
      <c r="AQ229" s="3"/>
      <c r="AR229" s="3"/>
      <c r="AS229" s="3"/>
      <c r="AT229" s="451">
        <f>AO229</f>
        <v>6000</v>
      </c>
      <c r="AU229" s="3"/>
      <c r="AV229" s="3"/>
      <c r="AW229" s="3"/>
      <c r="AX229" s="3"/>
      <c r="AY229" s="27">
        <f>AT229</f>
        <v>6000</v>
      </c>
    </row>
    <row r="230" spans="1:51">
      <c r="A230" s="3" t="s">
        <v>69</v>
      </c>
      <c r="G230" s="3"/>
      <c r="H230" s="3"/>
      <c r="I230" s="3"/>
      <c r="J230" s="3"/>
      <c r="K230" s="4"/>
      <c r="L230" s="3"/>
      <c r="M230" s="3"/>
      <c r="N230" s="3"/>
      <c r="O230" s="3"/>
      <c r="P230" s="4"/>
      <c r="Q230" s="3"/>
      <c r="R230" s="3"/>
      <c r="S230" s="3"/>
      <c r="T230" s="3"/>
      <c r="U230" s="27"/>
      <c r="V230" s="3"/>
      <c r="W230" s="3"/>
      <c r="X230" s="3"/>
      <c r="Y230" s="3"/>
      <c r="Z230" s="27"/>
      <c r="AA230" s="3"/>
      <c r="AB230" s="3"/>
      <c r="AC230" s="3"/>
      <c r="AD230" s="3"/>
      <c r="AE230" s="27">
        <f>(AE181-Z181)/AE167*10^3</f>
        <v>7857.14285714286</v>
      </c>
      <c r="AF230" s="3"/>
      <c r="AG230" s="3"/>
      <c r="AH230" s="3"/>
      <c r="AI230" s="3"/>
      <c r="AJ230" s="27">
        <f>(AJ181-AE181)/AJ167*10^3</f>
        <v>3166.66666666667</v>
      </c>
      <c r="AK230" s="3"/>
      <c r="AL230" s="3"/>
      <c r="AM230" s="3"/>
      <c r="AN230" s="3"/>
      <c r="AO230" s="451">
        <f>AJ230</f>
        <v>3166.66666666667</v>
      </c>
      <c r="AP230" s="3"/>
      <c r="AQ230" s="3"/>
      <c r="AR230" s="3"/>
      <c r="AS230" s="3"/>
      <c r="AT230" s="451">
        <f>AO230</f>
        <v>3166.66666666667</v>
      </c>
      <c r="AU230" s="3"/>
      <c r="AV230" s="3"/>
      <c r="AW230" s="3"/>
      <c r="AX230" s="3"/>
      <c r="AY230" s="27">
        <f>AT230</f>
        <v>3166.66666666667</v>
      </c>
    </row>
    <row r="231" spans="1:51">
      <c r="G231" s="3"/>
      <c r="H231" s="3"/>
      <c r="I231" s="3"/>
      <c r="J231" s="3"/>
      <c r="K231" s="4"/>
      <c r="L231" s="3"/>
      <c r="M231" s="3"/>
      <c r="N231" s="3"/>
      <c r="O231" s="3"/>
      <c r="P231" s="4"/>
      <c r="Q231" s="3"/>
      <c r="R231" s="3"/>
      <c r="S231" s="3"/>
      <c r="T231" s="3"/>
      <c r="U231" s="4"/>
      <c r="V231" s="3"/>
      <c r="W231" s="3"/>
      <c r="X231" s="3"/>
      <c r="Y231" s="3"/>
      <c r="Z231" s="4"/>
      <c r="AA231" s="3"/>
      <c r="AB231" s="3"/>
      <c r="AC231" s="3"/>
      <c r="AD231" s="3"/>
      <c r="AE231" s="4"/>
      <c r="AF231" s="3"/>
      <c r="AG231" s="3"/>
      <c r="AH231" s="3"/>
      <c r="AI231" s="3"/>
      <c r="AJ231" s="4"/>
      <c r="AK231" s="3"/>
      <c r="AL231" s="3"/>
      <c r="AM231" s="3"/>
      <c r="AN231" s="3"/>
      <c r="AO231" s="4"/>
      <c r="AP231" s="3"/>
      <c r="AQ231" s="3"/>
      <c r="AR231" s="3"/>
      <c r="AS231" s="3"/>
      <c r="AT231" s="4"/>
      <c r="AU231" s="3"/>
      <c r="AV231" s="3"/>
      <c r="AW231" s="3"/>
      <c r="AX231" s="3"/>
      <c r="AY231" s="4"/>
    </row>
    <row r="232" spans="1:51">
      <c r="G232" s="3"/>
      <c r="H232" s="3"/>
      <c r="I232" s="3"/>
      <c r="J232" s="3"/>
      <c r="K232" s="4"/>
      <c r="L232" s="3"/>
      <c r="M232" s="3"/>
      <c r="N232" s="3"/>
      <c r="O232" s="3"/>
      <c r="P232" s="4"/>
      <c r="Q232" s="3"/>
      <c r="R232" s="3"/>
      <c r="S232" s="3"/>
      <c r="T232" s="3"/>
      <c r="U232" s="4"/>
      <c r="V232" s="3"/>
      <c r="W232" s="3"/>
      <c r="X232" s="3"/>
      <c r="Y232" s="3"/>
      <c r="Z232" s="4"/>
      <c r="AA232" s="3"/>
      <c r="AB232" s="3"/>
      <c r="AC232" s="3"/>
      <c r="AD232" s="3"/>
      <c r="AE232" s="4"/>
      <c r="AF232" s="3"/>
      <c r="AG232" s="3"/>
      <c r="AH232" s="3"/>
      <c r="AI232" s="3"/>
      <c r="AJ232" s="4"/>
      <c r="AK232" s="3"/>
      <c r="AL232" s="3"/>
      <c r="AM232" s="3"/>
      <c r="AN232" s="3"/>
      <c r="AO232" s="4"/>
      <c r="AP232" s="3"/>
      <c r="AQ232" s="3"/>
      <c r="AR232" s="3"/>
      <c r="AS232" s="3"/>
      <c r="AT232" s="4"/>
      <c r="AU232" s="3"/>
      <c r="AV232" s="3"/>
      <c r="AW232" s="3"/>
      <c r="AX232" s="3"/>
      <c r="AY232" s="4"/>
    </row>
    <row r="233" collapsed="1" spans="1:51">
      <c r="A233" s="267" t="s">
        <v>117</v>
      </c>
      <c r="B233" s="268"/>
      <c r="C233" s="268"/>
      <c r="D233" s="268"/>
      <c r="E233" s="268"/>
      <c r="F233" s="268"/>
      <c r="G233" s="267"/>
      <c r="H233" s="267"/>
      <c r="I233" s="267"/>
      <c r="J233" s="267"/>
      <c r="K233" s="268"/>
      <c r="L233" s="267"/>
      <c r="M233" s="267"/>
      <c r="N233" s="267"/>
      <c r="O233" s="267"/>
      <c r="P233" s="268"/>
      <c r="Q233" s="267"/>
      <c r="R233" s="267"/>
      <c r="S233" s="267"/>
      <c r="T233" s="267"/>
      <c r="U233" s="268"/>
      <c r="V233" s="267"/>
      <c r="W233" s="267"/>
      <c r="X233" s="267"/>
      <c r="Y233" s="267"/>
      <c r="Z233" s="268"/>
      <c r="AA233" s="267"/>
      <c r="AB233" s="267"/>
      <c r="AC233" s="267"/>
      <c r="AD233" s="267"/>
      <c r="AE233" s="268"/>
      <c r="AF233" s="267"/>
      <c r="AG233" s="267"/>
      <c r="AH233" s="267"/>
      <c r="AI233" s="267"/>
      <c r="AJ233" s="268"/>
      <c r="AK233" s="267"/>
      <c r="AL233" s="267"/>
      <c r="AM233" s="267"/>
      <c r="AN233" s="267"/>
      <c r="AO233" s="268"/>
      <c r="AP233" s="267"/>
      <c r="AQ233" s="267"/>
      <c r="AR233" s="267"/>
      <c r="AS233" s="267"/>
      <c r="AT233" s="268"/>
      <c r="AU233" s="267"/>
      <c r="AV233" s="267"/>
      <c r="AW233" s="267"/>
      <c r="AX233" s="267"/>
      <c r="AY233" s="268"/>
    </row>
    <row r="234" spans="1:51">
      <c r="A234" s="29" t="s">
        <v>118</v>
      </c>
      <c r="B234" s="135"/>
      <c r="C234" s="135"/>
      <c r="D234" s="135"/>
      <c r="E234" s="135"/>
      <c r="F234" s="135"/>
      <c r="G234" s="3"/>
      <c r="H234" s="3"/>
      <c r="I234" s="3"/>
      <c r="J234" s="3"/>
      <c r="K234" s="4"/>
      <c r="L234" s="3"/>
      <c r="M234" s="3"/>
      <c r="N234" s="3"/>
      <c r="O234" s="3"/>
      <c r="P234" s="4"/>
      <c r="Q234" s="3"/>
      <c r="R234" s="3"/>
      <c r="S234" s="3"/>
      <c r="T234" s="3"/>
      <c r="U234" s="4"/>
      <c r="V234" s="3"/>
      <c r="W234" s="3"/>
      <c r="X234" s="3"/>
      <c r="Y234" s="3"/>
      <c r="Z234" s="4"/>
      <c r="AA234" s="452">
        <f t="shared" ref="AA234:AJ236" si="808">(1+AA19)*(1+V19)*(1+Q19)-1</f>
        <v>0.4706</v>
      </c>
      <c r="AB234" s="452">
        <f t="shared" si="808"/>
        <v>0.4883</v>
      </c>
      <c r="AC234" s="452">
        <f t="shared" si="808"/>
        <v>0.3986</v>
      </c>
      <c r="AD234" s="452">
        <f t="shared" si="808"/>
        <v>0.344</v>
      </c>
      <c r="AE234" s="64">
        <f t="shared" si="808"/>
        <v>0.4145</v>
      </c>
      <c r="AF234" s="452">
        <f t="shared" si="808"/>
        <v>0.32354</v>
      </c>
      <c r="AG234" s="452">
        <f t="shared" si="808"/>
        <v>0.324587</v>
      </c>
      <c r="AH234" s="452">
        <f t="shared" si="808"/>
        <v>0.300698</v>
      </c>
      <c r="AI234" s="452">
        <f t="shared" si="808"/>
        <v>0.33056</v>
      </c>
      <c r="AJ234" s="64">
        <f t="shared" si="808"/>
        <v>0.315485</v>
      </c>
      <c r="AK234" s="452">
        <f t="shared" ref="AK234:AT236" si="809">(1+AK19)*(1+AF19)*(1+AA19)-1</f>
        <v>0.161</v>
      </c>
      <c r="AL234" s="452">
        <f t="shared" si="809"/>
        <v>0.119976</v>
      </c>
      <c r="AM234" s="452">
        <f t="shared" si="809"/>
        <v>0.0529460000000002</v>
      </c>
      <c r="AN234" s="452">
        <f t="shared" si="809"/>
        <v>0.0602900000000002</v>
      </c>
      <c r="AO234" s="64">
        <f t="shared" si="809"/>
        <v>0.0909232335273105</v>
      </c>
      <c r="AP234" s="452">
        <f t="shared" si="809"/>
        <v>-0.082</v>
      </c>
      <c r="AQ234" s="452">
        <f t="shared" si="809"/>
        <v>-0.055888</v>
      </c>
      <c r="AR234" s="452">
        <f t="shared" si="809"/>
        <v>-0.0324280000000001</v>
      </c>
      <c r="AS234" s="452">
        <f t="shared" si="809"/>
        <v>0.0299959999999999</v>
      </c>
      <c r="AT234" s="64">
        <f t="shared" si="809"/>
        <v>-0.0323985233062115</v>
      </c>
      <c r="AU234" s="452">
        <f t="shared" ref="AU234:AU236" si="810">(1+AU19)*(1+AP19)*(1+AK19)-1</f>
        <v>0.0352999999999999</v>
      </c>
      <c r="AV234" s="452">
        <f t="shared" ref="AV234:AV236" si="811">(1+AV19)*(1+AQ19)*(1+AL19)-1</f>
        <v>0.0767119999999999</v>
      </c>
      <c r="AW234" s="452">
        <f t="shared" ref="AW234:AW236" si="812">(1+AW19)*(1+AR19)*(1+AM19)-1</f>
        <v>0.056006</v>
      </c>
      <c r="AX234" s="452">
        <f t="shared" ref="AX234:AX236" si="813">(1+AX19)*(1+AS19)*(1+AN19)-1</f>
        <v>0.056006</v>
      </c>
      <c r="AY234" s="64">
        <f t="shared" ref="AY234:AY236" si="814">(1+AY19)*(1+AT19)*(1+AO19)-1</f>
        <v>0.05603817080021</v>
      </c>
    </row>
    <row r="235" spans="1:51">
      <c r="A235" s="29" t="s">
        <v>119</v>
      </c>
      <c r="B235" s="135"/>
      <c r="C235" s="135"/>
      <c r="D235" s="135"/>
      <c r="E235" s="135"/>
      <c r="F235" s="135"/>
      <c r="G235" s="3"/>
      <c r="H235" s="3"/>
      <c r="I235" s="3"/>
      <c r="J235" s="3"/>
      <c r="K235" s="4"/>
      <c r="L235" s="3"/>
      <c r="M235" s="3"/>
      <c r="N235" s="3"/>
      <c r="O235" s="3"/>
      <c r="P235" s="4"/>
      <c r="Q235" s="3"/>
      <c r="R235" s="3"/>
      <c r="S235" s="3"/>
      <c r="T235" s="3"/>
      <c r="U235" s="4"/>
      <c r="V235" s="3"/>
      <c r="W235" s="3"/>
      <c r="X235" s="3"/>
      <c r="Y235" s="3"/>
      <c r="Z235" s="4"/>
      <c r="AA235" s="452">
        <f t="shared" si="808"/>
        <v>0.0621999999999998</v>
      </c>
      <c r="AB235" s="452">
        <f t="shared" si="808"/>
        <v>0.2075</v>
      </c>
      <c r="AC235" s="452">
        <f t="shared" si="808"/>
        <v>0.2947</v>
      </c>
      <c r="AD235" s="452">
        <f t="shared" si="808"/>
        <v>0.3144</v>
      </c>
      <c r="AE235" s="64">
        <f t="shared" si="808"/>
        <v>0.2376</v>
      </c>
      <c r="AF235" s="452">
        <f t="shared" si="808"/>
        <v>0.306506</v>
      </c>
      <c r="AG235" s="452">
        <f t="shared" si="808"/>
        <v>0.436925</v>
      </c>
      <c r="AH235" s="452">
        <f t="shared" si="808"/>
        <v>0.488905</v>
      </c>
      <c r="AI235" s="452">
        <f t="shared" si="808"/>
        <v>0.353832</v>
      </c>
      <c r="AJ235" s="64">
        <f t="shared" si="808"/>
        <v>0.398488</v>
      </c>
      <c r="AK235" s="452">
        <f t="shared" si="809"/>
        <v>0.362102</v>
      </c>
      <c r="AL235" s="452">
        <f t="shared" si="809"/>
        <v>0.327445</v>
      </c>
      <c r="AM235" s="452">
        <f t="shared" si="809"/>
        <v>0.377585</v>
      </c>
      <c r="AN235" s="452">
        <f t="shared" si="809"/>
        <v>0.315516</v>
      </c>
      <c r="AO235" s="64">
        <f t="shared" si="809"/>
        <v>0.339050919531253</v>
      </c>
      <c r="AP235" s="452">
        <f t="shared" si="809"/>
        <v>0.241562</v>
      </c>
      <c r="AQ235" s="452">
        <f t="shared" si="809"/>
        <v>0.188929</v>
      </c>
      <c r="AR235" s="452">
        <f t="shared" si="809"/>
        <v>0.16127</v>
      </c>
      <c r="AS235" s="452">
        <f t="shared" si="809"/>
        <v>0.0821179999999999</v>
      </c>
      <c r="AT235" s="64">
        <f t="shared" si="809"/>
        <v>0.152582775290254</v>
      </c>
      <c r="AU235" s="452">
        <f t="shared" si="810"/>
        <v>0.0295879999999999</v>
      </c>
      <c r="AV235" s="452">
        <f t="shared" si="811"/>
        <v>0.019082</v>
      </c>
      <c r="AW235" s="452">
        <f t="shared" si="812"/>
        <v>0.0350449999999998</v>
      </c>
      <c r="AX235" s="452">
        <f t="shared" si="813"/>
        <v>0.076865</v>
      </c>
      <c r="AY235" s="64">
        <f t="shared" si="814"/>
        <v>0.043285560275409</v>
      </c>
    </row>
    <row r="236" s="157" customFormat="1" spans="1:51">
      <c r="A236" s="2" t="s">
        <v>70</v>
      </c>
      <c r="B236" s="295"/>
      <c r="C236" s="295"/>
      <c r="D236" s="295"/>
      <c r="E236" s="295"/>
      <c r="F236" s="295"/>
      <c r="G236" s="2"/>
      <c r="H236" s="2"/>
      <c r="I236" s="2"/>
      <c r="J236" s="2"/>
      <c r="K236" s="295"/>
      <c r="L236" s="2"/>
      <c r="M236" s="2"/>
      <c r="N236" s="2"/>
      <c r="O236" s="2"/>
      <c r="P236" s="295"/>
      <c r="Q236" s="2"/>
      <c r="R236" s="2"/>
      <c r="S236" s="2"/>
      <c r="T236" s="2"/>
      <c r="U236" s="295"/>
      <c r="V236" s="2"/>
      <c r="W236" s="2"/>
      <c r="X236" s="2"/>
      <c r="Y236" s="2"/>
      <c r="Z236" s="295"/>
      <c r="AA236" s="453">
        <f t="shared" si="808"/>
        <v>0.2463</v>
      </c>
      <c r="AB236" s="453">
        <f t="shared" si="808"/>
        <v>0.3334</v>
      </c>
      <c r="AC236" s="453">
        <f t="shared" si="808"/>
        <v>0.3456</v>
      </c>
      <c r="AD236" s="453">
        <f t="shared" si="808"/>
        <v>0.3224</v>
      </c>
      <c r="AE236" s="371">
        <f t="shared" si="808"/>
        <v>0.3221</v>
      </c>
      <c r="AF236" s="453">
        <f t="shared" si="808"/>
        <v>0.296152</v>
      </c>
      <c r="AG236" s="453">
        <f t="shared" si="808"/>
        <v>0.373402</v>
      </c>
      <c r="AH236" s="453">
        <f t="shared" si="808"/>
        <v>0.385968</v>
      </c>
      <c r="AI236" s="453">
        <f t="shared" si="808"/>
        <v>0.335624</v>
      </c>
      <c r="AJ236" s="371">
        <f t="shared" si="808"/>
        <v>0.361763</v>
      </c>
      <c r="AK236" s="453">
        <f t="shared" si="809"/>
        <v>0.245816</v>
      </c>
      <c r="AL236" s="453">
        <f t="shared" si="809"/>
        <v>0.2154</v>
      </c>
      <c r="AM236" s="453">
        <f t="shared" si="809"/>
        <v>0.199997349774023</v>
      </c>
      <c r="AN236" s="453">
        <f t="shared" si="809"/>
        <v>0.180380823268867</v>
      </c>
      <c r="AO236" s="371">
        <f t="shared" si="809"/>
        <v>0.213491316975777</v>
      </c>
      <c r="AP236" s="453">
        <f t="shared" si="809"/>
        <v>0.0552678193569702</v>
      </c>
      <c r="AQ236" s="453">
        <f t="shared" si="809"/>
        <v>0.0560470941959708</v>
      </c>
      <c r="AR236" s="453">
        <f t="shared" si="809"/>
        <v>0.0551700834219861</v>
      </c>
      <c r="AS236" s="453">
        <f t="shared" si="809"/>
        <v>0.0561302102931962</v>
      </c>
      <c r="AT236" s="371">
        <f t="shared" si="809"/>
        <v>0.0602000465271721</v>
      </c>
      <c r="AU236" s="453">
        <f t="shared" si="810"/>
        <v>0.0323898044746405</v>
      </c>
      <c r="AV236" s="453">
        <f t="shared" si="811"/>
        <v>0.0433788562785473</v>
      </c>
      <c r="AW236" s="453">
        <f t="shared" si="812"/>
        <v>0.045026408277637</v>
      </c>
      <c r="AX236" s="453">
        <f t="shared" si="813"/>
        <v>0.0667395542422717</v>
      </c>
      <c r="AY236" s="371">
        <f t="shared" si="814"/>
        <v>0.0488928616807562</v>
      </c>
    </row>
    <row r="238" spans="1:51">
      <c r="A238" s="267" t="s">
        <v>120</v>
      </c>
      <c r="B238" s="268"/>
      <c r="C238" s="268"/>
      <c r="D238" s="268"/>
      <c r="E238" s="268"/>
      <c r="F238" s="268"/>
      <c r="G238" s="454"/>
      <c r="H238" s="454"/>
      <c r="I238" s="454"/>
      <c r="J238" s="454"/>
      <c r="K238" s="455"/>
      <c r="L238" s="454"/>
      <c r="M238" s="454"/>
      <c r="N238" s="454"/>
      <c r="O238" s="454"/>
      <c r="P238" s="455"/>
      <c r="Q238" s="454"/>
      <c r="R238" s="454"/>
      <c r="S238" s="454"/>
      <c r="T238" s="454"/>
      <c r="U238" s="455"/>
      <c r="V238" s="454"/>
      <c r="W238" s="454"/>
      <c r="X238" s="454"/>
      <c r="Y238" s="454"/>
      <c r="Z238" s="455"/>
      <c r="AA238" s="454"/>
      <c r="AB238" s="454"/>
      <c r="AC238" s="454"/>
      <c r="AD238" s="454"/>
      <c r="AE238" s="455"/>
      <c r="AF238" s="454"/>
      <c r="AG238" s="454"/>
      <c r="AH238" s="454"/>
      <c r="AI238" s="454"/>
      <c r="AJ238" s="455"/>
      <c r="AK238" s="454"/>
      <c r="AL238" s="454"/>
      <c r="AM238" s="454"/>
      <c r="AN238" s="454"/>
      <c r="AO238" s="455"/>
      <c r="AP238" s="454"/>
      <c r="AQ238" s="454"/>
      <c r="AR238" s="454"/>
      <c r="AS238" s="454"/>
      <c r="AT238" s="455"/>
      <c r="AU238" s="454"/>
      <c r="AV238" s="454"/>
      <c r="AW238" s="454"/>
      <c r="AX238" s="454"/>
      <c r="AY238" s="455"/>
    </row>
    <row r="239" spans="1:51">
      <c r="A239" s="3" t="s">
        <v>121</v>
      </c>
      <c r="AE239" s="92">
        <v>39200</v>
      </c>
      <c r="AJ239" s="92">
        <v>43200</v>
      </c>
    </row>
    <row r="240" spans="1:51">
      <c r="A240" s="29" t="s">
        <v>122</v>
      </c>
      <c r="B240" s="135"/>
      <c r="C240" s="135"/>
      <c r="D240" s="135"/>
      <c r="E240" s="135"/>
      <c r="F240" s="135"/>
      <c r="AE240" s="92">
        <v>32600</v>
      </c>
      <c r="AJ240" s="92">
        <v>36600</v>
      </c>
    </row>
    <row r="241" spans="1:51">
      <c r="A241" s="29" t="s">
        <v>123</v>
      </c>
      <c r="B241" s="135"/>
      <c r="C241" s="135"/>
      <c r="D241" s="135"/>
      <c r="E241" s="135"/>
      <c r="F241" s="135"/>
      <c r="AE241" s="90">
        <f>AE239-AE240</f>
        <v>6600</v>
      </c>
      <c r="AF241" s="456"/>
      <c r="AG241" s="456"/>
      <c r="AH241" s="456"/>
      <c r="AI241" s="456"/>
      <c r="AJ241" s="90">
        <f>AJ239-AJ240</f>
        <v>6600</v>
      </c>
      <c r="AL241" s="456"/>
    </row>
    <row r="248" spans="1:51">
      <c r="A248" s="14" t="s">
        <v>124</v>
      </c>
      <c r="B248" s="15"/>
      <c r="C248" s="15"/>
      <c r="D248" s="15"/>
      <c r="E248" s="15"/>
      <c r="F248" s="15"/>
      <c r="G248" s="192"/>
      <c r="H248" s="192"/>
      <c r="I248" s="192"/>
      <c r="J248" s="192"/>
      <c r="K248" s="193"/>
      <c r="L248" s="192"/>
      <c r="M248" s="192"/>
      <c r="N248" s="192"/>
      <c r="O248" s="192"/>
      <c r="P248" s="193"/>
      <c r="Q248" s="192"/>
      <c r="R248" s="192"/>
      <c r="S248" s="192"/>
      <c r="T248" s="192"/>
      <c r="U248" s="193"/>
      <c r="V248" s="192"/>
      <c r="W248" s="192"/>
      <c r="X248" s="192"/>
      <c r="Y248" s="192"/>
      <c r="Z248" s="193"/>
      <c r="AA248" s="192"/>
      <c r="AB248" s="192"/>
      <c r="AC248" s="192"/>
      <c r="AD248" s="192"/>
      <c r="AE248" s="193"/>
      <c r="AF248" s="192"/>
      <c r="AG248" s="192"/>
      <c r="AH248" s="192"/>
      <c r="AI248" s="192"/>
      <c r="AJ248" s="193"/>
      <c r="AK248" s="192"/>
      <c r="AL248" s="192"/>
      <c r="AM248" s="192" t="str">
        <f t="shared" ref="AM248:AT248" si="815">AM3</f>
        <v>3Q26E</v>
      </c>
      <c r="AN248" s="192" t="str">
        <f t="shared" si="815"/>
        <v>4Q26E</v>
      </c>
      <c r="AO248" s="192" t="str">
        <f t="shared" si="815"/>
        <v>FY26E</v>
      </c>
      <c r="AP248" s="192" t="str">
        <f t="shared" si="815"/>
        <v>1Q27E</v>
      </c>
      <c r="AQ248" s="192" t="str">
        <f t="shared" si="815"/>
        <v>2Q27E</v>
      </c>
      <c r="AR248" s="192" t="str">
        <f t="shared" si="815"/>
        <v>3Q27E</v>
      </c>
      <c r="AS248" s="192" t="str">
        <f t="shared" si="815"/>
        <v>4Q27E</v>
      </c>
      <c r="AT248" s="192" t="str">
        <f t="shared" si="815"/>
        <v>FY27E</v>
      </c>
      <c r="AU248" s="192" t="str">
        <f t="shared" ref="AU248:AY248" si="816">AU3</f>
        <v>1Q28E</v>
      </c>
      <c r="AV248" s="192" t="str">
        <f t="shared" si="816"/>
        <v>2Q28E</v>
      </c>
      <c r="AW248" s="192" t="str">
        <f t="shared" si="816"/>
        <v>3Q28E</v>
      </c>
      <c r="AX248" s="192" t="str">
        <f t="shared" si="816"/>
        <v>4Q28E</v>
      </c>
      <c r="AY248" s="192" t="str">
        <f t="shared" si="816"/>
        <v>FY28E</v>
      </c>
    </row>
    <row r="249" spans="1:51">
      <c r="A249" s="391" t="s">
        <v>125</v>
      </c>
      <c r="B249" s="389"/>
      <c r="C249" s="389"/>
      <c r="D249" s="389"/>
      <c r="E249" s="389"/>
      <c r="F249" s="389"/>
      <c r="G249" s="244"/>
      <c r="H249" s="244"/>
      <c r="I249" s="244"/>
      <c r="J249" s="244"/>
      <c r="K249" s="245"/>
      <c r="L249" s="244"/>
      <c r="M249" s="244"/>
      <c r="N249" s="244"/>
      <c r="O249" s="244"/>
      <c r="P249" s="245"/>
      <c r="Q249" s="244"/>
      <c r="R249" s="244"/>
      <c r="S249" s="244"/>
      <c r="T249" s="244"/>
      <c r="U249" s="245"/>
      <c r="V249" s="244"/>
      <c r="W249" s="244"/>
      <c r="X249" s="244"/>
      <c r="Y249" s="244"/>
      <c r="Z249" s="245"/>
      <c r="AA249" s="244"/>
      <c r="AB249" s="244"/>
      <c r="AC249" s="244"/>
      <c r="AD249" s="244"/>
      <c r="AE249" s="245"/>
      <c r="AF249" s="244"/>
      <c r="AG249" s="244"/>
      <c r="AH249" s="249"/>
      <c r="AI249" s="249"/>
      <c r="AJ249" s="245"/>
      <c r="AK249" s="249"/>
      <c r="AL249" s="244"/>
      <c r="AM249" s="249"/>
      <c r="AN249" s="249"/>
      <c r="AO249" s="250"/>
      <c r="AP249" s="249"/>
      <c r="AQ249" s="249"/>
      <c r="AR249" s="249"/>
      <c r="AS249" s="249"/>
      <c r="AT249" s="250"/>
      <c r="AU249" s="249"/>
      <c r="AV249" s="249"/>
      <c r="AW249" s="249"/>
      <c r="AX249" s="249"/>
      <c r="AY249" s="250"/>
    </row>
    <row r="250" spans="1:51">
      <c r="A250" s="3" t="s">
        <v>126</v>
      </c>
      <c r="AG250" s="6"/>
      <c r="AH250" s="123"/>
      <c r="AI250" s="123"/>
      <c r="AK250" s="123"/>
      <c r="AL250" s="6"/>
      <c r="AM250" s="123">
        <f t="shared" ref="AM250:AY250" si="817">AM7/10^3</f>
        <v>666.7326</v>
      </c>
      <c r="AN250" s="123">
        <f t="shared" si="817"/>
        <v>862.95714</v>
      </c>
      <c r="AO250" s="122">
        <f t="shared" si="817"/>
        <v>2691.21674</v>
      </c>
      <c r="AP250" s="123">
        <f t="shared" si="817"/>
        <v>592.95495</v>
      </c>
      <c r="AQ250" s="123">
        <f t="shared" si="817"/>
        <v>620.68032</v>
      </c>
      <c r="AR250" s="123">
        <f t="shared" si="817"/>
        <v>693.401904</v>
      </c>
      <c r="AS250" s="123">
        <f t="shared" si="817"/>
        <v>897.4754256</v>
      </c>
      <c r="AT250" s="122">
        <f t="shared" si="817"/>
        <v>2804.5125996</v>
      </c>
      <c r="AU250" s="123">
        <f t="shared" si="817"/>
        <v>607.77882375</v>
      </c>
      <c r="AV250" s="123">
        <f t="shared" si="817"/>
        <v>636.197328</v>
      </c>
      <c r="AW250" s="123">
        <f t="shared" si="817"/>
        <v>710.7369516</v>
      </c>
      <c r="AX250" s="123">
        <f t="shared" si="817"/>
        <v>919.91231124</v>
      </c>
      <c r="AY250" s="122">
        <f t="shared" si="817"/>
        <v>2874.62541459</v>
      </c>
    </row>
    <row r="251" spans="1:51">
      <c r="A251" s="29" t="s">
        <v>127</v>
      </c>
      <c r="B251" s="135"/>
      <c r="C251" s="135"/>
      <c r="D251" s="135"/>
      <c r="E251" s="135"/>
      <c r="F251" s="135"/>
      <c r="AG251" s="6"/>
      <c r="AH251" s="136"/>
      <c r="AI251" s="136"/>
      <c r="AK251" s="136"/>
      <c r="AL251" s="6"/>
      <c r="AM251" s="136">
        <f t="shared" ref="AM251:AY251" si="818">AM19</f>
        <v>0.02</v>
      </c>
      <c r="AN251" s="136">
        <f t="shared" si="818"/>
        <v>0.02</v>
      </c>
      <c r="AO251" s="246">
        <f t="shared" si="818"/>
        <v>0.0200310738918286</v>
      </c>
      <c r="AP251" s="136">
        <f t="shared" si="818"/>
        <v>0.02</v>
      </c>
      <c r="AQ251" s="136">
        <f t="shared" si="818"/>
        <v>0.02</v>
      </c>
      <c r="AR251" s="136">
        <f t="shared" si="818"/>
        <v>0.02</v>
      </c>
      <c r="AS251" s="136">
        <f t="shared" si="818"/>
        <v>0.02</v>
      </c>
      <c r="AT251" s="246">
        <f t="shared" si="818"/>
        <v>0.02</v>
      </c>
      <c r="AU251" s="136">
        <f t="shared" si="818"/>
        <v>0.015</v>
      </c>
      <c r="AV251" s="136">
        <f t="shared" si="818"/>
        <v>0.015</v>
      </c>
      <c r="AW251" s="136">
        <f t="shared" si="818"/>
        <v>0.015</v>
      </c>
      <c r="AX251" s="136">
        <f t="shared" si="818"/>
        <v>0.015</v>
      </c>
      <c r="AY251" s="246">
        <f t="shared" si="818"/>
        <v>0.015</v>
      </c>
    </row>
    <row r="252" spans="1:51">
      <c r="A252" s="29" t="s">
        <v>128</v>
      </c>
      <c r="B252" s="135"/>
      <c r="C252" s="135"/>
      <c r="D252" s="135"/>
      <c r="E252" s="135"/>
      <c r="F252" s="135"/>
      <c r="AG252" s="6"/>
      <c r="AH252" s="136"/>
      <c r="AI252" s="136"/>
      <c r="AK252" s="136"/>
      <c r="AL252" s="6"/>
      <c r="AM252" s="136">
        <f t="shared" ref="AM252:AY252" si="819">AM34+AM29</f>
        <v>0.06</v>
      </c>
      <c r="AN252" s="136">
        <f t="shared" si="819"/>
        <v>0.05</v>
      </c>
      <c r="AO252" s="246">
        <f t="shared" si="819"/>
        <v>0.0463254655640912</v>
      </c>
      <c r="AP252" s="136">
        <f t="shared" si="819"/>
        <v>0.03</v>
      </c>
      <c r="AQ252" s="136">
        <f t="shared" si="819"/>
        <v>0.02</v>
      </c>
      <c r="AR252" s="136">
        <f t="shared" si="819"/>
        <v>0.02</v>
      </c>
      <c r="AS252" s="136">
        <f t="shared" si="819"/>
        <v>0.02</v>
      </c>
      <c r="AT252" s="246">
        <f t="shared" si="819"/>
        <v>0.0220983779998336</v>
      </c>
      <c r="AU252" s="136">
        <f t="shared" si="819"/>
        <v>0.01</v>
      </c>
      <c r="AV252" s="136">
        <f t="shared" si="819"/>
        <v>0.01</v>
      </c>
      <c r="AW252" s="136">
        <f t="shared" si="819"/>
        <v>0.01</v>
      </c>
      <c r="AX252" s="136">
        <f t="shared" si="819"/>
        <v>0.01</v>
      </c>
      <c r="AY252" s="246">
        <f t="shared" si="819"/>
        <v>0.01</v>
      </c>
    </row>
    <row r="253" spans="1:51">
      <c r="A253" s="3" t="s">
        <v>129</v>
      </c>
      <c r="AH253" s="123"/>
      <c r="AI253" s="123"/>
      <c r="AK253" s="123"/>
      <c r="AM253" s="123">
        <f t="shared" ref="AM253:AY253" si="820">AM8/10^3</f>
        <v>700.20496</v>
      </c>
      <c r="AN253" s="123">
        <f t="shared" si="820"/>
        <v>923.731</v>
      </c>
      <c r="AO253" s="122">
        <f t="shared" si="820"/>
        <v>2842.91896</v>
      </c>
      <c r="AP253" s="123">
        <f t="shared" si="820"/>
        <v>571.06608</v>
      </c>
      <c r="AQ253" s="123">
        <f t="shared" si="820"/>
        <v>696.67624</v>
      </c>
      <c r="AR253" s="123">
        <f t="shared" si="820"/>
        <v>721.2111088</v>
      </c>
      <c r="AS253" s="123">
        <f t="shared" si="820"/>
        <v>951.44293</v>
      </c>
      <c r="AT253" s="122">
        <f t="shared" si="820"/>
        <v>2940.3963588</v>
      </c>
      <c r="AU253" s="123">
        <f t="shared" si="820"/>
        <v>588.1980624</v>
      </c>
      <c r="AV253" s="123">
        <f t="shared" si="820"/>
        <v>717.5765272</v>
      </c>
      <c r="AW253" s="123">
        <f t="shared" si="820"/>
        <v>746.453497608</v>
      </c>
      <c r="AX253" s="123">
        <f t="shared" si="820"/>
        <v>984.74343255</v>
      </c>
      <c r="AY253" s="122">
        <f t="shared" si="820"/>
        <v>3036.971519758</v>
      </c>
    </row>
    <row r="254" spans="1:51">
      <c r="A254" s="29" t="s">
        <v>127</v>
      </c>
      <c r="B254" s="135"/>
      <c r="C254" s="135"/>
      <c r="D254" s="135"/>
      <c r="E254" s="135"/>
      <c r="F254" s="135"/>
      <c r="AH254" s="136"/>
      <c r="AI254" s="136"/>
      <c r="AK254" s="136"/>
      <c r="AM254" s="136">
        <f t="shared" ref="AM254:AY254" si="821">AM20</f>
        <v>-0.01</v>
      </c>
      <c r="AN254" s="136">
        <f t="shared" si="821"/>
        <v>0.03</v>
      </c>
      <c r="AO254" s="246">
        <f t="shared" si="821"/>
        <v>-0.00420099685338526</v>
      </c>
      <c r="AP254" s="136">
        <f t="shared" si="821"/>
        <v>0.03</v>
      </c>
      <c r="AQ254" s="136">
        <f t="shared" si="821"/>
        <v>0.03</v>
      </c>
      <c r="AR254" s="136">
        <f t="shared" si="821"/>
        <v>0.02</v>
      </c>
      <c r="AS254" s="136">
        <f t="shared" si="821"/>
        <v>0.02</v>
      </c>
      <c r="AT254" s="246">
        <f t="shared" si="821"/>
        <v>0.0242877866627616</v>
      </c>
      <c r="AU254" s="136">
        <f t="shared" si="821"/>
        <v>0.02</v>
      </c>
      <c r="AV254" s="136">
        <f t="shared" si="821"/>
        <v>0.02</v>
      </c>
      <c r="AW254" s="136">
        <f t="shared" si="821"/>
        <v>0.025</v>
      </c>
      <c r="AX254" s="136">
        <f t="shared" si="821"/>
        <v>0.025</v>
      </c>
      <c r="AY254" s="246">
        <f t="shared" si="821"/>
        <v>0.0228442662734806</v>
      </c>
    </row>
    <row r="255" spans="1:51">
      <c r="A255" s="29" t="s">
        <v>128</v>
      </c>
      <c r="B255" s="135"/>
      <c r="C255" s="135"/>
      <c r="D255" s="135"/>
      <c r="E255" s="135"/>
      <c r="F255" s="135"/>
      <c r="AH255" s="136"/>
      <c r="AI255" s="136"/>
      <c r="AK255" s="136"/>
      <c r="AM255" s="136">
        <f t="shared" ref="AM255:AY255" si="822">AM35+AM30</f>
        <v>0.05</v>
      </c>
      <c r="AN255" s="136">
        <f t="shared" si="822"/>
        <v>0.04</v>
      </c>
      <c r="AO255" s="246">
        <f t="shared" si="822"/>
        <v>0.0408032359285078</v>
      </c>
      <c r="AP255" s="136">
        <f t="shared" si="822"/>
        <v>0.01</v>
      </c>
      <c r="AQ255" s="136">
        <f t="shared" si="822"/>
        <v>0.01</v>
      </c>
      <c r="AR255" s="136">
        <f t="shared" si="822"/>
        <v>0.01</v>
      </c>
      <c r="AS255" s="136">
        <f t="shared" si="822"/>
        <v>0.01</v>
      </c>
      <c r="AT255" s="246">
        <f t="shared" si="822"/>
        <v>0.01</v>
      </c>
      <c r="AU255" s="136">
        <f t="shared" si="822"/>
        <v>0.01</v>
      </c>
      <c r="AV255" s="136">
        <f t="shared" si="822"/>
        <v>0.01</v>
      </c>
      <c r="AW255" s="136">
        <f t="shared" si="822"/>
        <v>0.01</v>
      </c>
      <c r="AX255" s="136">
        <f t="shared" si="822"/>
        <v>0.01</v>
      </c>
      <c r="AY255" s="246">
        <f t="shared" si="822"/>
        <v>0.01</v>
      </c>
    </row>
    <row r="256" spans="1:51">
      <c r="A256" s="3" t="s">
        <v>130</v>
      </c>
      <c r="AH256" s="123"/>
      <c r="AI256" s="123"/>
      <c r="AK256" s="123"/>
      <c r="AM256" s="123">
        <f t="shared" ref="AM256:AY256" si="823">AM9/10^3</f>
        <v>1366.93756</v>
      </c>
      <c r="AN256" s="123">
        <f t="shared" si="823"/>
        <v>1786.68814</v>
      </c>
      <c r="AO256" s="122">
        <f t="shared" si="823"/>
        <v>5534.1357</v>
      </c>
      <c r="AP256" s="123">
        <f t="shared" si="823"/>
        <v>1164.02103</v>
      </c>
      <c r="AQ256" s="123">
        <f t="shared" si="823"/>
        <v>1317.35656</v>
      </c>
      <c r="AR256" s="123">
        <f t="shared" si="823"/>
        <v>1414.6130128</v>
      </c>
      <c r="AS256" s="123">
        <f t="shared" si="823"/>
        <v>1848.9183556</v>
      </c>
      <c r="AT256" s="122">
        <f t="shared" si="823"/>
        <v>5744.9089584</v>
      </c>
      <c r="AU256" s="123">
        <f t="shared" si="823"/>
        <v>1195.97688615</v>
      </c>
      <c r="AV256" s="123">
        <f t="shared" si="823"/>
        <v>1353.7738552</v>
      </c>
      <c r="AW256" s="123">
        <f t="shared" si="823"/>
        <v>1457.190449208</v>
      </c>
      <c r="AX256" s="123">
        <f t="shared" si="823"/>
        <v>1904.65574379</v>
      </c>
      <c r="AY256" s="122">
        <f t="shared" si="823"/>
        <v>5911.596934348</v>
      </c>
    </row>
    <row r="257" spans="1:51">
      <c r="A257" s="29" t="s">
        <v>127</v>
      </c>
      <c r="B257" s="135"/>
      <c r="C257" s="135"/>
      <c r="D257" s="135"/>
      <c r="E257" s="135"/>
      <c r="F257" s="135"/>
      <c r="AH257" s="136"/>
      <c r="AI257" s="136"/>
      <c r="AK257" s="136"/>
      <c r="AM257" s="136">
        <f t="shared" ref="AM257:AY257" si="824">AM21</f>
        <v>0.00434997470206157</v>
      </c>
      <c r="AN257" s="136">
        <f t="shared" si="824"/>
        <v>0.0251700740566846</v>
      </c>
      <c r="AO257" s="246">
        <f t="shared" si="824"/>
        <v>0.00696317067112875</v>
      </c>
      <c r="AP257" s="136">
        <f t="shared" si="824"/>
        <v>0.0249298944803519</v>
      </c>
      <c r="AQ257" s="136">
        <f t="shared" si="824"/>
        <v>0.0252884409669619</v>
      </c>
      <c r="AR257" s="136">
        <f t="shared" si="824"/>
        <v>0.02</v>
      </c>
      <c r="AS257" s="136">
        <f t="shared" si="824"/>
        <v>0.02</v>
      </c>
      <c r="AT257" s="246">
        <f t="shared" si="824"/>
        <v>0.0222026619260529</v>
      </c>
      <c r="AU257" s="136">
        <f t="shared" si="824"/>
        <v>0.0174529886715191</v>
      </c>
      <c r="AV257" s="136">
        <f t="shared" si="824"/>
        <v>0.0176442204834809</v>
      </c>
      <c r="AW257" s="136">
        <f t="shared" si="824"/>
        <v>0.0200982926233124</v>
      </c>
      <c r="AX257" s="136">
        <f t="shared" si="824"/>
        <v>0.020145943449143</v>
      </c>
      <c r="AY257" s="246">
        <f t="shared" si="824"/>
        <v>0.0190149029610425</v>
      </c>
    </row>
    <row r="258" spans="1:51">
      <c r="A258" s="29" t="s">
        <v>128</v>
      </c>
      <c r="B258" s="135"/>
      <c r="C258" s="135"/>
      <c r="D258" s="135"/>
      <c r="E258" s="135"/>
      <c r="F258" s="135"/>
      <c r="AH258" s="136"/>
      <c r="AI258" s="136"/>
      <c r="AK258" s="136"/>
      <c r="AM258" s="136">
        <f t="shared" ref="AM258:AY258" si="825">AM36+AM31</f>
        <v>0.0547833249006872</v>
      </c>
      <c r="AN258" s="136">
        <f t="shared" si="825"/>
        <v>0.0448299259433154</v>
      </c>
      <c r="AO258" s="246">
        <f t="shared" si="825"/>
        <v>0.0438844515049338</v>
      </c>
      <c r="AP258" s="136">
        <f t="shared" si="825"/>
        <v>0.0201402110392963</v>
      </c>
      <c r="AQ258" s="136">
        <f t="shared" si="825"/>
        <v>0.0147115590330381</v>
      </c>
      <c r="AR258" s="136">
        <f t="shared" si="825"/>
        <v>0.0148775644148662</v>
      </c>
      <c r="AS258" s="136">
        <f t="shared" si="825"/>
        <v>0.0148299259433154</v>
      </c>
      <c r="AT258" s="246">
        <f t="shared" si="825"/>
        <v>0.015883368093052</v>
      </c>
      <c r="AU258" s="136">
        <f t="shared" si="825"/>
        <v>0.01</v>
      </c>
      <c r="AV258" s="136">
        <f t="shared" si="825"/>
        <v>0.01</v>
      </c>
      <c r="AW258" s="136">
        <f t="shared" si="825"/>
        <v>0.01</v>
      </c>
      <c r="AX258" s="136">
        <f t="shared" si="825"/>
        <v>0.01</v>
      </c>
      <c r="AY258" s="246">
        <f t="shared" si="825"/>
        <v>0.01</v>
      </c>
    </row>
    <row r="261" spans="1:51">
      <c r="A261" s="391" t="s">
        <v>131</v>
      </c>
      <c r="B261" s="389"/>
      <c r="C261" s="389"/>
      <c r="D261" s="389"/>
      <c r="E261" s="389"/>
      <c r="F261" s="389"/>
      <c r="G261" s="244"/>
      <c r="H261" s="244"/>
      <c r="I261" s="244"/>
      <c r="J261" s="244"/>
      <c r="K261" s="245"/>
      <c r="L261" s="244"/>
      <c r="M261" s="244"/>
      <c r="N261" s="244"/>
      <c r="O261" s="244"/>
      <c r="P261" s="245"/>
      <c r="Q261" s="244"/>
      <c r="R261" s="244"/>
      <c r="S261" s="244"/>
      <c r="T261" s="244"/>
      <c r="U261" s="245"/>
      <c r="V261" s="244"/>
      <c r="W261" s="244"/>
      <c r="X261" s="244"/>
      <c r="Y261" s="244"/>
      <c r="Z261" s="245"/>
      <c r="AA261" s="244"/>
      <c r="AB261" s="244"/>
      <c r="AC261" s="244"/>
      <c r="AD261" s="244"/>
      <c r="AE261" s="245"/>
      <c r="AF261" s="244"/>
      <c r="AG261" s="244"/>
      <c r="AH261" s="249"/>
      <c r="AI261" s="249"/>
      <c r="AJ261" s="245"/>
      <c r="AK261" s="457"/>
      <c r="AL261" s="244"/>
      <c r="AM261" s="457" t="s">
        <v>132</v>
      </c>
      <c r="AN261" s="457" t="s">
        <v>133</v>
      </c>
      <c r="AO261" s="458" t="s">
        <v>134</v>
      </c>
      <c r="AP261" s="457" t="s">
        <v>135</v>
      </c>
      <c r="AQ261" s="457" t="s">
        <v>136</v>
      </c>
      <c r="AR261" s="457" t="s">
        <v>137</v>
      </c>
      <c r="AS261" s="457" t="s">
        <v>138</v>
      </c>
      <c r="AT261" s="458" t="s">
        <v>139</v>
      </c>
      <c r="AU261" s="457" t="s">
        <v>140</v>
      </c>
      <c r="AV261" s="457" t="s">
        <v>141</v>
      </c>
      <c r="AW261" s="457" t="s">
        <v>142</v>
      </c>
      <c r="AX261" s="457" t="s">
        <v>143</v>
      </c>
      <c r="AY261" s="458" t="s">
        <v>144</v>
      </c>
    </row>
    <row r="262" spans="1:51">
      <c r="A262" s="3" t="s">
        <v>126</v>
      </c>
      <c r="AG262" s="6"/>
      <c r="AH262" s="251"/>
      <c r="AI262" s="251"/>
      <c r="AK262" s="6"/>
      <c r="AL262" s="6"/>
      <c r="AM262" s="6">
        <v>663.262561943945</v>
      </c>
      <c r="AN262" s="6">
        <v>859.764315993612</v>
      </c>
      <c r="AO262" s="79">
        <v>2684.55387793756</v>
      </c>
      <c r="AP262" s="6">
        <v>595.306688652369</v>
      </c>
      <c r="AQ262" s="6">
        <v>624.636299926133</v>
      </c>
      <c r="AR262" s="6">
        <v>694.833753878208</v>
      </c>
      <c r="AS262" s="6">
        <v>899.986691711402</v>
      </c>
      <c r="AT262" s="79">
        <v>2811.43162861724</v>
      </c>
      <c r="AU262" s="6">
        <v>619.743447670506</v>
      </c>
      <c r="AV262" s="6">
        <v>648.417252120717</v>
      </c>
      <c r="AW262" s="6">
        <v>719.038347591542</v>
      </c>
      <c r="AX262" s="6">
        <v>933.559531579231</v>
      </c>
      <c r="AY262" s="79">
        <v>2922.56642766688</v>
      </c>
    </row>
    <row r="263" spans="1:51">
      <c r="A263" s="29" t="s">
        <v>127</v>
      </c>
      <c r="B263" s="135"/>
      <c r="C263" s="135"/>
      <c r="D263" s="135"/>
      <c r="E263" s="135"/>
      <c r="F263" s="135"/>
      <c r="AG263" s="6"/>
      <c r="AH263" s="136"/>
      <c r="AI263" s="136"/>
      <c r="AK263" s="136"/>
      <c r="AL263" s="6"/>
      <c r="AM263" s="136">
        <v>0.04</v>
      </c>
      <c r="AN263" s="136">
        <v>0.0322222222222222</v>
      </c>
      <c r="AO263" s="246">
        <v>0.0289801864555556</v>
      </c>
      <c r="AP263" s="136">
        <v>0.0264285714285714</v>
      </c>
      <c r="AQ263" s="136">
        <v>0.025</v>
      </c>
      <c r="AR263" s="136">
        <v>0.025</v>
      </c>
      <c r="AS263" s="136">
        <v>0.025</v>
      </c>
      <c r="AT263" s="246">
        <v>0.0230025661888889</v>
      </c>
      <c r="AU263" s="136">
        <v>0.02</v>
      </c>
      <c r="AV263" s="136">
        <v>0.02</v>
      </c>
      <c r="AW263" s="136">
        <v>0.02</v>
      </c>
      <c r="AX263" s="136">
        <v>0.02</v>
      </c>
      <c r="AY263" s="246">
        <v>0.02</v>
      </c>
    </row>
    <row r="264" spans="1:51">
      <c r="A264" s="29" t="s">
        <v>128</v>
      </c>
      <c r="B264" s="135"/>
      <c r="C264" s="135"/>
      <c r="D264" s="135"/>
      <c r="E264" s="135"/>
      <c r="F264" s="135"/>
      <c r="AG264" s="6"/>
      <c r="AH264" s="136"/>
      <c r="AI264" s="136"/>
      <c r="AK264" s="136"/>
      <c r="AL264" s="6"/>
      <c r="AM264" s="136">
        <v>0.0343790942454242</v>
      </c>
      <c r="AN264" s="136">
        <v>0.0338189233554339</v>
      </c>
      <c r="AO264" s="246">
        <v>0.0347388594172621</v>
      </c>
      <c r="AP264" s="136">
        <v>0.027735869022993</v>
      </c>
      <c r="AQ264" s="136">
        <v>0.0216285638294457</v>
      </c>
      <c r="AR264" s="136">
        <v>0.0215639372877606</v>
      </c>
      <c r="AS264" s="136">
        <v>0.0212400989191432</v>
      </c>
      <c r="AT264" s="246">
        <v>0.0242289431991574</v>
      </c>
      <c r="AU264" s="136">
        <v>0.021684975485143</v>
      </c>
      <c r="AV264" s="136">
        <v>0.0195233092353807</v>
      </c>
      <c r="AW264" s="136">
        <v>0.0163800420518481</v>
      </c>
      <c r="AX264" s="136">
        <v>0.0153343850449867</v>
      </c>
      <c r="AY264" s="246">
        <v>0.0176973469889103</v>
      </c>
    </row>
    <row r="265" spans="1:51">
      <c r="A265" s="3" t="s">
        <v>129</v>
      </c>
      <c r="AH265" s="6"/>
      <c r="AI265" s="6"/>
      <c r="AK265" s="6"/>
      <c r="AM265" s="6">
        <v>701.97325816272</v>
      </c>
      <c r="AN265" s="6">
        <v>923.102543907703</v>
      </c>
      <c r="AO265" s="79">
        <v>2844.05880207042</v>
      </c>
      <c r="AP265" s="6">
        <v>574.564454784051</v>
      </c>
      <c r="AQ265" s="6">
        <v>696.673620614932</v>
      </c>
      <c r="AR265" s="6">
        <v>725.508183566154</v>
      </c>
      <c r="AS265" s="6">
        <v>954.941601621253</v>
      </c>
      <c r="AT265" s="79">
        <v>2950.71344205639</v>
      </c>
      <c r="AU265" s="6">
        <v>589.203526159592</v>
      </c>
      <c r="AV265" s="6">
        <v>715.348117718439</v>
      </c>
      <c r="AW265" s="6">
        <v>746.816397904124</v>
      </c>
      <c r="AX265" s="6">
        <v>984.804875758733</v>
      </c>
      <c r="AY265" s="79">
        <v>3030.99043773844</v>
      </c>
    </row>
    <row r="266" spans="1:51">
      <c r="A266" s="29" t="s">
        <v>127</v>
      </c>
      <c r="B266" s="135"/>
      <c r="C266" s="135"/>
      <c r="D266" s="135"/>
      <c r="E266" s="135"/>
      <c r="F266" s="135"/>
      <c r="AH266" s="136"/>
      <c r="AI266" s="136"/>
      <c r="AK266" s="136"/>
      <c r="AM266" s="136">
        <v>0.0133433784444444</v>
      </c>
      <c r="AN266" s="136">
        <v>0.0412387910111111</v>
      </c>
      <c r="AO266" s="246">
        <v>0.00550111816666667</v>
      </c>
      <c r="AP266" s="136">
        <v>0.0272181496285714</v>
      </c>
      <c r="AQ266" s="136">
        <v>0.0278111477428571</v>
      </c>
      <c r="AR266" s="136">
        <v>0.0229572206285714</v>
      </c>
      <c r="AS266" s="136">
        <v>0.0215692620857143</v>
      </c>
      <c r="AT266" s="246">
        <v>0.0223684180888889</v>
      </c>
      <c r="AU266" s="136">
        <v>0.02125</v>
      </c>
      <c r="AV266" s="136">
        <v>0.02125</v>
      </c>
      <c r="AW266" s="136">
        <v>0.0225</v>
      </c>
      <c r="AX266" s="136">
        <v>0.0225</v>
      </c>
      <c r="AY266" s="246">
        <v>0.0196920380428571</v>
      </c>
    </row>
    <row r="267" spans="1:51">
      <c r="A267" s="29" t="s">
        <v>128</v>
      </c>
      <c r="B267" s="135"/>
      <c r="C267" s="135"/>
      <c r="D267" s="135"/>
      <c r="E267" s="135"/>
      <c r="F267" s="135"/>
      <c r="AH267" s="136"/>
      <c r="AI267" s="136"/>
      <c r="AK267" s="136"/>
      <c r="AM267" s="136">
        <v>0.0292830383887131</v>
      </c>
      <c r="AN267" s="136">
        <v>0.0280332394542873</v>
      </c>
      <c r="AO267" s="246">
        <v>0.0314851426877242</v>
      </c>
      <c r="AP267" s="136">
        <v>0.0191529340552254</v>
      </c>
      <c r="AQ267" s="136">
        <v>0.01218494202932</v>
      </c>
      <c r="AR267" s="136">
        <v>0.0108593128482906</v>
      </c>
      <c r="AS267" s="136">
        <v>0.0100106049064027</v>
      </c>
      <c r="AT267" s="246">
        <v>0.0151384987426737</v>
      </c>
      <c r="AU267" s="136">
        <v>0.0108763294609232</v>
      </c>
      <c r="AV267" s="136">
        <v>0.010537009265385</v>
      </c>
      <c r="AW267" s="136">
        <v>0.0100331840654057</v>
      </c>
      <c r="AX267" s="136">
        <v>0.00957727839848254</v>
      </c>
      <c r="AY267" s="246">
        <v>0.00971692833145751</v>
      </c>
    </row>
    <row r="268" spans="1:51">
      <c r="A268" s="3" t="s">
        <v>130</v>
      </c>
      <c r="AH268" s="6"/>
      <c r="AI268" s="6"/>
      <c r="AK268" s="6"/>
      <c r="AM268" s="6">
        <v>1365.23582010667</v>
      </c>
      <c r="AN268" s="6">
        <v>1782.86685990131</v>
      </c>
      <c r="AO268" s="79">
        <v>5528.61268000798</v>
      </c>
      <c r="AP268" s="6">
        <v>1169.87114343642</v>
      </c>
      <c r="AQ268" s="6">
        <v>1321.30992054107</v>
      </c>
      <c r="AR268" s="6">
        <v>1420.34193744436</v>
      </c>
      <c r="AS268" s="6">
        <v>1854.92829333266</v>
      </c>
      <c r="AT268" s="79">
        <v>5762.14507067363</v>
      </c>
      <c r="AU268" s="6">
        <v>1208.9469738301</v>
      </c>
      <c r="AV268" s="6">
        <v>1363.76536983916</v>
      </c>
      <c r="AW268" s="6">
        <v>1465.85474549567</v>
      </c>
      <c r="AX268" s="6">
        <v>1918.36440733797</v>
      </c>
      <c r="AY268" s="79">
        <v>5953.55686540533</v>
      </c>
    </row>
    <row r="269" spans="1:51">
      <c r="A269" s="29" t="s">
        <v>127</v>
      </c>
      <c r="B269" s="135"/>
      <c r="C269" s="135"/>
      <c r="D269" s="135"/>
      <c r="E269" s="135"/>
      <c r="F269" s="135"/>
      <c r="AH269" s="136"/>
      <c r="AI269" s="136"/>
      <c r="AK269" s="136"/>
      <c r="AM269" s="136">
        <v>0.0250861295625</v>
      </c>
      <c r="AN269" s="136">
        <v>0.034983070625</v>
      </c>
      <c r="AO269" s="246">
        <v>0.0157667746</v>
      </c>
      <c r="AP269" s="136">
        <v>0.02598766295</v>
      </c>
      <c r="AQ269" s="136">
        <v>0.0257149675833333</v>
      </c>
      <c r="AR269" s="136">
        <v>0.0226999756</v>
      </c>
      <c r="AS269" s="136">
        <v>0.0218489282333333</v>
      </c>
      <c r="AT269" s="246">
        <v>0.021584672475</v>
      </c>
      <c r="AU269" s="136"/>
      <c r="AV269" s="136"/>
      <c r="AW269" s="136"/>
      <c r="AX269" s="136"/>
      <c r="AY269" s="246">
        <v>0.0183111663666667</v>
      </c>
    </row>
    <row r="270" spans="1:51">
      <c r="A270" s="29" t="s">
        <v>128</v>
      </c>
      <c r="B270" s="135"/>
      <c r="C270" s="135"/>
      <c r="D270" s="135"/>
      <c r="E270" s="135"/>
      <c r="F270" s="135"/>
      <c r="AH270" s="136"/>
      <c r="AI270" s="136"/>
      <c r="AK270" s="136"/>
      <c r="AM270" s="136">
        <v>0.0331516747278996</v>
      </c>
      <c r="AN270" s="136">
        <v>0.0324131490111223</v>
      </c>
      <c r="AO270" s="246">
        <v>0.0340466424650835</v>
      </c>
      <c r="AP270" s="136">
        <v>0.0206782164145851</v>
      </c>
      <c r="AQ270" s="136">
        <v>0.0166904247916604</v>
      </c>
      <c r="AR270" s="136">
        <v>0.0159368134324342</v>
      </c>
      <c r="AS270" s="136">
        <v>0.0150279314492072</v>
      </c>
      <c r="AT270" s="246">
        <v>0.0192743463669421</v>
      </c>
      <c r="AU270" s="136"/>
      <c r="AV270" s="136"/>
      <c r="AW270" s="136"/>
      <c r="AX270" s="136"/>
      <c r="AY270" s="246">
        <v>0.0143934527486044</v>
      </c>
    </row>
    <row r="273" spans="1:51">
      <c r="A273" s="391" t="s">
        <v>145</v>
      </c>
      <c r="B273" s="389"/>
      <c r="C273" s="389"/>
      <c r="D273" s="389"/>
      <c r="E273" s="389"/>
      <c r="F273" s="389"/>
      <c r="G273" s="244"/>
      <c r="H273" s="244"/>
      <c r="I273" s="244"/>
      <c r="J273" s="244"/>
      <c r="K273" s="245"/>
      <c r="L273" s="244"/>
      <c r="M273" s="244"/>
      <c r="N273" s="244"/>
      <c r="O273" s="244"/>
      <c r="P273" s="245"/>
      <c r="Q273" s="244"/>
      <c r="R273" s="244"/>
      <c r="S273" s="244"/>
      <c r="T273" s="244"/>
      <c r="U273" s="245"/>
      <c r="V273" s="244"/>
      <c r="W273" s="244"/>
      <c r="X273" s="244"/>
      <c r="Y273" s="244"/>
      <c r="Z273" s="245"/>
      <c r="AA273" s="244"/>
      <c r="AB273" s="244"/>
      <c r="AC273" s="244"/>
      <c r="AD273" s="244"/>
      <c r="AE273" s="245"/>
      <c r="AF273" s="244"/>
      <c r="AG273" s="244"/>
      <c r="AH273" s="249"/>
      <c r="AI273" s="249"/>
      <c r="AJ273" s="245"/>
      <c r="AK273" s="249"/>
      <c r="AL273" s="244"/>
      <c r="AM273" s="249"/>
      <c r="AN273" s="249"/>
      <c r="AO273" s="250"/>
      <c r="AP273" s="249"/>
      <c r="AQ273" s="249"/>
      <c r="AR273" s="249"/>
      <c r="AS273" s="249"/>
      <c r="AT273" s="250"/>
      <c r="AU273" s="249"/>
      <c r="AV273" s="249"/>
      <c r="AW273" s="249"/>
      <c r="AX273" s="249"/>
      <c r="AY273" s="250"/>
    </row>
    <row r="274" spans="1:51">
      <c r="A274" s="3" t="s">
        <v>126</v>
      </c>
      <c r="AH274" s="119"/>
      <c r="AI274" s="119"/>
      <c r="AK274" s="119"/>
      <c r="AM274" s="119">
        <f t="shared" ref="AM274:AT274" si="826">AM$250/AM262-1</f>
        <v>0.0052317713303236</v>
      </c>
      <c r="AN274" s="119">
        <f t="shared" si="826"/>
        <v>0.00371360377139829</v>
      </c>
      <c r="AO274" s="83">
        <f t="shared" si="826"/>
        <v>0.0024819252529078</v>
      </c>
      <c r="AP274" s="119">
        <f t="shared" si="826"/>
        <v>-0.00395046569641666</v>
      </c>
      <c r="AQ274" s="119">
        <f t="shared" si="826"/>
        <v>-0.00633325332933843</v>
      </c>
      <c r="AR274" s="119">
        <f t="shared" si="826"/>
        <v>-0.00206070857988105</v>
      </c>
      <c r="AS274" s="119">
        <f t="shared" si="826"/>
        <v>-0.00279033694001263</v>
      </c>
      <c r="AT274" s="83">
        <f t="shared" si="826"/>
        <v>-0.00246103406777243</v>
      </c>
      <c r="AU274" s="119">
        <f t="shared" ref="AU274:AY274" si="827">AU$250/AU262-1</f>
        <v>-0.0193057691299181</v>
      </c>
      <c r="AV274" s="119">
        <f t="shared" si="827"/>
        <v>-0.018845772657575</v>
      </c>
      <c r="AW274" s="119">
        <f t="shared" si="827"/>
        <v>-0.0115451366666993</v>
      </c>
      <c r="AX274" s="119">
        <f t="shared" si="827"/>
        <v>-0.014618478926722</v>
      </c>
      <c r="AY274" s="83">
        <f t="shared" si="827"/>
        <v>-0.0164037376954186</v>
      </c>
    </row>
    <row r="275" spans="1:51">
      <c r="A275" s="29" t="s">
        <v>127</v>
      </c>
      <c r="B275" s="135"/>
      <c r="C275" s="135"/>
      <c r="D275" s="135"/>
      <c r="E275" s="135"/>
      <c r="F275" s="135"/>
      <c r="AH275" s="200"/>
      <c r="AI275" s="200"/>
      <c r="AK275" s="200"/>
      <c r="AM275" s="200">
        <f t="shared" ref="AM275:AT275" si="828">(ROUND(AM$251,3)-ROUND(AM263,3))*10^4</f>
        <v>-200</v>
      </c>
      <c r="AN275" s="200">
        <f t="shared" si="828"/>
        <v>-120</v>
      </c>
      <c r="AO275" s="199">
        <f t="shared" si="828"/>
        <v>-90</v>
      </c>
      <c r="AP275" s="200">
        <f t="shared" si="828"/>
        <v>-60</v>
      </c>
      <c r="AQ275" s="200">
        <f t="shared" si="828"/>
        <v>-50</v>
      </c>
      <c r="AR275" s="200">
        <f t="shared" si="828"/>
        <v>-50</v>
      </c>
      <c r="AS275" s="200">
        <f t="shared" si="828"/>
        <v>-50</v>
      </c>
      <c r="AT275" s="199">
        <f t="shared" si="828"/>
        <v>-30</v>
      </c>
      <c r="AU275" s="200">
        <f t="shared" ref="AU275:AY275" si="829">(ROUND(AU$251,3)-ROUND(AU263,3))*10^4</f>
        <v>-50</v>
      </c>
      <c r="AV275" s="200">
        <f t="shared" si="829"/>
        <v>-50</v>
      </c>
      <c r="AW275" s="200">
        <f t="shared" si="829"/>
        <v>-50</v>
      </c>
      <c r="AX275" s="200">
        <f t="shared" si="829"/>
        <v>-50</v>
      </c>
      <c r="AY275" s="199">
        <f t="shared" si="829"/>
        <v>-50</v>
      </c>
    </row>
    <row r="276" spans="1:51">
      <c r="A276" s="29" t="s">
        <v>128</v>
      </c>
      <c r="B276" s="135"/>
      <c r="C276" s="135"/>
      <c r="D276" s="135"/>
      <c r="E276" s="135"/>
      <c r="F276" s="135"/>
      <c r="AH276" s="200"/>
      <c r="AI276" s="200"/>
      <c r="AK276" s="200"/>
      <c r="AM276" s="200">
        <f t="shared" ref="AM276:AT276" si="830">(ROUND(AM$252,3)-ROUND(AM264,3))*10^4</f>
        <v>260</v>
      </c>
      <c r="AN276" s="200">
        <f t="shared" si="830"/>
        <v>160</v>
      </c>
      <c r="AO276" s="199">
        <f t="shared" si="830"/>
        <v>110</v>
      </c>
      <c r="AP276" s="200">
        <f t="shared" si="830"/>
        <v>20</v>
      </c>
      <c r="AQ276" s="200">
        <f t="shared" si="830"/>
        <v>-20</v>
      </c>
      <c r="AR276" s="200">
        <f t="shared" si="830"/>
        <v>-20</v>
      </c>
      <c r="AS276" s="200">
        <f t="shared" si="830"/>
        <v>-10</v>
      </c>
      <c r="AT276" s="199">
        <f t="shared" si="830"/>
        <v>-20</v>
      </c>
      <c r="AU276" s="200">
        <f t="shared" ref="AU276:AY276" si="831">(ROUND(AU$252,3)-ROUND(AU264,3))*10^4</f>
        <v>-120</v>
      </c>
      <c r="AV276" s="200">
        <f t="shared" si="831"/>
        <v>-100</v>
      </c>
      <c r="AW276" s="200">
        <f t="shared" si="831"/>
        <v>-60</v>
      </c>
      <c r="AX276" s="200">
        <f t="shared" si="831"/>
        <v>-50</v>
      </c>
      <c r="AY276" s="199">
        <f t="shared" si="831"/>
        <v>-80</v>
      </c>
    </row>
    <row r="277" spans="1:51">
      <c r="A277" s="3" t="s">
        <v>129</v>
      </c>
      <c r="AH277" s="119"/>
      <c r="AI277" s="119"/>
      <c r="AK277" s="119"/>
      <c r="AM277" s="119">
        <f t="shared" ref="AM277:AT277" si="832">AM$253/AM265-1</f>
        <v>-0.00251903921147734</v>
      </c>
      <c r="AN277" s="119">
        <f t="shared" si="832"/>
        <v>0.000680808536867916</v>
      </c>
      <c r="AO277" s="83">
        <f t="shared" si="832"/>
        <v>-0.000400780064601536</v>
      </c>
      <c r="AP277" s="119">
        <f t="shared" si="832"/>
        <v>-0.0060887420983361</v>
      </c>
      <c r="AQ277" s="119">
        <f t="shared" si="832"/>
        <v>3.75984534217721e-6</v>
      </c>
      <c r="AR277" s="119">
        <f t="shared" si="832"/>
        <v>-0.00592284809942778</v>
      </c>
      <c r="AS277" s="119">
        <f t="shared" si="832"/>
        <v>-0.0036637545325422</v>
      </c>
      <c r="AT277" s="83">
        <f t="shared" si="832"/>
        <v>-0.00349647075495096</v>
      </c>
      <c r="AU277" s="119">
        <f t="shared" ref="AU277:AY277" si="833">AU$253/AU265-1</f>
        <v>-0.00170647953542491</v>
      </c>
      <c r="AV277" s="119">
        <f t="shared" si="833"/>
        <v>0.00311513992469625</v>
      </c>
      <c r="AW277" s="119">
        <f t="shared" si="833"/>
        <v>-0.000485929737406465</v>
      </c>
      <c r="AX277" s="119">
        <f t="shared" si="833"/>
        <v>-6.2391251552274e-5</v>
      </c>
      <c r="AY277" s="83">
        <f t="shared" si="833"/>
        <v>0.00197330943215324</v>
      </c>
    </row>
    <row r="278" spans="1:51">
      <c r="A278" s="29" t="s">
        <v>127</v>
      </c>
      <c r="B278" s="135"/>
      <c r="C278" s="135"/>
      <c r="D278" s="135"/>
      <c r="E278" s="135"/>
      <c r="F278" s="135"/>
      <c r="AH278" s="200"/>
      <c r="AI278" s="200"/>
      <c r="AK278" s="200"/>
      <c r="AM278" s="200">
        <f t="shared" ref="AM278:AT278" si="834">(ROUND(AM$254,3)-ROUND(AM266,3))*10^4</f>
        <v>-230</v>
      </c>
      <c r="AN278" s="200">
        <f t="shared" si="834"/>
        <v>-110</v>
      </c>
      <c r="AO278" s="199">
        <f t="shared" si="834"/>
        <v>-100</v>
      </c>
      <c r="AP278" s="200">
        <f t="shared" si="834"/>
        <v>30</v>
      </c>
      <c r="AQ278" s="200">
        <f t="shared" si="834"/>
        <v>20</v>
      </c>
      <c r="AR278" s="200">
        <f t="shared" si="834"/>
        <v>-30</v>
      </c>
      <c r="AS278" s="200">
        <f t="shared" si="834"/>
        <v>-20</v>
      </c>
      <c r="AT278" s="199">
        <f t="shared" si="834"/>
        <v>20</v>
      </c>
      <c r="AU278" s="200">
        <f t="shared" ref="AU278:AY278" si="835">(ROUND(AU$254,3)-ROUND(AU266,3))*10^4</f>
        <v>-10</v>
      </c>
      <c r="AV278" s="200">
        <f t="shared" si="835"/>
        <v>-10</v>
      </c>
      <c r="AW278" s="200">
        <f t="shared" si="835"/>
        <v>20</v>
      </c>
      <c r="AX278" s="200">
        <f t="shared" si="835"/>
        <v>20</v>
      </c>
      <c r="AY278" s="199">
        <f t="shared" si="835"/>
        <v>30</v>
      </c>
    </row>
    <row r="279" spans="1:51">
      <c r="A279" s="29" t="s">
        <v>128</v>
      </c>
      <c r="B279" s="135"/>
      <c r="C279" s="135"/>
      <c r="D279" s="135"/>
      <c r="E279" s="135"/>
      <c r="F279" s="135"/>
      <c r="AH279" s="200"/>
      <c r="AI279" s="200"/>
      <c r="AK279" s="200"/>
      <c r="AM279" s="200">
        <f t="shared" ref="AM279:AT279" si="836">(ROUND(AM$255,3)-ROUND(AM267,3))*10^4</f>
        <v>210</v>
      </c>
      <c r="AN279" s="200">
        <f t="shared" si="836"/>
        <v>120</v>
      </c>
      <c r="AO279" s="199">
        <f t="shared" si="836"/>
        <v>100</v>
      </c>
      <c r="AP279" s="200">
        <f t="shared" si="836"/>
        <v>-90</v>
      </c>
      <c r="AQ279" s="200">
        <f t="shared" si="836"/>
        <v>-20</v>
      </c>
      <c r="AR279" s="200">
        <f t="shared" si="836"/>
        <v>-9.99999999999999</v>
      </c>
      <c r="AS279" s="200">
        <f t="shared" si="836"/>
        <v>0</v>
      </c>
      <c r="AT279" s="199">
        <f t="shared" si="836"/>
        <v>-50</v>
      </c>
      <c r="AU279" s="200">
        <f t="shared" ref="AU279:AY279" si="837">(ROUND(AU$255,3)-ROUND(AU267,3))*10^4</f>
        <v>-9.99999999999999</v>
      </c>
      <c r="AV279" s="200">
        <f t="shared" si="837"/>
        <v>-9.99999999999999</v>
      </c>
      <c r="AW279" s="200">
        <f t="shared" si="837"/>
        <v>0</v>
      </c>
      <c r="AX279" s="200">
        <f t="shared" si="837"/>
        <v>0</v>
      </c>
      <c r="AY279" s="199">
        <f t="shared" si="837"/>
        <v>0</v>
      </c>
    </row>
    <row r="280" spans="1:51">
      <c r="A280" s="3" t="s">
        <v>130</v>
      </c>
      <c r="AH280" s="119"/>
      <c r="AI280" s="119"/>
      <c r="AK280" s="119"/>
      <c r="AM280" s="119">
        <f t="shared" ref="AM280:AT280" si="838">AM$256/AM268-1</f>
        <v>0.00124648054810006</v>
      </c>
      <c r="AN280" s="119">
        <f t="shared" si="838"/>
        <v>0.00214333452746041</v>
      </c>
      <c r="AO280" s="83">
        <f t="shared" si="838"/>
        <v>0.000998988410237489</v>
      </c>
      <c r="AP280" s="119">
        <f t="shared" si="838"/>
        <v>-0.00500064769461306</v>
      </c>
      <c r="AQ280" s="119">
        <f t="shared" si="838"/>
        <v>-0.00299200095269625</v>
      </c>
      <c r="AR280" s="119">
        <f t="shared" si="838"/>
        <v>-0.0040334827081645</v>
      </c>
      <c r="AS280" s="119">
        <f t="shared" si="838"/>
        <v>-0.00323998386043167</v>
      </c>
      <c r="AT280" s="83">
        <f t="shared" si="838"/>
        <v>-0.00299126663112914</v>
      </c>
      <c r="AU280" s="119">
        <f t="shared" ref="AU280:AY280" si="839">AU$256/AU268-1</f>
        <v>-0.0107284173424137</v>
      </c>
      <c r="AV280" s="119">
        <f t="shared" si="839"/>
        <v>-0.00732641762294739</v>
      </c>
      <c r="AW280" s="119">
        <f t="shared" si="839"/>
        <v>-0.00591074682828663</v>
      </c>
      <c r="AX280" s="119">
        <f t="shared" si="839"/>
        <v>-0.00714601641665691</v>
      </c>
      <c r="AY280" s="83">
        <f t="shared" si="839"/>
        <v>-0.00704787608583191</v>
      </c>
    </row>
    <row r="281" spans="1:51">
      <c r="A281" s="29" t="s">
        <v>127</v>
      </c>
      <c r="B281" s="135"/>
      <c r="C281" s="135"/>
      <c r="D281" s="135"/>
      <c r="E281" s="135"/>
      <c r="F281" s="135"/>
      <c r="AH281" s="200"/>
      <c r="AI281" s="200"/>
      <c r="AK281" s="200"/>
      <c r="AM281" s="200">
        <f t="shared" ref="AM281:AT281" si="840">(ROUND(AM$257,3)-ROUND(AM269,3))*10^4</f>
        <v>-210</v>
      </c>
      <c r="AN281" s="200">
        <f t="shared" si="840"/>
        <v>-100</v>
      </c>
      <c r="AO281" s="199">
        <f t="shared" si="840"/>
        <v>-90</v>
      </c>
      <c r="AP281" s="200">
        <f t="shared" si="840"/>
        <v>-9.99999999999997</v>
      </c>
      <c r="AQ281" s="200">
        <f t="shared" si="840"/>
        <v>-9.99999999999997</v>
      </c>
      <c r="AR281" s="200">
        <f t="shared" si="840"/>
        <v>-30</v>
      </c>
      <c r="AS281" s="200">
        <f t="shared" si="840"/>
        <v>-20</v>
      </c>
      <c r="AT281" s="199">
        <f t="shared" si="840"/>
        <v>0</v>
      </c>
      <c r="AU281" s="200">
        <f t="shared" ref="AU281:AY281" si="841">(ROUND(AU$257,3)-ROUND(AU269,3))*10^4</f>
        <v>170</v>
      </c>
      <c r="AV281" s="200">
        <f t="shared" si="841"/>
        <v>180</v>
      </c>
      <c r="AW281" s="200">
        <f t="shared" si="841"/>
        <v>200</v>
      </c>
      <c r="AX281" s="200">
        <f t="shared" si="841"/>
        <v>200</v>
      </c>
      <c r="AY281" s="199">
        <f t="shared" si="841"/>
        <v>10</v>
      </c>
    </row>
    <row r="282" spans="1:51">
      <c r="A282" s="29" t="s">
        <v>128</v>
      </c>
      <c r="B282" s="135"/>
      <c r="C282" s="135"/>
      <c r="D282" s="135"/>
      <c r="E282" s="135"/>
      <c r="F282" s="135"/>
      <c r="AH282" s="200"/>
      <c r="AI282" s="200"/>
      <c r="AK282" s="200"/>
      <c r="AM282" s="200">
        <f t="shared" ref="AM282:AT282" si="842">(ROUND(AM$258,3)-ROUND(AM270,3))*10^4</f>
        <v>220</v>
      </c>
      <c r="AN282" s="200">
        <f t="shared" si="842"/>
        <v>130</v>
      </c>
      <c r="AO282" s="199">
        <f t="shared" si="842"/>
        <v>99.9999999999999</v>
      </c>
      <c r="AP282" s="200">
        <f t="shared" si="842"/>
        <v>-10</v>
      </c>
      <c r="AQ282" s="200">
        <f t="shared" si="842"/>
        <v>-20</v>
      </c>
      <c r="AR282" s="200">
        <f t="shared" si="842"/>
        <v>-10</v>
      </c>
      <c r="AS282" s="200">
        <f t="shared" si="842"/>
        <v>0</v>
      </c>
      <c r="AT282" s="199">
        <f t="shared" si="842"/>
        <v>-30</v>
      </c>
      <c r="AU282" s="200">
        <f t="shared" ref="AU282:AY282" si="843">(ROUND(AU$258,3)-ROUND(AU270,3))*10^4</f>
        <v>100</v>
      </c>
      <c r="AV282" s="200">
        <f t="shared" si="843"/>
        <v>100</v>
      </c>
      <c r="AW282" s="200">
        <f t="shared" si="843"/>
        <v>100</v>
      </c>
      <c r="AX282" s="200">
        <f t="shared" si="843"/>
        <v>100</v>
      </c>
      <c r="AY282" s="199">
        <f t="shared" si="843"/>
        <v>-40</v>
      </c>
    </row>
    <row r="285" spans="1:51">
      <c r="A285" s="391" t="s">
        <v>146</v>
      </c>
      <c r="B285" s="389"/>
      <c r="C285" s="389"/>
      <c r="D285" s="389"/>
      <c r="E285" s="389"/>
      <c r="F285" s="389"/>
      <c r="G285" s="244"/>
      <c r="H285" s="244"/>
      <c r="I285" s="244"/>
      <c r="J285" s="244"/>
      <c r="K285" s="245"/>
      <c r="L285" s="244"/>
      <c r="M285" s="244"/>
      <c r="N285" s="244"/>
      <c r="O285" s="244"/>
      <c r="P285" s="245"/>
      <c r="Q285" s="244"/>
      <c r="R285" s="244"/>
      <c r="S285" s="244"/>
      <c r="T285" s="244"/>
      <c r="U285" s="245"/>
      <c r="V285" s="244"/>
      <c r="W285" s="244"/>
      <c r="X285" s="244"/>
      <c r="Y285" s="244"/>
      <c r="Z285" s="245"/>
      <c r="AA285" s="244"/>
      <c r="AB285" s="244"/>
      <c r="AC285" s="244"/>
      <c r="AD285" s="244"/>
      <c r="AE285" s="245"/>
      <c r="AF285" s="244"/>
      <c r="AG285" s="244"/>
      <c r="AH285" s="249"/>
      <c r="AI285" s="249"/>
      <c r="AJ285" s="245"/>
      <c r="AK285" s="457"/>
      <c r="AL285" s="244"/>
      <c r="AM285" s="457" t="s">
        <v>132</v>
      </c>
      <c r="AN285" s="457" t="s">
        <v>133</v>
      </c>
      <c r="AO285" s="458" t="s">
        <v>134</v>
      </c>
      <c r="AP285" s="457" t="str">
        <f>LEFT(AK285,2)&amp;"28"</f>
        <v>28</v>
      </c>
      <c r="AQ285" s="457" t="str">
        <f t="shared" ref="AQ285" si="844">LEFT(AL285,2)&amp;"28"</f>
        <v>28</v>
      </c>
      <c r="AR285" s="457" t="str">
        <f t="shared" ref="AR285" si="845">LEFT(AM285,2)&amp;"28"</f>
        <v>3Q28</v>
      </c>
      <c r="AS285" s="457" t="str">
        <f t="shared" ref="AS285" si="846">LEFT(AN285,2)&amp;"28"</f>
        <v>4Q28</v>
      </c>
      <c r="AT285" s="458" t="str">
        <f t="shared" ref="AT285:AU285" si="847">LEFT(AO285,2)&amp;"28"</f>
        <v>FY28</v>
      </c>
      <c r="AU285" s="457" t="str">
        <f t="shared" si="847"/>
        <v>2828</v>
      </c>
      <c r="AV285" s="457" t="str">
        <f t="shared" ref="AV285" si="848">LEFT(AQ285,2)&amp;"28"</f>
        <v>2828</v>
      </c>
      <c r="AW285" s="457" t="str">
        <f t="shared" ref="AW285" si="849">LEFT(AR285,2)&amp;"28"</f>
        <v>3Q28</v>
      </c>
      <c r="AX285" s="457" t="str">
        <f t="shared" ref="AX285" si="850">LEFT(AS285,2)&amp;"28"</f>
        <v>4Q28</v>
      </c>
      <c r="AY285" s="458" t="str">
        <f t="shared" ref="AY285" si="851">LEFT(AT285,2)&amp;"28"</f>
        <v>FY28</v>
      </c>
    </row>
    <row r="286" spans="1:51">
      <c r="A286" s="3" t="s">
        <v>126</v>
      </c>
      <c r="AG286" s="6"/>
      <c r="AH286" s="251"/>
      <c r="AI286" s="251"/>
      <c r="AK286" s="6"/>
      <c r="AL286" s="6"/>
      <c r="AM286" s="6">
        <v>666.7326</v>
      </c>
      <c r="AN286" s="6">
        <v>862.95714</v>
      </c>
      <c r="AO286" s="79">
        <v>2691.21674</v>
      </c>
      <c r="AP286" s="6">
        <v>592.95495</v>
      </c>
      <c r="AQ286" s="6">
        <v>620.68032</v>
      </c>
      <c r="AR286" s="6">
        <v>693.401904</v>
      </c>
      <c r="AS286" s="6">
        <v>897.4754256</v>
      </c>
      <c r="AT286" s="79">
        <v>2804.5125996</v>
      </c>
      <c r="AU286" s="6">
        <v>607.77882375</v>
      </c>
      <c r="AV286" s="6">
        <v>636.197328</v>
      </c>
      <c r="AW286" s="6">
        <v>710.7369516</v>
      </c>
      <c r="AX286" s="6">
        <v>919.91231124</v>
      </c>
      <c r="AY286" s="79">
        <v>2874.62541459</v>
      </c>
    </row>
    <row r="287" spans="1:51">
      <c r="A287" s="29" t="s">
        <v>127</v>
      </c>
      <c r="B287" s="135"/>
      <c r="C287" s="135"/>
      <c r="D287" s="135"/>
      <c r="E287" s="135"/>
      <c r="F287" s="135"/>
      <c r="AG287" s="6"/>
      <c r="AH287" s="136"/>
      <c r="AI287" s="136"/>
      <c r="AK287" s="136"/>
      <c r="AL287" s="6"/>
      <c r="AM287" s="136">
        <v>0.02</v>
      </c>
      <c r="AN287" s="136">
        <v>0.02</v>
      </c>
      <c r="AO287" s="246">
        <v>0.0200310739</v>
      </c>
      <c r="AP287" s="136">
        <v>0.02</v>
      </c>
      <c r="AQ287" s="136">
        <v>0.02</v>
      </c>
      <c r="AR287" s="136">
        <v>0.02</v>
      </c>
      <c r="AS287" s="136">
        <v>0.02</v>
      </c>
      <c r="AT287" s="246">
        <v>0.02</v>
      </c>
      <c r="AU287" s="136">
        <v>0.015</v>
      </c>
      <c r="AV287" s="136">
        <v>0.015</v>
      </c>
      <c r="AW287" s="136">
        <v>0.015</v>
      </c>
      <c r="AX287" s="136">
        <v>0.015</v>
      </c>
      <c r="AY287" s="246">
        <v>0.015</v>
      </c>
    </row>
    <row r="288" spans="1:51">
      <c r="A288" s="29" t="s">
        <v>128</v>
      </c>
      <c r="B288" s="135"/>
      <c r="C288" s="135"/>
      <c r="D288" s="135"/>
      <c r="E288" s="135"/>
      <c r="F288" s="135"/>
      <c r="AG288" s="6"/>
      <c r="AH288" s="136"/>
      <c r="AI288" s="136"/>
      <c r="AK288" s="136"/>
      <c r="AL288" s="6"/>
      <c r="AM288" s="136">
        <v>0.06</v>
      </c>
      <c r="AN288" s="136">
        <v>0.05</v>
      </c>
      <c r="AO288" s="246">
        <v>0.0463254655</v>
      </c>
      <c r="AP288" s="136">
        <v>0.03</v>
      </c>
      <c r="AQ288" s="136">
        <v>0.02</v>
      </c>
      <c r="AR288" s="136">
        <v>0.02</v>
      </c>
      <c r="AS288" s="136">
        <v>0.02</v>
      </c>
      <c r="AT288" s="246">
        <v>0.022098378</v>
      </c>
      <c r="AU288" s="136">
        <v>0.01</v>
      </c>
      <c r="AV288" s="136">
        <v>0.01</v>
      </c>
      <c r="AW288" s="136">
        <v>0.01</v>
      </c>
      <c r="AX288" s="136">
        <v>0.01</v>
      </c>
      <c r="AY288" s="246">
        <v>0.01</v>
      </c>
    </row>
    <row r="289" spans="1:51">
      <c r="A289" s="3" t="s">
        <v>129</v>
      </c>
      <c r="AH289" s="6"/>
      <c r="AI289" s="6"/>
      <c r="AK289" s="6"/>
      <c r="AM289" s="6">
        <v>700.20496</v>
      </c>
      <c r="AN289" s="6">
        <v>923.731</v>
      </c>
      <c r="AO289" s="79">
        <v>2842.91896</v>
      </c>
      <c r="AP289" s="6">
        <v>571.06608</v>
      </c>
      <c r="AQ289" s="6">
        <v>696.67624</v>
      </c>
      <c r="AR289" s="6">
        <v>721.2111088</v>
      </c>
      <c r="AS289" s="6">
        <v>951.44293</v>
      </c>
      <c r="AT289" s="79">
        <v>2940.3963588</v>
      </c>
      <c r="AU289" s="6">
        <v>588.1980624</v>
      </c>
      <c r="AV289" s="6">
        <v>717.5765272</v>
      </c>
      <c r="AW289" s="6">
        <v>746.453497608</v>
      </c>
      <c r="AX289" s="6">
        <v>984.74343255</v>
      </c>
      <c r="AY289" s="79">
        <v>3036.971519758</v>
      </c>
    </row>
    <row r="290" spans="1:51">
      <c r="A290" s="29" t="s">
        <v>127</v>
      </c>
      <c r="B290" s="135"/>
      <c r="C290" s="135"/>
      <c r="D290" s="135"/>
      <c r="E290" s="135"/>
      <c r="F290" s="135"/>
      <c r="AH290" s="136"/>
      <c r="AI290" s="136"/>
      <c r="AK290" s="136"/>
      <c r="AM290" s="136">
        <v>-0.01</v>
      </c>
      <c r="AN290" s="136">
        <v>0.03</v>
      </c>
      <c r="AO290" s="246">
        <v>-0.0042009969</v>
      </c>
      <c r="AP290" s="136">
        <v>0.03</v>
      </c>
      <c r="AQ290" s="136">
        <v>0.03</v>
      </c>
      <c r="AR290" s="136">
        <v>0.02</v>
      </c>
      <c r="AS290" s="136">
        <v>0.02</v>
      </c>
      <c r="AT290" s="246">
        <v>0.0242877867</v>
      </c>
      <c r="AU290" s="136">
        <v>0.02</v>
      </c>
      <c r="AV290" s="136">
        <v>0.02</v>
      </c>
      <c r="AW290" s="136">
        <v>0.025</v>
      </c>
      <c r="AX290" s="136">
        <v>0.025</v>
      </c>
      <c r="AY290" s="246">
        <v>0.0228442663</v>
      </c>
    </row>
    <row r="291" spans="1:51">
      <c r="A291" s="29" t="s">
        <v>128</v>
      </c>
      <c r="B291" s="135"/>
      <c r="C291" s="135"/>
      <c r="D291" s="135"/>
      <c r="E291" s="135"/>
      <c r="F291" s="135"/>
      <c r="AH291" s="136"/>
      <c r="AI291" s="136"/>
      <c r="AK291" s="136"/>
      <c r="AM291" s="136">
        <v>0.05</v>
      </c>
      <c r="AN291" s="136">
        <v>0.04</v>
      </c>
      <c r="AO291" s="246">
        <v>0.0408032359</v>
      </c>
      <c r="AP291" s="136">
        <v>0.01</v>
      </c>
      <c r="AQ291" s="136">
        <v>0.01</v>
      </c>
      <c r="AR291" s="136">
        <v>0.01</v>
      </c>
      <c r="AS291" s="136">
        <v>0.01</v>
      </c>
      <c r="AT291" s="246">
        <v>0.01</v>
      </c>
      <c r="AU291" s="136">
        <v>0.01</v>
      </c>
      <c r="AV291" s="136">
        <v>0.01</v>
      </c>
      <c r="AW291" s="136">
        <v>0.01</v>
      </c>
      <c r="AX291" s="136">
        <v>0.01</v>
      </c>
      <c r="AY291" s="246">
        <v>0.01</v>
      </c>
    </row>
    <row r="292" spans="1:51">
      <c r="A292" s="3" t="s">
        <v>130</v>
      </c>
      <c r="AH292" s="6"/>
      <c r="AI292" s="6"/>
      <c r="AK292" s="6"/>
      <c r="AM292" s="6">
        <v>1366.93756</v>
      </c>
      <c r="AN292" s="6">
        <v>1786.68814</v>
      </c>
      <c r="AO292" s="122">
        <v>5534.1357</v>
      </c>
      <c r="AP292" s="6">
        <v>1164.02103</v>
      </c>
      <c r="AQ292" s="6">
        <v>1317.35656</v>
      </c>
      <c r="AR292" s="6">
        <v>1414.6130128</v>
      </c>
      <c r="AS292" s="6">
        <v>1848.9183556</v>
      </c>
      <c r="AT292" s="79">
        <v>5744.9089584</v>
      </c>
      <c r="AU292" s="6">
        <v>1195.97688615</v>
      </c>
      <c r="AV292" s="6">
        <v>1353.7738552</v>
      </c>
      <c r="AW292" s="6">
        <v>1457.190449208</v>
      </c>
      <c r="AX292" s="6">
        <v>1904.65574379</v>
      </c>
      <c r="AY292" s="79">
        <v>5911.596934348</v>
      </c>
    </row>
    <row r="293" spans="1:51">
      <c r="A293" s="29" t="s">
        <v>127</v>
      </c>
      <c r="B293" s="135"/>
      <c r="C293" s="135"/>
      <c r="D293" s="135"/>
      <c r="E293" s="135"/>
      <c r="F293" s="135"/>
      <c r="AH293" s="136"/>
      <c r="AI293" s="136"/>
      <c r="AK293" s="136"/>
      <c r="AM293" s="136">
        <v>0.0043499747</v>
      </c>
      <c r="AN293" s="136">
        <v>0.0251700741</v>
      </c>
      <c r="AO293" s="246">
        <v>0.0069631707</v>
      </c>
      <c r="AP293" s="136">
        <v>0.0249298945</v>
      </c>
      <c r="AQ293" s="136">
        <v>0.025288441</v>
      </c>
      <c r="AR293" s="136">
        <v>0.02</v>
      </c>
      <c r="AS293" s="136">
        <v>0.02</v>
      </c>
      <c r="AT293" s="246">
        <v>0.0222026619</v>
      </c>
      <c r="AU293" s="136">
        <v>0.0174529887</v>
      </c>
      <c r="AV293" s="136">
        <v>0.0176442205</v>
      </c>
      <c r="AW293" s="136">
        <v>0.0200982926</v>
      </c>
      <c r="AX293" s="136">
        <v>0.0201459434</v>
      </c>
      <c r="AY293" s="246">
        <v>0.019014903</v>
      </c>
    </row>
    <row r="294" spans="1:51">
      <c r="A294" s="29" t="s">
        <v>128</v>
      </c>
      <c r="B294" s="135"/>
      <c r="C294" s="135"/>
      <c r="D294" s="135"/>
      <c r="E294" s="135"/>
      <c r="F294" s="135"/>
      <c r="AH294" s="136"/>
      <c r="AI294" s="136"/>
      <c r="AK294" s="136"/>
      <c r="AM294" s="136">
        <v>0.0547833249</v>
      </c>
      <c r="AN294" s="136">
        <v>0.0448299259</v>
      </c>
      <c r="AO294" s="246">
        <v>0.0438844515</v>
      </c>
      <c r="AP294" s="136">
        <v>0.020140211</v>
      </c>
      <c r="AQ294" s="136">
        <v>0.014711559</v>
      </c>
      <c r="AR294" s="136">
        <v>0.0148775644</v>
      </c>
      <c r="AS294" s="136">
        <v>0.0148299259</v>
      </c>
      <c r="AT294" s="246">
        <v>0.0158833681</v>
      </c>
      <c r="AU294" s="136">
        <v>0.01</v>
      </c>
      <c r="AV294" s="136">
        <v>0.01</v>
      </c>
      <c r="AW294" s="136">
        <v>0.01</v>
      </c>
      <c r="AX294" s="136">
        <v>0.01</v>
      </c>
      <c r="AY294" s="246">
        <v>0.01</v>
      </c>
    </row>
    <row r="297" spans="1:51">
      <c r="A297" s="391" t="s">
        <v>147</v>
      </c>
      <c r="B297" s="389"/>
      <c r="C297" s="389"/>
      <c r="D297" s="389"/>
      <c r="E297" s="389"/>
      <c r="F297" s="389"/>
      <c r="G297" s="244"/>
      <c r="H297" s="244"/>
      <c r="I297" s="244"/>
      <c r="J297" s="244"/>
      <c r="K297" s="245"/>
      <c r="L297" s="244"/>
      <c r="M297" s="244"/>
      <c r="N297" s="244"/>
      <c r="O297" s="244"/>
      <c r="P297" s="245"/>
      <c r="Q297" s="244"/>
      <c r="R297" s="244"/>
      <c r="S297" s="244"/>
      <c r="T297" s="244"/>
      <c r="U297" s="245"/>
      <c r="V297" s="244"/>
      <c r="W297" s="244"/>
      <c r="X297" s="244"/>
      <c r="Y297" s="244"/>
      <c r="Z297" s="245"/>
      <c r="AA297" s="244"/>
      <c r="AB297" s="244"/>
      <c r="AC297" s="244"/>
      <c r="AD297" s="244"/>
      <c r="AE297" s="245"/>
      <c r="AF297" s="244"/>
      <c r="AG297" s="244"/>
      <c r="AH297" s="249"/>
      <c r="AI297" s="249"/>
      <c r="AJ297" s="245"/>
      <c r="AK297" s="249"/>
      <c r="AL297" s="244"/>
      <c r="AM297" s="249"/>
      <c r="AN297" s="249"/>
      <c r="AO297" s="250"/>
      <c r="AP297" s="249"/>
      <c r="AQ297" s="249"/>
      <c r="AR297" s="249"/>
      <c r="AS297" s="249"/>
      <c r="AT297" s="250"/>
      <c r="AU297" s="249"/>
      <c r="AV297" s="249"/>
      <c r="AW297" s="249"/>
      <c r="AX297" s="249"/>
      <c r="AY297" s="250"/>
    </row>
    <row r="298" spans="1:51">
      <c r="A298" s="3" t="s">
        <v>126</v>
      </c>
      <c r="AH298" s="119"/>
      <c r="AI298" s="119"/>
      <c r="AK298" s="119"/>
      <c r="AM298" s="119">
        <f t="shared" ref="AM298:AT298" si="852">AM$250/AM286-1</f>
        <v>0</v>
      </c>
      <c r="AN298" s="119">
        <f t="shared" si="852"/>
        <v>0</v>
      </c>
      <c r="AO298" s="83">
        <f t="shared" si="852"/>
        <v>0</v>
      </c>
      <c r="AP298" s="119">
        <f t="shared" si="852"/>
        <v>0</v>
      </c>
      <c r="AQ298" s="119">
        <f t="shared" si="852"/>
        <v>0</v>
      </c>
      <c r="AR298" s="119">
        <f t="shared" si="852"/>
        <v>0</v>
      </c>
      <c r="AS298" s="119">
        <f t="shared" si="852"/>
        <v>0</v>
      </c>
      <c r="AT298" s="83">
        <f t="shared" si="852"/>
        <v>0</v>
      </c>
      <c r="AU298" s="119">
        <f t="shared" ref="AU298:AY298" si="853">AU$250/AU286-1</f>
        <v>0</v>
      </c>
      <c r="AV298" s="119">
        <f t="shared" si="853"/>
        <v>0</v>
      </c>
      <c r="AW298" s="119">
        <f t="shared" si="853"/>
        <v>0</v>
      </c>
      <c r="AX298" s="119">
        <f t="shared" si="853"/>
        <v>0</v>
      </c>
      <c r="AY298" s="83">
        <f t="shared" si="853"/>
        <v>0</v>
      </c>
    </row>
    <row r="299" spans="1:51">
      <c r="A299" s="29" t="s">
        <v>127</v>
      </c>
      <c r="B299" s="135"/>
      <c r="C299" s="135"/>
      <c r="D299" s="135"/>
      <c r="E299" s="135"/>
      <c r="F299" s="135"/>
      <c r="AH299" s="200"/>
      <c r="AI299" s="200"/>
      <c r="AK299" s="200"/>
      <c r="AM299" s="200">
        <f t="shared" ref="AM299:AT299" si="854">(ROUND(AM$251,3)-ROUND(AM287,3))*10^4</f>
        <v>0</v>
      </c>
      <c r="AN299" s="200">
        <f t="shared" si="854"/>
        <v>0</v>
      </c>
      <c r="AO299" s="199">
        <f t="shared" si="854"/>
        <v>0</v>
      </c>
      <c r="AP299" s="200">
        <f t="shared" si="854"/>
        <v>0</v>
      </c>
      <c r="AQ299" s="200">
        <f t="shared" si="854"/>
        <v>0</v>
      </c>
      <c r="AR299" s="200">
        <f t="shared" si="854"/>
        <v>0</v>
      </c>
      <c r="AS299" s="200">
        <f t="shared" si="854"/>
        <v>0</v>
      </c>
      <c r="AT299" s="199">
        <f t="shared" si="854"/>
        <v>0</v>
      </c>
      <c r="AU299" s="200">
        <f t="shared" ref="AU299:AY299" si="855">(ROUND(AU$251,3)-ROUND(AU287,3))*10^4</f>
        <v>0</v>
      </c>
      <c r="AV299" s="200">
        <f t="shared" si="855"/>
        <v>0</v>
      </c>
      <c r="AW299" s="200">
        <f t="shared" si="855"/>
        <v>0</v>
      </c>
      <c r="AX299" s="200">
        <f t="shared" si="855"/>
        <v>0</v>
      </c>
      <c r="AY299" s="199">
        <f t="shared" si="855"/>
        <v>0</v>
      </c>
    </row>
    <row r="300" spans="1:51">
      <c r="A300" s="29" t="s">
        <v>128</v>
      </c>
      <c r="B300" s="135"/>
      <c r="C300" s="135"/>
      <c r="D300" s="135"/>
      <c r="E300" s="135"/>
      <c r="F300" s="135"/>
      <c r="AH300" s="200"/>
      <c r="AI300" s="200"/>
      <c r="AK300" s="200"/>
      <c r="AM300" s="200">
        <f t="shared" ref="AM300:AT300" si="856">(ROUND(AM$252,3)-ROUND(AM288,3))*10^4</f>
        <v>0</v>
      </c>
      <c r="AN300" s="200">
        <f t="shared" si="856"/>
        <v>0</v>
      </c>
      <c r="AO300" s="199">
        <f t="shared" si="856"/>
        <v>0</v>
      </c>
      <c r="AP300" s="200">
        <f t="shared" si="856"/>
        <v>0</v>
      </c>
      <c r="AQ300" s="200">
        <f t="shared" si="856"/>
        <v>0</v>
      </c>
      <c r="AR300" s="200">
        <f t="shared" si="856"/>
        <v>0</v>
      </c>
      <c r="AS300" s="200">
        <f t="shared" si="856"/>
        <v>0</v>
      </c>
      <c r="AT300" s="199">
        <f t="shared" si="856"/>
        <v>0</v>
      </c>
      <c r="AU300" s="200">
        <f t="shared" ref="AU300:AY300" si="857">(ROUND(AU$252,3)-ROUND(AU288,3))*10^4</f>
        <v>0</v>
      </c>
      <c r="AV300" s="200">
        <f t="shared" si="857"/>
        <v>0</v>
      </c>
      <c r="AW300" s="200">
        <f t="shared" si="857"/>
        <v>0</v>
      </c>
      <c r="AX300" s="200">
        <f t="shared" si="857"/>
        <v>0</v>
      </c>
      <c r="AY300" s="199">
        <f t="shared" si="857"/>
        <v>0</v>
      </c>
    </row>
    <row r="301" spans="1:51">
      <c r="A301" s="3" t="s">
        <v>129</v>
      </c>
      <c r="AH301" s="119"/>
      <c r="AI301" s="119"/>
      <c r="AK301" s="119"/>
      <c r="AM301" s="119">
        <f t="shared" ref="AM301:AT301" si="858">AM$253/AM289-1</f>
        <v>0</v>
      </c>
      <c r="AN301" s="119">
        <f t="shared" si="858"/>
        <v>0</v>
      </c>
      <c r="AO301" s="83">
        <f t="shared" si="858"/>
        <v>0</v>
      </c>
      <c r="AP301" s="119">
        <f t="shared" si="858"/>
        <v>0</v>
      </c>
      <c r="AQ301" s="119">
        <f t="shared" si="858"/>
        <v>0</v>
      </c>
      <c r="AR301" s="119">
        <f t="shared" si="858"/>
        <v>0</v>
      </c>
      <c r="AS301" s="119">
        <f t="shared" si="858"/>
        <v>0</v>
      </c>
      <c r="AT301" s="83">
        <f t="shared" si="858"/>
        <v>0</v>
      </c>
      <c r="AU301" s="119">
        <f t="shared" ref="AU301:AY301" si="859">AU$253/AU289-1</f>
        <v>0</v>
      </c>
      <c r="AV301" s="119">
        <f t="shared" si="859"/>
        <v>0</v>
      </c>
      <c r="AW301" s="119">
        <f t="shared" si="859"/>
        <v>0</v>
      </c>
      <c r="AX301" s="119">
        <f t="shared" si="859"/>
        <v>0</v>
      </c>
      <c r="AY301" s="83">
        <f t="shared" si="859"/>
        <v>0</v>
      </c>
    </row>
    <row r="302" spans="1:51">
      <c r="A302" s="29" t="s">
        <v>127</v>
      </c>
      <c r="B302" s="135"/>
      <c r="C302" s="135"/>
      <c r="D302" s="135"/>
      <c r="E302" s="135"/>
      <c r="F302" s="135"/>
      <c r="AH302" s="200"/>
      <c r="AI302" s="200"/>
      <c r="AK302" s="200"/>
      <c r="AM302" s="200">
        <f t="shared" ref="AM302:AT302" si="860">(ROUND(AM$254,3)-ROUND(AM290,3))*10^4</f>
        <v>0</v>
      </c>
      <c r="AN302" s="200">
        <f t="shared" si="860"/>
        <v>0</v>
      </c>
      <c r="AO302" s="199">
        <f t="shared" si="860"/>
        <v>0</v>
      </c>
      <c r="AP302" s="200">
        <f t="shared" si="860"/>
        <v>0</v>
      </c>
      <c r="AQ302" s="200">
        <f t="shared" si="860"/>
        <v>0</v>
      </c>
      <c r="AR302" s="200">
        <f t="shared" si="860"/>
        <v>0</v>
      </c>
      <c r="AS302" s="200">
        <f t="shared" si="860"/>
        <v>0</v>
      </c>
      <c r="AT302" s="199">
        <f t="shared" si="860"/>
        <v>0</v>
      </c>
      <c r="AU302" s="200">
        <f t="shared" ref="AU302:AY302" si="861">(ROUND(AU$254,3)-ROUND(AU290,3))*10^4</f>
        <v>0</v>
      </c>
      <c r="AV302" s="200">
        <f t="shared" si="861"/>
        <v>0</v>
      </c>
      <c r="AW302" s="200">
        <f t="shared" si="861"/>
        <v>0</v>
      </c>
      <c r="AX302" s="200">
        <f t="shared" si="861"/>
        <v>0</v>
      </c>
      <c r="AY302" s="199">
        <f t="shared" si="861"/>
        <v>0</v>
      </c>
    </row>
    <row r="303" spans="1:51">
      <c r="A303" s="29" t="s">
        <v>128</v>
      </c>
      <c r="B303" s="135"/>
      <c r="C303" s="135"/>
      <c r="D303" s="135"/>
      <c r="E303" s="135"/>
      <c r="F303" s="135"/>
      <c r="AH303" s="200"/>
      <c r="AI303" s="200"/>
      <c r="AK303" s="200"/>
      <c r="AM303" s="200">
        <f t="shared" ref="AM303:AT303" si="862">(ROUND(AM$255,3)-ROUND(AM291,3))*10^4</f>
        <v>0</v>
      </c>
      <c r="AN303" s="200">
        <f t="shared" si="862"/>
        <v>0</v>
      </c>
      <c r="AO303" s="199">
        <f t="shared" si="862"/>
        <v>0</v>
      </c>
      <c r="AP303" s="200">
        <f t="shared" si="862"/>
        <v>0</v>
      </c>
      <c r="AQ303" s="200">
        <f t="shared" si="862"/>
        <v>0</v>
      </c>
      <c r="AR303" s="200">
        <f t="shared" si="862"/>
        <v>0</v>
      </c>
      <c r="AS303" s="200">
        <f t="shared" si="862"/>
        <v>0</v>
      </c>
      <c r="AT303" s="199">
        <f t="shared" si="862"/>
        <v>0</v>
      </c>
      <c r="AU303" s="200">
        <f t="shared" ref="AU303:AY303" si="863">(ROUND(AU$255,3)-ROUND(AU291,3))*10^4</f>
        <v>0</v>
      </c>
      <c r="AV303" s="200">
        <f t="shared" si="863"/>
        <v>0</v>
      </c>
      <c r="AW303" s="200">
        <f t="shared" si="863"/>
        <v>0</v>
      </c>
      <c r="AX303" s="200">
        <f t="shared" si="863"/>
        <v>0</v>
      </c>
      <c r="AY303" s="199">
        <f t="shared" si="863"/>
        <v>0</v>
      </c>
    </row>
    <row r="304" spans="1:51">
      <c r="A304" s="3" t="s">
        <v>130</v>
      </c>
      <c r="AH304" s="119"/>
      <c r="AI304" s="119"/>
      <c r="AK304" s="119"/>
      <c r="AM304" s="119">
        <f t="shared" ref="AM304:AT304" si="864">AM$256/AM292-1</f>
        <v>0</v>
      </c>
      <c r="AN304" s="119">
        <f t="shared" si="864"/>
        <v>0</v>
      </c>
      <c r="AO304" s="83">
        <f t="shared" si="864"/>
        <v>0</v>
      </c>
      <c r="AP304" s="119">
        <f t="shared" si="864"/>
        <v>0</v>
      </c>
      <c r="AQ304" s="119">
        <f t="shared" si="864"/>
        <v>0</v>
      </c>
      <c r="AR304" s="119">
        <f t="shared" si="864"/>
        <v>0</v>
      </c>
      <c r="AS304" s="119">
        <f t="shared" si="864"/>
        <v>0</v>
      </c>
      <c r="AT304" s="83">
        <f t="shared" si="864"/>
        <v>0</v>
      </c>
      <c r="AU304" s="119">
        <f t="shared" ref="AU304:AY304" si="865">AU$256/AU292-1</f>
        <v>0</v>
      </c>
      <c r="AV304" s="119">
        <f t="shared" si="865"/>
        <v>0</v>
      </c>
      <c r="AW304" s="119">
        <f t="shared" si="865"/>
        <v>0</v>
      </c>
      <c r="AX304" s="119">
        <f t="shared" si="865"/>
        <v>0</v>
      </c>
      <c r="AY304" s="83">
        <f t="shared" si="865"/>
        <v>0</v>
      </c>
    </row>
    <row r="305" spans="1:51">
      <c r="A305" s="29" t="s">
        <v>127</v>
      </c>
      <c r="B305" s="135"/>
      <c r="C305" s="135"/>
      <c r="D305" s="135"/>
      <c r="E305" s="135"/>
      <c r="F305" s="135"/>
      <c r="AH305" s="200"/>
      <c r="AI305" s="200"/>
      <c r="AK305" s="200"/>
      <c r="AM305" s="200">
        <f t="shared" ref="AM305:AT305" si="866">(ROUND(AM$257,3)-ROUND(AM293,3))*10^4</f>
        <v>0</v>
      </c>
      <c r="AN305" s="200">
        <f t="shared" si="866"/>
        <v>0</v>
      </c>
      <c r="AO305" s="199">
        <f t="shared" si="866"/>
        <v>0</v>
      </c>
      <c r="AP305" s="200">
        <f t="shared" si="866"/>
        <v>0</v>
      </c>
      <c r="AQ305" s="200">
        <f t="shared" si="866"/>
        <v>0</v>
      </c>
      <c r="AR305" s="200">
        <f t="shared" si="866"/>
        <v>0</v>
      </c>
      <c r="AS305" s="200">
        <f t="shared" si="866"/>
        <v>0</v>
      </c>
      <c r="AT305" s="199">
        <f t="shared" si="866"/>
        <v>0</v>
      </c>
      <c r="AU305" s="200">
        <f t="shared" ref="AU305:AY305" si="867">(ROUND(AU$257,3)-ROUND(AU293,3))*10^4</f>
        <v>0</v>
      </c>
      <c r="AV305" s="200">
        <f t="shared" si="867"/>
        <v>0</v>
      </c>
      <c r="AW305" s="200">
        <f t="shared" si="867"/>
        <v>0</v>
      </c>
      <c r="AX305" s="200">
        <f t="shared" si="867"/>
        <v>0</v>
      </c>
      <c r="AY305" s="199">
        <f t="shared" si="867"/>
        <v>0</v>
      </c>
    </row>
    <row r="306" spans="1:51">
      <c r="A306" s="29" t="s">
        <v>128</v>
      </c>
      <c r="B306" s="135"/>
      <c r="C306" s="135"/>
      <c r="D306" s="135"/>
      <c r="E306" s="135"/>
      <c r="F306" s="135"/>
      <c r="AH306" s="200"/>
      <c r="AI306" s="200"/>
      <c r="AK306" s="200"/>
      <c r="AM306" s="200">
        <f t="shared" ref="AM306:AT306" si="868">(ROUND(AM$258,3)-ROUND(AM294,3))*10^4</f>
        <v>0</v>
      </c>
      <c r="AN306" s="200">
        <f t="shared" si="868"/>
        <v>0</v>
      </c>
      <c r="AO306" s="199">
        <f t="shared" si="868"/>
        <v>0</v>
      </c>
      <c r="AP306" s="200">
        <f t="shared" si="868"/>
        <v>0</v>
      </c>
      <c r="AQ306" s="200">
        <f t="shared" si="868"/>
        <v>0</v>
      </c>
      <c r="AR306" s="200">
        <f t="shared" si="868"/>
        <v>0</v>
      </c>
      <c r="AS306" s="200">
        <f t="shared" si="868"/>
        <v>0</v>
      </c>
      <c r="AT306" s="199">
        <f t="shared" si="868"/>
        <v>0</v>
      </c>
      <c r="AU306" s="200">
        <f t="shared" ref="AU306:AY306" si="869">(ROUND(AU$258,3)-ROUND(AU294,3))*10^4</f>
        <v>0</v>
      </c>
      <c r="AV306" s="200">
        <f t="shared" si="869"/>
        <v>0</v>
      </c>
      <c r="AW306" s="200">
        <f t="shared" si="869"/>
        <v>0</v>
      </c>
      <c r="AX306" s="200">
        <f t="shared" si="869"/>
        <v>0</v>
      </c>
      <c r="AY306" s="199">
        <f t="shared" si="869"/>
        <v>0</v>
      </c>
    </row>
  </sheetData>
  <printOptions horizontalCentered="1" verticalCentered="1"/>
  <pageMargins left="0.7" right="0.7" top="0.75" bottom="0.75" header="0.3" footer="0.3"/>
  <pageSetup paperSize="1" scale="60" orientation="landscape"/>
  <headerFooter/>
  <customProperties>
    <customPr name="Qube.Worksheet.Visibility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136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9" defaultRowHeight="13.6"/>
  <cols>
    <col min="1" max="1" width="29" style="3" customWidth="1"/>
    <col min="2" max="6" width="12.875" style="4" customWidth="1"/>
    <col min="7" max="10" width="12.625" style="1" hidden="1" customWidth="1" outlineLevel="1"/>
    <col min="11" max="11" width="12.625" style="5" customWidth="1" collapsed="1"/>
    <col min="12" max="15" width="12.625" style="1" hidden="1" customWidth="1" outlineLevel="1"/>
    <col min="16" max="16" width="12.625" style="5" customWidth="1" collapsed="1"/>
    <col min="17" max="20" width="12.625" style="1" hidden="1" customWidth="1" outlineLevel="1"/>
    <col min="21" max="21" width="12.625" style="5" customWidth="1" collapsed="1"/>
    <col min="22" max="25" width="12.625" style="1" hidden="1" customWidth="1" outlineLevel="1"/>
    <col min="26" max="26" width="12.625" style="5" customWidth="1" collapsed="1"/>
    <col min="27" max="30" width="12.625" style="1" hidden="1" customWidth="1" outlineLevel="1"/>
    <col min="31" max="31" width="12.625" style="5" customWidth="1" collapsed="1"/>
    <col min="32" max="35" width="12.625" style="1" hidden="1" customWidth="1" outlineLevel="1"/>
    <col min="36" max="36" width="12.625" style="5" customWidth="1" collapsed="1"/>
    <col min="37" max="40" width="12.625" style="1" customWidth="1" outlineLevel="1"/>
    <col min="41" max="41" width="12.625" style="5" customWidth="1"/>
    <col min="42" max="45" width="12.625" style="1" customWidth="1" outlineLevel="1"/>
    <col min="46" max="46" width="12.625" style="5" customWidth="1"/>
    <col min="47" max="50" width="12.625" style="1" customWidth="1" outlineLevel="1"/>
    <col min="51" max="51" width="12.625" style="5" customWidth="1"/>
    <col min="52" max="52" width="9" style="1"/>
    <col min="53" max="53" width="15.25" style="1" customWidth="1"/>
    <col min="54" max="54" width="29.875" style="1" customWidth="1"/>
    <col min="55" max="16384" width="9" style="1"/>
  </cols>
  <sheetData>
    <row r="1" ht="28.8" spans="1:54">
      <c r="A1" s="7" t="s">
        <v>148</v>
      </c>
      <c r="B1" s="8"/>
      <c r="C1" s="8"/>
      <c r="D1" s="8"/>
      <c r="E1" s="8"/>
      <c r="F1" s="8"/>
      <c r="G1" s="9"/>
      <c r="H1" s="9"/>
      <c r="I1" s="9"/>
      <c r="J1" s="9"/>
      <c r="K1" s="158"/>
      <c r="L1" s="9"/>
      <c r="M1" s="9"/>
      <c r="N1" s="9"/>
      <c r="O1" s="9"/>
      <c r="P1" s="158"/>
      <c r="Q1" s="9"/>
      <c r="R1" s="159"/>
      <c r="S1" s="9"/>
      <c r="T1" s="9"/>
      <c r="U1" s="158"/>
      <c r="V1" s="160"/>
      <c r="W1" s="160"/>
      <c r="X1" s="160"/>
      <c r="Y1" s="160"/>
      <c r="Z1" s="158"/>
      <c r="AA1" s="160"/>
      <c r="AB1" s="160"/>
      <c r="AC1" s="161"/>
      <c r="AD1" s="162"/>
      <c r="AE1" s="11">
        <v>0.44</v>
      </c>
      <c r="AF1" s="161"/>
      <c r="AG1" s="159"/>
      <c r="AH1" s="159"/>
      <c r="AI1" s="159"/>
      <c r="AJ1" s="163"/>
      <c r="AK1" s="162"/>
      <c r="AL1" s="164"/>
      <c r="AM1" s="164"/>
      <c r="AN1" s="164"/>
      <c r="AO1" s="163"/>
      <c r="AP1" s="159"/>
      <c r="AQ1" s="159"/>
      <c r="AR1" s="9"/>
      <c r="AS1" s="9"/>
      <c r="AT1" s="163"/>
      <c r="AU1" s="9"/>
      <c r="AV1" s="165"/>
      <c r="AW1" s="9"/>
      <c r="AX1" s="9"/>
      <c r="AY1" s="166"/>
    </row>
    <row r="2" spans="1:54">
      <c r="A2" s="14"/>
      <c r="B2" s="15"/>
      <c r="C2" s="15"/>
      <c r="D2" s="15"/>
      <c r="E2" s="15"/>
      <c r="F2" s="15"/>
      <c r="G2" s="9"/>
      <c r="H2" s="9"/>
      <c r="I2" s="9"/>
      <c r="J2" s="9"/>
      <c r="K2" s="13"/>
      <c r="L2" s="9"/>
      <c r="M2" s="9"/>
      <c r="N2" s="9"/>
      <c r="O2" s="9"/>
      <c r="P2" s="13"/>
      <c r="Q2" s="9"/>
      <c r="R2" s="9"/>
      <c r="S2" s="9"/>
      <c r="T2" s="9"/>
      <c r="U2" s="167" t="s">
        <v>149</v>
      </c>
      <c r="V2" s="168" t="s">
        <v>150</v>
      </c>
      <c r="W2" s="9"/>
      <c r="X2" s="9"/>
      <c r="Y2" s="9"/>
      <c r="Z2" s="13"/>
      <c r="AA2" s="9"/>
      <c r="AB2" s="9"/>
      <c r="AC2" s="9"/>
      <c r="AD2" s="9"/>
      <c r="AE2" s="13"/>
      <c r="AF2" s="9"/>
      <c r="AG2" s="9"/>
      <c r="AH2" s="9"/>
      <c r="AI2" s="9"/>
      <c r="AJ2" s="169"/>
      <c r="AK2" s="9"/>
      <c r="AL2" s="9"/>
      <c r="AM2" s="9"/>
      <c r="AN2" s="9"/>
      <c r="AO2" s="170"/>
      <c r="AP2" s="165"/>
      <c r="AQ2" s="165"/>
      <c r="AR2" s="165"/>
      <c r="AS2" s="9"/>
      <c r="AT2" s="13"/>
      <c r="AU2" s="9"/>
      <c r="AV2" s="9"/>
      <c r="AW2" s="9"/>
      <c r="AX2" s="9"/>
      <c r="AY2" s="13"/>
    </row>
    <row r="3" spans="1:54">
      <c r="A3" s="14" t="s">
        <v>13</v>
      </c>
      <c r="B3" s="13" t="str">
        <f>'Rev Driver'!B3</f>
        <v>FY15</v>
      </c>
      <c r="C3" s="13" t="str">
        <f>'Rev Driver'!C3</f>
        <v>FY16</v>
      </c>
      <c r="D3" s="13" t="str">
        <f>'Rev Driver'!D3</f>
        <v>FY17</v>
      </c>
      <c r="E3" s="13" t="str">
        <f>'Rev Driver'!E3</f>
        <v>FY18</v>
      </c>
      <c r="F3" s="13" t="str">
        <f>'Rev Driver'!F3</f>
        <v>FY19</v>
      </c>
      <c r="G3" s="9" t="str">
        <f>'Rev Driver'!G3</f>
        <v>1Q20</v>
      </c>
      <c r="H3" s="9" t="str">
        <f>'Rev Driver'!H3</f>
        <v>2Q20</v>
      </c>
      <c r="I3" s="9" t="str">
        <f>'Rev Driver'!I3</f>
        <v>3Q20</v>
      </c>
      <c r="J3" s="9" t="str">
        <f>'Rev Driver'!J3</f>
        <v>4Q20</v>
      </c>
      <c r="K3" s="13" t="str">
        <f>'Rev Driver'!K3</f>
        <v>FY20</v>
      </c>
      <c r="L3" s="9" t="str">
        <f>'Rev Driver'!L3</f>
        <v>1Q21</v>
      </c>
      <c r="M3" s="9" t="str">
        <f>'Rev Driver'!M3</f>
        <v>2Q21</v>
      </c>
      <c r="N3" s="9" t="str">
        <f>'Rev Driver'!N3</f>
        <v>3Q21</v>
      </c>
      <c r="O3" s="9" t="str">
        <f>'Rev Driver'!O3</f>
        <v>4Q21</v>
      </c>
      <c r="P3" s="13" t="str">
        <f>'Rev Driver'!P3</f>
        <v>FY21</v>
      </c>
      <c r="Q3" s="9" t="str">
        <f>'Rev Driver'!Q3</f>
        <v>1Q22</v>
      </c>
      <c r="R3" s="9" t="str">
        <f>'Rev Driver'!R3</f>
        <v>2Q22</v>
      </c>
      <c r="S3" s="9" t="str">
        <f>'Rev Driver'!S3</f>
        <v>3Q22</v>
      </c>
      <c r="T3" s="9" t="str">
        <f>'Rev Driver'!T3</f>
        <v>4Q22</v>
      </c>
      <c r="U3" s="13" t="str">
        <f>'Rev Driver'!U3</f>
        <v>FY22</v>
      </c>
      <c r="V3" s="9" t="str">
        <f>'Rev Driver'!V3</f>
        <v>1Q23</v>
      </c>
      <c r="W3" s="9" t="str">
        <f>'Rev Driver'!W3</f>
        <v>2Q23</v>
      </c>
      <c r="X3" s="9" t="str">
        <f>'Rev Driver'!X3</f>
        <v>3Q23</v>
      </c>
      <c r="Y3" s="9" t="str">
        <f>'Rev Driver'!Y3</f>
        <v>4Q23</v>
      </c>
      <c r="Z3" s="13" t="str">
        <f>'Rev Driver'!Z3</f>
        <v>FY23</v>
      </c>
      <c r="AA3" s="9" t="str">
        <f>'Rev Driver'!AA3</f>
        <v>1Q24</v>
      </c>
      <c r="AB3" s="9" t="str">
        <f>'Rev Driver'!AB3</f>
        <v>2Q24</v>
      </c>
      <c r="AC3" s="9" t="str">
        <f>'Rev Driver'!AC3</f>
        <v>3Q24</v>
      </c>
      <c r="AD3" s="9" t="str">
        <f>'Rev Driver'!AD3</f>
        <v>4Q24</v>
      </c>
      <c r="AE3" s="13" t="str">
        <f>'Rev Driver'!AE3</f>
        <v>FY24</v>
      </c>
      <c r="AF3" s="9" t="str">
        <f>'Rev Driver'!AF3</f>
        <v>1Q25</v>
      </c>
      <c r="AG3" s="9" t="str">
        <f>'Rev Driver'!AG3</f>
        <v>2Q25</v>
      </c>
      <c r="AH3" s="9" t="str">
        <f>'Rev Driver'!AH3</f>
        <v>3Q25</v>
      </c>
      <c r="AI3" s="9" t="str">
        <f>'Rev Driver'!AI3</f>
        <v>4Q25</v>
      </c>
      <c r="AJ3" s="13" t="str">
        <f>'Rev Driver'!AJ3</f>
        <v>FY25</v>
      </c>
      <c r="AK3" s="9" t="str">
        <f>'Rev Driver'!AK3</f>
        <v>1Q26</v>
      </c>
      <c r="AL3" s="9" t="str">
        <f>'Rev Driver'!AL3</f>
        <v>2Q26</v>
      </c>
      <c r="AM3" s="16" t="str">
        <f>'Rev Driver'!AM3</f>
        <v>3Q26E</v>
      </c>
      <c r="AN3" s="16" t="str">
        <f>'Rev Driver'!AN3</f>
        <v>4Q26E</v>
      </c>
      <c r="AO3" s="17" t="str">
        <f>'Rev Driver'!AO3</f>
        <v>FY26E</v>
      </c>
      <c r="AP3" s="16" t="str">
        <f>'Rev Driver'!AP3</f>
        <v>1Q27E</v>
      </c>
      <c r="AQ3" s="16" t="str">
        <f>'Rev Driver'!AQ3</f>
        <v>2Q27E</v>
      </c>
      <c r="AR3" s="16" t="str">
        <f>'Rev Driver'!AR3</f>
        <v>3Q27E</v>
      </c>
      <c r="AS3" s="16" t="str">
        <f>'Rev Driver'!AS3</f>
        <v>4Q27E</v>
      </c>
      <c r="AT3" s="17" t="str">
        <f>'Rev Driver'!AT3</f>
        <v>FY27E</v>
      </c>
      <c r="AU3" s="16" t="str">
        <f>'Rev Driver'!AU3</f>
        <v>1Q28E</v>
      </c>
      <c r="AV3" s="16" t="str">
        <f>'Rev Driver'!AV3</f>
        <v>2Q28E</v>
      </c>
      <c r="AW3" s="16" t="str">
        <f>'Rev Driver'!AW3</f>
        <v>3Q28E</v>
      </c>
      <c r="AX3" s="16" t="str">
        <f>'Rev Driver'!AX3</f>
        <v>4Q28E</v>
      </c>
      <c r="AY3" s="17" t="str">
        <f>'Rev Driver'!AY3</f>
        <v>FY28E</v>
      </c>
    </row>
    <row r="4" outlineLevel="1" spans="1:54">
      <c r="A4" s="18" t="s">
        <v>151</v>
      </c>
      <c r="B4" s="19">
        <f>'Rev Driver'!B4</f>
        <v>42399</v>
      </c>
      <c r="C4" s="19">
        <f>'Rev Driver'!C4</f>
        <v>42763</v>
      </c>
      <c r="D4" s="19">
        <f>'Rev Driver'!D4</f>
        <v>43134</v>
      </c>
      <c r="E4" s="19">
        <f>'Rev Driver'!E4</f>
        <v>43498</v>
      </c>
      <c r="F4" s="19">
        <f>'Rev Driver'!F4</f>
        <v>43862</v>
      </c>
      <c r="G4" s="20">
        <f>'Rev Driver'!G4</f>
        <v>43953</v>
      </c>
      <c r="H4" s="20">
        <f>'Rev Driver'!H4</f>
        <v>44044</v>
      </c>
      <c r="I4" s="20">
        <v>44135</v>
      </c>
      <c r="J4" s="20">
        <f>'Rev Driver'!J4</f>
        <v>44226</v>
      </c>
      <c r="K4" s="19">
        <f>'Rev Driver'!K4</f>
        <v>44226</v>
      </c>
      <c r="L4" s="20">
        <f>'Rev Driver'!L4</f>
        <v>44317</v>
      </c>
      <c r="M4" s="20">
        <f>'Rev Driver'!M4</f>
        <v>44408</v>
      </c>
      <c r="N4" s="20">
        <f>'Rev Driver'!N4</f>
        <v>44500</v>
      </c>
      <c r="O4" s="20">
        <f>'Rev Driver'!O4</f>
        <v>44590</v>
      </c>
      <c r="P4" s="19">
        <f>'Rev Driver'!P4</f>
        <v>44590</v>
      </c>
      <c r="Q4" s="20">
        <f>'Rev Driver'!Q4</f>
        <v>44681</v>
      </c>
      <c r="R4" s="20">
        <f>'Rev Driver'!R4</f>
        <v>44772</v>
      </c>
      <c r="S4" s="20">
        <f>'Rev Driver'!S4</f>
        <v>44863</v>
      </c>
      <c r="T4" s="20">
        <f>'Rev Driver'!T4</f>
        <v>44954</v>
      </c>
      <c r="U4" s="19">
        <f>'Rev Driver'!U4</f>
        <v>44954</v>
      </c>
      <c r="V4" s="20">
        <f>'Rev Driver'!V4</f>
        <v>45045</v>
      </c>
      <c r="W4" s="20">
        <f>'Rev Driver'!W4</f>
        <v>45136</v>
      </c>
      <c r="X4" s="20">
        <f>'Rev Driver'!X4</f>
        <v>45227</v>
      </c>
      <c r="Y4" s="20">
        <f>'Rev Driver'!Y4</f>
        <v>45325</v>
      </c>
      <c r="Z4" s="19">
        <f>'Rev Driver'!Z4</f>
        <v>45325</v>
      </c>
      <c r="AA4" s="20">
        <f>'Rev Driver'!AA4</f>
        <v>45416</v>
      </c>
      <c r="AB4" s="20">
        <f>'Rev Driver'!AB4</f>
        <v>45507</v>
      </c>
      <c r="AC4" s="20">
        <f>'Rev Driver'!AC4</f>
        <v>45598</v>
      </c>
      <c r="AD4" s="20">
        <f>'Rev Driver'!AD4</f>
        <v>45689</v>
      </c>
      <c r="AE4" s="19">
        <f>'Rev Driver'!AE4</f>
        <v>45689</v>
      </c>
      <c r="AF4" s="20">
        <f>'Rev Driver'!AF4</f>
        <v>45780</v>
      </c>
      <c r="AG4" s="20">
        <f>'Rev Driver'!AG4</f>
        <v>45871</v>
      </c>
      <c r="AH4" s="20">
        <f>'Rev Driver'!AH4</f>
        <v>45962</v>
      </c>
      <c r="AI4" s="20">
        <f>'Rev Driver'!AI4</f>
        <v>46053</v>
      </c>
      <c r="AJ4" s="19">
        <f>'Rev Driver'!AJ4</f>
        <v>46053</v>
      </c>
      <c r="AK4" s="20">
        <f>'Rev Driver'!AK4</f>
        <v>46144</v>
      </c>
      <c r="AL4" s="20">
        <f>'Rev Driver'!AL4</f>
        <v>46235</v>
      </c>
      <c r="AM4" s="21">
        <f>'Rev Driver'!AM4</f>
        <v>46326</v>
      </c>
      <c r="AN4" s="21">
        <f>'Rev Driver'!AN4</f>
        <v>46417</v>
      </c>
      <c r="AO4" s="22">
        <f>'Rev Driver'!AO4</f>
        <v>46417</v>
      </c>
      <c r="AP4" s="21">
        <f>'Rev Driver'!AP4</f>
        <v>46508</v>
      </c>
      <c r="AQ4" s="21">
        <f>'Rev Driver'!AQ4</f>
        <v>46599</v>
      </c>
      <c r="AR4" s="21">
        <f>'Rev Driver'!AR4</f>
        <v>46690</v>
      </c>
      <c r="AS4" s="21">
        <f>'Rev Driver'!AS4</f>
        <v>46781</v>
      </c>
      <c r="AT4" s="22">
        <f>'Rev Driver'!AT4</f>
        <v>46781</v>
      </c>
      <c r="AU4" s="21">
        <f>'Rev Driver'!AU4</f>
        <v>46872</v>
      </c>
      <c r="AV4" s="21">
        <f>'Rev Driver'!AV4</f>
        <v>46963</v>
      </c>
      <c r="AW4" s="21">
        <f>'Rev Driver'!AW4</f>
        <v>47054</v>
      </c>
      <c r="AX4" s="21">
        <f>'Rev Driver'!AX4</f>
        <v>47145</v>
      </c>
      <c r="AY4" s="22">
        <f>'Rev Driver'!AY4</f>
        <v>47145</v>
      </c>
    </row>
    <row r="5" outlineLevel="1" spans="1:54">
      <c r="A5" s="18" t="s">
        <v>152</v>
      </c>
      <c r="B5" s="23">
        <f>'Rev Driver'!B5</f>
        <v>52</v>
      </c>
      <c r="C5" s="23">
        <f>'Rev Driver'!C5</f>
        <v>52</v>
      </c>
      <c r="D5" s="23">
        <f>'Rev Driver'!D5</f>
        <v>53</v>
      </c>
      <c r="E5" s="23">
        <f>'Rev Driver'!E5</f>
        <v>52</v>
      </c>
      <c r="F5" s="23">
        <f>'Rev Driver'!F5</f>
        <v>52</v>
      </c>
      <c r="G5" s="24">
        <f>'Rev Driver'!G5</f>
        <v>13</v>
      </c>
      <c r="H5" s="24">
        <f>'Rev Driver'!H5</f>
        <v>13</v>
      </c>
      <c r="I5" s="24">
        <f>'Rev Driver'!I5</f>
        <v>13</v>
      </c>
      <c r="J5" s="24">
        <f>'Rev Driver'!J5</f>
        <v>13</v>
      </c>
      <c r="K5" s="23">
        <f>'Rev Driver'!K5</f>
        <v>52</v>
      </c>
      <c r="L5" s="24">
        <f>'Rev Driver'!L5</f>
        <v>13</v>
      </c>
      <c r="M5" s="24">
        <f>'Rev Driver'!M5</f>
        <v>13</v>
      </c>
      <c r="N5" s="24">
        <f>'Rev Driver'!N5</f>
        <v>13</v>
      </c>
      <c r="O5" s="24">
        <f>'Rev Driver'!O5</f>
        <v>13</v>
      </c>
      <c r="P5" s="23">
        <f>'Rev Driver'!P5</f>
        <v>52</v>
      </c>
      <c r="Q5" s="24">
        <f>'Rev Driver'!Q5</f>
        <v>13</v>
      </c>
      <c r="R5" s="24">
        <f>'Rev Driver'!R5</f>
        <v>13</v>
      </c>
      <c r="S5" s="24">
        <f>'Rev Driver'!S5</f>
        <v>13</v>
      </c>
      <c r="T5" s="24">
        <f>'Rev Driver'!T5</f>
        <v>13</v>
      </c>
      <c r="U5" s="23">
        <f>'Rev Driver'!U5</f>
        <v>52</v>
      </c>
      <c r="V5" s="24">
        <f>'Rev Driver'!V5</f>
        <v>13</v>
      </c>
      <c r="W5" s="24">
        <f>'Rev Driver'!W5</f>
        <v>13</v>
      </c>
      <c r="X5" s="24">
        <f>'Rev Driver'!X5</f>
        <v>13</v>
      </c>
      <c r="Y5" s="24">
        <f>'Rev Driver'!Y5</f>
        <v>14</v>
      </c>
      <c r="Z5" s="23">
        <f>'Rev Driver'!Z5</f>
        <v>53</v>
      </c>
      <c r="AA5" s="24">
        <f>'Rev Driver'!AA5</f>
        <v>13</v>
      </c>
      <c r="AB5" s="24">
        <f>'Rev Driver'!AB5</f>
        <v>13</v>
      </c>
      <c r="AC5" s="24">
        <f>'Rev Driver'!AC5</f>
        <v>13</v>
      </c>
      <c r="AD5" s="24">
        <f>'Rev Driver'!AD5</f>
        <v>13</v>
      </c>
      <c r="AE5" s="23">
        <f>'Rev Driver'!AE5</f>
        <v>52</v>
      </c>
      <c r="AF5" s="24">
        <f>'Rev Driver'!AF5</f>
        <v>13</v>
      </c>
      <c r="AG5" s="24">
        <f>'Rev Driver'!AG5</f>
        <v>13</v>
      </c>
      <c r="AH5" s="24">
        <f>'Rev Driver'!AH5</f>
        <v>13</v>
      </c>
      <c r="AI5" s="24">
        <f>'Rev Driver'!AI5</f>
        <v>13</v>
      </c>
      <c r="AJ5" s="23">
        <f>'Rev Driver'!AJ5</f>
        <v>52</v>
      </c>
      <c r="AK5" s="24">
        <f>'Rev Driver'!AK5</f>
        <v>13</v>
      </c>
      <c r="AL5" s="24">
        <f>'Rev Driver'!AL5</f>
        <v>13</v>
      </c>
      <c r="AM5" s="25">
        <f>'Rev Driver'!AM5</f>
        <v>13</v>
      </c>
      <c r="AN5" s="25">
        <f>'Rev Driver'!AN5</f>
        <v>13</v>
      </c>
      <c r="AO5" s="26">
        <f>'Rev Driver'!AO5</f>
        <v>52</v>
      </c>
      <c r="AP5" s="25">
        <f>'Rev Driver'!AP5</f>
        <v>13</v>
      </c>
      <c r="AQ5" s="25">
        <f>'Rev Driver'!AQ5</f>
        <v>13</v>
      </c>
      <c r="AR5" s="25">
        <f>'Rev Driver'!AR5</f>
        <v>13</v>
      </c>
      <c r="AS5" s="25">
        <f>'Rev Driver'!AS5</f>
        <v>13</v>
      </c>
      <c r="AT5" s="26">
        <f>'Rev Driver'!AT5</f>
        <v>52</v>
      </c>
      <c r="AU5" s="25">
        <f>'Rev Driver'!AU5</f>
        <v>13</v>
      </c>
      <c r="AV5" s="25">
        <f>'Rev Driver'!AV5</f>
        <v>13</v>
      </c>
      <c r="AW5" s="25">
        <f>'Rev Driver'!AW5</f>
        <v>13</v>
      </c>
      <c r="AX5" s="25">
        <f>'Rev Driver'!AX5</f>
        <v>13</v>
      </c>
      <c r="AY5" s="26">
        <f>'Rev Driver'!AY5</f>
        <v>52</v>
      </c>
      <c r="BA5" s="3"/>
      <c r="BB5" s="171"/>
    </row>
    <row r="6" ht="15" customHeight="1" spans="1:54">
      <c r="A6" s="3" t="s">
        <v>73</v>
      </c>
      <c r="B6" s="79">
        <f>'Rev Driver'!B9</f>
        <v>3518680</v>
      </c>
      <c r="C6" s="79">
        <f>'Rev Driver'!C9</f>
        <v>3326740</v>
      </c>
      <c r="D6" s="79">
        <f>'Rev Driver'!D9</f>
        <v>3492690</v>
      </c>
      <c r="E6" s="79">
        <f>'Rev Driver'!E9</f>
        <v>3590109</v>
      </c>
      <c r="F6" s="79">
        <f>'Rev Driver'!F9</f>
        <v>3623073</v>
      </c>
      <c r="G6" s="6">
        <f>'Rev Driver'!G9</f>
        <v>485359</v>
      </c>
      <c r="H6" s="6">
        <f>'Rev Driver'!H9</f>
        <v>698328</v>
      </c>
      <c r="I6" s="6">
        <f>'Rev Driver'!I9</f>
        <v>819653</v>
      </c>
      <c r="J6" s="6">
        <f>'Rev Driver'!J9</f>
        <v>1122044</v>
      </c>
      <c r="K6" s="79">
        <f>'Rev Driver'!K9</f>
        <v>3125384</v>
      </c>
      <c r="L6" s="6">
        <f>'Rev Driver'!L9</f>
        <v>781405</v>
      </c>
      <c r="M6" s="6">
        <f>'Rev Driver'!M9</f>
        <v>864850</v>
      </c>
      <c r="N6" s="6">
        <f>'Rev Driver'!N9</f>
        <v>905160</v>
      </c>
      <c r="O6" s="6">
        <f>'Rev Driver'!O9</f>
        <v>1161353</v>
      </c>
      <c r="P6" s="79">
        <f>'Rev Driver'!P9</f>
        <v>3712768</v>
      </c>
      <c r="Q6" s="6">
        <f>'Rev Driver'!Q9</f>
        <v>812762</v>
      </c>
      <c r="R6" s="6">
        <f>'Rev Driver'!R9</f>
        <v>805091</v>
      </c>
      <c r="S6" s="6">
        <f>'Rev Driver'!S9</f>
        <v>880084</v>
      </c>
      <c r="T6" s="6">
        <f>'Rev Driver'!T9</f>
        <v>1199814</v>
      </c>
      <c r="U6" s="79">
        <f>'Rev Driver'!U9</f>
        <v>3697751</v>
      </c>
      <c r="V6" s="6">
        <f>'Rev Driver'!V9</f>
        <v>835994</v>
      </c>
      <c r="W6" s="6">
        <f>'Rev Driver'!W9</f>
        <v>935345</v>
      </c>
      <c r="X6" s="6">
        <f>'Rev Driver'!X9</f>
        <v>1056431</v>
      </c>
      <c r="Y6" s="6">
        <f>'Rev Driver'!Y9</f>
        <v>1452907</v>
      </c>
      <c r="Z6" s="79">
        <f>'Rev Driver'!Z9</f>
        <v>4280677</v>
      </c>
      <c r="AA6" s="6">
        <f>'Rev Driver'!AA9</f>
        <v>1020730</v>
      </c>
      <c r="AB6" s="6">
        <f>'Rev Driver'!AB9</f>
        <v>1133974</v>
      </c>
      <c r="AC6" s="6">
        <f>'Rev Driver'!AC9</f>
        <v>1208966</v>
      </c>
      <c r="AD6" s="6">
        <f>'Rev Driver'!AD9</f>
        <v>1584917</v>
      </c>
      <c r="AE6" s="79">
        <f>'Rev Driver'!AE9</f>
        <v>4948587</v>
      </c>
      <c r="AF6" s="6">
        <f>'Rev Driver'!AF9</f>
        <v>1097311</v>
      </c>
      <c r="AG6" s="6">
        <f>'Rev Driver'!AG9</f>
        <v>1208560</v>
      </c>
      <c r="AH6" s="6">
        <f>'Rev Driver'!AH9</f>
        <v>1290619</v>
      </c>
      <c r="AI6" s="6">
        <f>'Rev Driver'!AI9</f>
        <v>1669802</v>
      </c>
      <c r="AJ6" s="79">
        <f>'Rev Driver'!AJ9</f>
        <v>5266292</v>
      </c>
      <c r="AK6" s="6">
        <f>'Rev Driver'!AK9</f>
        <v>1113821</v>
      </c>
      <c r="AL6" s="6">
        <f>'Rev Driver'!AL9</f>
        <v>1266689</v>
      </c>
      <c r="AM6" s="6">
        <f>'Rev Driver'!AM9</f>
        <v>1366937.56</v>
      </c>
      <c r="AN6" s="6">
        <f>'Rev Driver'!AN9</f>
        <v>1786688.14</v>
      </c>
      <c r="AO6" s="79">
        <f>'Rev Driver'!AO9</f>
        <v>5534135.7</v>
      </c>
      <c r="AP6" s="6">
        <f>'Rev Driver'!AP9</f>
        <v>1164021.03</v>
      </c>
      <c r="AQ6" s="6">
        <f>'Rev Driver'!AQ9</f>
        <v>1317356.56</v>
      </c>
      <c r="AR6" s="6">
        <f>'Rev Driver'!AR9</f>
        <v>1414613.0128</v>
      </c>
      <c r="AS6" s="6">
        <f>'Rev Driver'!AS9</f>
        <v>1848918.3556</v>
      </c>
      <c r="AT6" s="79">
        <f>'Rev Driver'!AT9</f>
        <v>5744908.9584</v>
      </c>
      <c r="AU6" s="6">
        <f>'Rev Driver'!AU9</f>
        <v>1195976.88615</v>
      </c>
      <c r="AV6" s="6">
        <f>'Rev Driver'!AV9</f>
        <v>1353773.8552</v>
      </c>
      <c r="AW6" s="6">
        <f>'Rev Driver'!AW9</f>
        <v>1457190.449208</v>
      </c>
      <c r="AX6" s="6">
        <f>'Rev Driver'!AX9</f>
        <v>1904655.74379</v>
      </c>
      <c r="AY6" s="79">
        <f>'Rev Driver'!AY9</f>
        <v>5911596.934348</v>
      </c>
    </row>
    <row r="7" ht="15" customHeight="1" spans="1:54">
      <c r="A7" s="29" t="s">
        <v>153</v>
      </c>
      <c r="B7" s="92">
        <f>1361137-20647</f>
        <v>1340490</v>
      </c>
      <c r="C7" s="92">
        <v>1298172</v>
      </c>
      <c r="D7" s="92">
        <v>1408848</v>
      </c>
      <c r="E7" s="92">
        <v>1430193</v>
      </c>
      <c r="F7" s="92">
        <v>1472155</v>
      </c>
      <c r="G7" s="93">
        <v>221214</v>
      </c>
      <c r="H7" s="93">
        <v>274720</v>
      </c>
      <c r="I7" s="93">
        <v>295220</v>
      </c>
      <c r="J7" s="93">
        <v>443025</v>
      </c>
      <c r="K7" s="90">
        <f>SUM(G7:J7)</f>
        <v>1234179</v>
      </c>
      <c r="L7" s="93">
        <v>286271</v>
      </c>
      <c r="M7" s="93">
        <v>301365</v>
      </c>
      <c r="N7" s="93">
        <v>328916</v>
      </c>
      <c r="O7" s="93">
        <v>484221</v>
      </c>
      <c r="P7" s="90">
        <f>SUM(L7:O7)</f>
        <v>1400773</v>
      </c>
      <c r="Q7" s="93">
        <v>363216</v>
      </c>
      <c r="R7" s="93">
        <v>339200</v>
      </c>
      <c r="S7" s="93">
        <v>359268</v>
      </c>
      <c r="T7" s="93">
        <v>531529</v>
      </c>
      <c r="U7" s="90">
        <f>SUM(Q7:T7)</f>
        <v>1593213</v>
      </c>
      <c r="V7" s="93">
        <v>326200</v>
      </c>
      <c r="W7" s="93">
        <v>350965</v>
      </c>
      <c r="X7" s="93">
        <v>370762</v>
      </c>
      <c r="Y7" s="93">
        <v>539338</v>
      </c>
      <c r="Z7" s="90">
        <f>SUM(V7:Y7)</f>
        <v>1587265</v>
      </c>
      <c r="AA7" s="93">
        <v>343273</v>
      </c>
      <c r="AB7" s="93">
        <v>397712</v>
      </c>
      <c r="AC7" s="93">
        <v>422034</v>
      </c>
      <c r="AD7" s="93">
        <v>610907</v>
      </c>
      <c r="AE7" s="90">
        <f>SUM(AA7:AD7)</f>
        <v>1773926</v>
      </c>
      <c r="AF7" s="93">
        <v>417133</v>
      </c>
      <c r="AG7" s="93">
        <f>451590</f>
        <v>451590</v>
      </c>
      <c r="AH7" s="93">
        <v>483670</v>
      </c>
      <c r="AI7" s="93">
        <v>676491</v>
      </c>
      <c r="AJ7" s="90">
        <f>SUM(AF7:AI7)</f>
        <v>2028884</v>
      </c>
      <c r="AK7" s="93">
        <v>413838</v>
      </c>
      <c r="AL7" s="93">
        <f>366109+100000</f>
        <v>466109</v>
      </c>
      <c r="AM7" s="6">
        <f t="shared" ref="AM7" si="0">AM6-AM8</f>
        <v>494500.814738862</v>
      </c>
      <c r="AN7" s="6">
        <f t="shared" ref="AN7" si="1">AN6-AN8</f>
        <v>693471.67162</v>
      </c>
      <c r="AO7" s="90">
        <f>SUM(AK7:AN7)</f>
        <v>2067919.48635886</v>
      </c>
      <c r="AP7" s="6">
        <f>AP6-AP8</f>
        <v>431325.70129804</v>
      </c>
      <c r="AQ7" s="6">
        <f t="shared" ref="AQ7:AS7" si="2">AQ6-AQ8</f>
        <v>483436.00344</v>
      </c>
      <c r="AR7" s="6">
        <f t="shared" si="2"/>
        <v>510333.18574532</v>
      </c>
      <c r="AS7" s="6">
        <f t="shared" si="2"/>
        <v>715776.320230712</v>
      </c>
      <c r="AT7" s="90">
        <f>SUM(AP7:AS7)</f>
        <v>2140871.21071407</v>
      </c>
      <c r="AU7" s="6">
        <f>AU6-AU8</f>
        <v>440774.92711721</v>
      </c>
      <c r="AV7" s="6">
        <f t="shared" ref="AV7:AX7" si="3">AV6-AV8</f>
        <v>496800.214908748</v>
      </c>
      <c r="AW7" s="6">
        <f t="shared" si="3"/>
        <v>525693.34330527</v>
      </c>
      <c r="AX7" s="6">
        <f t="shared" si="3"/>
        <v>733544.761215042</v>
      </c>
      <c r="AY7" s="90">
        <f>SUM(AU7:AX7)</f>
        <v>2196813.24654627</v>
      </c>
      <c r="BA7" s="172"/>
      <c r="BB7" s="173"/>
    </row>
    <row r="8" s="157" customFormat="1" ht="15" customHeight="1" spans="1:54">
      <c r="A8" s="174" t="s">
        <v>154</v>
      </c>
      <c r="B8" s="175">
        <f t="shared" ref="B8:F8" si="4">B6-B7</f>
        <v>2178190</v>
      </c>
      <c r="C8" s="175">
        <f t="shared" si="4"/>
        <v>2028568</v>
      </c>
      <c r="D8" s="175">
        <f t="shared" si="4"/>
        <v>2083842</v>
      </c>
      <c r="E8" s="175">
        <f t="shared" si="4"/>
        <v>2159916</v>
      </c>
      <c r="F8" s="175">
        <f t="shared" si="4"/>
        <v>2150918</v>
      </c>
      <c r="G8" s="176">
        <f t="shared" ref="G8:K8" si="5">G6-G7</f>
        <v>264145</v>
      </c>
      <c r="H8" s="176">
        <f t="shared" si="5"/>
        <v>423608</v>
      </c>
      <c r="I8" s="176">
        <f t="shared" si="5"/>
        <v>524433</v>
      </c>
      <c r="J8" s="176">
        <f t="shared" si="5"/>
        <v>679019</v>
      </c>
      <c r="K8" s="175">
        <f t="shared" si="5"/>
        <v>1891205</v>
      </c>
      <c r="L8" s="176">
        <f t="shared" ref="L8:P8" si="6">L6-L7</f>
        <v>495134</v>
      </c>
      <c r="M8" s="176">
        <f t="shared" si="6"/>
        <v>563485</v>
      </c>
      <c r="N8" s="176">
        <f t="shared" si="6"/>
        <v>576244</v>
      </c>
      <c r="O8" s="176">
        <f t="shared" si="6"/>
        <v>677132</v>
      </c>
      <c r="P8" s="175">
        <f t="shared" si="6"/>
        <v>2311995</v>
      </c>
      <c r="Q8" s="176">
        <f t="shared" ref="Q8:V8" si="7">Q6-Q7</f>
        <v>449546</v>
      </c>
      <c r="R8" s="176">
        <f t="shared" si="7"/>
        <v>465891</v>
      </c>
      <c r="S8" s="176">
        <f t="shared" si="7"/>
        <v>520816</v>
      </c>
      <c r="T8" s="176">
        <f t="shared" si="7"/>
        <v>668285</v>
      </c>
      <c r="U8" s="175">
        <f t="shared" si="7"/>
        <v>2104538</v>
      </c>
      <c r="V8" s="176">
        <f t="shared" si="7"/>
        <v>509794</v>
      </c>
      <c r="W8" s="176">
        <f t="shared" ref="W8:AA8" si="8">W6-W7</f>
        <v>584380</v>
      </c>
      <c r="X8" s="176">
        <f t="shared" si="8"/>
        <v>685669</v>
      </c>
      <c r="Y8" s="176">
        <f t="shared" si="8"/>
        <v>913569</v>
      </c>
      <c r="Z8" s="175">
        <f t="shared" si="8"/>
        <v>2693412</v>
      </c>
      <c r="AA8" s="176">
        <f t="shared" si="8"/>
        <v>677457</v>
      </c>
      <c r="AB8" s="176">
        <f t="shared" ref="AB8:AF8" si="9">AB6-AB7</f>
        <v>736262</v>
      </c>
      <c r="AC8" s="176">
        <f t="shared" si="9"/>
        <v>786932</v>
      </c>
      <c r="AD8" s="176">
        <f t="shared" si="9"/>
        <v>974010</v>
      </c>
      <c r="AE8" s="175">
        <f t="shared" si="9"/>
        <v>3174661</v>
      </c>
      <c r="AF8" s="176">
        <f t="shared" si="9"/>
        <v>680178</v>
      </c>
      <c r="AG8" s="176">
        <f t="shared" ref="AG8:AI8" si="10">AG6-AG7</f>
        <v>756970</v>
      </c>
      <c r="AH8" s="176">
        <f t="shared" si="10"/>
        <v>806949</v>
      </c>
      <c r="AI8" s="176">
        <f t="shared" si="10"/>
        <v>993311</v>
      </c>
      <c r="AJ8" s="175">
        <f t="shared" ref="AJ8:AL8" si="11">AJ6-AJ7</f>
        <v>3237408</v>
      </c>
      <c r="AK8" s="176">
        <f t="shared" si="11"/>
        <v>699983</v>
      </c>
      <c r="AL8" s="176">
        <f t="shared" si="11"/>
        <v>800580</v>
      </c>
      <c r="AM8" s="176">
        <f>AM$6*AM26</f>
        <v>872436.745261139</v>
      </c>
      <c r="AN8" s="176">
        <f>AN$6*AN26</f>
        <v>1093216.46838</v>
      </c>
      <c r="AO8" s="175">
        <f t="shared" ref="AO8" si="12">AO6-AO7</f>
        <v>3466216.21364114</v>
      </c>
      <c r="AP8" s="176">
        <f>AP$6*AP26</f>
        <v>732695.32870196</v>
      </c>
      <c r="AQ8" s="176">
        <f>AQ$6*AQ26</f>
        <v>833920.55656</v>
      </c>
      <c r="AR8" s="176">
        <f>AR$6*AR26</f>
        <v>904279.82705468</v>
      </c>
      <c r="AS8" s="176">
        <f>AS$6*AS26</f>
        <v>1133142.03536929</v>
      </c>
      <c r="AT8" s="175">
        <f t="shared" ref="AT8" si="13">AT6-AT7</f>
        <v>3604037.74768593</v>
      </c>
      <c r="AU8" s="176">
        <f>AU$6*AU26</f>
        <v>755201.95903279</v>
      </c>
      <c r="AV8" s="176">
        <f>AV$6*AV26</f>
        <v>856973.640291252</v>
      </c>
      <c r="AW8" s="176">
        <f>AW$6*AW26</f>
        <v>931497.10590273</v>
      </c>
      <c r="AX8" s="176">
        <f>AX$6*AX26</f>
        <v>1171110.98257496</v>
      </c>
      <c r="AY8" s="175">
        <f t="shared" ref="AY8" si="14">AY6-AY7</f>
        <v>3714783.68780173</v>
      </c>
      <c r="BA8" s="172"/>
      <c r="BB8" s="173"/>
    </row>
    <row r="9" ht="15" customHeight="1" spans="1:54">
      <c r="A9" s="29" t="s">
        <v>155</v>
      </c>
      <c r="B9" s="92">
        <f>1604214-6665</f>
        <v>1597549</v>
      </c>
      <c r="C9" s="92">
        <v>1578460</v>
      </c>
      <c r="D9" s="92">
        <v>1542425</v>
      </c>
      <c r="E9" s="92">
        <v>1542022</v>
      </c>
      <c r="F9" s="92">
        <v>1551243</v>
      </c>
      <c r="G9" s="93">
        <v>322124</v>
      </c>
      <c r="H9" s="93">
        <v>310370</v>
      </c>
      <c r="I9" s="93">
        <v>346263</v>
      </c>
      <c r="J9" s="93">
        <v>412827</v>
      </c>
      <c r="K9" s="90">
        <f t="shared" ref="K9:K16" si="15">SUM(G9:J9)</f>
        <v>1391584</v>
      </c>
      <c r="L9" s="93">
        <v>316608</v>
      </c>
      <c r="M9" s="93">
        <v>325847</v>
      </c>
      <c r="N9" s="93">
        <v>351815</v>
      </c>
      <c r="O9" s="93">
        <v>435153</v>
      </c>
      <c r="P9" s="90">
        <f t="shared" ref="P9:P16" si="16">SUM(L9:O9)</f>
        <v>1429423</v>
      </c>
      <c r="Q9" s="93">
        <v>337543</v>
      </c>
      <c r="R9" s="93">
        <v>340791</v>
      </c>
      <c r="S9" s="93">
        <v>367333</v>
      </c>
      <c r="T9" s="93">
        <v>437264</v>
      </c>
      <c r="U9" s="90">
        <f t="shared" ref="U9:U16" si="17">SUM(Q9:T9)</f>
        <v>1482931</v>
      </c>
      <c r="V9" s="93">
        <f>324251-4436</f>
        <v>319815</v>
      </c>
      <c r="W9" s="93">
        <v>338296</v>
      </c>
      <c r="X9" s="93">
        <v>371969</v>
      </c>
      <c r="Y9" s="93">
        <v>498922</v>
      </c>
      <c r="Z9" s="90">
        <f t="shared" ref="Z9:Z16" si="18">SUM(V9:Y9)</f>
        <v>1529002</v>
      </c>
      <c r="AA9" s="93">
        <v>360018</v>
      </c>
      <c r="AB9" s="93">
        <v>382557</v>
      </c>
      <c r="AC9" s="93">
        <v>420990</v>
      </c>
      <c r="AD9" s="93">
        <v>526423</v>
      </c>
      <c r="AE9" s="90">
        <f t="shared" ref="AE9:AE16" si="19">SUM(AA9:AD9)</f>
        <v>1689988</v>
      </c>
      <c r="AF9" s="93">
        <v>399937</v>
      </c>
      <c r="AG9" s="93">
        <f>375356+42874</f>
        <v>418230</v>
      </c>
      <c r="AH9" s="93">
        <v>459548</v>
      </c>
      <c r="AI9" s="93">
        <v>574792</v>
      </c>
      <c r="AJ9" s="90">
        <f>SUM(AF9:AI9)</f>
        <v>1852507</v>
      </c>
      <c r="AK9" s="93">
        <v>431195</v>
      </c>
      <c r="AL9" s="93">
        <v>444042</v>
      </c>
      <c r="AM9" s="6">
        <f>AM$6*AM29</f>
        <v>493557.277365844</v>
      </c>
      <c r="AN9" s="6">
        <f>AN$6*AN29</f>
        <v>609667.37558</v>
      </c>
      <c r="AO9" s="90">
        <f t="shared" ref="AO9:AO16" si="20">SUM(AK9:AN9)</f>
        <v>1978461.65294584</v>
      </c>
      <c r="AP9" s="6">
        <f>AP$6*AP29</f>
        <v>442480.856939545</v>
      </c>
      <c r="AQ9" s="6">
        <f>AQ$6*AQ29</f>
        <v>464438.39312</v>
      </c>
      <c r="AR9" s="6">
        <f>AR$6*AR29</f>
        <v>513600.579125197</v>
      </c>
      <c r="AS9" s="6">
        <f>AS$6*AS29</f>
        <v>634599.881832707</v>
      </c>
      <c r="AT9" s="90">
        <f t="shared" ref="AT9:AT16" si="21">SUM(AP9:AS9)</f>
        <v>2055119.71101745</v>
      </c>
      <c r="AU9" s="6">
        <f>AU$6*AU29</f>
        <v>455824.25577862</v>
      </c>
      <c r="AV9" s="6">
        <f>AV$6*AV29</f>
        <v>478631.204315603</v>
      </c>
      <c r="AW9" s="6">
        <f>AW$6*AW29</f>
        <v>530516.270096418</v>
      </c>
      <c r="AX9" s="6">
        <f>AX$6*AX29</f>
        <v>655635.149727058</v>
      </c>
      <c r="AY9" s="90">
        <f t="shared" ref="AY9:AY11" si="22">SUM(AU9:AX9)</f>
        <v>2120606.8799177</v>
      </c>
      <c r="BA9" s="172"/>
      <c r="BB9" s="173"/>
    </row>
    <row r="10" ht="15" customHeight="1" spans="1:54">
      <c r="A10" s="29" t="s">
        <v>156</v>
      </c>
      <c r="B10" s="92">
        <f>470321-17523</f>
        <v>452798</v>
      </c>
      <c r="C10" s="92">
        <f>453202+6000</f>
        <v>459202</v>
      </c>
      <c r="D10" s="92">
        <f>471914-15070</f>
        <v>456844</v>
      </c>
      <c r="E10" s="92">
        <f>484863-2595</f>
        <v>482268</v>
      </c>
      <c r="F10" s="92">
        <v>464615</v>
      </c>
      <c r="G10" s="93">
        <v>108257</v>
      </c>
      <c r="H10" s="93">
        <v>97252</v>
      </c>
      <c r="I10" s="93">
        <v>121000</v>
      </c>
      <c r="J10" s="93">
        <v>137334</v>
      </c>
      <c r="K10" s="90">
        <f t="shared" si="15"/>
        <v>463843</v>
      </c>
      <c r="L10" s="93">
        <v>120947</v>
      </c>
      <c r="M10" s="93">
        <v>123913</v>
      </c>
      <c r="N10" s="93">
        <v>146269</v>
      </c>
      <c r="O10" s="93">
        <v>145686</v>
      </c>
      <c r="P10" s="90">
        <f t="shared" si="16"/>
        <v>536815</v>
      </c>
      <c r="Q10" s="93">
        <v>122149</v>
      </c>
      <c r="R10" s="93">
        <v>124168</v>
      </c>
      <c r="S10" s="93">
        <v>133201</v>
      </c>
      <c r="T10" s="93">
        <v>138084</v>
      </c>
      <c r="U10" s="90">
        <f t="shared" si="17"/>
        <v>517602</v>
      </c>
      <c r="V10" s="93">
        <f>154429</f>
        <v>154429</v>
      </c>
      <c r="W10" s="93">
        <v>158936</v>
      </c>
      <c r="X10" s="93">
        <v>174424</v>
      </c>
      <c r="Y10" s="93">
        <v>193387</v>
      </c>
      <c r="Z10" s="90">
        <f t="shared" si="18"/>
        <v>681176</v>
      </c>
      <c r="AA10" s="93">
        <v>189548</v>
      </c>
      <c r="AB10" s="93">
        <v>178147</v>
      </c>
      <c r="AC10" s="93">
        <v>188246</v>
      </c>
      <c r="AD10" s="93">
        <v>194544</v>
      </c>
      <c r="AE10" s="90">
        <f t="shared" si="19"/>
        <v>750485</v>
      </c>
      <c r="AF10" s="93">
        <v>174925</v>
      </c>
      <c r="AG10" s="93">
        <f>175325-4300</f>
        <v>171025</v>
      </c>
      <c r="AH10" s="93">
        <v>193402</v>
      </c>
      <c r="AI10" s="93">
        <v>181819</v>
      </c>
      <c r="AJ10" s="90">
        <f>SUM(AF10:AI10)</f>
        <v>721171</v>
      </c>
      <c r="AK10" s="93">
        <v>182754</v>
      </c>
      <c r="AL10" s="93">
        <v>204784</v>
      </c>
      <c r="AM10" s="6">
        <f>AM$6*AM36</f>
        <v>210306.248649771</v>
      </c>
      <c r="AN10" s="6">
        <f>AN$6*AN36</f>
        <v>196333.01814</v>
      </c>
      <c r="AO10" s="90">
        <f t="shared" si="20"/>
        <v>794177.266789771</v>
      </c>
      <c r="AP10" s="6">
        <f>AP$6*AP36</f>
        <v>187498.678974138</v>
      </c>
      <c r="AQ10" s="6">
        <f>AQ$6*AQ36</f>
        <v>209023.29032</v>
      </c>
      <c r="AR10" s="6">
        <f>AR$6*AR36</f>
        <v>217641.218383902</v>
      </c>
      <c r="AS10" s="6">
        <f>AS$6*AS36</f>
        <v>203171.282622044</v>
      </c>
      <c r="AT10" s="90">
        <f t="shared" si="21"/>
        <v>817334.470300084</v>
      </c>
      <c r="AU10" s="6">
        <f>AU$6*AU36</f>
        <v>191450.10119779</v>
      </c>
      <c r="AV10" s="6">
        <f>AV$6*AV36</f>
        <v>213447.802388589</v>
      </c>
      <c r="AW10" s="6">
        <f>AW$6*AW36</f>
        <v>222734.657012507</v>
      </c>
      <c r="AX10" s="6">
        <f>AX$6*AX36</f>
        <v>207391.416874668</v>
      </c>
      <c r="AY10" s="90">
        <f t="shared" si="22"/>
        <v>835023.977473553</v>
      </c>
      <c r="BA10" s="172"/>
      <c r="BB10" s="173"/>
    </row>
    <row r="11" ht="15" customHeight="1" spans="1:54">
      <c r="A11" s="29" t="s">
        <v>157</v>
      </c>
      <c r="B11" s="92">
        <f>-6441-2211</f>
        <v>-8652</v>
      </c>
      <c r="C11" s="92">
        <f>(-26212+12282)+1574</f>
        <v>-12356</v>
      </c>
      <c r="D11" s="92">
        <f>-16938+(14391-13661)</f>
        <v>-16208</v>
      </c>
      <c r="E11" s="92">
        <f>-5915+(11580-8671)</f>
        <v>-3006</v>
      </c>
      <c r="F11" s="92">
        <f>-1400+(19135-12752)+47257</f>
        <v>52240</v>
      </c>
      <c r="G11" s="93">
        <f>-543+506</f>
        <v>-37</v>
      </c>
      <c r="H11" s="93">
        <f>-3884-2356</f>
        <v>-6240</v>
      </c>
      <c r="I11" s="93">
        <f>-8063+288</f>
        <v>-7775</v>
      </c>
      <c r="J11" s="93">
        <f>854-3492</f>
        <v>-2638</v>
      </c>
      <c r="K11" s="90">
        <f t="shared" si="15"/>
        <v>-16690</v>
      </c>
      <c r="L11" s="93">
        <f>-1418-1100</f>
        <v>-2518</v>
      </c>
      <c r="M11" s="93">
        <v>-1848</v>
      </c>
      <c r="N11" s="93">
        <v>-1320</v>
      </c>
      <c r="O11" s="93">
        <v>-3741</v>
      </c>
      <c r="P11" s="90">
        <f t="shared" si="16"/>
        <v>-9427</v>
      </c>
      <c r="Q11" s="93">
        <v>-3842</v>
      </c>
      <c r="R11" s="93">
        <v>953</v>
      </c>
      <c r="S11" s="93">
        <v>-1005</v>
      </c>
      <c r="T11" s="93">
        <v>1220</v>
      </c>
      <c r="U11" s="90">
        <f t="shared" si="17"/>
        <v>-2674</v>
      </c>
      <c r="V11" s="93">
        <v>-2894</v>
      </c>
      <c r="W11" s="93">
        <v>-2694</v>
      </c>
      <c r="X11" s="93">
        <v>1256</v>
      </c>
      <c r="Y11" s="93">
        <v>-1541</v>
      </c>
      <c r="Z11" s="90">
        <f t="shared" si="18"/>
        <v>-5873</v>
      </c>
      <c r="AA11" s="93">
        <v>-1958</v>
      </c>
      <c r="AB11" s="93">
        <v>-67</v>
      </c>
      <c r="AC11" s="93">
        <v>-1586</v>
      </c>
      <c r="AD11" s="93">
        <v>-3021</v>
      </c>
      <c r="AE11" s="90">
        <f t="shared" si="19"/>
        <v>-6632</v>
      </c>
      <c r="AF11" s="93">
        <v>3783</v>
      </c>
      <c r="AG11" s="93">
        <f>-369</f>
        <v>-369</v>
      </c>
      <c r="AH11" s="93">
        <v>-1022</v>
      </c>
      <c r="AI11" s="93">
        <v>769</v>
      </c>
      <c r="AJ11" s="90">
        <f>SUM(AF11:AI11)</f>
        <v>3161</v>
      </c>
      <c r="AK11" s="93">
        <v>-2763</v>
      </c>
      <c r="AL11" s="93">
        <v>-946</v>
      </c>
      <c r="AM11" s="107">
        <v>-750</v>
      </c>
      <c r="AN11" s="107">
        <v>-750</v>
      </c>
      <c r="AO11" s="90">
        <f t="shared" si="20"/>
        <v>-5209</v>
      </c>
      <c r="AP11" s="107">
        <v>-1000</v>
      </c>
      <c r="AQ11" s="107">
        <v>-1000</v>
      </c>
      <c r="AR11" s="107">
        <v>-1000</v>
      </c>
      <c r="AS11" s="107">
        <v>-1000</v>
      </c>
      <c r="AT11" s="90">
        <f t="shared" si="21"/>
        <v>-4000</v>
      </c>
      <c r="AU11" s="107">
        <v>-1000</v>
      </c>
      <c r="AV11" s="107">
        <v>-1000</v>
      </c>
      <c r="AW11" s="107">
        <v>-1000</v>
      </c>
      <c r="AX11" s="107">
        <v>-1000</v>
      </c>
      <c r="AY11" s="90">
        <f t="shared" si="22"/>
        <v>-4000</v>
      </c>
      <c r="BA11" s="172"/>
      <c r="BB11" s="173"/>
    </row>
    <row r="12" s="157" customFormat="1" ht="15" customHeight="1" spans="1:54">
      <c r="A12" s="174" t="s">
        <v>158</v>
      </c>
      <c r="B12" s="177">
        <f t="shared" ref="B12:F12" si="23">B6-B7-B9-B10-B11</f>
        <v>136495</v>
      </c>
      <c r="C12" s="177">
        <f t="shared" si="23"/>
        <v>3262</v>
      </c>
      <c r="D12" s="177">
        <f t="shared" si="23"/>
        <v>100781</v>
      </c>
      <c r="E12" s="177">
        <f t="shared" si="23"/>
        <v>138632</v>
      </c>
      <c r="F12" s="177">
        <f t="shared" si="23"/>
        <v>82820</v>
      </c>
      <c r="G12" s="178">
        <f t="shared" ref="G12:K12" si="24">G6-G7-G9-G10-G11</f>
        <v>-166199</v>
      </c>
      <c r="H12" s="178">
        <f t="shared" si="24"/>
        <v>22226</v>
      </c>
      <c r="I12" s="178">
        <f t="shared" si="24"/>
        <v>64945</v>
      </c>
      <c r="J12" s="178">
        <f t="shared" si="24"/>
        <v>131496</v>
      </c>
      <c r="K12" s="177">
        <f t="shared" si="24"/>
        <v>52468</v>
      </c>
      <c r="L12" s="178">
        <f t="shared" ref="L12:P12" si="25">L6-L7-L9-L10-L11</f>
        <v>60097</v>
      </c>
      <c r="M12" s="178">
        <f t="shared" si="25"/>
        <v>115573</v>
      </c>
      <c r="N12" s="178">
        <f t="shared" si="25"/>
        <v>79480</v>
      </c>
      <c r="O12" s="178">
        <f t="shared" si="25"/>
        <v>100034</v>
      </c>
      <c r="P12" s="177">
        <f t="shared" si="25"/>
        <v>355184</v>
      </c>
      <c r="Q12" s="178">
        <f t="shared" ref="Q12" si="26">Q6-Q7-Q9-Q10-Q11</f>
        <v>-6304</v>
      </c>
      <c r="R12" s="178">
        <f t="shared" ref="R12" si="27">R6-R7-R9-R10-R11</f>
        <v>-21</v>
      </c>
      <c r="S12" s="178">
        <f t="shared" ref="S12" si="28">S6-S7-S9-S10-S11</f>
        <v>21287</v>
      </c>
      <c r="T12" s="178">
        <f t="shared" ref="T12:U12" si="29">T6-T7-T9-T10-T11</f>
        <v>91717</v>
      </c>
      <c r="U12" s="177">
        <f t="shared" si="29"/>
        <v>106679</v>
      </c>
      <c r="V12" s="178">
        <f t="shared" ref="V12:Z12" si="30">V6-V7-V9-V10-V11</f>
        <v>38444</v>
      </c>
      <c r="W12" s="178">
        <f t="shared" si="30"/>
        <v>89842</v>
      </c>
      <c r="X12" s="178">
        <f t="shared" si="30"/>
        <v>138020</v>
      </c>
      <c r="Y12" s="178">
        <f t="shared" si="30"/>
        <v>222801</v>
      </c>
      <c r="Z12" s="177">
        <f t="shared" si="30"/>
        <v>489107</v>
      </c>
      <c r="AA12" s="178">
        <f t="shared" ref="AA12" si="31">AA6-AA7-AA9-AA10-AA11</f>
        <v>129849</v>
      </c>
      <c r="AB12" s="178">
        <f t="shared" ref="AB12" si="32">AB6-AB7-AB9-AB10-AB11</f>
        <v>175625</v>
      </c>
      <c r="AC12" s="178">
        <f t="shared" ref="AC12" si="33">AC6-AC7-AC9-AC10-AC11</f>
        <v>179282</v>
      </c>
      <c r="AD12" s="178">
        <f t="shared" ref="AD12:AF12" si="34">AD6-AD7-AD9-AD10-AD11</f>
        <v>256064</v>
      </c>
      <c r="AE12" s="177">
        <f t="shared" si="34"/>
        <v>740820</v>
      </c>
      <c r="AF12" s="178">
        <f t="shared" si="34"/>
        <v>101533</v>
      </c>
      <c r="AG12" s="178">
        <f t="shared" ref="AG12" si="35">AG6-AG7-AG9-AG10-AG11</f>
        <v>168084</v>
      </c>
      <c r="AH12" s="178">
        <f t="shared" ref="AH12:AL12" si="36">AH6-AH7-AH9-AH10-AH11</f>
        <v>155021</v>
      </c>
      <c r="AI12" s="178">
        <f t="shared" si="36"/>
        <v>235931</v>
      </c>
      <c r="AJ12" s="177">
        <f t="shared" si="36"/>
        <v>660569</v>
      </c>
      <c r="AK12" s="178">
        <f t="shared" si="36"/>
        <v>88797</v>
      </c>
      <c r="AL12" s="178">
        <f t="shared" si="36"/>
        <v>152700</v>
      </c>
      <c r="AM12" s="178">
        <f t="shared" ref="AM12" si="37">AM6-AM7-AM9-AM10-AM11</f>
        <v>169323.219245524</v>
      </c>
      <c r="AN12" s="178">
        <f t="shared" ref="AN12:AP12" si="38">AN6-AN7-AN9-AN10-AN11</f>
        <v>287966.07466</v>
      </c>
      <c r="AO12" s="177">
        <f t="shared" si="38"/>
        <v>698786.293905524</v>
      </c>
      <c r="AP12" s="178">
        <f t="shared" si="38"/>
        <v>103715.792788277</v>
      </c>
      <c r="AQ12" s="178">
        <f t="shared" ref="AQ12:AU12" si="39">AQ6-AQ7-AQ9-AQ10-AQ11</f>
        <v>161458.87312</v>
      </c>
      <c r="AR12" s="178">
        <f t="shared" si="39"/>
        <v>174038.029545581</v>
      </c>
      <c r="AS12" s="178">
        <f t="shared" si="39"/>
        <v>296370.870914538</v>
      </c>
      <c r="AT12" s="177">
        <f t="shared" si="39"/>
        <v>735583.566368395</v>
      </c>
      <c r="AU12" s="178">
        <f t="shared" si="39"/>
        <v>108927.60205638</v>
      </c>
      <c r="AV12" s="178">
        <f t="shared" ref="AV12:AY12" si="40">AV6-AV7-AV9-AV10-AV11</f>
        <v>165894.63358706</v>
      </c>
      <c r="AW12" s="178">
        <f t="shared" si="40"/>
        <v>179246.178793805</v>
      </c>
      <c r="AX12" s="178">
        <f t="shared" si="40"/>
        <v>309084.415973231</v>
      </c>
      <c r="AY12" s="177">
        <f t="shared" si="40"/>
        <v>763152.830410477</v>
      </c>
      <c r="BA12" s="172"/>
      <c r="BB12" s="173"/>
    </row>
    <row r="13" ht="15" customHeight="1" spans="1:54">
      <c r="A13" s="29" t="s">
        <v>159</v>
      </c>
      <c r="B13" s="92">
        <v>18248</v>
      </c>
      <c r="C13" s="92">
        <v>18666</v>
      </c>
      <c r="D13" s="92">
        <v>16889</v>
      </c>
      <c r="E13" s="92">
        <v>10999</v>
      </c>
      <c r="F13" s="92">
        <v>7737</v>
      </c>
      <c r="G13" s="93">
        <v>3371</v>
      </c>
      <c r="H13" s="93">
        <v>7098</v>
      </c>
      <c r="I13" s="93">
        <v>8808</v>
      </c>
      <c r="J13" s="93">
        <v>8997</v>
      </c>
      <c r="K13" s="90">
        <f t="shared" si="15"/>
        <v>28274</v>
      </c>
      <c r="L13" s="93">
        <v>8606</v>
      </c>
      <c r="M13" s="93">
        <v>11275</v>
      </c>
      <c r="N13" s="93">
        <v>7270</v>
      </c>
      <c r="O13" s="93">
        <v>6959</v>
      </c>
      <c r="P13" s="90">
        <f t="shared" si="16"/>
        <v>34110</v>
      </c>
      <c r="Q13" s="93">
        <v>7307</v>
      </c>
      <c r="R13" s="93">
        <v>6917</v>
      </c>
      <c r="S13" s="93">
        <v>7295</v>
      </c>
      <c r="T13" s="93">
        <v>4113</v>
      </c>
      <c r="U13" s="90">
        <f t="shared" si="17"/>
        <v>25632</v>
      </c>
      <c r="V13" s="93">
        <f>7458-4015</f>
        <v>3443</v>
      </c>
      <c r="W13" s="93">
        <f>7635-6538</f>
        <v>1097</v>
      </c>
      <c r="X13" s="93">
        <f>8568-7897</f>
        <v>671</v>
      </c>
      <c r="Y13" s="93">
        <f>6691-11530</f>
        <v>-4839</v>
      </c>
      <c r="Z13" s="90">
        <f t="shared" si="18"/>
        <v>372</v>
      </c>
      <c r="AA13" s="93">
        <f>-10803+5780</f>
        <v>-5023</v>
      </c>
      <c r="AB13" s="93">
        <f>-10392+5189</f>
        <v>-5203</v>
      </c>
      <c r="AC13" s="93">
        <f>-9302+569</f>
        <v>-8733</v>
      </c>
      <c r="AD13" s="93">
        <f>-9437+539</f>
        <v>-8898</v>
      </c>
      <c r="AE13" s="90">
        <f t="shared" si="19"/>
        <v>-27857</v>
      </c>
      <c r="AF13" s="93">
        <f>-7444+661</f>
        <v>-6783</v>
      </c>
      <c r="AG13" s="93">
        <f>620-3094</f>
        <v>-2474</v>
      </c>
      <c r="AH13" s="93">
        <f>-6491+550</f>
        <v>-5941</v>
      </c>
      <c r="AI13" s="93">
        <f>544-6975</f>
        <v>-6431</v>
      </c>
      <c r="AJ13" s="90">
        <f t="shared" ref="AJ13:AJ16" si="41">SUM(AF13:AI13)</f>
        <v>-21629</v>
      </c>
      <c r="AK13" s="93">
        <f>450-5737</f>
        <v>-5287</v>
      </c>
      <c r="AL13" s="93">
        <f>561-8152+3084</f>
        <v>-4507</v>
      </c>
      <c r="AM13" s="107">
        <v>-4500</v>
      </c>
      <c r="AN13" s="107">
        <v>-5500</v>
      </c>
      <c r="AO13" s="90">
        <f t="shared" si="20"/>
        <v>-19794</v>
      </c>
      <c r="AP13" s="107">
        <v>-4500</v>
      </c>
      <c r="AQ13" s="107">
        <v>-4500</v>
      </c>
      <c r="AR13" s="107">
        <v>-4500</v>
      </c>
      <c r="AS13" s="107">
        <v>-5000</v>
      </c>
      <c r="AT13" s="90">
        <f t="shared" si="21"/>
        <v>-18500</v>
      </c>
      <c r="AU13" s="107">
        <v>-4500</v>
      </c>
      <c r="AV13" s="107">
        <v>-4500</v>
      </c>
      <c r="AW13" s="107">
        <v>-4500</v>
      </c>
      <c r="AX13" s="107">
        <v>-5000</v>
      </c>
      <c r="AY13" s="90">
        <f t="shared" ref="AY13" si="42">SUM(AU13:AX13)</f>
        <v>-18500</v>
      </c>
    </row>
    <row r="14" ht="15" customHeight="1" spans="1:54">
      <c r="A14" s="148" t="s">
        <v>160</v>
      </c>
      <c r="B14" s="100">
        <f t="shared" ref="B14:F14" si="43">B12-B13</f>
        <v>118247</v>
      </c>
      <c r="C14" s="100">
        <f t="shared" si="43"/>
        <v>-15404</v>
      </c>
      <c r="D14" s="100">
        <f t="shared" si="43"/>
        <v>83892</v>
      </c>
      <c r="E14" s="100">
        <f t="shared" si="43"/>
        <v>127633</v>
      </c>
      <c r="F14" s="100">
        <f t="shared" si="43"/>
        <v>75083</v>
      </c>
      <c r="G14" s="179">
        <f t="shared" ref="G14:K14" si="44">G12-G13</f>
        <v>-169570</v>
      </c>
      <c r="H14" s="179">
        <f t="shared" si="44"/>
        <v>15128</v>
      </c>
      <c r="I14" s="179">
        <f t="shared" si="44"/>
        <v>56137</v>
      </c>
      <c r="J14" s="179">
        <f t="shared" si="44"/>
        <v>122499</v>
      </c>
      <c r="K14" s="100">
        <f t="shared" si="44"/>
        <v>24194</v>
      </c>
      <c r="L14" s="179">
        <f t="shared" ref="L14:P14" si="45">L12-L13</f>
        <v>51491</v>
      </c>
      <c r="M14" s="179">
        <f t="shared" si="45"/>
        <v>104298</v>
      </c>
      <c r="N14" s="179">
        <f t="shared" si="45"/>
        <v>72210</v>
      </c>
      <c r="O14" s="179">
        <f t="shared" si="45"/>
        <v>93075</v>
      </c>
      <c r="P14" s="100">
        <f t="shared" si="45"/>
        <v>321074</v>
      </c>
      <c r="Q14" s="179">
        <f t="shared" ref="Q14:U14" si="46">Q12-Q13</f>
        <v>-13611</v>
      </c>
      <c r="R14" s="179">
        <f t="shared" si="46"/>
        <v>-6938</v>
      </c>
      <c r="S14" s="179">
        <f t="shared" si="46"/>
        <v>13992</v>
      </c>
      <c r="T14" s="179">
        <f t="shared" si="46"/>
        <v>87604</v>
      </c>
      <c r="U14" s="100">
        <f t="shared" si="46"/>
        <v>81047</v>
      </c>
      <c r="V14" s="179">
        <f t="shared" ref="V14:AF14" si="47">V12-V13</f>
        <v>35001</v>
      </c>
      <c r="W14" s="179">
        <f t="shared" si="47"/>
        <v>88745</v>
      </c>
      <c r="X14" s="179">
        <f t="shared" si="47"/>
        <v>137349</v>
      </c>
      <c r="Y14" s="179">
        <f t="shared" si="47"/>
        <v>227640</v>
      </c>
      <c r="Z14" s="100">
        <f t="shared" ref="Z14" si="48">Z12-Z13</f>
        <v>488735</v>
      </c>
      <c r="AA14" s="179">
        <f t="shared" si="47"/>
        <v>134872</v>
      </c>
      <c r="AB14" s="179">
        <f t="shared" si="47"/>
        <v>180828</v>
      </c>
      <c r="AC14" s="179">
        <f t="shared" si="47"/>
        <v>188015</v>
      </c>
      <c r="AD14" s="179">
        <f t="shared" si="47"/>
        <v>264962</v>
      </c>
      <c r="AE14" s="100">
        <f t="shared" si="47"/>
        <v>768677</v>
      </c>
      <c r="AF14" s="179">
        <f t="shared" si="47"/>
        <v>108316</v>
      </c>
      <c r="AG14" s="179">
        <f t="shared" ref="AG14" si="49">AG12-AG13</f>
        <v>170558</v>
      </c>
      <c r="AH14" s="179">
        <f t="shared" ref="AH14:AK14" si="50">AH12-AH13</f>
        <v>160962</v>
      </c>
      <c r="AI14" s="179">
        <f t="shared" si="50"/>
        <v>242362</v>
      </c>
      <c r="AJ14" s="100">
        <f t="shared" si="50"/>
        <v>682198</v>
      </c>
      <c r="AK14" s="179">
        <f t="shared" si="50"/>
        <v>94084</v>
      </c>
      <c r="AL14" s="179">
        <f t="shared" ref="AL14:AM14" si="51">AL12-AL13</f>
        <v>157207</v>
      </c>
      <c r="AM14" s="179">
        <f t="shared" si="51"/>
        <v>173823.219245524</v>
      </c>
      <c r="AN14" s="179">
        <f t="shared" ref="AN14:AP14" si="52">AN12-AN13</f>
        <v>293466.07466</v>
      </c>
      <c r="AO14" s="100">
        <f t="shared" si="52"/>
        <v>718580.293905524</v>
      </c>
      <c r="AP14" s="179">
        <f t="shared" si="52"/>
        <v>108215.792788277</v>
      </c>
      <c r="AQ14" s="179">
        <f t="shared" ref="AQ14:AU14" si="53">AQ12-AQ13</f>
        <v>165958.87312</v>
      </c>
      <c r="AR14" s="179">
        <f t="shared" si="53"/>
        <v>178538.029545581</v>
      </c>
      <c r="AS14" s="179">
        <f t="shared" si="53"/>
        <v>301370.870914538</v>
      </c>
      <c r="AT14" s="100">
        <f t="shared" si="53"/>
        <v>754083.566368395</v>
      </c>
      <c r="AU14" s="179">
        <f t="shared" si="53"/>
        <v>113427.60205638</v>
      </c>
      <c r="AV14" s="179">
        <f t="shared" ref="AV14:AY14" si="54">AV12-AV13</f>
        <v>170394.63358706</v>
      </c>
      <c r="AW14" s="179">
        <f t="shared" si="54"/>
        <v>183746.178793805</v>
      </c>
      <c r="AX14" s="179">
        <f t="shared" si="54"/>
        <v>314084.415973231</v>
      </c>
      <c r="AY14" s="100">
        <f t="shared" si="54"/>
        <v>781652.830410477</v>
      </c>
    </row>
    <row r="15" ht="15" customHeight="1" spans="1:54">
      <c r="A15" s="29" t="s">
        <v>161</v>
      </c>
      <c r="B15" s="92">
        <f>16031+21186</f>
        <v>37217</v>
      </c>
      <c r="C15" s="92">
        <f>-11196-3900</f>
        <v>-15096</v>
      </c>
      <c r="D15" s="92">
        <f>44636-9180</f>
        <v>35456</v>
      </c>
      <c r="E15" s="92">
        <f>37559+6018</f>
        <v>43577</v>
      </c>
      <c r="F15" s="92">
        <f>17371+4013</f>
        <v>21384</v>
      </c>
      <c r="G15" s="93">
        <v>35965</v>
      </c>
      <c r="H15" s="93">
        <v>87</v>
      </c>
      <c r="I15" s="93">
        <v>6148</v>
      </c>
      <c r="J15" s="93">
        <v>22310</v>
      </c>
      <c r="K15" s="90">
        <f t="shared" si="15"/>
        <v>64510</v>
      </c>
      <c r="L15" s="93">
        <f>6121+449</f>
        <v>6570</v>
      </c>
      <c r="M15" s="93">
        <f>-6944+224</f>
        <v>-6720</v>
      </c>
      <c r="N15" s="93">
        <v>17758</v>
      </c>
      <c r="O15" s="93">
        <v>23721</v>
      </c>
      <c r="P15" s="90">
        <f t="shared" si="16"/>
        <v>41329</v>
      </c>
      <c r="Q15" s="93">
        <f>-2187--918</f>
        <v>-1269</v>
      </c>
      <c r="R15" s="93">
        <f>4976-Q15</f>
        <v>6245</v>
      </c>
      <c r="S15" s="93">
        <f>-SUM(Q15:R15)+16918</f>
        <v>11942</v>
      </c>
      <c r="T15" s="93">
        <v>43515</v>
      </c>
      <c r="U15" s="90">
        <f t="shared" si="17"/>
        <v>60433</v>
      </c>
      <c r="V15" s="93">
        <v>13905</v>
      </c>
      <c r="W15" s="93">
        <f>-V15+43939</f>
        <v>30034</v>
      </c>
      <c r="X15" s="93">
        <f>-SUM(V15:W15)+83556</f>
        <v>39617</v>
      </c>
      <c r="Y15" s="93">
        <f>-SUM(V15:X15)+150117</f>
        <v>66561</v>
      </c>
      <c r="Z15" s="90">
        <f t="shared" si="18"/>
        <v>150117</v>
      </c>
      <c r="AA15" s="93">
        <v>19794</v>
      </c>
      <c r="AB15" s="93">
        <v>45449</v>
      </c>
      <c r="AC15" s="93">
        <v>54151</v>
      </c>
      <c r="AD15" s="93">
        <v>75267</v>
      </c>
      <c r="AE15" s="90">
        <f t="shared" si="19"/>
        <v>194661</v>
      </c>
      <c r="AF15" s="93">
        <v>26577</v>
      </c>
      <c r="AG15" s="93">
        <f>65744-9692</f>
        <v>56052</v>
      </c>
      <c r="AH15" s="93">
        <v>45862</v>
      </c>
      <c r="AI15" s="93">
        <v>67594</v>
      </c>
      <c r="AJ15" s="90">
        <f t="shared" si="41"/>
        <v>196085</v>
      </c>
      <c r="AK15" s="93">
        <v>25965</v>
      </c>
      <c r="AL15" s="93">
        <f>74752-(100000+3084-AL21)</f>
        <v>48757.25</v>
      </c>
      <c r="AM15" s="6">
        <f t="shared" ref="AM15" si="55">AM$14*AM45</f>
        <v>50408.7335812019</v>
      </c>
      <c r="AN15" s="6">
        <f t="shared" ref="AN15" si="56">AN$14*AN45</f>
        <v>82170.5009048001</v>
      </c>
      <c r="AO15" s="90">
        <f t="shared" si="20"/>
        <v>207301.484486002</v>
      </c>
      <c r="AP15" s="6">
        <f t="shared" ref="AP15:AS15" si="57">AP$14*AP45</f>
        <v>32464.7378364832</v>
      </c>
      <c r="AQ15" s="6">
        <f t="shared" si="57"/>
        <v>49787.661936</v>
      </c>
      <c r="AR15" s="6">
        <f t="shared" si="57"/>
        <v>53561.4088636742</v>
      </c>
      <c r="AS15" s="6">
        <f t="shared" si="57"/>
        <v>90411.2612743613</v>
      </c>
      <c r="AT15" s="90">
        <f t="shared" si="21"/>
        <v>226225.069910519</v>
      </c>
      <c r="AU15" s="6">
        <f t="shared" ref="AU15:AX15" si="58">AU$14*AU45</f>
        <v>34028.280616914</v>
      </c>
      <c r="AV15" s="6">
        <f t="shared" si="58"/>
        <v>51118.390076118</v>
      </c>
      <c r="AW15" s="6">
        <f t="shared" si="58"/>
        <v>55123.8536381415</v>
      </c>
      <c r="AX15" s="6">
        <f t="shared" si="58"/>
        <v>94225.3247919694</v>
      </c>
      <c r="AY15" s="90">
        <f t="shared" ref="AY15:AY16" si="59">SUM(AU15:AX15)</f>
        <v>234495.849123143</v>
      </c>
    </row>
    <row r="16" ht="15" customHeight="1" spans="1:54">
      <c r="A16" s="29" t="s">
        <v>162</v>
      </c>
      <c r="B16" s="92">
        <v>2983</v>
      </c>
      <c r="C16" s="92">
        <v>3762</v>
      </c>
      <c r="D16" s="92">
        <v>3431</v>
      </c>
      <c r="E16" s="92">
        <v>4267</v>
      </c>
      <c r="F16" s="92">
        <v>5602</v>
      </c>
      <c r="G16" s="93">
        <v>117</v>
      </c>
      <c r="H16" s="93">
        <v>328</v>
      </c>
      <c r="I16" s="93">
        <v>1758</v>
      </c>
      <c r="J16" s="93">
        <v>2864</v>
      </c>
      <c r="K16" s="90">
        <f t="shared" si="15"/>
        <v>5067</v>
      </c>
      <c r="L16" s="93">
        <v>938</v>
      </c>
      <c r="M16" s="93">
        <v>1956</v>
      </c>
      <c r="N16" s="93">
        <v>1845</v>
      </c>
      <c r="O16" s="93">
        <v>2317</v>
      </c>
      <c r="P16" s="90">
        <f t="shared" si="16"/>
        <v>7056</v>
      </c>
      <c r="Q16" s="93">
        <v>1623</v>
      </c>
      <c r="R16" s="93">
        <v>2092</v>
      </c>
      <c r="S16" s="93">
        <v>1496</v>
      </c>
      <c r="T16" s="93">
        <v>2358</v>
      </c>
      <c r="U16" s="90">
        <f t="shared" si="17"/>
        <v>7569</v>
      </c>
      <c r="V16" s="93">
        <v>1276</v>
      </c>
      <c r="W16" s="93">
        <f>-V16+3113</f>
        <v>1837</v>
      </c>
      <c r="X16" s="93">
        <v>1521</v>
      </c>
      <c r="Y16" s="93">
        <v>2656</v>
      </c>
      <c r="Z16" s="90">
        <f t="shared" si="18"/>
        <v>7290</v>
      </c>
      <c r="AA16" s="93">
        <v>1228</v>
      </c>
      <c r="AB16" s="93">
        <v>2211</v>
      </c>
      <c r="AC16" s="93">
        <v>1885</v>
      </c>
      <c r="AD16" s="93">
        <v>2469</v>
      </c>
      <c r="AE16" s="90">
        <f t="shared" si="19"/>
        <v>7793</v>
      </c>
      <c r="AF16" s="93">
        <v>1326</v>
      </c>
      <c r="AG16" s="93">
        <f>2005</f>
        <v>2005</v>
      </c>
      <c r="AH16" s="93">
        <v>2105</v>
      </c>
      <c r="AI16" s="93">
        <v>2638</v>
      </c>
      <c r="AJ16" s="90">
        <f t="shared" si="41"/>
        <v>8074</v>
      </c>
      <c r="AK16" s="93">
        <v>985</v>
      </c>
      <c r="AL16" s="93">
        <v>1819</v>
      </c>
      <c r="AM16" s="6">
        <f t="shared" ref="AM16" si="60">AM$14*AM46</f>
        <v>1738.23219245524</v>
      </c>
      <c r="AN16" s="6">
        <f t="shared" ref="AN16" si="61">AN$14*AN46</f>
        <v>2934.6607466</v>
      </c>
      <c r="AO16" s="90">
        <f t="shared" si="20"/>
        <v>7476.89293905524</v>
      </c>
      <c r="AP16" s="6">
        <f t="shared" ref="AP16:AS16" si="62">AP$14*AP46</f>
        <v>1082.15792788277</v>
      </c>
      <c r="AQ16" s="6">
        <f t="shared" si="62"/>
        <v>1825.54760432</v>
      </c>
      <c r="AR16" s="6">
        <f t="shared" si="62"/>
        <v>1963.91832500139</v>
      </c>
      <c r="AS16" s="6">
        <f t="shared" si="62"/>
        <v>3013.70870914538</v>
      </c>
      <c r="AT16" s="90">
        <f t="shared" si="21"/>
        <v>7885.33256634954</v>
      </c>
      <c r="AU16" s="6">
        <f t="shared" ref="AU16:AX16" si="63">AU$14*AU46</f>
        <v>1247.70362262018</v>
      </c>
      <c r="AV16" s="6">
        <f t="shared" si="63"/>
        <v>1874.34096945766</v>
      </c>
      <c r="AW16" s="6">
        <f t="shared" si="63"/>
        <v>2021.20796673186</v>
      </c>
      <c r="AX16" s="6">
        <f t="shared" si="63"/>
        <v>3140.84415973231</v>
      </c>
      <c r="AY16" s="90">
        <f t="shared" si="59"/>
        <v>8284.09671854201</v>
      </c>
      <c r="BA16" s="172"/>
      <c r="BB16" s="172"/>
    </row>
    <row r="17" ht="15" customHeight="1" spans="1:54">
      <c r="A17" s="3" t="s">
        <v>163</v>
      </c>
      <c r="B17" s="79">
        <f t="shared" ref="B17:G17" si="64">B14-B15-B16</f>
        <v>78047</v>
      </c>
      <c r="C17" s="79">
        <f t="shared" si="64"/>
        <v>-4070</v>
      </c>
      <c r="D17" s="79">
        <f t="shared" si="64"/>
        <v>45005</v>
      </c>
      <c r="E17" s="79">
        <f t="shared" si="64"/>
        <v>79789</v>
      </c>
      <c r="F17" s="79">
        <f t="shared" si="64"/>
        <v>48097</v>
      </c>
      <c r="G17" s="6">
        <f t="shared" si="64"/>
        <v>-205652</v>
      </c>
      <c r="H17" s="6">
        <f t="shared" ref="H17:L17" si="65">H14-H15-H16</f>
        <v>14713</v>
      </c>
      <c r="I17" s="6">
        <f t="shared" si="65"/>
        <v>48231</v>
      </c>
      <c r="J17" s="6">
        <f t="shared" si="65"/>
        <v>97325</v>
      </c>
      <c r="K17" s="79">
        <f t="shared" si="65"/>
        <v>-45383</v>
      </c>
      <c r="L17" s="6">
        <f t="shared" si="65"/>
        <v>43983</v>
      </c>
      <c r="M17" s="6">
        <f t="shared" ref="M17:P17" si="66">M14-M15-M16</f>
        <v>109062</v>
      </c>
      <c r="N17" s="6">
        <f t="shared" si="66"/>
        <v>52607</v>
      </c>
      <c r="O17" s="6">
        <f t="shared" si="66"/>
        <v>67037</v>
      </c>
      <c r="P17" s="79">
        <f t="shared" si="66"/>
        <v>272689</v>
      </c>
      <c r="Q17" s="6">
        <f t="shared" ref="Q17" si="67">Q14-Q15-Q16</f>
        <v>-13965</v>
      </c>
      <c r="R17" s="6">
        <f t="shared" ref="R17" si="68">R14-R15-R16</f>
        <v>-15275</v>
      </c>
      <c r="S17" s="6">
        <f t="shared" ref="S17" si="69">S14-S15-S16</f>
        <v>554</v>
      </c>
      <c r="T17" s="6">
        <f t="shared" ref="T17:U17" si="70">T14-T15-T16</f>
        <v>41731</v>
      </c>
      <c r="U17" s="79">
        <f t="shared" si="70"/>
        <v>13045</v>
      </c>
      <c r="V17" s="6">
        <f t="shared" ref="V17" si="71">V14-V15-V16</f>
        <v>19820</v>
      </c>
      <c r="W17" s="6">
        <f t="shared" ref="W17" si="72">W14-W15-W16</f>
        <v>56874</v>
      </c>
      <c r="X17" s="6">
        <f t="shared" ref="X17" si="73">X14-X15-X16</f>
        <v>96211</v>
      </c>
      <c r="Y17" s="6">
        <f t="shared" ref="Y17:Z17" si="74">Y14-Y15-Y16</f>
        <v>158423</v>
      </c>
      <c r="Z17" s="79">
        <f t="shared" si="74"/>
        <v>331328</v>
      </c>
      <c r="AA17" s="6">
        <f t="shared" ref="AA17" si="75">AA14-AA15-AA16</f>
        <v>113850</v>
      </c>
      <c r="AB17" s="6">
        <f t="shared" ref="AB17" si="76">AB14-AB15-AB16</f>
        <v>133168</v>
      </c>
      <c r="AC17" s="6">
        <f t="shared" ref="AC17" si="77">AC14-AC15-AC16</f>
        <v>131979</v>
      </c>
      <c r="AD17" s="6">
        <f t="shared" ref="AD17:AF17" si="78">AD14-AD15-AD16</f>
        <v>187226</v>
      </c>
      <c r="AE17" s="79">
        <f t="shared" si="78"/>
        <v>566223</v>
      </c>
      <c r="AF17" s="6">
        <f t="shared" si="78"/>
        <v>80413</v>
      </c>
      <c r="AG17" s="6">
        <f t="shared" ref="AG17" si="79">AG14-AG15-AG16</f>
        <v>112501</v>
      </c>
      <c r="AH17" s="6">
        <f t="shared" ref="AH17:AK17" si="80">AH14-AH15-AH16</f>
        <v>112995</v>
      </c>
      <c r="AI17" s="6">
        <f t="shared" si="80"/>
        <v>172130</v>
      </c>
      <c r="AJ17" s="79">
        <f t="shared" si="80"/>
        <v>478039</v>
      </c>
      <c r="AK17" s="6">
        <f t="shared" si="80"/>
        <v>67134</v>
      </c>
      <c r="AL17" s="6">
        <f t="shared" ref="AL17:AM17" si="81">AL14-AL15-AL16</f>
        <v>106630.75</v>
      </c>
      <c r="AM17" s="6">
        <f t="shared" si="81"/>
        <v>121676.253471867</v>
      </c>
      <c r="AN17" s="6">
        <f t="shared" ref="AN17:AP17" si="82">AN14-AN15-AN16</f>
        <v>208360.9130086</v>
      </c>
      <c r="AO17" s="79">
        <f t="shared" si="82"/>
        <v>503801.916480467</v>
      </c>
      <c r="AP17" s="6">
        <f t="shared" si="82"/>
        <v>74668.8970239114</v>
      </c>
      <c r="AQ17" s="6">
        <f t="shared" ref="AQ17:AU17" si="83">AQ14-AQ15-AQ16</f>
        <v>114345.66357968</v>
      </c>
      <c r="AR17" s="6">
        <f t="shared" si="83"/>
        <v>123012.702356905</v>
      </c>
      <c r="AS17" s="6">
        <f t="shared" si="83"/>
        <v>207945.900931031</v>
      </c>
      <c r="AT17" s="79">
        <f t="shared" si="83"/>
        <v>519973.163891527</v>
      </c>
      <c r="AU17" s="6">
        <f t="shared" si="83"/>
        <v>78151.6178168459</v>
      </c>
      <c r="AV17" s="6">
        <f t="shared" ref="AV17:AY17" si="84">AV14-AV15-AV16</f>
        <v>117401.902541484</v>
      </c>
      <c r="AW17" s="6">
        <f t="shared" si="84"/>
        <v>126601.117188932</v>
      </c>
      <c r="AX17" s="6">
        <f t="shared" si="84"/>
        <v>216718.24702153</v>
      </c>
      <c r="AY17" s="79">
        <f t="shared" si="84"/>
        <v>538872.884568791</v>
      </c>
      <c r="BA17" s="172"/>
      <c r="BB17" s="172"/>
    </row>
    <row r="18" ht="15" customHeight="1" spans="1:54">
      <c r="A18" s="180" t="s">
        <v>164</v>
      </c>
      <c r="B18" s="78">
        <f>B17/B19</f>
        <v>1.12432113171125</v>
      </c>
      <c r="C18" s="78">
        <f t="shared" ref="C18:F18" si="85">C17/C19</f>
        <v>-0.0599605173988627</v>
      </c>
      <c r="D18" s="78">
        <f t="shared" si="85"/>
        <v>0.648459000331398</v>
      </c>
      <c r="E18" s="78">
        <f t="shared" si="85"/>
        <v>1.15407090270044</v>
      </c>
      <c r="F18" s="78">
        <f t="shared" si="85"/>
        <v>0.73120192161513</v>
      </c>
      <c r="G18" s="77">
        <f t="shared" ref="G18:K18" si="86">G17/G19</f>
        <v>-3.28827489167106</v>
      </c>
      <c r="H18" s="77">
        <f t="shared" si="86"/>
        <v>0.232484277723351</v>
      </c>
      <c r="I18" s="77">
        <f t="shared" si="86"/>
        <v>0.755060506911721</v>
      </c>
      <c r="J18" s="77">
        <f t="shared" si="86"/>
        <v>1.50220719886399</v>
      </c>
      <c r="K18" s="78">
        <f t="shared" si="86"/>
        <v>-0.724551376205377</v>
      </c>
      <c r="L18" s="77">
        <f t="shared" ref="L18:AJ18" si="87">L17/L19</f>
        <v>0.673501263302963</v>
      </c>
      <c r="M18" s="77">
        <f t="shared" si="87"/>
        <v>1.70048022951229</v>
      </c>
      <c r="N18" s="77">
        <f t="shared" si="87"/>
        <v>0.855885463271781</v>
      </c>
      <c r="O18" s="77">
        <f t="shared" si="87"/>
        <v>1.1420272572402</v>
      </c>
      <c r="P18" s="78">
        <f t="shared" si="87"/>
        <v>4.35355067373396</v>
      </c>
      <c r="Q18" s="77">
        <f t="shared" si="87"/>
        <v>-0.268160608329973</v>
      </c>
      <c r="R18" s="77">
        <f t="shared" si="87"/>
        <v>-0.302829047798418</v>
      </c>
      <c r="S18" s="77">
        <f t="shared" si="87"/>
        <v>0.0111950854787213</v>
      </c>
      <c r="T18" s="77">
        <f t="shared" si="87"/>
        <v>0.814788058652401</v>
      </c>
      <c r="U18" s="78">
        <f t="shared" si="87"/>
        <v>0.249297685707187</v>
      </c>
      <c r="V18" s="77">
        <f t="shared" si="87"/>
        <v>0.385101132764684</v>
      </c>
      <c r="W18" s="77">
        <f t="shared" si="87"/>
        <v>1.1033211763793</v>
      </c>
      <c r="X18" s="77">
        <f t="shared" si="87"/>
        <v>1.82827227120705</v>
      </c>
      <c r="Y18" s="77">
        <f t="shared" si="87"/>
        <v>2.96677840408996</v>
      </c>
      <c r="Z18" s="78">
        <f t="shared" si="87"/>
        <v>6.28395857831051</v>
      </c>
      <c r="AA18" s="77">
        <f t="shared" si="87"/>
        <v>2.13698475861551</v>
      </c>
      <c r="AB18" s="77">
        <f t="shared" si="87"/>
        <v>2.49944631092926</v>
      </c>
      <c r="AC18" s="77">
        <f t="shared" si="87"/>
        <v>2.49634001021392</v>
      </c>
      <c r="AD18" s="77">
        <f t="shared" si="87"/>
        <v>3.56886067745563</v>
      </c>
      <c r="AE18" s="78">
        <f t="shared" si="87"/>
        <v>10.6893016933794</v>
      </c>
      <c r="AF18" s="77">
        <f t="shared" si="87"/>
        <v>1.58812260536398</v>
      </c>
      <c r="AG18" s="77">
        <f t="shared" ref="AG18" si="88">AG17/AG19</f>
        <v>2.31717163395193</v>
      </c>
      <c r="AH18" s="77">
        <f t="shared" si="87"/>
        <v>2.35991311793822</v>
      </c>
      <c r="AI18" s="77">
        <f t="shared" si="87"/>
        <v>3.67508593633239</v>
      </c>
      <c r="AJ18" s="78">
        <f t="shared" si="87"/>
        <v>9.86135407211816</v>
      </c>
      <c r="AK18" s="77">
        <f t="shared" ref="AK18:AM18" si="89">AK17/AK19</f>
        <v>1.46975501893732</v>
      </c>
      <c r="AL18" s="77">
        <f t="shared" si="89"/>
        <v>2.42062041724365</v>
      </c>
      <c r="AM18" s="77">
        <f t="shared" si="89"/>
        <v>2.80138416165092</v>
      </c>
      <c r="AN18" s="77">
        <f t="shared" ref="AN18:AO18" si="90">AN17/AN19</f>
        <v>4.86520572157274</v>
      </c>
      <c r="AO18" s="78">
        <f t="shared" si="90"/>
        <v>11.4507542898857</v>
      </c>
      <c r="AP18" s="77">
        <f t="shared" ref="AP18:AT18" si="91">AP17/AP19</f>
        <v>1.76113316393306</v>
      </c>
      <c r="AQ18" s="77">
        <f t="shared" si="91"/>
        <v>2.72406256270885</v>
      </c>
      <c r="AR18" s="77">
        <f t="shared" si="91"/>
        <v>2.95984667282673</v>
      </c>
      <c r="AS18" s="77">
        <f t="shared" si="91"/>
        <v>5.0532174714101</v>
      </c>
      <c r="AT18" s="78">
        <f t="shared" si="91"/>
        <v>12.4480329765208</v>
      </c>
      <c r="AU18" s="77">
        <f t="shared" ref="AU18:AY18" si="92">AU17/AU19</f>
        <v>1.91960188085239</v>
      </c>
      <c r="AV18" s="77">
        <f t="shared" si="92"/>
        <v>2.91468407237396</v>
      </c>
      <c r="AW18" s="77">
        <f t="shared" si="92"/>
        <v>3.17675940961454</v>
      </c>
      <c r="AX18" s="77">
        <f t="shared" si="92"/>
        <v>5.49616365848636</v>
      </c>
      <c r="AY18" s="78">
        <f t="shared" si="92"/>
        <v>13.4487092331709</v>
      </c>
      <c r="BA18" s="172"/>
      <c r="BB18" s="181"/>
    </row>
    <row r="19" ht="15" customHeight="1" spans="1:54">
      <c r="A19" s="3" t="s">
        <v>165</v>
      </c>
      <c r="B19" s="92">
        <v>69417</v>
      </c>
      <c r="C19" s="92">
        <v>67878</v>
      </c>
      <c r="D19" s="92">
        <v>69403</v>
      </c>
      <c r="E19" s="92">
        <v>69137</v>
      </c>
      <c r="F19" s="92">
        <v>65778</v>
      </c>
      <c r="G19" s="93">
        <v>62541</v>
      </c>
      <c r="H19" s="93">
        <v>63286</v>
      </c>
      <c r="I19" s="93">
        <v>63877</v>
      </c>
      <c r="J19" s="93">
        <v>64788</v>
      </c>
      <c r="K19" s="92">
        <v>62636</v>
      </c>
      <c r="L19" s="93">
        <v>65305</v>
      </c>
      <c r="M19" s="93">
        <v>64136</v>
      </c>
      <c r="N19" s="93">
        <v>61465</v>
      </c>
      <c r="O19" s="93">
        <v>58700</v>
      </c>
      <c r="P19" s="92">
        <v>62636</v>
      </c>
      <c r="Q19" s="93">
        <v>52077</v>
      </c>
      <c r="R19" s="93">
        <v>50441</v>
      </c>
      <c r="S19" s="93">
        <v>49486</v>
      </c>
      <c r="T19" s="93">
        <v>51217</v>
      </c>
      <c r="U19" s="92">
        <v>52327</v>
      </c>
      <c r="V19" s="93">
        <v>51467</v>
      </c>
      <c r="W19" s="93">
        <v>51548</v>
      </c>
      <c r="X19" s="93">
        <v>52624</v>
      </c>
      <c r="Y19" s="93">
        <v>53399</v>
      </c>
      <c r="Z19" s="92">
        <v>52726</v>
      </c>
      <c r="AA19" s="93">
        <v>53276</v>
      </c>
      <c r="AB19" s="93">
        <v>53279</v>
      </c>
      <c r="AC19" s="93">
        <v>52869</v>
      </c>
      <c r="AD19" s="93">
        <v>52461</v>
      </c>
      <c r="AE19" s="92">
        <v>52971</v>
      </c>
      <c r="AF19" s="93">
        <v>50634</v>
      </c>
      <c r="AG19" s="93">
        <v>48551</v>
      </c>
      <c r="AH19" s="93">
        <v>47881</v>
      </c>
      <c r="AI19" s="93">
        <v>46837</v>
      </c>
      <c r="AJ19" s="92">
        <v>48476</v>
      </c>
      <c r="AK19" s="93">
        <v>45677</v>
      </c>
      <c r="AL19" s="93">
        <v>44051</v>
      </c>
      <c r="AM19" s="91">
        <f>SCF!AM61</f>
        <v>43434.3333333333</v>
      </c>
      <c r="AN19" s="91">
        <f>SCF!AN61</f>
        <v>42826.7425742574</v>
      </c>
      <c r="AO19" s="90">
        <f>AVERAGE(AK19:AN19)</f>
        <v>43997.2689768977</v>
      </c>
      <c r="AP19" s="91">
        <f>SCF!AP61</f>
        <v>42398.2118746528</v>
      </c>
      <c r="AQ19" s="91">
        <f>SCF!AQ61</f>
        <v>41976.1517760344</v>
      </c>
      <c r="AR19" s="91">
        <f>SCF!AR61</f>
        <v>41560.4982130458</v>
      </c>
      <c r="AS19" s="91">
        <f>SCF!AS61</f>
        <v>41151.1877546413</v>
      </c>
      <c r="AT19" s="90">
        <f>AVERAGE(AP19:AS19)</f>
        <v>41771.5124045936</v>
      </c>
      <c r="AU19" s="91">
        <f>SCF!AU61</f>
        <v>40712.4094826075</v>
      </c>
      <c r="AV19" s="91">
        <f>SCF!AV61</f>
        <v>40279.4606984155</v>
      </c>
      <c r="AW19" s="91">
        <f>SCF!AW61</f>
        <v>39852.2836843641</v>
      </c>
      <c r="AX19" s="91">
        <f>SCF!AX61</f>
        <v>39430.8212942141</v>
      </c>
      <c r="AY19" s="90">
        <f>AVERAGE(AU19:AX19)</f>
        <v>40068.7437899003</v>
      </c>
      <c r="BA19" s="172"/>
      <c r="BB19" s="172"/>
    </row>
    <row r="20" spans="1:54">
      <c r="B20" s="5"/>
      <c r="C20" s="5"/>
      <c r="D20" s="5"/>
      <c r="E20" s="5"/>
      <c r="F20" s="5"/>
      <c r="AJ20" s="83"/>
      <c r="AO20" s="83"/>
      <c r="AT20" s="83"/>
      <c r="AY20" s="83"/>
      <c r="BA20" s="172"/>
      <c r="BB20" s="172"/>
    </row>
    <row r="21" spans="1:54">
      <c r="A21" s="182" t="s">
        <v>166</v>
      </c>
      <c r="B21" s="183">
        <v>-42471</v>
      </c>
      <c r="C21" s="183">
        <v>8026</v>
      </c>
      <c r="D21" s="183">
        <v>-37911</v>
      </c>
      <c r="E21" s="183">
        <v>-5248</v>
      </c>
      <c r="F21" s="183">
        <v>-8739</v>
      </c>
      <c r="G21" s="184">
        <v>-38496</v>
      </c>
      <c r="H21" s="184">
        <v>-9249</v>
      </c>
      <c r="I21" s="184">
        <v>-5960</v>
      </c>
      <c r="J21" s="184">
        <v>-14933</v>
      </c>
      <c r="K21" s="185">
        <f>SUM(G21:J21)</f>
        <v>-68638</v>
      </c>
      <c r="L21" s="184">
        <v>-2215</v>
      </c>
      <c r="M21" s="184">
        <v>-562</v>
      </c>
      <c r="N21" s="184">
        <v>-5374</v>
      </c>
      <c r="O21" s="184">
        <v>-1528</v>
      </c>
      <c r="P21" s="185">
        <f>SUM(L21:O21)</f>
        <v>-9679</v>
      </c>
      <c r="Q21" s="184">
        <v>-2504</v>
      </c>
      <c r="R21" s="184">
        <f>-16834-R17</f>
        <v>-1559</v>
      </c>
      <c r="S21" s="184">
        <f>-2214-S17</f>
        <v>-2768</v>
      </c>
      <c r="T21" s="184">
        <v>-3398</v>
      </c>
      <c r="U21" s="185">
        <f>SUM(Q21:T21)</f>
        <v>-10229</v>
      </c>
      <c r="V21" s="184">
        <v>-3249</v>
      </c>
      <c r="W21" s="184">
        <f>-V21-3229</f>
        <v>20</v>
      </c>
      <c r="X21" s="184">
        <f>-SUM(V21:W21)-3229</f>
        <v>0</v>
      </c>
      <c r="Y21" s="184">
        <f>-SUM(V21:X21)-3205</f>
        <v>24</v>
      </c>
      <c r="Z21" s="185">
        <f>SUM(V21:Y21)</f>
        <v>-3205</v>
      </c>
      <c r="AA21" s="184">
        <v>0</v>
      </c>
      <c r="AB21" s="184">
        <v>0</v>
      </c>
      <c r="AC21" s="184">
        <v>0</v>
      </c>
      <c r="AD21" s="184">
        <v>0</v>
      </c>
      <c r="AE21" s="185">
        <f>SUM(AA21:AD21)</f>
        <v>0</v>
      </c>
      <c r="AF21" s="184">
        <v>0</v>
      </c>
      <c r="AG21" s="184">
        <v>28882</v>
      </c>
      <c r="AH21" s="186">
        <v>0</v>
      </c>
      <c r="AI21" s="184">
        <v>0</v>
      </c>
      <c r="AJ21" s="185">
        <f>SUM(AF21:AI21)</f>
        <v>28882</v>
      </c>
      <c r="AK21" s="184">
        <v>0</v>
      </c>
      <c r="AL21" s="184">
        <f>1.75*AL19</f>
        <v>77089.25</v>
      </c>
      <c r="AM21" s="187">
        <f>0.35*AM19</f>
        <v>15202.0166666667</v>
      </c>
      <c r="AN21" s="187">
        <v>0</v>
      </c>
      <c r="AO21" s="185">
        <f>SUM(AK21:AN21)</f>
        <v>92291.2666666667</v>
      </c>
      <c r="AP21" s="187">
        <v>0</v>
      </c>
      <c r="AQ21" s="187">
        <v>0</v>
      </c>
      <c r="AR21" s="187">
        <v>0</v>
      </c>
      <c r="AS21" s="187">
        <v>0</v>
      </c>
      <c r="AT21" s="185">
        <f>SUM(AP21:AS21)</f>
        <v>0</v>
      </c>
      <c r="AU21" s="187">
        <v>0</v>
      </c>
      <c r="AV21" s="187">
        <v>0</v>
      </c>
      <c r="AW21" s="187">
        <v>0</v>
      </c>
      <c r="AX21" s="187">
        <v>0</v>
      </c>
      <c r="AY21" s="185">
        <f>SUM(AU21:AX21)</f>
        <v>0</v>
      </c>
      <c r="BA21" s="172"/>
      <c r="BB21" s="172"/>
    </row>
    <row r="22" spans="1:54">
      <c r="A22" s="188" t="s">
        <v>167</v>
      </c>
      <c r="B22" s="90">
        <f t="shared" ref="B22:F22" si="93">B21+B17</f>
        <v>35576</v>
      </c>
      <c r="C22" s="90">
        <f t="shared" si="93"/>
        <v>3956</v>
      </c>
      <c r="D22" s="90">
        <f t="shared" si="93"/>
        <v>7094</v>
      </c>
      <c r="E22" s="90">
        <f t="shared" si="93"/>
        <v>74541</v>
      </c>
      <c r="F22" s="90">
        <f t="shared" si="93"/>
        <v>39358</v>
      </c>
      <c r="G22" s="91">
        <f t="shared" ref="G22:L22" si="94">G21+G17</f>
        <v>-244148</v>
      </c>
      <c r="H22" s="91">
        <f t="shared" si="94"/>
        <v>5464</v>
      </c>
      <c r="I22" s="91">
        <f t="shared" si="94"/>
        <v>42271</v>
      </c>
      <c r="J22" s="91">
        <f t="shared" si="94"/>
        <v>82392</v>
      </c>
      <c r="K22" s="90">
        <f t="shared" si="94"/>
        <v>-114021</v>
      </c>
      <c r="L22" s="91">
        <f t="shared" si="94"/>
        <v>41768</v>
      </c>
      <c r="M22" s="91">
        <f t="shared" ref="M22:AB22" si="95">M21+M17</f>
        <v>108500</v>
      </c>
      <c r="N22" s="91">
        <f t="shared" si="95"/>
        <v>47233</v>
      </c>
      <c r="O22" s="91">
        <f t="shared" si="95"/>
        <v>65509</v>
      </c>
      <c r="P22" s="90">
        <f t="shared" si="95"/>
        <v>263010</v>
      </c>
      <c r="Q22" s="91">
        <f t="shared" si="95"/>
        <v>-16469</v>
      </c>
      <c r="R22" s="91">
        <f t="shared" si="95"/>
        <v>-16834</v>
      </c>
      <c r="S22" s="91">
        <f t="shared" si="95"/>
        <v>-2214</v>
      </c>
      <c r="T22" s="91">
        <f t="shared" si="95"/>
        <v>38333</v>
      </c>
      <c r="U22" s="90">
        <f t="shared" si="95"/>
        <v>2816</v>
      </c>
      <c r="V22" s="91">
        <f t="shared" si="95"/>
        <v>16571</v>
      </c>
      <c r="W22" s="91">
        <f t="shared" si="95"/>
        <v>56894</v>
      </c>
      <c r="X22" s="91">
        <f t="shared" si="95"/>
        <v>96211</v>
      </c>
      <c r="Y22" s="91">
        <f t="shared" si="95"/>
        <v>158447</v>
      </c>
      <c r="Z22" s="90">
        <f t="shared" si="95"/>
        <v>328123</v>
      </c>
      <c r="AA22" s="91">
        <f t="shared" si="95"/>
        <v>113850</v>
      </c>
      <c r="AB22" s="91">
        <f t="shared" si="95"/>
        <v>133168</v>
      </c>
      <c r="AC22" s="91">
        <f t="shared" ref="AC22:AF22" si="96">AC21+AC17</f>
        <v>131979</v>
      </c>
      <c r="AD22" s="91">
        <f t="shared" si="96"/>
        <v>187226</v>
      </c>
      <c r="AE22" s="90">
        <f t="shared" si="96"/>
        <v>566223</v>
      </c>
      <c r="AF22" s="91">
        <f t="shared" si="96"/>
        <v>80413</v>
      </c>
      <c r="AG22" s="91">
        <f t="shared" ref="AG22" si="97">AG21+AG17</f>
        <v>141383</v>
      </c>
      <c r="AH22" s="91">
        <f t="shared" ref="AH22:AJ22" si="98">AH21+AH17</f>
        <v>112995</v>
      </c>
      <c r="AI22" s="91">
        <f t="shared" si="98"/>
        <v>172130</v>
      </c>
      <c r="AJ22" s="90">
        <f t="shared" si="98"/>
        <v>506921</v>
      </c>
      <c r="AK22" s="91">
        <f t="shared" ref="AK22:AM22" si="99">AK21+AK17</f>
        <v>67134</v>
      </c>
      <c r="AL22" s="91">
        <f t="shared" si="99"/>
        <v>183720</v>
      </c>
      <c r="AM22" s="91">
        <f t="shared" si="99"/>
        <v>136878.270138533</v>
      </c>
      <c r="AN22" s="91">
        <f t="shared" ref="AN22:AO22" si="100">AN21+AN17</f>
        <v>208360.9130086</v>
      </c>
      <c r="AO22" s="90">
        <f t="shared" si="100"/>
        <v>596093.183147133</v>
      </c>
      <c r="AP22" s="91">
        <f t="shared" ref="AP22:AT22" si="101">AP21+AP17</f>
        <v>74668.8970239114</v>
      </c>
      <c r="AQ22" s="91">
        <f t="shared" si="101"/>
        <v>114345.66357968</v>
      </c>
      <c r="AR22" s="91">
        <f t="shared" si="101"/>
        <v>123012.702356905</v>
      </c>
      <c r="AS22" s="91">
        <f t="shared" si="101"/>
        <v>207945.900931031</v>
      </c>
      <c r="AT22" s="90">
        <f t="shared" si="101"/>
        <v>519973.163891527</v>
      </c>
      <c r="AU22" s="91">
        <f t="shared" ref="AU22:AY22" si="102">AU21+AU17</f>
        <v>78151.6178168459</v>
      </c>
      <c r="AV22" s="91">
        <f t="shared" si="102"/>
        <v>117401.902541484</v>
      </c>
      <c r="AW22" s="91">
        <f t="shared" si="102"/>
        <v>126601.117188932</v>
      </c>
      <c r="AX22" s="91">
        <f t="shared" si="102"/>
        <v>216718.24702153</v>
      </c>
      <c r="AY22" s="90">
        <f t="shared" si="102"/>
        <v>538872.884568791</v>
      </c>
    </row>
    <row r="23" spans="1:54">
      <c r="A23" s="189" t="s">
        <v>168</v>
      </c>
      <c r="B23" s="190">
        <f t="shared" ref="B23:F23" si="103">B22/B19</f>
        <v>0.51249693879021</v>
      </c>
      <c r="C23" s="190">
        <f>C22/68284</f>
        <v>0.0579345088161209</v>
      </c>
      <c r="D23" s="190">
        <f t="shared" si="103"/>
        <v>0.102214601674279</v>
      </c>
      <c r="E23" s="190">
        <f t="shared" si="103"/>
        <v>1.07816364609399</v>
      </c>
      <c r="F23" s="190">
        <f t="shared" si="103"/>
        <v>0.598345951533948</v>
      </c>
      <c r="G23" s="191">
        <f t="shared" ref="G23:K23" si="104">G22/G19</f>
        <v>-3.90380710254073</v>
      </c>
      <c r="H23" s="191">
        <f t="shared" si="104"/>
        <v>0.0863382106627058</v>
      </c>
      <c r="I23" s="191">
        <f t="shared" si="104"/>
        <v>0.661756187673184</v>
      </c>
      <c r="J23" s="191">
        <f t="shared" si="104"/>
        <v>1.27171698462678</v>
      </c>
      <c r="K23" s="190">
        <f t="shared" si="104"/>
        <v>-1.82037486429529</v>
      </c>
      <c r="L23" s="191">
        <f t="shared" ref="L23:V23" si="105">L22/L19</f>
        <v>0.639583492841283</v>
      </c>
      <c r="M23" s="191">
        <f t="shared" si="105"/>
        <v>1.69171760009979</v>
      </c>
      <c r="N23" s="191">
        <f t="shared" si="105"/>
        <v>0.768453591474823</v>
      </c>
      <c r="O23" s="191">
        <f t="shared" si="105"/>
        <v>1.11599659284497</v>
      </c>
      <c r="P23" s="190">
        <f t="shared" si="105"/>
        <v>4.19902292611278</v>
      </c>
      <c r="Q23" s="191">
        <f t="shared" si="105"/>
        <v>-0.31624325517983</v>
      </c>
      <c r="R23" s="191">
        <f t="shared" si="105"/>
        <v>-0.33373644455899</v>
      </c>
      <c r="S23" s="191">
        <f t="shared" si="105"/>
        <v>-0.0447399264438427</v>
      </c>
      <c r="T23" s="191">
        <f t="shared" si="105"/>
        <v>0.74844289981842</v>
      </c>
      <c r="U23" s="190">
        <f t="shared" si="105"/>
        <v>0.0538154298927896</v>
      </c>
      <c r="V23" s="191">
        <f t="shared" si="105"/>
        <v>0.321973303281714</v>
      </c>
      <c r="W23" s="191">
        <f t="shared" ref="W23:Z23" si="106">W22/W19</f>
        <v>1.10370916427407</v>
      </c>
      <c r="X23" s="191">
        <f t="shared" si="106"/>
        <v>1.82827227120705</v>
      </c>
      <c r="Y23" s="191">
        <f t="shared" si="106"/>
        <v>2.96722785070881</v>
      </c>
      <c r="Z23" s="190">
        <f t="shared" si="106"/>
        <v>6.22317262830482</v>
      </c>
      <c r="AA23" s="191">
        <f t="shared" ref="AA23:AB23" si="107">AA22/AA19</f>
        <v>2.13698475861551</v>
      </c>
      <c r="AB23" s="191">
        <f t="shared" si="107"/>
        <v>2.49944631092926</v>
      </c>
      <c r="AC23" s="191">
        <f t="shared" ref="AC23:AE23" si="108">AC22/AC19</f>
        <v>2.49634001021392</v>
      </c>
      <c r="AD23" s="191">
        <f t="shared" si="108"/>
        <v>3.56886067745563</v>
      </c>
      <c r="AE23" s="190">
        <f t="shared" si="108"/>
        <v>10.6893016933794</v>
      </c>
      <c r="AF23" s="191">
        <f t="shared" ref="AF23:AJ23" si="109">AF22/AF19</f>
        <v>1.58812260536398</v>
      </c>
      <c r="AG23" s="191">
        <f t="shared" si="109"/>
        <v>2.91205124508249</v>
      </c>
      <c r="AH23" s="191">
        <f t="shared" si="109"/>
        <v>2.35991311793822</v>
      </c>
      <c r="AI23" s="191">
        <f t="shared" si="109"/>
        <v>3.67508593633239</v>
      </c>
      <c r="AJ23" s="190">
        <f t="shared" si="109"/>
        <v>10.4571540556151</v>
      </c>
      <c r="AK23" s="191">
        <f t="shared" ref="AK23:AM23" si="110">AK22/AK19</f>
        <v>1.46975501893732</v>
      </c>
      <c r="AL23" s="191">
        <f t="shared" si="110"/>
        <v>4.17062041724365</v>
      </c>
      <c r="AM23" s="191">
        <f t="shared" si="110"/>
        <v>3.15138416165092</v>
      </c>
      <c r="AN23" s="191">
        <f t="shared" ref="AN23:AO23" si="111">AN22/AN19</f>
        <v>4.86520572157274</v>
      </c>
      <c r="AO23" s="190">
        <f t="shared" si="111"/>
        <v>13.5484132767453</v>
      </c>
      <c r="AP23" s="191">
        <f t="shared" ref="AP23:AT23" si="112">AP22/AP19</f>
        <v>1.76113316393306</v>
      </c>
      <c r="AQ23" s="191">
        <f t="shared" si="112"/>
        <v>2.72406256270885</v>
      </c>
      <c r="AR23" s="191">
        <f t="shared" si="112"/>
        <v>2.95984667282673</v>
      </c>
      <c r="AS23" s="191">
        <f t="shared" si="112"/>
        <v>5.0532174714101</v>
      </c>
      <c r="AT23" s="190">
        <f t="shared" si="112"/>
        <v>12.4480329765208</v>
      </c>
      <c r="AU23" s="191">
        <f t="shared" ref="AU23:AY23" si="113">AU22/AU19</f>
        <v>1.91960188085239</v>
      </c>
      <c r="AV23" s="191">
        <f t="shared" si="113"/>
        <v>2.91468407237396</v>
      </c>
      <c r="AW23" s="191">
        <f t="shared" si="113"/>
        <v>3.17675940961454</v>
      </c>
      <c r="AX23" s="191">
        <f t="shared" si="113"/>
        <v>5.49616365848636</v>
      </c>
      <c r="AY23" s="190">
        <f t="shared" si="113"/>
        <v>13.4487092331709</v>
      </c>
    </row>
    <row r="24" spans="1:54">
      <c r="AL24" s="119"/>
      <c r="BA24" s="157"/>
      <c r="BB24" s="157"/>
    </row>
    <row r="25" spans="1:54">
      <c r="A25" s="14" t="s">
        <v>169</v>
      </c>
      <c r="B25" s="15"/>
      <c r="C25" s="15"/>
      <c r="D25" s="15"/>
      <c r="E25" s="15"/>
      <c r="F25" s="15"/>
      <c r="G25" s="192"/>
      <c r="H25" s="192"/>
      <c r="I25" s="192"/>
      <c r="J25" s="192"/>
      <c r="K25" s="193"/>
      <c r="L25" s="192"/>
      <c r="M25" s="192"/>
      <c r="N25" s="192"/>
      <c r="O25" s="192"/>
      <c r="P25" s="193"/>
      <c r="Q25" s="192"/>
      <c r="R25" s="192"/>
      <c r="S25" s="192"/>
      <c r="T25" s="192"/>
      <c r="U25" s="193"/>
      <c r="V25" s="192"/>
      <c r="W25" s="192"/>
      <c r="X25" s="192"/>
      <c r="Y25" s="192"/>
      <c r="Z25" s="193"/>
      <c r="AA25" s="192"/>
      <c r="AB25" s="192"/>
      <c r="AC25" s="192"/>
      <c r="AD25" s="192"/>
      <c r="AE25" s="193"/>
      <c r="AF25" s="192"/>
      <c r="AG25" s="192"/>
      <c r="AH25" s="192"/>
      <c r="AI25" s="192"/>
      <c r="AJ25" s="193"/>
      <c r="AK25" s="192"/>
      <c r="AL25" s="192"/>
      <c r="AM25" s="192"/>
      <c r="AN25" s="192"/>
      <c r="AO25" s="193"/>
      <c r="AP25" s="192"/>
      <c r="AQ25" s="192"/>
      <c r="AR25" s="192"/>
      <c r="AS25" s="192"/>
      <c r="AT25" s="193"/>
      <c r="AU25" s="192"/>
      <c r="AV25" s="192"/>
      <c r="AW25" s="192"/>
      <c r="AX25" s="192"/>
      <c r="AY25" s="193"/>
    </row>
    <row r="26" s="157" customFormat="1" spans="1:54">
      <c r="A26" s="194" t="s">
        <v>170</v>
      </c>
      <c r="B26" s="195">
        <f t="shared" ref="B26:G26" si="114">B7/B6</f>
        <v>0.380963884183842</v>
      </c>
      <c r="C26" s="195">
        <f t="shared" si="114"/>
        <v>0.390223462007852</v>
      </c>
      <c r="D26" s="195">
        <f t="shared" si="114"/>
        <v>0.403370468034667</v>
      </c>
      <c r="E26" s="195">
        <f t="shared" si="114"/>
        <v>0.39837035588613</v>
      </c>
      <c r="F26" s="195">
        <f t="shared" si="114"/>
        <v>0.406327722350612</v>
      </c>
      <c r="G26" s="196">
        <f t="shared" si="114"/>
        <v>0.455773973491786</v>
      </c>
      <c r="H26" s="196">
        <f t="shared" ref="H26:L26" si="115">H7/H6</f>
        <v>0.393396799211832</v>
      </c>
      <c r="I26" s="196">
        <f t="shared" si="115"/>
        <v>0.360176806526664</v>
      </c>
      <c r="J26" s="196">
        <f t="shared" si="115"/>
        <v>0.394837457354614</v>
      </c>
      <c r="K26" s="195">
        <f t="shared" si="115"/>
        <v>0.394888756069654</v>
      </c>
      <c r="L26" s="196">
        <f t="shared" si="115"/>
        <v>0.366354195327647</v>
      </c>
      <c r="M26" s="196">
        <f t="shared" ref="M26:P26" si="116">M7/M6</f>
        <v>0.34845927039371</v>
      </c>
      <c r="N26" s="196">
        <f t="shared" si="116"/>
        <v>0.36337885014804</v>
      </c>
      <c r="O26" s="196">
        <f t="shared" si="116"/>
        <v>0.416945579853843</v>
      </c>
      <c r="P26" s="195">
        <f t="shared" si="116"/>
        <v>0.377285356908915</v>
      </c>
      <c r="Q26" s="196">
        <f t="shared" ref="Q26:AF26" si="117">Q8/Q$6</f>
        <v>0.553109028227206</v>
      </c>
      <c r="R26" s="196">
        <f t="shared" si="117"/>
        <v>0.578681167718929</v>
      </c>
      <c r="S26" s="196">
        <f t="shared" si="117"/>
        <v>0.591779875557333</v>
      </c>
      <c r="T26" s="196">
        <f t="shared" si="117"/>
        <v>0.556990500194197</v>
      </c>
      <c r="U26" s="195">
        <f t="shared" si="117"/>
        <v>0.569139998880401</v>
      </c>
      <c r="V26" s="196">
        <f t="shared" si="117"/>
        <v>0.609805812003435</v>
      </c>
      <c r="W26" s="196">
        <f t="shared" si="117"/>
        <v>0.624774815709711</v>
      </c>
      <c r="X26" s="196">
        <f t="shared" si="117"/>
        <v>0.649042862240885</v>
      </c>
      <c r="Y26" s="196">
        <f t="shared" si="117"/>
        <v>0.6287869767301</v>
      </c>
      <c r="Z26" s="195">
        <f t="shared" si="117"/>
        <v>0.629202343461093</v>
      </c>
      <c r="AA26" s="196">
        <f t="shared" si="117"/>
        <v>0.663698529483801</v>
      </c>
      <c r="AB26" s="196">
        <f t="shared" si="117"/>
        <v>0.6492759093242</v>
      </c>
      <c r="AC26" s="196">
        <f t="shared" si="117"/>
        <v>0.65091325976082</v>
      </c>
      <c r="AD26" s="196">
        <f t="shared" si="117"/>
        <v>0.614549531615851</v>
      </c>
      <c r="AE26" s="195">
        <f t="shared" si="117"/>
        <v>0.641528783873053</v>
      </c>
      <c r="AF26" s="196">
        <f t="shared" si="117"/>
        <v>0.619858909643665</v>
      </c>
      <c r="AG26" s="196">
        <f t="shared" ref="AG26:AH26" si="118">AG8/AG$6</f>
        <v>0.626340438207454</v>
      </c>
      <c r="AH26" s="196">
        <f t="shared" si="118"/>
        <v>0.625241841318003</v>
      </c>
      <c r="AI26" s="196">
        <f t="shared" ref="AI26:AJ26" si="119">AI8/AI$6</f>
        <v>0.594867535192795</v>
      </c>
      <c r="AJ26" s="195">
        <f t="shared" si="119"/>
        <v>0.614741453759115</v>
      </c>
      <c r="AK26" s="196">
        <f t="shared" ref="AK26:AL26" si="120">AK8/AK$6</f>
        <v>0.62845196849404</v>
      </c>
      <c r="AL26" s="196">
        <f t="shared" si="120"/>
        <v>0.632025698494263</v>
      </c>
      <c r="AM26" s="196">
        <f t="shared" ref="AM26:AN26" si="121">AH26+AM27/10^4</f>
        <v>0.638241841318003</v>
      </c>
      <c r="AN26" s="196">
        <f t="shared" si="121"/>
        <v>0.611867535192795</v>
      </c>
      <c r="AO26" s="195">
        <f>AO8/AO$6</f>
        <v>0.626333794749763</v>
      </c>
      <c r="AP26" s="196">
        <f>AK26+AP27/10^4</f>
        <v>0.62945196849404</v>
      </c>
      <c r="AQ26" s="196">
        <f t="shared" ref="AQ26" si="122">AL26+AQ27/10^4</f>
        <v>0.633025698494263</v>
      </c>
      <c r="AR26" s="196">
        <f t="shared" ref="AR26:AS26" si="123">AM26+AR27/10^4</f>
        <v>0.639241841318003</v>
      </c>
      <c r="AS26" s="196">
        <f t="shared" si="123"/>
        <v>0.612867535192795</v>
      </c>
      <c r="AT26" s="195">
        <f>AT8/AT$6</f>
        <v>0.627344623523795</v>
      </c>
      <c r="AU26" s="196">
        <f>AP26+AU27/10^4</f>
        <v>0.63145196849404</v>
      </c>
      <c r="AV26" s="196">
        <f t="shared" ref="AV26" si="124">AQ26+AV27/10^4</f>
        <v>0.633025698494263</v>
      </c>
      <c r="AW26" s="196">
        <f t="shared" ref="AW26" si="125">AR26+AW27/10^4</f>
        <v>0.639241841318003</v>
      </c>
      <c r="AX26" s="196">
        <f t="shared" ref="AX26" si="126">AS26+AX27/10^4</f>
        <v>0.614867535192795</v>
      </c>
      <c r="AY26" s="195">
        <f>AY8/AY$6</f>
        <v>0.628389203299335</v>
      </c>
    </row>
    <row r="27" s="157" customFormat="1" spans="1:54">
      <c r="A27" s="197" t="s">
        <v>171</v>
      </c>
      <c r="B27" s="198"/>
      <c r="C27" s="199">
        <f>(ROUND(C26,3)-ROUND(B26,3))*10^4</f>
        <v>90.0000000000001</v>
      </c>
      <c r="D27" s="199">
        <f>(ROUND(D26,3)-ROUND(C26,3))*10^4</f>
        <v>130</v>
      </c>
      <c r="E27" s="199">
        <f>(ROUND(E26,3)-ROUND(D26,3))*10^4</f>
        <v>-50</v>
      </c>
      <c r="F27" s="199">
        <f>(ROUND(F26,3)-ROUND(E26,3))*10^4</f>
        <v>80.0000000000001</v>
      </c>
      <c r="G27" s="200"/>
      <c r="H27" s="200"/>
      <c r="I27" s="200"/>
      <c r="J27" s="200"/>
      <c r="K27" s="199">
        <f t="shared" ref="K27:L27" si="127">(ROUND(K26,3)-ROUND(F26,3))*10^4</f>
        <v>-110</v>
      </c>
      <c r="L27" s="200">
        <f t="shared" si="127"/>
        <v>-900</v>
      </c>
      <c r="M27" s="200">
        <f t="shared" ref="M27" si="128">(ROUND(M26,3)-ROUND(H26,3))*10^4</f>
        <v>-450</v>
      </c>
      <c r="N27" s="200">
        <f t="shared" ref="N27" si="129">(ROUND(N26,3)-ROUND(I26,3))*10^4</f>
        <v>30</v>
      </c>
      <c r="O27" s="200">
        <f t="shared" ref="O27:Q27" si="130">(ROUND(O26,3)-ROUND(J26,3))*10^4</f>
        <v>220</v>
      </c>
      <c r="P27" s="199">
        <f t="shared" si="130"/>
        <v>-180</v>
      </c>
      <c r="Q27" s="200">
        <f t="shared" si="130"/>
        <v>1870</v>
      </c>
      <c r="R27" s="200">
        <f t="shared" ref="R27:AI27" si="131">(ROUND(R26,3)-ROUND(M26,3))*10^4</f>
        <v>2310</v>
      </c>
      <c r="S27" s="200">
        <f t="shared" si="131"/>
        <v>2290</v>
      </c>
      <c r="T27" s="200">
        <f t="shared" si="131"/>
        <v>1400</v>
      </c>
      <c r="U27" s="199">
        <f t="shared" si="131"/>
        <v>1920</v>
      </c>
      <c r="V27" s="200">
        <f t="shared" si="131"/>
        <v>569.999999999999</v>
      </c>
      <c r="W27" s="200">
        <f t="shared" si="131"/>
        <v>460</v>
      </c>
      <c r="X27" s="200">
        <f t="shared" si="131"/>
        <v>570</v>
      </c>
      <c r="Y27" s="200">
        <f t="shared" si="131"/>
        <v>720</v>
      </c>
      <c r="Z27" s="199">
        <f t="shared" si="131"/>
        <v>600.000000000001</v>
      </c>
      <c r="AA27" s="200">
        <f t="shared" si="131"/>
        <v>540</v>
      </c>
      <c r="AB27" s="200">
        <f t="shared" si="131"/>
        <v>240</v>
      </c>
      <c r="AC27" s="200">
        <f t="shared" si="131"/>
        <v>20</v>
      </c>
      <c r="AD27" s="200">
        <f t="shared" si="131"/>
        <v>-140</v>
      </c>
      <c r="AE27" s="199">
        <f t="shared" si="131"/>
        <v>130</v>
      </c>
      <c r="AF27" s="200">
        <f t="shared" si="131"/>
        <v>-440</v>
      </c>
      <c r="AG27" s="200">
        <f t="shared" si="131"/>
        <v>-230</v>
      </c>
      <c r="AH27" s="200">
        <f t="shared" si="131"/>
        <v>-260</v>
      </c>
      <c r="AI27" s="200">
        <f t="shared" si="131"/>
        <v>-200</v>
      </c>
      <c r="AJ27" s="199">
        <f t="shared" ref="AJ27:AK27" si="132">(ROUND(AJ26,3)-ROUND(AE26,3))*10^4</f>
        <v>-270</v>
      </c>
      <c r="AK27" s="200">
        <f t="shared" si="132"/>
        <v>80.0000000000001</v>
      </c>
      <c r="AL27" s="200">
        <f t="shared" ref="AL27" si="133">(ROUND(AL26,3)-ROUND(AG26,3))*10^4</f>
        <v>60.0000000000001</v>
      </c>
      <c r="AM27" s="201">
        <v>130</v>
      </c>
      <c r="AN27" s="201">
        <v>170</v>
      </c>
      <c r="AO27" s="199">
        <f t="shared" ref="AO27" si="134">(ROUND(AO26,3)-ROUND(AJ26,3))*10^4</f>
        <v>110</v>
      </c>
      <c r="AP27" s="201">
        <v>10</v>
      </c>
      <c r="AQ27" s="201">
        <v>10</v>
      </c>
      <c r="AR27" s="201">
        <v>10</v>
      </c>
      <c r="AS27" s="201">
        <v>10</v>
      </c>
      <c r="AT27" s="199">
        <f t="shared" ref="AT27" si="135">(ROUND(AT26,3)-ROUND(AO26,3))*10^4</f>
        <v>10</v>
      </c>
      <c r="AU27" s="201">
        <v>20</v>
      </c>
      <c r="AV27" s="201">
        <v>0</v>
      </c>
      <c r="AW27" s="201">
        <v>0</v>
      </c>
      <c r="AX27" s="201">
        <v>20</v>
      </c>
      <c r="AY27" s="199">
        <f t="shared" ref="AY27" si="136">(ROUND(AY26,3)-ROUND(AT26,3))*10^4</f>
        <v>10</v>
      </c>
      <c r="BA27" s="1"/>
      <c r="BB27" s="1"/>
    </row>
    <row r="28" ht="5.1" customHeight="1" spans="1:54">
      <c r="A28" s="29"/>
      <c r="B28" s="135"/>
      <c r="C28" s="135"/>
      <c r="D28" s="135"/>
      <c r="E28" s="135"/>
      <c r="F28" s="135"/>
      <c r="G28" s="200"/>
      <c r="H28" s="200"/>
      <c r="I28" s="200"/>
      <c r="L28" s="200"/>
      <c r="M28" s="200"/>
      <c r="N28" s="200"/>
      <c r="Q28" s="200"/>
      <c r="R28" s="200"/>
      <c r="S28" s="200"/>
      <c r="T28" s="200"/>
      <c r="AA28" s="200"/>
      <c r="AB28" s="200"/>
      <c r="AC28" s="200"/>
      <c r="AD28" s="200"/>
      <c r="AE28" s="199"/>
      <c r="AF28" s="200"/>
      <c r="AG28" s="200"/>
      <c r="AJ28" s="199"/>
      <c r="AK28" s="200"/>
      <c r="AO28" s="199"/>
      <c r="AT28" s="199"/>
      <c r="AY28" s="199"/>
    </row>
    <row r="29" spans="1:54">
      <c r="A29" s="2" t="s">
        <v>172</v>
      </c>
      <c r="B29" s="202">
        <f t="shared" ref="B29:F29" si="137">B9/B$6</f>
        <v>0.454019405004149</v>
      </c>
      <c r="C29" s="202">
        <f t="shared" si="137"/>
        <v>0.474476514545772</v>
      </c>
      <c r="D29" s="202">
        <f t="shared" si="137"/>
        <v>0.441615202036253</v>
      </c>
      <c r="E29" s="202">
        <f t="shared" si="137"/>
        <v>0.429519549406439</v>
      </c>
      <c r="F29" s="202">
        <f t="shared" si="137"/>
        <v>0.428156705647388</v>
      </c>
      <c r="G29" s="203">
        <f t="shared" ref="G29:K29" si="138">G9/G$6</f>
        <v>0.663681934403194</v>
      </c>
      <c r="H29" s="203">
        <f t="shared" si="138"/>
        <v>0.444447308428131</v>
      </c>
      <c r="I29" s="203">
        <f t="shared" si="138"/>
        <v>0.422450719999805</v>
      </c>
      <c r="J29" s="203">
        <f t="shared" si="138"/>
        <v>0.367924074278727</v>
      </c>
      <c r="K29" s="202">
        <f t="shared" si="138"/>
        <v>0.445252167413668</v>
      </c>
      <c r="L29" s="203">
        <f t="shared" ref="L29:P29" si="139">L9/L$6</f>
        <v>0.405177852714022</v>
      </c>
      <c r="M29" s="203">
        <f t="shared" si="139"/>
        <v>0.376767069434006</v>
      </c>
      <c r="N29" s="203">
        <f t="shared" si="139"/>
        <v>0.388677139953157</v>
      </c>
      <c r="O29" s="203">
        <f t="shared" si="139"/>
        <v>0.374694860219072</v>
      </c>
      <c r="P29" s="202">
        <f t="shared" si="139"/>
        <v>0.385001971574847</v>
      </c>
      <c r="Q29" s="203">
        <f t="shared" ref="Q29:AF29" si="140">Q9/Q$6</f>
        <v>0.415303619017621</v>
      </c>
      <c r="R29" s="203">
        <f t="shared" si="140"/>
        <v>0.423295006403003</v>
      </c>
      <c r="S29" s="203">
        <f t="shared" si="140"/>
        <v>0.417384022434222</v>
      </c>
      <c r="T29" s="203">
        <f t="shared" si="140"/>
        <v>0.364443155355747</v>
      </c>
      <c r="U29" s="202">
        <f t="shared" si="140"/>
        <v>0.401035926972909</v>
      </c>
      <c r="V29" s="203">
        <f t="shared" si="140"/>
        <v>0.382556573372536</v>
      </c>
      <c r="W29" s="203">
        <f t="shared" si="140"/>
        <v>0.361680449459825</v>
      </c>
      <c r="X29" s="203">
        <f t="shared" si="140"/>
        <v>0.352099663868251</v>
      </c>
      <c r="Y29" s="203">
        <f t="shared" si="140"/>
        <v>0.343395688781181</v>
      </c>
      <c r="Z29" s="202">
        <f t="shared" si="140"/>
        <v>0.357186958978685</v>
      </c>
      <c r="AA29" s="203">
        <f t="shared" si="140"/>
        <v>0.352706396402575</v>
      </c>
      <c r="AB29" s="203">
        <f t="shared" si="140"/>
        <v>0.337359586727738</v>
      </c>
      <c r="AC29" s="203">
        <f t="shared" si="140"/>
        <v>0.348223192380927</v>
      </c>
      <c r="AD29" s="203">
        <f t="shared" si="140"/>
        <v>0.332145468816348</v>
      </c>
      <c r="AE29" s="202">
        <f t="shared" si="140"/>
        <v>0.341509202525893</v>
      </c>
      <c r="AF29" s="203">
        <f t="shared" si="140"/>
        <v>0.364470054524196</v>
      </c>
      <c r="AG29" s="203">
        <f t="shared" ref="AG29:AJ29" si="141">AG9/AG$6</f>
        <v>0.346056463890911</v>
      </c>
      <c r="AH29" s="203">
        <f t="shared" si="141"/>
        <v>0.356067902301144</v>
      </c>
      <c r="AI29" s="203">
        <f t="shared" si="141"/>
        <v>0.344227638965578</v>
      </c>
      <c r="AJ29" s="202">
        <f t="shared" si="141"/>
        <v>0.351766859870284</v>
      </c>
      <c r="AK29" s="203">
        <f t="shared" ref="AK29:AL29" si="142">AK9/AK$6</f>
        <v>0.387131325410456</v>
      </c>
      <c r="AL29" s="203">
        <f t="shared" si="142"/>
        <v>0.350553292876152</v>
      </c>
      <c r="AM29" s="203">
        <f t="shared" ref="AM29:AN29" si="143">AH29+AM34/10^4</f>
        <v>0.361067902301144</v>
      </c>
      <c r="AN29" s="203">
        <f t="shared" si="143"/>
        <v>0.341227638965578</v>
      </c>
      <c r="AO29" s="202">
        <f>AO9/AO$6</f>
        <v>0.357501470906441</v>
      </c>
      <c r="AP29" s="203">
        <f>AK29+AP34/10^4</f>
        <v>0.380131325410456</v>
      </c>
      <c r="AQ29" s="203">
        <f t="shared" ref="AQ29" si="144">AL29+AQ34/10^4</f>
        <v>0.352553292876152</v>
      </c>
      <c r="AR29" s="203">
        <f t="shared" ref="AR29:AS29" si="145">AM29+AR34/10^4</f>
        <v>0.363067902301144</v>
      </c>
      <c r="AS29" s="203">
        <f t="shared" si="145"/>
        <v>0.343227638965578</v>
      </c>
      <c r="AT29" s="202">
        <f>AT9/AT$6</f>
        <v>0.357728856261948</v>
      </c>
      <c r="AU29" s="203">
        <f>AP29+AU34/10^4</f>
        <v>0.381131325410456</v>
      </c>
      <c r="AV29" s="203">
        <f t="shared" ref="AV29" si="146">AQ29+AV34/10^4</f>
        <v>0.353553292876152</v>
      </c>
      <c r="AW29" s="203">
        <f t="shared" ref="AW29" si="147">AR29+AW34/10^4</f>
        <v>0.364067902301144</v>
      </c>
      <c r="AX29" s="203">
        <f t="shared" ref="AX29" si="148">AS29+AX34/10^4</f>
        <v>0.344227638965578</v>
      </c>
      <c r="AY29" s="202">
        <f>AY9/AY$6</f>
        <v>0.358719801682755</v>
      </c>
    </row>
    <row r="30" hidden="1" outlineLevel="1" spans="1:54">
      <c r="A30" s="29" t="s">
        <v>173</v>
      </c>
      <c r="B30" s="135"/>
      <c r="C30" s="135"/>
      <c r="D30" s="135"/>
      <c r="E30" s="135"/>
      <c r="F30" s="135"/>
      <c r="G30" s="119"/>
      <c r="H30" s="119"/>
      <c r="I30" s="119"/>
      <c r="J30" s="119"/>
      <c r="K30" s="83"/>
      <c r="L30" s="119"/>
      <c r="M30" s="119"/>
      <c r="N30" s="119"/>
      <c r="O30" s="119"/>
      <c r="P30" s="83"/>
      <c r="Q30" s="119"/>
      <c r="R30" s="119"/>
      <c r="S30" s="119"/>
      <c r="T30" s="119"/>
      <c r="U30" s="83"/>
      <c r="V30" s="119"/>
      <c r="W30" s="119"/>
      <c r="X30" s="119"/>
      <c r="Y30" s="119"/>
      <c r="Z30" s="83"/>
      <c r="AA30" s="119"/>
      <c r="AB30" s="119"/>
      <c r="AC30" s="119"/>
      <c r="AD30" s="119"/>
      <c r="AE30" s="83"/>
      <c r="AF30" s="204">
        <v>50</v>
      </c>
      <c r="AG30" s="204">
        <v>0</v>
      </c>
      <c r="AH30" s="204">
        <v>100</v>
      </c>
      <c r="AI30" s="204"/>
      <c r="AJ30" s="83"/>
      <c r="AK30" s="204">
        <v>50</v>
      </c>
      <c r="AL30" s="204">
        <v>0</v>
      </c>
      <c r="AO30" s="83"/>
      <c r="AT30" s="83"/>
      <c r="AY30" s="83"/>
    </row>
    <row r="31" hidden="1" outlineLevel="1" spans="1:54">
      <c r="A31" s="29" t="s">
        <v>174</v>
      </c>
      <c r="B31" s="135"/>
      <c r="C31" s="135"/>
      <c r="D31" s="135"/>
      <c r="E31" s="135"/>
      <c r="F31" s="135"/>
      <c r="G31" s="119"/>
      <c r="H31" s="119"/>
      <c r="I31" s="119"/>
      <c r="J31" s="119"/>
      <c r="K31" s="83"/>
      <c r="L31" s="119"/>
      <c r="M31" s="119"/>
      <c r="N31" s="119"/>
      <c r="O31" s="119"/>
      <c r="P31" s="83"/>
      <c r="Q31" s="119"/>
      <c r="R31" s="119"/>
      <c r="S31" s="119"/>
      <c r="T31" s="119"/>
      <c r="U31" s="83"/>
      <c r="V31" s="119"/>
      <c r="W31" s="119"/>
      <c r="X31" s="119"/>
      <c r="Y31" s="119"/>
      <c r="Z31" s="83"/>
      <c r="AA31" s="119"/>
      <c r="AB31" s="119"/>
      <c r="AC31" s="119"/>
      <c r="AD31" s="119"/>
      <c r="AE31" s="83"/>
      <c r="AF31" s="204">
        <v>40</v>
      </c>
      <c r="AG31" s="204">
        <v>90</v>
      </c>
      <c r="AH31" s="204">
        <v>40</v>
      </c>
      <c r="AI31" s="204"/>
      <c r="AJ31" s="83"/>
      <c r="AK31" s="204">
        <v>40</v>
      </c>
      <c r="AL31" s="204">
        <v>0</v>
      </c>
      <c r="AO31" s="83"/>
      <c r="AT31" s="83"/>
      <c r="AY31" s="83"/>
      <c r="BA31" s="157"/>
      <c r="BB31" s="157"/>
    </row>
    <row r="32" hidden="1" outlineLevel="1" spans="1:54">
      <c r="A32" s="29" t="s">
        <v>175</v>
      </c>
      <c r="B32" s="135"/>
      <c r="C32" s="135"/>
      <c r="D32" s="135"/>
      <c r="E32" s="135"/>
      <c r="F32" s="135"/>
      <c r="G32" s="119"/>
      <c r="H32" s="119"/>
      <c r="I32" s="119"/>
      <c r="J32" s="119"/>
      <c r="K32" s="83"/>
      <c r="L32" s="119"/>
      <c r="M32" s="119"/>
      <c r="N32" s="119"/>
      <c r="O32" s="119"/>
      <c r="P32" s="83"/>
      <c r="Q32" s="119"/>
      <c r="R32" s="119"/>
      <c r="S32" s="119"/>
      <c r="T32" s="119"/>
      <c r="U32" s="83"/>
      <c r="V32" s="119"/>
      <c r="W32" s="119"/>
      <c r="X32" s="119"/>
      <c r="Y32" s="119"/>
      <c r="Z32" s="83"/>
      <c r="AA32" s="119"/>
      <c r="AB32" s="119"/>
      <c r="AC32" s="119"/>
      <c r="AD32" s="119"/>
      <c r="AE32" s="83"/>
      <c r="AF32" s="204">
        <v>30</v>
      </c>
      <c r="AG32" s="204">
        <v>0</v>
      </c>
      <c r="AH32" s="204">
        <v>-80</v>
      </c>
      <c r="AI32" s="204"/>
      <c r="AJ32" s="83"/>
      <c r="AK32" s="204">
        <v>30</v>
      </c>
      <c r="AL32" s="204">
        <v>80</v>
      </c>
      <c r="AO32" s="83"/>
      <c r="AT32" s="83"/>
      <c r="AY32" s="83"/>
    </row>
    <row r="33" hidden="1" outlineLevel="1" spans="1:54">
      <c r="A33" s="29" t="s">
        <v>176</v>
      </c>
      <c r="B33" s="135"/>
      <c r="C33" s="135"/>
      <c r="D33" s="135"/>
      <c r="E33" s="135"/>
      <c r="F33" s="135"/>
      <c r="G33" s="119"/>
      <c r="H33" s="119"/>
      <c r="I33" s="119"/>
      <c r="J33" s="119"/>
      <c r="K33" s="83"/>
      <c r="L33" s="119"/>
      <c r="M33" s="119"/>
      <c r="N33" s="119"/>
      <c r="O33" s="119"/>
      <c r="P33" s="83"/>
      <c r="Q33" s="119"/>
      <c r="R33" s="119"/>
      <c r="S33" s="119"/>
      <c r="T33" s="119"/>
      <c r="U33" s="83"/>
      <c r="V33" s="119"/>
      <c r="W33" s="119"/>
      <c r="X33" s="119"/>
      <c r="Y33" s="119"/>
      <c r="Z33" s="83"/>
      <c r="AA33" s="119"/>
      <c r="AB33" s="119"/>
      <c r="AC33" s="119"/>
      <c r="AD33" s="119"/>
      <c r="AE33" s="83"/>
      <c r="AF33" s="200">
        <f>AF34-SUM(AF30:AF32)</f>
        <v>-9.9999999999999</v>
      </c>
      <c r="AG33" s="200">
        <f>AG34-SUM(AG30:AG32)</f>
        <v>-4.68958205601666e-13</v>
      </c>
      <c r="AH33" s="200">
        <f>AH34-SUM(AH30:AH32)</f>
        <v>20.0000000000001</v>
      </c>
      <c r="AI33" s="200"/>
      <c r="AJ33" s="83"/>
      <c r="AK33" s="200">
        <f>AK34-SUM(AK30:AK32)</f>
        <v>110</v>
      </c>
      <c r="AL33" s="200">
        <f>AL34-SUM(AL30:AL32)</f>
        <v>-30</v>
      </c>
      <c r="AO33" s="83"/>
      <c r="AT33" s="83"/>
      <c r="AY33" s="83"/>
    </row>
    <row r="34" s="157" customFormat="1" collapsed="1" spans="1:54">
      <c r="A34" s="197" t="s">
        <v>171</v>
      </c>
      <c r="B34" s="198"/>
      <c r="C34" s="199">
        <f>(ROUND(C29,3)-ROUND(B29,3))*10^4</f>
        <v>200</v>
      </c>
      <c r="D34" s="199">
        <f>(ROUND(D29,3)-ROUND(C29,3))*10^4</f>
        <v>-320</v>
      </c>
      <c r="E34" s="199">
        <f>(ROUND(E29,3)-ROUND(D29,3))*10^4</f>
        <v>-120</v>
      </c>
      <c r="F34" s="199">
        <f>(ROUND(F29,3)-ROUND(E29,3))*10^4</f>
        <v>-20</v>
      </c>
      <c r="G34" s="200"/>
      <c r="H34" s="200"/>
      <c r="I34" s="200"/>
      <c r="J34" s="200"/>
      <c r="K34" s="199">
        <f t="shared" ref="K34:L34" si="149">(ROUND(K29,3)-ROUND(F29,3))*10^4</f>
        <v>170</v>
      </c>
      <c r="L34" s="200">
        <f t="shared" si="149"/>
        <v>-2590</v>
      </c>
      <c r="M34" s="200">
        <f t="shared" ref="M34" si="150">(ROUND(M29,3)-ROUND(H29,3))*10^4</f>
        <v>-670</v>
      </c>
      <c r="N34" s="200">
        <f t="shared" ref="N34" si="151">(ROUND(N29,3)-ROUND(I29,3))*10^4</f>
        <v>-330</v>
      </c>
      <c r="O34" s="200">
        <f t="shared" ref="O34:P34" si="152">(ROUND(O29,3)-ROUND(J29,3))*10^4</f>
        <v>70.0000000000001</v>
      </c>
      <c r="P34" s="199">
        <f t="shared" si="152"/>
        <v>-600</v>
      </c>
      <c r="Q34" s="200">
        <f t="shared" ref="Q34:S34" si="153">(ROUND(Q29,3)-ROUND(L29,3))*10^4</f>
        <v>99.9999999999995</v>
      </c>
      <c r="R34" s="200">
        <f t="shared" si="153"/>
        <v>460</v>
      </c>
      <c r="S34" s="200">
        <f t="shared" si="153"/>
        <v>280</v>
      </c>
      <c r="T34" s="200">
        <f t="shared" ref="T34:U34" si="154">(ROUND(T29,3)-ROUND(O29,3))*10^4</f>
        <v>-110</v>
      </c>
      <c r="U34" s="199">
        <f t="shared" si="154"/>
        <v>160</v>
      </c>
      <c r="V34" s="1" t="s">
        <v>86</v>
      </c>
      <c r="W34" s="1" t="s">
        <v>86</v>
      </c>
      <c r="X34" s="1" t="s">
        <v>86</v>
      </c>
      <c r="Y34" s="1" t="s">
        <v>86</v>
      </c>
      <c r="Z34" s="5" t="s">
        <v>86</v>
      </c>
      <c r="AA34" s="200">
        <f t="shared" ref="AA34" si="155">(ROUND(AA29,3)-ROUND(V29,3))*10^4</f>
        <v>-300</v>
      </c>
      <c r="AB34" s="200">
        <f t="shared" ref="AB34" si="156">(ROUND(AB29,3)-ROUND(W29,3))*10^4</f>
        <v>-250</v>
      </c>
      <c r="AC34" s="200">
        <f t="shared" ref="AC34" si="157">(ROUND(AC29,3)-ROUND(X29,3))*10^4</f>
        <v>-40</v>
      </c>
      <c r="AD34" s="200">
        <f t="shared" ref="AD34" si="158">(ROUND(AD29,3)-ROUND(Y29,3))*10^4</f>
        <v>-110</v>
      </c>
      <c r="AE34" s="199">
        <f t="shared" ref="AE34:AF34" si="159">(ROUND(AE29,3)-ROUND(Z29,3))*10^4</f>
        <v>-150</v>
      </c>
      <c r="AF34" s="200">
        <f t="shared" si="159"/>
        <v>110</v>
      </c>
      <c r="AG34" s="200">
        <f t="shared" ref="AG34:AI34" si="160">(ROUND(AG29,3)-ROUND(AB29,3))*10^4</f>
        <v>89.9999999999995</v>
      </c>
      <c r="AH34" s="200">
        <f t="shared" si="160"/>
        <v>80.0000000000001</v>
      </c>
      <c r="AI34" s="200">
        <f t="shared" si="160"/>
        <v>120</v>
      </c>
      <c r="AJ34" s="205">
        <f t="shared" ref="AJ34:AK34" si="161">(ROUND(AJ29,3)-ROUND(AE29,3))*10^4</f>
        <v>99.9999999999995</v>
      </c>
      <c r="AK34" s="200">
        <f t="shared" si="161"/>
        <v>230</v>
      </c>
      <c r="AL34" s="200">
        <f t="shared" ref="AL34" si="162">(ROUND(AL29,3)-ROUND(AG29,3))*10^4</f>
        <v>50</v>
      </c>
      <c r="AM34" s="201">
        <v>50</v>
      </c>
      <c r="AN34" s="201">
        <v>-30</v>
      </c>
      <c r="AO34" s="205">
        <f t="shared" ref="AO34" si="163">(ROUND(AO29,3)-ROUND(AJ29,3))*10^4</f>
        <v>60.0000000000001</v>
      </c>
      <c r="AP34" s="201">
        <v>-70</v>
      </c>
      <c r="AQ34" s="201">
        <v>20</v>
      </c>
      <c r="AR34" s="201">
        <v>20</v>
      </c>
      <c r="AS34" s="201">
        <v>20</v>
      </c>
      <c r="AT34" s="205">
        <f t="shared" ref="AT34" si="164">(ROUND(AT29,3)-ROUND(AO29,3))*10^4</f>
        <v>0</v>
      </c>
      <c r="AU34" s="201">
        <v>10</v>
      </c>
      <c r="AV34" s="201">
        <v>10</v>
      </c>
      <c r="AW34" s="201">
        <v>10</v>
      </c>
      <c r="AX34" s="201">
        <v>10</v>
      </c>
      <c r="AY34" s="205">
        <f t="shared" ref="AY34" si="165">(ROUND(AY29,3)-ROUND(AT29,3))*10^4</f>
        <v>10</v>
      </c>
      <c r="BA34" s="1"/>
      <c r="BB34" s="1"/>
    </row>
    <row r="35" ht="5.1" customHeight="1" spans="1:54">
      <c r="A35" s="29"/>
      <c r="B35" s="135"/>
      <c r="C35" s="135"/>
      <c r="D35" s="135"/>
      <c r="E35" s="135"/>
      <c r="F35" s="135"/>
      <c r="G35" s="200"/>
      <c r="H35" s="200"/>
      <c r="I35" s="200"/>
      <c r="L35" s="200"/>
      <c r="M35" s="200"/>
      <c r="N35" s="200"/>
      <c r="Q35" s="200"/>
      <c r="R35" s="200"/>
      <c r="S35" s="200"/>
      <c r="T35" s="200"/>
      <c r="AA35" s="200"/>
      <c r="AB35" s="200"/>
      <c r="AC35" s="200"/>
      <c r="AD35" s="200"/>
      <c r="AE35" s="199"/>
      <c r="AF35" s="200"/>
      <c r="AG35" s="200"/>
      <c r="AJ35" s="199"/>
      <c r="AK35" s="200"/>
      <c r="AL35" s="200"/>
      <c r="AO35" s="199"/>
      <c r="AT35" s="199"/>
      <c r="AY35" s="199"/>
    </row>
    <row r="36" spans="1:54">
      <c r="A36" s="2" t="s">
        <v>177</v>
      </c>
      <c r="B36" s="202">
        <f t="shared" ref="B36:F36" si="166">B10/B$6</f>
        <v>0.128684051974036</v>
      </c>
      <c r="C36" s="202">
        <f t="shared" si="166"/>
        <v>0.138033630521171</v>
      </c>
      <c r="D36" s="202">
        <f t="shared" si="166"/>
        <v>0.130800042374216</v>
      </c>
      <c r="E36" s="202">
        <f t="shared" si="166"/>
        <v>0.134332411634299</v>
      </c>
      <c r="F36" s="202">
        <f t="shared" si="166"/>
        <v>0.12823782463119</v>
      </c>
      <c r="G36" s="203">
        <f t="shared" ref="G36:K36" si="167">G10/G$6</f>
        <v>0.22304520983437</v>
      </c>
      <c r="H36" s="203">
        <f t="shared" si="167"/>
        <v>0.139264070751853</v>
      </c>
      <c r="I36" s="203">
        <f t="shared" si="167"/>
        <v>0.147623445531219</v>
      </c>
      <c r="J36" s="203">
        <f t="shared" si="167"/>
        <v>0.122396269665004</v>
      </c>
      <c r="K36" s="202">
        <f t="shared" si="167"/>
        <v>0.14841152319203</v>
      </c>
      <c r="L36" s="203">
        <f t="shared" ref="L36:P36" si="168">L10/L$6</f>
        <v>0.15478145136005</v>
      </c>
      <c r="M36" s="203">
        <f t="shared" si="168"/>
        <v>0.143276868821183</v>
      </c>
      <c r="N36" s="203">
        <f t="shared" si="168"/>
        <v>0.161594635202616</v>
      </c>
      <c r="O36" s="203">
        <f t="shared" si="168"/>
        <v>0.125445062784528</v>
      </c>
      <c r="P36" s="202">
        <f t="shared" si="168"/>
        <v>0.144586195528511</v>
      </c>
      <c r="Q36" s="203">
        <f t="shared" ref="Q36:AF36" si="169">Q10/Q$6</f>
        <v>0.150288768421752</v>
      </c>
      <c r="R36" s="203">
        <f t="shared" si="169"/>
        <v>0.154228528203644</v>
      </c>
      <c r="S36" s="203">
        <f t="shared" si="169"/>
        <v>0.151350325650733</v>
      </c>
      <c r="T36" s="203">
        <f t="shared" si="169"/>
        <v>0.115087838614985</v>
      </c>
      <c r="U36" s="202">
        <f t="shared" si="169"/>
        <v>0.139977516063142</v>
      </c>
      <c r="V36" s="203">
        <f t="shared" si="169"/>
        <v>0.18472500998811</v>
      </c>
      <c r="W36" s="203">
        <f t="shared" si="169"/>
        <v>0.169922328124916</v>
      </c>
      <c r="X36" s="203">
        <f t="shared" si="169"/>
        <v>0.165106855061996</v>
      </c>
      <c r="Y36" s="203">
        <f t="shared" si="169"/>
        <v>0.133103495268451</v>
      </c>
      <c r="Z36" s="202">
        <f t="shared" si="169"/>
        <v>0.159128100531762</v>
      </c>
      <c r="AA36" s="203">
        <f t="shared" si="169"/>
        <v>0.18569847070234</v>
      </c>
      <c r="AB36" s="203">
        <f t="shared" si="169"/>
        <v>0.157099721863111</v>
      </c>
      <c r="AC36" s="203">
        <f t="shared" si="169"/>
        <v>0.15570826640286</v>
      </c>
      <c r="AD36" s="203">
        <f t="shared" si="169"/>
        <v>0.122747121773569</v>
      </c>
      <c r="AE36" s="202">
        <f t="shared" si="169"/>
        <v>0.151656422328232</v>
      </c>
      <c r="AF36" s="203">
        <f t="shared" si="169"/>
        <v>0.159412418174975</v>
      </c>
      <c r="AG36" s="203">
        <f t="shared" ref="AG36:AH36" si="170">AG10/AG$6</f>
        <v>0.141511385450453</v>
      </c>
      <c r="AH36" s="203">
        <f t="shared" si="170"/>
        <v>0.149852125220534</v>
      </c>
      <c r="AI36" s="203">
        <f t="shared" ref="AI36:AJ36" si="171">AI10/AI$6</f>
        <v>0.10888656259844</v>
      </c>
      <c r="AJ36" s="202">
        <f t="shared" si="171"/>
        <v>0.136940944406425</v>
      </c>
      <c r="AK36" s="203">
        <f t="shared" ref="AK36:AL36" si="172">AK10/AK$6</f>
        <v>0.164078429119221</v>
      </c>
      <c r="AL36" s="203">
        <f t="shared" si="172"/>
        <v>0.161668728472419</v>
      </c>
      <c r="AM36" s="203">
        <f t="shared" ref="AM36:AN36" si="173">AH36+AM40/10^4</f>
        <v>0.153852125220534</v>
      </c>
      <c r="AN36" s="203">
        <f t="shared" si="173"/>
        <v>0.10988656259844</v>
      </c>
      <c r="AO36" s="202">
        <f>AO10/AO$6</f>
        <v>0.143505202951523</v>
      </c>
      <c r="AP36" s="203">
        <f>AK36+AP40/10^4</f>
        <v>0.161078429119221</v>
      </c>
      <c r="AQ36" s="203">
        <f t="shared" ref="AQ36" si="174">AL36+AQ40/10^4</f>
        <v>0.158668728472419</v>
      </c>
      <c r="AR36" s="203">
        <f t="shared" ref="AR36:AS36" si="175">AM36+AR40/10^4</f>
        <v>0.153852125220534</v>
      </c>
      <c r="AS36" s="203">
        <f t="shared" si="175"/>
        <v>0.10988656259844</v>
      </c>
      <c r="AT36" s="202">
        <f>AT10/AT$6</f>
        <v>0.142271091886497</v>
      </c>
      <c r="AU36" s="203">
        <f>AP36+AU40/10^4</f>
        <v>0.160078429119221</v>
      </c>
      <c r="AV36" s="203">
        <f t="shared" ref="AV36" si="176">AQ36+AV40/10^4</f>
        <v>0.157668728472419</v>
      </c>
      <c r="AW36" s="203">
        <f t="shared" ref="AW36" si="177">AR36+AW40/10^4</f>
        <v>0.152852125220534</v>
      </c>
      <c r="AX36" s="203">
        <f t="shared" ref="AX36" si="178">AS36+AX40/10^4</f>
        <v>0.10888656259844</v>
      </c>
      <c r="AY36" s="202">
        <f>AY10/AY$6</f>
        <v>0.141251845609066</v>
      </c>
    </row>
    <row r="37" hidden="1" outlineLevel="1" spans="1:54">
      <c r="A37" s="29" t="s">
        <v>178</v>
      </c>
      <c r="B37" s="135"/>
      <c r="C37" s="135"/>
      <c r="D37" s="135"/>
      <c r="E37" s="135"/>
      <c r="F37" s="135"/>
      <c r="G37" s="119"/>
      <c r="H37" s="119"/>
      <c r="I37" s="119"/>
      <c r="J37" s="119"/>
      <c r="K37" s="83"/>
      <c r="L37" s="119"/>
      <c r="M37" s="119"/>
      <c r="N37" s="119"/>
      <c r="O37" s="119"/>
      <c r="P37" s="83"/>
      <c r="Q37" s="119"/>
      <c r="R37" s="119"/>
      <c r="S37" s="119"/>
      <c r="T37" s="119"/>
      <c r="U37" s="83"/>
      <c r="V37" s="119"/>
      <c r="W37" s="119"/>
      <c r="X37" s="119"/>
      <c r="Y37" s="119"/>
      <c r="Z37" s="83"/>
      <c r="AA37" s="119"/>
      <c r="AB37" s="119"/>
      <c r="AC37" s="119"/>
      <c r="AD37" s="119"/>
      <c r="AE37" s="83"/>
      <c r="AF37" s="204">
        <v>-210</v>
      </c>
      <c r="AG37" s="204">
        <v>-150</v>
      </c>
      <c r="AH37" s="204">
        <v>-110</v>
      </c>
      <c r="AI37" s="204"/>
      <c r="AJ37" s="83"/>
      <c r="AK37" s="204">
        <v>-210</v>
      </c>
      <c r="AL37" s="204">
        <v>120</v>
      </c>
      <c r="AO37" s="83"/>
      <c r="AT37" s="83"/>
      <c r="AY37" s="83"/>
      <c r="BA37" s="157"/>
      <c r="BB37" s="157"/>
    </row>
    <row r="38" hidden="1" outlineLevel="1" spans="1:54">
      <c r="A38" s="29" t="s">
        <v>179</v>
      </c>
      <c r="B38" s="135"/>
      <c r="C38" s="135"/>
      <c r="D38" s="135"/>
      <c r="E38" s="135"/>
      <c r="F38" s="135"/>
      <c r="G38" s="119"/>
      <c r="H38" s="119"/>
      <c r="I38" s="119"/>
      <c r="J38" s="119"/>
      <c r="K38" s="83"/>
      <c r="L38" s="119"/>
      <c r="M38" s="119"/>
      <c r="N38" s="119"/>
      <c r="O38" s="119"/>
      <c r="P38" s="83"/>
      <c r="Q38" s="119"/>
      <c r="R38" s="119"/>
      <c r="S38" s="119"/>
      <c r="T38" s="119"/>
      <c r="U38" s="83"/>
      <c r="V38" s="119"/>
      <c r="W38" s="119"/>
      <c r="X38" s="119"/>
      <c r="Y38" s="119"/>
      <c r="Z38" s="83"/>
      <c r="AA38" s="119"/>
      <c r="AB38" s="119"/>
      <c r="AC38" s="119"/>
      <c r="AD38" s="119"/>
      <c r="AE38" s="83"/>
      <c r="AF38" s="204">
        <v>-60</v>
      </c>
      <c r="AG38" s="204">
        <v>0</v>
      </c>
      <c r="AH38" s="204">
        <v>40</v>
      </c>
      <c r="AI38" s="204"/>
      <c r="AJ38" s="83"/>
      <c r="AK38" s="204">
        <v>-60</v>
      </c>
      <c r="AL38" s="204">
        <v>70</v>
      </c>
      <c r="AO38" s="83"/>
      <c r="AT38" s="83"/>
      <c r="AY38" s="83"/>
    </row>
    <row r="39" hidden="1" outlineLevel="1" spans="1:54">
      <c r="A39" s="29" t="s">
        <v>176</v>
      </c>
      <c r="B39" s="135"/>
      <c r="C39" s="135"/>
      <c r="D39" s="135"/>
      <c r="E39" s="135"/>
      <c r="F39" s="135"/>
      <c r="G39" s="119"/>
      <c r="H39" s="119"/>
      <c r="I39" s="119"/>
      <c r="J39" s="119"/>
      <c r="K39" s="83"/>
      <c r="L39" s="119"/>
      <c r="M39" s="119"/>
      <c r="N39" s="119"/>
      <c r="O39" s="119"/>
      <c r="P39" s="83"/>
      <c r="Q39" s="119"/>
      <c r="R39" s="119"/>
      <c r="S39" s="119"/>
      <c r="T39" s="119"/>
      <c r="U39" s="83"/>
      <c r="V39" s="119"/>
      <c r="W39" s="119"/>
      <c r="X39" s="119"/>
      <c r="Y39" s="119"/>
      <c r="Z39" s="83"/>
      <c r="AA39" s="119"/>
      <c r="AB39" s="119"/>
      <c r="AC39" s="119"/>
      <c r="AD39" s="119"/>
      <c r="AE39" s="83"/>
      <c r="AF39" s="206">
        <f>AF40-SUM(AF37:AF38)</f>
        <v>0</v>
      </c>
      <c r="AG39" s="206">
        <f t="shared" ref="AG39:AH39" si="179">AG40-SUM(AG37:AG38)</f>
        <v>0</v>
      </c>
      <c r="AH39" s="206">
        <f t="shared" si="179"/>
        <v>9.99999999999994</v>
      </c>
      <c r="AI39" s="206"/>
      <c r="AJ39" s="83"/>
      <c r="AK39" s="206">
        <f>AK40-SUM(AK37:AK38)</f>
        <v>320</v>
      </c>
      <c r="AL39" s="206">
        <f>AL40-SUM(AL37:AL38)</f>
        <v>10.0000000000002</v>
      </c>
      <c r="AO39" s="83"/>
      <c r="AT39" s="83"/>
      <c r="AY39" s="83"/>
    </row>
    <row r="40" s="157" customFormat="1" collapsed="1" spans="1:54">
      <c r="A40" s="197" t="s">
        <v>171</v>
      </c>
      <c r="B40" s="198"/>
      <c r="C40" s="199">
        <f>(ROUND(C36,3)-ROUND(B36,3))*10^4</f>
        <v>90.0000000000001</v>
      </c>
      <c r="D40" s="199">
        <f>(ROUND(D36,3)-ROUND(C36,3))*10^4</f>
        <v>-70.0000000000001</v>
      </c>
      <c r="E40" s="199">
        <f>(ROUND(E36,3)-ROUND(D36,3))*10^4</f>
        <v>30</v>
      </c>
      <c r="F40" s="199">
        <f>(ROUND(F36,3)-ROUND(E36,3))*10^4</f>
        <v>-60.0000000000001</v>
      </c>
      <c r="G40" s="200"/>
      <c r="H40" s="200"/>
      <c r="I40" s="200"/>
      <c r="J40" s="1"/>
      <c r="K40" s="199">
        <f t="shared" ref="K40:L40" si="180">(ROUND(K36,3)-ROUND(F36,3))*10^4</f>
        <v>200</v>
      </c>
      <c r="L40" s="200">
        <f t="shared" si="180"/>
        <v>-680</v>
      </c>
      <c r="M40" s="200">
        <f t="shared" ref="M40" si="181">(ROUND(M36,3)-ROUND(H36,3))*10^4</f>
        <v>39.9999999999998</v>
      </c>
      <c r="N40" s="200">
        <f t="shared" ref="N40" si="182">(ROUND(N36,3)-ROUND(I36,3))*10^4</f>
        <v>140</v>
      </c>
      <c r="O40" s="200">
        <f t="shared" ref="O40:Q40" si="183">(ROUND(O36,3)-ROUND(J36,3))*10^4</f>
        <v>30</v>
      </c>
      <c r="P40" s="199">
        <f t="shared" si="183"/>
        <v>-30</v>
      </c>
      <c r="Q40" s="200">
        <f t="shared" si="183"/>
        <v>-50</v>
      </c>
      <c r="R40" s="200">
        <f t="shared" ref="R40:S40" si="184">(ROUND(R36,3)-ROUND(M36,3))*10^4</f>
        <v>110</v>
      </c>
      <c r="S40" s="200">
        <f t="shared" si="184"/>
        <v>-110</v>
      </c>
      <c r="T40" s="200">
        <f t="shared" ref="T40:U40" si="185">(ROUND(T36,3)-ROUND(O36,3))*10^4</f>
        <v>-99.9999999999999</v>
      </c>
      <c r="U40" s="199">
        <f t="shared" si="185"/>
        <v>-49.9999999999998</v>
      </c>
      <c r="V40" s="1" t="s">
        <v>86</v>
      </c>
      <c r="W40" s="1" t="s">
        <v>86</v>
      </c>
      <c r="X40" s="1" t="s">
        <v>86</v>
      </c>
      <c r="Y40" s="1" t="s">
        <v>86</v>
      </c>
      <c r="Z40" s="5" t="s">
        <v>86</v>
      </c>
      <c r="AA40" s="200">
        <f t="shared" ref="AA40" si="186">(ROUND(AA36,3)-ROUND(V36,3))*10^4</f>
        <v>10</v>
      </c>
      <c r="AB40" s="200">
        <f t="shared" ref="AB40" si="187">(ROUND(AB36,3)-ROUND(W36,3))*10^4</f>
        <v>-130</v>
      </c>
      <c r="AC40" s="200">
        <f t="shared" ref="AC40" si="188">(ROUND(AC36,3)-ROUND(X36,3))*10^4</f>
        <v>-90.0000000000001</v>
      </c>
      <c r="AD40" s="200">
        <f t="shared" ref="AD40" si="189">(ROUND(AD36,3)-ROUND(Y36,3))*10^4</f>
        <v>-100</v>
      </c>
      <c r="AE40" s="199">
        <f t="shared" ref="AE40:AF40" si="190">(ROUND(AE36,3)-ROUND(Z36,3))*10^4</f>
        <v>-70.0000000000001</v>
      </c>
      <c r="AF40" s="200">
        <f t="shared" si="190"/>
        <v>-270</v>
      </c>
      <c r="AG40" s="200">
        <f t="shared" ref="AG40:AI40" si="191">(ROUND(AG36,3)-ROUND(AB36,3))*10^4</f>
        <v>-150</v>
      </c>
      <c r="AH40" s="200">
        <f t="shared" si="191"/>
        <v>-60.0000000000001</v>
      </c>
      <c r="AI40" s="200">
        <f t="shared" si="191"/>
        <v>-140</v>
      </c>
      <c r="AJ40" s="205">
        <f t="shared" ref="AJ40:AK40" si="192">(ROUND(AJ36,3)-ROUND(AE36,3))*10^4</f>
        <v>-150</v>
      </c>
      <c r="AK40" s="200">
        <f t="shared" si="192"/>
        <v>50</v>
      </c>
      <c r="AL40" s="200">
        <f t="shared" ref="AL40" si="193">(ROUND(AL36,3)-ROUND(AG36,3))*10^4</f>
        <v>200</v>
      </c>
      <c r="AM40" s="201">
        <v>40</v>
      </c>
      <c r="AN40" s="201">
        <v>10</v>
      </c>
      <c r="AO40" s="205">
        <f t="shared" ref="AO40" si="194">(ROUND(AO36,3)-ROUND(AJ36,3))*10^4</f>
        <v>69.9999999999998</v>
      </c>
      <c r="AP40" s="201">
        <v>-30</v>
      </c>
      <c r="AQ40" s="201">
        <v>-30</v>
      </c>
      <c r="AR40" s="201">
        <v>0</v>
      </c>
      <c r="AS40" s="201">
        <v>0</v>
      </c>
      <c r="AT40" s="205">
        <f t="shared" ref="AT40" si="195">(ROUND(AT36,3)-ROUND(AO36,3))*10^4</f>
        <v>-20</v>
      </c>
      <c r="AU40" s="201">
        <v>-10</v>
      </c>
      <c r="AV40" s="201">
        <v>-10</v>
      </c>
      <c r="AW40" s="201">
        <v>-10</v>
      </c>
      <c r="AX40" s="201">
        <v>-10</v>
      </c>
      <c r="AY40" s="205">
        <f t="shared" ref="AY40" si="196">(ROUND(AY36,3)-ROUND(AT36,3))*10^4</f>
        <v>-10</v>
      </c>
      <c r="BA40" s="1"/>
      <c r="BB40" s="1"/>
    </row>
    <row r="41" ht="5.1" customHeight="1" spans="1:54">
      <c r="A41" s="29"/>
      <c r="B41" s="135"/>
      <c r="C41" s="135"/>
      <c r="D41" s="135"/>
      <c r="E41" s="135"/>
      <c r="F41" s="135"/>
      <c r="G41" s="200"/>
      <c r="H41" s="200"/>
      <c r="I41" s="200"/>
      <c r="L41" s="200"/>
      <c r="M41" s="200"/>
      <c r="N41" s="200"/>
      <c r="Q41" s="200"/>
      <c r="R41" s="200"/>
      <c r="S41" s="200"/>
      <c r="T41" s="200"/>
      <c r="AA41" s="200"/>
      <c r="AB41" s="200"/>
      <c r="AC41" s="200"/>
      <c r="AD41" s="200"/>
      <c r="AE41" s="199"/>
      <c r="AF41" s="200"/>
      <c r="AG41" s="200"/>
      <c r="AJ41" s="199"/>
      <c r="AK41" s="200"/>
      <c r="AO41" s="199"/>
      <c r="AT41" s="199"/>
      <c r="AY41" s="199"/>
    </row>
    <row r="42" spans="1:54">
      <c r="A42" s="207" t="s">
        <v>92</v>
      </c>
      <c r="B42" s="208">
        <f t="shared" ref="B42:F42" si="197">B12/B$6</f>
        <v>0.0387915354621619</v>
      </c>
      <c r="C42" s="208">
        <f t="shared" si="197"/>
        <v>0.000980539507145133</v>
      </c>
      <c r="D42" s="208">
        <f t="shared" si="197"/>
        <v>0.0288548368163221</v>
      </c>
      <c r="E42" s="208">
        <f t="shared" si="197"/>
        <v>0.0386149835562096</v>
      </c>
      <c r="F42" s="208">
        <f t="shared" si="197"/>
        <v>0.0228590481064003</v>
      </c>
      <c r="G42" s="209">
        <f t="shared" ref="G42:K42" si="198">G12/G$6</f>
        <v>-0.342424885497127</v>
      </c>
      <c r="H42" s="209">
        <f t="shared" si="198"/>
        <v>0.0318274507108408</v>
      </c>
      <c r="I42" s="209">
        <f t="shared" si="198"/>
        <v>0.0792347493390496</v>
      </c>
      <c r="J42" s="209">
        <f t="shared" si="198"/>
        <v>0.117193265148247</v>
      </c>
      <c r="K42" s="208">
        <f t="shared" si="198"/>
        <v>0.0167876971277769</v>
      </c>
      <c r="L42" s="209">
        <f t="shared" ref="L42:P42" si="199">L12/L$6</f>
        <v>0.0769089012739872</v>
      </c>
      <c r="M42" s="209">
        <f t="shared" si="199"/>
        <v>0.133633578077123</v>
      </c>
      <c r="N42" s="209">
        <f t="shared" si="199"/>
        <v>0.0878076804100932</v>
      </c>
      <c r="O42" s="209">
        <f t="shared" si="199"/>
        <v>0.0861357399515909</v>
      </c>
      <c r="P42" s="208">
        <f t="shared" si="199"/>
        <v>0.095665551954768</v>
      </c>
      <c r="Q42" s="209">
        <f t="shared" ref="Q42:AJ42" si="200">Q12/Q$6</f>
        <v>-0.00775626813261447</v>
      </c>
      <c r="R42" s="209">
        <f t="shared" si="200"/>
        <v>-2.60840078947597e-5</v>
      </c>
      <c r="S42" s="209">
        <f t="shared" si="200"/>
        <v>0.0241874639238982</v>
      </c>
      <c r="T42" s="209">
        <f t="shared" si="200"/>
        <v>0.0764426819490354</v>
      </c>
      <c r="U42" s="208">
        <f t="shared" si="200"/>
        <v>0.0288496981002777</v>
      </c>
      <c r="V42" s="209">
        <f t="shared" si="200"/>
        <v>0.0459859759759041</v>
      </c>
      <c r="W42" s="209">
        <f t="shared" si="200"/>
        <v>0.0960522587922104</v>
      </c>
      <c r="X42" s="209">
        <f t="shared" si="200"/>
        <v>0.130647434617121</v>
      </c>
      <c r="Y42" s="209">
        <f t="shared" si="200"/>
        <v>0.153348424916392</v>
      </c>
      <c r="Z42" s="208">
        <f t="shared" si="200"/>
        <v>0.114259263195985</v>
      </c>
      <c r="AA42" s="209">
        <f t="shared" si="200"/>
        <v>0.12721189736757</v>
      </c>
      <c r="AB42" s="209">
        <f t="shared" si="200"/>
        <v>0.154875684980432</v>
      </c>
      <c r="AC42" s="209">
        <f t="shared" si="200"/>
        <v>0.148293665826831</v>
      </c>
      <c r="AD42" s="209">
        <f t="shared" si="200"/>
        <v>0.161563034531146</v>
      </c>
      <c r="AE42" s="208">
        <f t="shared" si="200"/>
        <v>0.149703339559353</v>
      </c>
      <c r="AF42" s="209">
        <f t="shared" si="200"/>
        <v>0.0925289184196641</v>
      </c>
      <c r="AG42" s="209">
        <f t="shared" ref="AG42" si="201">AG12/AG$6</f>
        <v>0.139077910902231</v>
      </c>
      <c r="AH42" s="209">
        <f t="shared" si="200"/>
        <v>0.120113681884429</v>
      </c>
      <c r="AI42" s="209">
        <f t="shared" ref="AI42" si="202">AI12/AI$6</f>
        <v>0.141292799984669</v>
      </c>
      <c r="AJ42" s="208">
        <f t="shared" si="200"/>
        <v>0.125433416908899</v>
      </c>
      <c r="AK42" s="209">
        <f t="shared" ref="AK42:AM42" si="203">AK12/AK$6</f>
        <v>0.0797228639072167</v>
      </c>
      <c r="AL42" s="209">
        <f t="shared" si="203"/>
        <v>0.120550506083182</v>
      </c>
      <c r="AM42" s="209">
        <f t="shared" si="203"/>
        <v>0.123870485529364</v>
      </c>
      <c r="AN42" s="209">
        <f t="shared" ref="AN42:AO42" si="204">AN12/AN$6</f>
        <v>0.161173104703096</v>
      </c>
      <c r="AO42" s="208">
        <f t="shared" si="204"/>
        <v>0.126268369947185</v>
      </c>
      <c r="AP42" s="209">
        <f t="shared" ref="AP42:AT42" si="205">AP12/AP$6</f>
        <v>0.0891013049723658</v>
      </c>
      <c r="AQ42" s="209">
        <f t="shared" si="205"/>
        <v>0.122562773073374</v>
      </c>
      <c r="AR42" s="209">
        <f t="shared" si="205"/>
        <v>0.123028720908696</v>
      </c>
      <c r="AS42" s="209">
        <f t="shared" si="205"/>
        <v>0.160294190393475</v>
      </c>
      <c r="AT42" s="208">
        <f t="shared" si="205"/>
        <v>0.128040944024509</v>
      </c>
      <c r="AU42" s="209">
        <f t="shared" ref="AU42:AY42" si="206">AU12/AU$6</f>
        <v>0.0910783505248431</v>
      </c>
      <c r="AV42" s="209">
        <f t="shared" si="206"/>
        <v>0.122542352956397</v>
      </c>
      <c r="AW42" s="209">
        <f t="shared" si="206"/>
        <v>0.123008065892298</v>
      </c>
      <c r="AX42" s="209">
        <f t="shared" si="206"/>
        <v>0.162278362891026</v>
      </c>
      <c r="AY42" s="208">
        <f t="shared" si="206"/>
        <v>0.129094192125371</v>
      </c>
    </row>
    <row r="43" spans="1:54">
      <c r="A43" s="29" t="s">
        <v>171</v>
      </c>
      <c r="B43" s="135"/>
      <c r="C43" s="199">
        <f>(ROUND(C42,3)-ROUND(B42,3))*10^4</f>
        <v>-380</v>
      </c>
      <c r="D43" s="199">
        <f>(ROUND(D42,3)-ROUND(C42,3))*10^4</f>
        <v>280</v>
      </c>
      <c r="E43" s="199">
        <f>(ROUND(E42,3)-ROUND(D42,3))*10^4</f>
        <v>100</v>
      </c>
      <c r="F43" s="199">
        <f>(ROUND(F42,3)-ROUND(E42,3))*10^4</f>
        <v>-160</v>
      </c>
      <c r="G43" s="200"/>
      <c r="H43" s="200"/>
      <c r="I43" s="200"/>
      <c r="K43" s="199">
        <f>(ROUND(K42,3)-ROUND(J42,3))*10^4</f>
        <v>-1000</v>
      </c>
      <c r="L43" s="200">
        <f t="shared" ref="L43" si="207">(ROUND(L42,3)-ROUND(G42,3))*10^4</f>
        <v>4190</v>
      </c>
      <c r="M43" s="200">
        <f t="shared" ref="M43" si="208">(ROUND(M42,3)-ROUND(H42,3))*10^4</f>
        <v>1020</v>
      </c>
      <c r="N43" s="200">
        <f t="shared" ref="N43" si="209">(ROUND(N42,3)-ROUND(I42,3))*10^4</f>
        <v>89.9999999999999</v>
      </c>
      <c r="O43" s="200">
        <f t="shared" ref="O43" si="210">(ROUND(O42,3)-ROUND(J42,3))*10^4</f>
        <v>-310</v>
      </c>
      <c r="P43" s="199">
        <f>(ROUND(P42,3)-ROUND(O42,3))*10^4</f>
        <v>100</v>
      </c>
      <c r="Q43" s="200">
        <f t="shared" ref="Q43:S43" si="211">(ROUND(Q42,3)-ROUND(L42,3))*10^4</f>
        <v>-850</v>
      </c>
      <c r="R43" s="200">
        <f t="shared" si="211"/>
        <v>-1340</v>
      </c>
      <c r="S43" s="200">
        <f t="shared" si="211"/>
        <v>-640</v>
      </c>
      <c r="T43" s="200">
        <f t="shared" ref="T43:U43" si="212">(ROUND(T42,3)-ROUND(O42,3))*10^4</f>
        <v>-99.9999999999999</v>
      </c>
      <c r="U43" s="199">
        <f t="shared" si="212"/>
        <v>-670</v>
      </c>
      <c r="V43" s="200">
        <f t="shared" ref="V43" si="213">(ROUND(V42,3)-ROUND(Q42,3))*10^4</f>
        <v>540</v>
      </c>
      <c r="W43" s="200">
        <f t="shared" ref="W43" si="214">(ROUND(W42,3)-ROUND(R42,3))*10^4</f>
        <v>960</v>
      </c>
      <c r="X43" s="200">
        <f t="shared" ref="X43" si="215">(ROUND(X42,3)-ROUND(S42,3))*10^4</f>
        <v>1070</v>
      </c>
      <c r="Y43" s="200">
        <f t="shared" ref="Y43" si="216">(ROUND(Y42,3)-ROUND(T42,3))*10^4</f>
        <v>770</v>
      </c>
      <c r="Z43" s="199">
        <f t="shared" ref="Z43" si="217">(ROUND(Z42,3)-ROUND(U42,3))*10^4</f>
        <v>850</v>
      </c>
      <c r="AA43" s="200">
        <f t="shared" ref="AA43" si="218">(ROUND(AA42,3)-ROUND(V42,3))*10^4</f>
        <v>810</v>
      </c>
      <c r="AB43" s="200">
        <f t="shared" ref="AB43" si="219">(ROUND(AB42,3)-ROUND(W42,3))*10^4</f>
        <v>590</v>
      </c>
      <c r="AC43" s="200">
        <f t="shared" ref="AC43" si="220">(ROUND(AC42,3)-ROUND(X42,3))*10^4</f>
        <v>170</v>
      </c>
      <c r="AD43" s="200">
        <f t="shared" ref="AD43" si="221">(ROUND(AD42,3)-ROUND(Y42,3))*10^4</f>
        <v>90.0000000000001</v>
      </c>
      <c r="AE43" s="199">
        <f t="shared" ref="AE43:AF43" si="222">(ROUND(AE42,3)-ROUND(Z42,3))*10^4</f>
        <v>360</v>
      </c>
      <c r="AF43" s="200">
        <f t="shared" si="222"/>
        <v>-340</v>
      </c>
      <c r="AG43" s="200">
        <f t="shared" ref="AG43" si="223">(ROUND(AG42,3)-ROUND(AB42,3))*10^4</f>
        <v>-160</v>
      </c>
      <c r="AH43" s="200">
        <f t="shared" ref="AH43:AI43" si="224">(ROUND(AH42,3)-ROUND(AC42,3))*10^4</f>
        <v>-280</v>
      </c>
      <c r="AI43" s="200">
        <f t="shared" si="224"/>
        <v>-210</v>
      </c>
      <c r="AJ43" s="199">
        <f t="shared" ref="AJ43:AK43" si="225">(ROUND(AJ42,3)-ROUND(AE42,3))*10^4</f>
        <v>-250</v>
      </c>
      <c r="AK43" s="200">
        <f t="shared" si="225"/>
        <v>-130</v>
      </c>
      <c r="AL43" s="200">
        <f t="shared" ref="AL43" si="226">(ROUND(AL42,3)-ROUND(AG42,3))*10^4</f>
        <v>-180</v>
      </c>
      <c r="AM43" s="200">
        <f t="shared" ref="AM43:AO43" si="227">(ROUND(AM42,3)-ROUND(AH42,3))*10^4</f>
        <v>40</v>
      </c>
      <c r="AN43" s="200">
        <f t="shared" si="227"/>
        <v>200</v>
      </c>
      <c r="AO43" s="199">
        <f t="shared" si="227"/>
        <v>10</v>
      </c>
      <c r="AP43" s="200">
        <f t="shared" ref="AP43" si="228">(ROUND(AP42,3)-ROUND(AK42,3))*10^4</f>
        <v>89.9999999999999</v>
      </c>
      <c r="AQ43" s="200">
        <f t="shared" ref="AQ43" si="229">(ROUND(AQ42,3)-ROUND(AL42,3))*10^4</f>
        <v>20</v>
      </c>
      <c r="AR43" s="200">
        <f t="shared" ref="AR43:AT43" si="230">(ROUND(AR42,3)-ROUND(AM42,3))*10^4</f>
        <v>-10</v>
      </c>
      <c r="AS43" s="200">
        <f t="shared" si="230"/>
        <v>-10</v>
      </c>
      <c r="AT43" s="199">
        <f t="shared" si="230"/>
        <v>20</v>
      </c>
      <c r="AU43" s="200">
        <f t="shared" ref="AU43" si="231">(ROUND(AU42,3)-ROUND(AP42,3))*10^4</f>
        <v>20</v>
      </c>
      <c r="AV43" s="200">
        <f t="shared" ref="AV43" si="232">(ROUND(AV42,3)-ROUND(AQ42,3))*10^4</f>
        <v>0</v>
      </c>
      <c r="AW43" s="200">
        <f t="shared" ref="AW43" si="233">(ROUND(AW42,3)-ROUND(AR42,3))*10^4</f>
        <v>0</v>
      </c>
      <c r="AX43" s="200">
        <f t="shared" ref="AX43" si="234">(ROUND(AX42,3)-ROUND(AS42,3))*10^4</f>
        <v>20</v>
      </c>
      <c r="AY43" s="199">
        <f t="shared" ref="AY43" si="235">(ROUND(AY42,3)-ROUND(AT42,3))*10^4</f>
        <v>10</v>
      </c>
    </row>
    <row r="44" spans="1:54">
      <c r="A44" s="29"/>
      <c r="B44" s="135"/>
      <c r="C44" s="135"/>
      <c r="D44" s="135"/>
      <c r="E44" s="135"/>
      <c r="F44" s="135"/>
      <c r="G44" s="200"/>
      <c r="H44" s="200"/>
      <c r="I44" s="200"/>
      <c r="L44" s="200"/>
      <c r="M44" s="200"/>
      <c r="N44" s="200"/>
      <c r="Q44" s="200"/>
      <c r="R44" s="200"/>
      <c r="S44" s="200"/>
      <c r="T44" s="200"/>
      <c r="U44" s="199"/>
      <c r="V44" s="200"/>
      <c r="W44" s="200"/>
      <c r="X44" s="200"/>
      <c r="Y44" s="200"/>
      <c r="Z44" s="199"/>
      <c r="AA44" s="200"/>
      <c r="AB44" s="200"/>
      <c r="AC44" s="200"/>
      <c r="AD44" s="200"/>
      <c r="AE44" s="199"/>
      <c r="AF44" s="200"/>
      <c r="AG44" s="200"/>
      <c r="AJ44" s="199"/>
      <c r="AK44" s="200"/>
      <c r="AO44" s="199"/>
      <c r="AT44" s="199"/>
      <c r="AY44" s="199"/>
    </row>
    <row r="45" spans="1:54">
      <c r="A45" s="210" t="s">
        <v>180</v>
      </c>
      <c r="B45" s="83">
        <f t="shared" ref="B45:F45" si="236">B15/B$14</f>
        <v>0.314739485991188</v>
      </c>
      <c r="C45" s="83">
        <f t="shared" si="236"/>
        <v>0.980005193456245</v>
      </c>
      <c r="D45" s="83">
        <f t="shared" si="236"/>
        <v>0.422638630620321</v>
      </c>
      <c r="E45" s="83">
        <f t="shared" si="236"/>
        <v>0.341424239812588</v>
      </c>
      <c r="F45" s="83">
        <f t="shared" si="236"/>
        <v>0.284804816003623</v>
      </c>
      <c r="G45" s="211">
        <f t="shared" ref="G45:K45" si="237">G15/G$14</f>
        <v>-0.212095299876157</v>
      </c>
      <c r="H45" s="211">
        <f t="shared" si="237"/>
        <v>0.0057509254362771</v>
      </c>
      <c r="I45" s="211">
        <f t="shared" si="237"/>
        <v>0.109517786842902</v>
      </c>
      <c r="J45" s="211">
        <f t="shared" si="237"/>
        <v>0.182123935705598</v>
      </c>
      <c r="K45" s="83">
        <f t="shared" si="237"/>
        <v>2.66636356121352</v>
      </c>
      <c r="L45" s="211">
        <f t="shared" ref="L45:AF45" si="238">L15/L$14</f>
        <v>0.127595113709192</v>
      </c>
      <c r="M45" s="211">
        <f t="shared" si="238"/>
        <v>-0.0644307656906173</v>
      </c>
      <c r="N45" s="211">
        <f t="shared" si="238"/>
        <v>0.245921617504501</v>
      </c>
      <c r="O45" s="211">
        <f t="shared" si="238"/>
        <v>0.254858984689766</v>
      </c>
      <c r="P45" s="83">
        <f t="shared" si="238"/>
        <v>0.128721104792042</v>
      </c>
      <c r="Q45" s="211">
        <f t="shared" si="238"/>
        <v>0.0932334141503196</v>
      </c>
      <c r="R45" s="211">
        <f t="shared" si="238"/>
        <v>-0.9001153070049</v>
      </c>
      <c r="S45" s="211">
        <f t="shared" si="238"/>
        <v>0.853487707261292</v>
      </c>
      <c r="T45" s="211">
        <f t="shared" si="238"/>
        <v>0.496723893886124</v>
      </c>
      <c r="U45" s="83">
        <f t="shared" si="238"/>
        <v>0.7456537564623</v>
      </c>
      <c r="V45" s="211">
        <f t="shared" si="238"/>
        <v>0.397274363589612</v>
      </c>
      <c r="W45" s="211">
        <f t="shared" si="238"/>
        <v>0.33843033410333</v>
      </c>
      <c r="X45" s="211">
        <f t="shared" si="238"/>
        <v>0.288440396362551</v>
      </c>
      <c r="Y45" s="211">
        <f t="shared" si="238"/>
        <v>0.292395888244597</v>
      </c>
      <c r="Z45" s="83">
        <f t="shared" si="238"/>
        <v>0.307154183760115</v>
      </c>
      <c r="AA45" s="211">
        <f t="shared" si="238"/>
        <v>0.14676137374696</v>
      </c>
      <c r="AB45" s="211">
        <f t="shared" si="238"/>
        <v>0.251338288318181</v>
      </c>
      <c r="AC45" s="211">
        <f t="shared" si="238"/>
        <v>0.288014254181847</v>
      </c>
      <c r="AD45" s="211">
        <f t="shared" si="238"/>
        <v>0.284067149251591</v>
      </c>
      <c r="AE45" s="83">
        <f t="shared" si="238"/>
        <v>0.253241608634056</v>
      </c>
      <c r="AF45" s="211">
        <f t="shared" si="238"/>
        <v>0.245365412312124</v>
      </c>
      <c r="AG45" s="211">
        <f t="shared" ref="AG45:AH45" si="239">AG15/AG$14</f>
        <v>0.328638938073852</v>
      </c>
      <c r="AH45" s="211">
        <f t="shared" si="239"/>
        <v>0.284924392092544</v>
      </c>
      <c r="AI45" s="211">
        <f t="shared" ref="AI45:AJ45" si="240">AI15/AI$14</f>
        <v>0.278896856767975</v>
      </c>
      <c r="AJ45" s="83">
        <f t="shared" si="240"/>
        <v>0.287431214984506</v>
      </c>
      <c r="AK45" s="211">
        <f t="shared" ref="AK45:AL45" si="241">AK15/AK$14</f>
        <v>0.275976786701246</v>
      </c>
      <c r="AL45" s="211">
        <f t="shared" si="241"/>
        <v>0.310146812800957</v>
      </c>
      <c r="AM45" s="134">
        <v>0.29</v>
      </c>
      <c r="AN45" s="134">
        <v>0.28</v>
      </c>
      <c r="AO45" s="83">
        <f>AO15/AO$14</f>
        <v>0.288487572292453</v>
      </c>
      <c r="AP45" s="134">
        <v>0.3</v>
      </c>
      <c r="AQ45" s="134">
        <v>0.3</v>
      </c>
      <c r="AR45" s="134">
        <v>0.3</v>
      </c>
      <c r="AS45" s="134">
        <v>0.3</v>
      </c>
      <c r="AT45" s="83">
        <f>AT15/AT$14</f>
        <v>0.3</v>
      </c>
      <c r="AU45" s="134">
        <v>0.3</v>
      </c>
      <c r="AV45" s="134">
        <v>0.3</v>
      </c>
      <c r="AW45" s="134">
        <v>0.3</v>
      </c>
      <c r="AX45" s="134">
        <v>0.3</v>
      </c>
      <c r="AY45" s="83">
        <f>AY15/AY$14</f>
        <v>0.3</v>
      </c>
    </row>
    <row r="46" spans="1:54">
      <c r="A46" s="212" t="s">
        <v>181</v>
      </c>
      <c r="B46" s="213">
        <f t="shared" ref="B46:F46" si="242">B16/B$14</f>
        <v>0.0252268556496148</v>
      </c>
      <c r="C46" s="213">
        <f t="shared" si="242"/>
        <v>-0.244222279927292</v>
      </c>
      <c r="D46" s="213">
        <f t="shared" si="242"/>
        <v>0.0408978210079626</v>
      </c>
      <c r="E46" s="213">
        <f t="shared" si="242"/>
        <v>0.0334317927181842</v>
      </c>
      <c r="F46" s="213">
        <f t="shared" si="242"/>
        <v>0.0746107640877429</v>
      </c>
      <c r="G46" s="214">
        <f t="shared" ref="G46:K46" si="243">G16/G$14</f>
        <v>-0.000689980539010438</v>
      </c>
      <c r="H46" s="214">
        <f t="shared" si="243"/>
        <v>0.0216816499206769</v>
      </c>
      <c r="I46" s="214">
        <f t="shared" si="243"/>
        <v>0.031316244188325</v>
      </c>
      <c r="J46" s="214">
        <f t="shared" si="243"/>
        <v>0.0233797826921036</v>
      </c>
      <c r="K46" s="213">
        <f t="shared" si="243"/>
        <v>0.209432090600975</v>
      </c>
      <c r="L46" s="214">
        <f t="shared" ref="L46:AF46" si="244">L16/L$14</f>
        <v>0.018216775747218</v>
      </c>
      <c r="M46" s="214">
        <f t="shared" si="244"/>
        <v>0.018753955013519</v>
      </c>
      <c r="N46" s="214">
        <f t="shared" si="244"/>
        <v>0.0255504777731616</v>
      </c>
      <c r="O46" s="214">
        <f t="shared" si="244"/>
        <v>0.0248939027665861</v>
      </c>
      <c r="P46" s="213">
        <f t="shared" si="244"/>
        <v>0.0219762422369921</v>
      </c>
      <c r="Q46" s="214">
        <f t="shared" si="244"/>
        <v>-0.119241789728896</v>
      </c>
      <c r="R46" s="214">
        <f t="shared" si="244"/>
        <v>-0.301527817814932</v>
      </c>
      <c r="S46" s="214">
        <f t="shared" si="244"/>
        <v>0.106918238993711</v>
      </c>
      <c r="T46" s="214">
        <f t="shared" si="244"/>
        <v>0.0269165791516369</v>
      </c>
      <c r="U46" s="213">
        <f t="shared" si="244"/>
        <v>0.0933902550372006</v>
      </c>
      <c r="V46" s="214">
        <f t="shared" si="244"/>
        <v>0.0364561012542499</v>
      </c>
      <c r="W46" s="214">
        <f t="shared" si="244"/>
        <v>0.02069975773283</v>
      </c>
      <c r="X46" s="214">
        <f t="shared" si="244"/>
        <v>0.0110739794246773</v>
      </c>
      <c r="Y46" s="214">
        <f t="shared" si="244"/>
        <v>0.011667545246881</v>
      </c>
      <c r="Z46" s="213">
        <f t="shared" si="244"/>
        <v>0.0149160588048738</v>
      </c>
      <c r="AA46" s="214">
        <f t="shared" si="244"/>
        <v>0.00910492911797853</v>
      </c>
      <c r="AB46" s="214">
        <f t="shared" si="244"/>
        <v>0.0122270887251974</v>
      </c>
      <c r="AC46" s="214">
        <f t="shared" si="244"/>
        <v>0.0100257958141638</v>
      </c>
      <c r="AD46" s="214">
        <f t="shared" si="244"/>
        <v>0.00931831734361908</v>
      </c>
      <c r="AE46" s="213">
        <f t="shared" si="244"/>
        <v>0.0101381984890923</v>
      </c>
      <c r="AF46" s="214">
        <f t="shared" si="244"/>
        <v>0.0122419587133941</v>
      </c>
      <c r="AG46" s="214">
        <f t="shared" ref="AG46:AH46" si="245">AG16/AG$14</f>
        <v>0.0117555318425404</v>
      </c>
      <c r="AH46" s="214">
        <f t="shared" si="245"/>
        <v>0.0130776208049105</v>
      </c>
      <c r="AI46" s="214">
        <f t="shared" ref="AI46:AJ46" si="246">AI16/AI$14</f>
        <v>0.0108845446068278</v>
      </c>
      <c r="AJ46" s="213">
        <f t="shared" si="246"/>
        <v>0.0118352736302364</v>
      </c>
      <c r="AK46" s="214">
        <f t="shared" ref="AK46:AL46" si="247">AK16/AK$14</f>
        <v>0.0104693677989881</v>
      </c>
      <c r="AL46" s="214">
        <f t="shared" si="247"/>
        <v>0.0115707315831992</v>
      </c>
      <c r="AM46" s="215">
        <v>0.01</v>
      </c>
      <c r="AN46" s="215">
        <v>0.01</v>
      </c>
      <c r="AO46" s="213">
        <f>AO16/AO$14</f>
        <v>0.0104050904296553</v>
      </c>
      <c r="AP46" s="215">
        <v>0.01</v>
      </c>
      <c r="AQ46" s="215">
        <v>0.011</v>
      </c>
      <c r="AR46" s="215">
        <v>0.011</v>
      </c>
      <c r="AS46" s="215">
        <v>0.01</v>
      </c>
      <c r="AT46" s="213">
        <f>AT16/AT$14</f>
        <v>0.0104568418117433</v>
      </c>
      <c r="AU46" s="215">
        <v>0.011</v>
      </c>
      <c r="AV46" s="215">
        <v>0.011</v>
      </c>
      <c r="AW46" s="215">
        <v>0.011</v>
      </c>
      <c r="AX46" s="215">
        <v>0.01</v>
      </c>
      <c r="AY46" s="213">
        <f>AY16/AY$14</f>
        <v>0.0105981791356039</v>
      </c>
    </row>
    <row r="47" spans="1:54">
      <c r="A47" s="210"/>
      <c r="B47" s="216"/>
      <c r="C47" s="216"/>
      <c r="D47" s="216"/>
      <c r="E47" s="216"/>
      <c r="F47" s="216"/>
      <c r="G47" s="200"/>
      <c r="H47" s="200"/>
      <c r="I47" s="200"/>
      <c r="L47" s="211"/>
      <c r="M47" s="211"/>
      <c r="N47" s="211"/>
      <c r="O47" s="211"/>
      <c r="P47" s="83"/>
      <c r="Q47" s="211"/>
      <c r="R47" s="211"/>
      <c r="S47" s="211"/>
      <c r="T47" s="211"/>
      <c r="U47" s="83"/>
      <c r="V47" s="211"/>
      <c r="W47" s="211"/>
      <c r="X47" s="211"/>
      <c r="Y47" s="211"/>
      <c r="Z47" s="83"/>
      <c r="AA47" s="211"/>
      <c r="AB47" s="211"/>
      <c r="AC47" s="211"/>
      <c r="AD47" s="211"/>
      <c r="AE47" s="83"/>
      <c r="AF47" s="211"/>
      <c r="AG47" s="211"/>
      <c r="AH47" s="134"/>
      <c r="AI47" s="134"/>
      <c r="AJ47" s="83"/>
      <c r="AK47" s="134"/>
      <c r="AL47" s="134"/>
      <c r="AM47" s="134"/>
      <c r="AN47" s="134"/>
      <c r="AO47" s="83"/>
      <c r="AP47" s="134"/>
      <c r="AQ47" s="134"/>
      <c r="AR47" s="134"/>
      <c r="AS47" s="134"/>
      <c r="AT47" s="83"/>
      <c r="AU47" s="134"/>
      <c r="AV47" s="134"/>
      <c r="AW47" s="134"/>
      <c r="AX47" s="134"/>
      <c r="AY47" s="83"/>
      <c r="BB47" s="136"/>
    </row>
    <row r="48" spans="1:54">
      <c r="A48" s="14" t="s">
        <v>171</v>
      </c>
      <c r="B48" s="15"/>
      <c r="C48" s="15"/>
      <c r="D48" s="15"/>
      <c r="E48" s="15"/>
      <c r="F48" s="15"/>
      <c r="G48" s="192"/>
      <c r="H48" s="192"/>
      <c r="I48" s="192"/>
      <c r="J48" s="192"/>
      <c r="K48" s="193"/>
      <c r="L48" s="192"/>
      <c r="M48" s="192"/>
      <c r="N48" s="192"/>
      <c r="O48" s="192"/>
      <c r="P48" s="193"/>
      <c r="Q48" s="192"/>
      <c r="R48" s="192"/>
      <c r="S48" s="192"/>
      <c r="T48" s="192"/>
      <c r="U48" s="193"/>
      <c r="V48" s="192"/>
      <c r="W48" s="192"/>
      <c r="X48" s="192"/>
      <c r="Y48" s="192"/>
      <c r="Z48" s="193"/>
      <c r="AA48" s="192"/>
      <c r="AB48" s="192"/>
      <c r="AC48" s="192"/>
      <c r="AD48" s="192"/>
      <c r="AE48" s="193"/>
      <c r="AF48" s="192"/>
      <c r="AG48" s="192"/>
      <c r="AH48" s="192"/>
      <c r="AI48" s="192"/>
      <c r="AJ48" s="193"/>
      <c r="AK48" s="192"/>
      <c r="AL48" s="192"/>
      <c r="AM48" s="192"/>
      <c r="AN48" s="192"/>
      <c r="AO48" s="193"/>
      <c r="AP48" s="192"/>
      <c r="AQ48" s="192"/>
      <c r="AR48" s="192"/>
      <c r="AS48" s="192"/>
      <c r="AT48" s="193"/>
      <c r="AU48" s="192"/>
      <c r="AV48" s="192"/>
      <c r="AW48" s="192"/>
      <c r="AX48" s="192"/>
      <c r="AY48" s="193"/>
    </row>
    <row r="49" ht="15.2" spans="1:57">
      <c r="A49" s="3" t="s">
        <v>73</v>
      </c>
      <c r="C49" s="83">
        <f t="shared" ref="C49:F53" si="248">C6/B6-1</f>
        <v>-0.0545488649152523</v>
      </c>
      <c r="D49" s="83">
        <f t="shared" si="248"/>
        <v>0.0498836698990603</v>
      </c>
      <c r="E49" s="83">
        <f t="shared" si="248"/>
        <v>0.0278922549668021</v>
      </c>
      <c r="F49" s="83">
        <f t="shared" si="248"/>
        <v>0.0091818939202124</v>
      </c>
      <c r="K49" s="83">
        <f t="shared" ref="K49:K53" si="249">K6/F6-1</f>
        <v>-0.137366539399013</v>
      </c>
      <c r="L49" s="119">
        <f t="shared" ref="L49:L53" si="250">L6/G6-1</f>
        <v>0.609952632999491</v>
      </c>
      <c r="M49" s="119">
        <f t="shared" ref="M49:M53" si="251">M6/H6-1</f>
        <v>0.238458145742402</v>
      </c>
      <c r="N49" s="119">
        <f t="shared" ref="N49:N53" si="252">N6/I6-1</f>
        <v>0.104320974851553</v>
      </c>
      <c r="O49" s="119">
        <f t="shared" ref="O49:P53" si="253">O6/J6-1</f>
        <v>0.0350333855000338</v>
      </c>
      <c r="P49" s="83">
        <f t="shared" si="253"/>
        <v>0.187939785959101</v>
      </c>
      <c r="Q49" s="119">
        <f t="shared" ref="Q49:Q53" si="254">Q6/L6-1</f>
        <v>0.0401289984067161</v>
      </c>
      <c r="R49" s="119">
        <f t="shared" ref="R49:R53" si="255">R6/M6-1</f>
        <v>-0.0690975313638204</v>
      </c>
      <c r="S49" s="119">
        <f t="shared" ref="S49:S53" si="256">S6/N6-1</f>
        <v>-0.0277033894560078</v>
      </c>
      <c r="T49" s="119">
        <f t="shared" ref="T49:T53" si="257">T6/O6-1</f>
        <v>0.0331174070243931</v>
      </c>
      <c r="U49" s="83">
        <f t="shared" ref="U49:V53" si="258">U6/P6-1</f>
        <v>-0.00404469118458251</v>
      </c>
      <c r="V49" s="119">
        <f t="shared" si="258"/>
        <v>0.0285840135242543</v>
      </c>
      <c r="W49" s="119">
        <f t="shared" ref="W49:W53" si="259">W6/R6-1</f>
        <v>0.161787922110668</v>
      </c>
      <c r="X49" s="119">
        <f t="shared" ref="X49:X53" si="260">X6/S6-1</f>
        <v>0.200375191458997</v>
      </c>
      <c r="Y49" s="119">
        <f t="shared" ref="Y49:Y53" si="261">Y6/T6-1</f>
        <v>0.210943529580418</v>
      </c>
      <c r="Z49" s="83">
        <f t="shared" ref="Z49:AA53" si="262">Z6/U6-1</f>
        <v>0.157643389184399</v>
      </c>
      <c r="AA49" s="119">
        <f t="shared" si="262"/>
        <v>0.220977662519109</v>
      </c>
      <c r="AB49" s="119">
        <f t="shared" ref="AB49:AB53" si="263">AB6/W6-1</f>
        <v>0.212359076062843</v>
      </c>
      <c r="AC49" s="119">
        <f t="shared" ref="AC49:AC53" si="264">AC6/X6-1</f>
        <v>0.144387092010742</v>
      </c>
      <c r="AD49" s="119">
        <f t="shared" ref="AD49:AD53" si="265">AD6/Y6-1</f>
        <v>0.0908592222351465</v>
      </c>
      <c r="AE49" s="83">
        <f t="shared" ref="AE49:AE53" si="266">AE6/Z6-1</f>
        <v>0.156029058020495</v>
      </c>
      <c r="AF49" s="119">
        <f>AF6/AA6-1</f>
        <v>0.0750257168888933</v>
      </c>
      <c r="AG49" s="119">
        <f t="shared" ref="AG49:AG53" si="267">AG6/AB6-1</f>
        <v>0.0657739948182234</v>
      </c>
      <c r="AH49" s="119">
        <f t="shared" ref="AH49:AJ49" si="268">AH6/AC6-1</f>
        <v>0.0675395337834148</v>
      </c>
      <c r="AI49" s="119">
        <f t="shared" si="268"/>
        <v>0.0535580096623356</v>
      </c>
      <c r="AJ49" s="83">
        <f t="shared" si="268"/>
        <v>0.0642011547942878</v>
      </c>
      <c r="AK49" s="119">
        <f t="shared" ref="AK49:AK53" si="269">AK6/AF6-1</f>
        <v>0.0150458712252042</v>
      </c>
      <c r="AL49" s="119">
        <f t="shared" ref="AL49:AL53" si="270">AL6/AG6-1</f>
        <v>0.0480977361488051</v>
      </c>
      <c r="AM49" s="119">
        <f t="shared" ref="AM49:AO53" si="271">AM6/AH6-1</f>
        <v>0.0591332996027487</v>
      </c>
      <c r="AN49" s="119">
        <f t="shared" si="271"/>
        <v>0.0700000000000001</v>
      </c>
      <c r="AO49" s="83">
        <f t="shared" si="271"/>
        <v>0.05086001687715</v>
      </c>
      <c r="AP49" s="119">
        <f t="shared" ref="AP49:AP53" si="272">AP6/AK6-1</f>
        <v>0.0450701055196483</v>
      </c>
      <c r="AQ49" s="119">
        <f t="shared" ref="AQ49:AQ53" si="273">AQ6/AL6-1</f>
        <v>0.04</v>
      </c>
      <c r="AR49" s="119">
        <f t="shared" ref="AR49:AT53" si="274">AR6/AM6-1</f>
        <v>0.0348775644148662</v>
      </c>
      <c r="AS49" s="119">
        <f t="shared" si="274"/>
        <v>0.0348299259433154</v>
      </c>
      <c r="AT49" s="83">
        <f t="shared" si="274"/>
        <v>0.0380860300191048</v>
      </c>
      <c r="AU49" s="119">
        <f t="shared" ref="AU49:AU53" si="275">AU6/AP6-1</f>
        <v>0.0274529886715189</v>
      </c>
      <c r="AV49" s="119">
        <f t="shared" ref="AV49:AV53" si="276">AV6/AQ6-1</f>
        <v>0.027644220483481</v>
      </c>
      <c r="AW49" s="119">
        <f t="shared" ref="AW49:AW53" si="277">AW6/AR6-1</f>
        <v>0.0300982926233122</v>
      </c>
      <c r="AX49" s="119">
        <f t="shared" ref="AX49:AX53" si="278">AX6/AS6-1</f>
        <v>0.0301459434491429</v>
      </c>
      <c r="AY49" s="83">
        <f t="shared" ref="AY49:AY53" si="279">AY6/AT6-1</f>
        <v>0.0290149029610427</v>
      </c>
      <c r="BC49" s="217"/>
      <c r="BD49" s="136"/>
      <c r="BE49" s="218"/>
    </row>
    <row r="50" ht="15.2" spans="1:57">
      <c r="A50" s="3" t="s">
        <v>153</v>
      </c>
      <c r="C50" s="83">
        <f t="shared" si="248"/>
        <v>-0.0315690531074457</v>
      </c>
      <c r="D50" s="83">
        <f t="shared" si="248"/>
        <v>0.0852552666364703</v>
      </c>
      <c r="E50" s="83">
        <f t="shared" si="248"/>
        <v>0.01515067629723</v>
      </c>
      <c r="F50" s="83">
        <f t="shared" si="248"/>
        <v>0.0293400960569656</v>
      </c>
      <c r="K50" s="83">
        <f t="shared" si="249"/>
        <v>-0.161651456538204</v>
      </c>
      <c r="L50" s="119">
        <f t="shared" si="250"/>
        <v>0.294090789913839</v>
      </c>
      <c r="M50" s="119">
        <f t="shared" si="251"/>
        <v>0.0969896622015143</v>
      </c>
      <c r="N50" s="119">
        <f t="shared" si="252"/>
        <v>0.114138608495359</v>
      </c>
      <c r="O50" s="119">
        <f t="shared" si="253"/>
        <v>0.092987980362282</v>
      </c>
      <c r="P50" s="83">
        <f t="shared" si="253"/>
        <v>0.134983661203116</v>
      </c>
      <c r="Q50" s="119">
        <f t="shared" si="254"/>
        <v>0.268783774814773</v>
      </c>
      <c r="R50" s="119">
        <f t="shared" si="255"/>
        <v>0.1255454349377</v>
      </c>
      <c r="S50" s="119">
        <f t="shared" si="256"/>
        <v>0.0922788797139695</v>
      </c>
      <c r="T50" s="119">
        <f t="shared" si="257"/>
        <v>0.0976991910718452</v>
      </c>
      <c r="U50" s="83">
        <f t="shared" si="258"/>
        <v>0.137381288759849</v>
      </c>
      <c r="V50" s="119">
        <f t="shared" ref="V50:V53" si="280">V7/Q7-1</f>
        <v>-0.101911810052421</v>
      </c>
      <c r="W50" s="119">
        <f t="shared" si="259"/>
        <v>0.0346845518867924</v>
      </c>
      <c r="X50" s="119">
        <f t="shared" si="260"/>
        <v>0.0319928298651704</v>
      </c>
      <c r="Y50" s="119">
        <f t="shared" si="261"/>
        <v>0.0146915784463313</v>
      </c>
      <c r="Z50" s="83">
        <f t="shared" si="262"/>
        <v>-0.00373333634611317</v>
      </c>
      <c r="AA50" s="119">
        <f t="shared" ref="AA50:AA53" si="281">AA7/V7-1</f>
        <v>0.0523390557939913</v>
      </c>
      <c r="AB50" s="119">
        <f t="shared" si="263"/>
        <v>0.133195617796646</v>
      </c>
      <c r="AC50" s="119">
        <f t="shared" si="264"/>
        <v>0.138288174084723</v>
      </c>
      <c r="AD50" s="119">
        <f t="shared" si="265"/>
        <v>0.132697862935673</v>
      </c>
      <c r="AE50" s="83">
        <f t="shared" si="266"/>
        <v>0.117599140660192</v>
      </c>
      <c r="AF50" s="119">
        <f>AF7/AA7-1</f>
        <v>0.215164023969261</v>
      </c>
      <c r="AG50" s="119">
        <f t="shared" si="267"/>
        <v>0.135469887757976</v>
      </c>
      <c r="AH50" s="119">
        <f t="shared" ref="AH50:AJ50" si="282">AH7/AC7-1</f>
        <v>0.146045105370657</v>
      </c>
      <c r="AI50" s="119">
        <f t="shared" si="282"/>
        <v>0.107355129340472</v>
      </c>
      <c r="AJ50" s="83">
        <f t="shared" si="282"/>
        <v>0.143725273771285</v>
      </c>
      <c r="AK50" s="119">
        <f t="shared" si="269"/>
        <v>-0.00789915926095519</v>
      </c>
      <c r="AL50" s="119">
        <f t="shared" si="270"/>
        <v>0.0321508447928431</v>
      </c>
      <c r="AM50" s="119">
        <f t="shared" si="271"/>
        <v>0.022392984346479</v>
      </c>
      <c r="AN50" s="119">
        <f t="shared" si="271"/>
        <v>0.0251011049962231</v>
      </c>
      <c r="AO50" s="83">
        <f t="shared" si="271"/>
        <v>0.0192398808206193</v>
      </c>
      <c r="AP50" s="119">
        <f t="shared" si="272"/>
        <v>0.0422573598800504</v>
      </c>
      <c r="AQ50" s="119">
        <f t="shared" si="273"/>
        <v>0.0371737156759471</v>
      </c>
      <c r="AR50" s="119">
        <f t="shared" si="274"/>
        <v>0.0320168754723273</v>
      </c>
      <c r="AS50" s="119">
        <f t="shared" si="274"/>
        <v>0.0321637487492554</v>
      </c>
      <c r="AT50" s="83">
        <f t="shared" si="274"/>
        <v>0.0352778359295129</v>
      </c>
      <c r="AU50" s="119">
        <f t="shared" si="275"/>
        <v>0.0219074026674815</v>
      </c>
      <c r="AV50" s="119">
        <f t="shared" si="276"/>
        <v>0.027644220483481</v>
      </c>
      <c r="AW50" s="119">
        <f t="shared" si="277"/>
        <v>0.0300982926233122</v>
      </c>
      <c r="AX50" s="119">
        <f t="shared" si="278"/>
        <v>0.0248240134272721</v>
      </c>
      <c r="AY50" s="83">
        <f t="shared" si="279"/>
        <v>0.0261305003085821</v>
      </c>
      <c r="BA50" s="211"/>
      <c r="BC50" s="217"/>
      <c r="BE50" s="219"/>
    </row>
    <row r="51" ht="15.2" spans="1:57">
      <c r="A51" s="194" t="s">
        <v>182</v>
      </c>
      <c r="B51" s="220"/>
      <c r="C51" s="195">
        <f t="shared" si="248"/>
        <v>-0.0686909773711201</v>
      </c>
      <c r="D51" s="195">
        <f t="shared" si="248"/>
        <v>0.0272477925314802</v>
      </c>
      <c r="E51" s="195">
        <f t="shared" si="248"/>
        <v>0.0365066065469455</v>
      </c>
      <c r="F51" s="195">
        <f t="shared" si="248"/>
        <v>-0.00416590274806983</v>
      </c>
      <c r="G51" s="221"/>
      <c r="H51" s="221"/>
      <c r="I51" s="221"/>
      <c r="J51" s="221"/>
      <c r="K51" s="195">
        <f t="shared" si="249"/>
        <v>-0.120745188798457</v>
      </c>
      <c r="L51" s="196">
        <f t="shared" si="250"/>
        <v>0.874478032898597</v>
      </c>
      <c r="M51" s="196">
        <f t="shared" si="251"/>
        <v>0.330203867726766</v>
      </c>
      <c r="N51" s="196">
        <f t="shared" si="252"/>
        <v>0.0987943169098817</v>
      </c>
      <c r="O51" s="196">
        <f t="shared" si="253"/>
        <v>-0.00277900912934692</v>
      </c>
      <c r="P51" s="195">
        <f t="shared" si="253"/>
        <v>0.222498354223894</v>
      </c>
      <c r="Q51" s="196">
        <f t="shared" si="254"/>
        <v>-0.0920720451433349</v>
      </c>
      <c r="R51" s="196">
        <f t="shared" si="255"/>
        <v>-0.173197156978447</v>
      </c>
      <c r="S51" s="196">
        <f t="shared" si="256"/>
        <v>-0.0961884201831169</v>
      </c>
      <c r="T51" s="196">
        <f t="shared" si="257"/>
        <v>-0.0130653993608336</v>
      </c>
      <c r="U51" s="195">
        <f t="shared" si="258"/>
        <v>-0.0897307303865277</v>
      </c>
      <c r="V51" s="196">
        <f t="shared" si="280"/>
        <v>0.134019655385656</v>
      </c>
      <c r="W51" s="196">
        <f t="shared" si="259"/>
        <v>0.254327729018161</v>
      </c>
      <c r="X51" s="196">
        <f t="shared" si="260"/>
        <v>0.316528294061626</v>
      </c>
      <c r="Y51" s="196">
        <f t="shared" si="261"/>
        <v>0.367035022482923</v>
      </c>
      <c r="Z51" s="195">
        <f t="shared" si="262"/>
        <v>0.279811531081881</v>
      </c>
      <c r="AA51" s="196">
        <f t="shared" si="281"/>
        <v>0.328883823662107</v>
      </c>
      <c r="AB51" s="196">
        <f t="shared" si="263"/>
        <v>0.25990280297067</v>
      </c>
      <c r="AC51" s="196">
        <f t="shared" si="264"/>
        <v>0.147684961694345</v>
      </c>
      <c r="AD51" s="196">
        <f t="shared" si="265"/>
        <v>0.0661592063653649</v>
      </c>
      <c r="AE51" s="195">
        <f t="shared" si="266"/>
        <v>0.178676340641536</v>
      </c>
      <c r="AF51" s="196">
        <f>AF8/AA8-1</f>
        <v>0.00401649108356694</v>
      </c>
      <c r="AG51" s="196">
        <f t="shared" si="267"/>
        <v>0.0281258573714249</v>
      </c>
      <c r="AH51" s="196">
        <f t="shared" ref="AH51:AJ51" si="283">AH8/AC8-1</f>
        <v>0.0254367594658751</v>
      </c>
      <c r="AI51" s="196">
        <f t="shared" si="283"/>
        <v>0.0198160183160336</v>
      </c>
      <c r="AJ51" s="195">
        <f t="shared" si="283"/>
        <v>0.0197649449815271</v>
      </c>
      <c r="AK51" s="196">
        <f t="shared" si="269"/>
        <v>0.029117378098086</v>
      </c>
      <c r="AL51" s="196">
        <f t="shared" si="270"/>
        <v>0.0576112659682682</v>
      </c>
      <c r="AM51" s="196">
        <f t="shared" si="271"/>
        <v>0.0811547511195114</v>
      </c>
      <c r="AN51" s="196">
        <f t="shared" si="271"/>
        <v>0.100578236201955</v>
      </c>
      <c r="AO51" s="195">
        <f t="shared" si="271"/>
        <v>0.0706763601131333</v>
      </c>
      <c r="AP51" s="196">
        <f t="shared" si="272"/>
        <v>0.0467330330907463</v>
      </c>
      <c r="AQ51" s="196">
        <f t="shared" si="273"/>
        <v>0.0416455027105349</v>
      </c>
      <c r="AR51" s="196">
        <f t="shared" si="274"/>
        <v>0.0364990149331803</v>
      </c>
      <c r="AS51" s="196">
        <f t="shared" si="274"/>
        <v>0.0365211905821841</v>
      </c>
      <c r="AT51" s="195">
        <f t="shared" si="274"/>
        <v>0.0397613782724802</v>
      </c>
      <c r="AU51" s="196">
        <f t="shared" si="275"/>
        <v>0.0307175840341476</v>
      </c>
      <c r="AV51" s="196">
        <f t="shared" si="276"/>
        <v>0.027644220483481</v>
      </c>
      <c r="AW51" s="196">
        <f t="shared" si="277"/>
        <v>0.0300982926233124</v>
      </c>
      <c r="AX51" s="196">
        <f t="shared" si="278"/>
        <v>0.0335076680773696</v>
      </c>
      <c r="AY51" s="195">
        <f t="shared" si="279"/>
        <v>0.0307282963911544</v>
      </c>
      <c r="BC51" s="217"/>
      <c r="BE51" s="218"/>
    </row>
    <row r="52" spans="1:57">
      <c r="A52" s="3" t="s">
        <v>155</v>
      </c>
      <c r="C52" s="83">
        <f t="shared" si="248"/>
        <v>-0.0119489292660194</v>
      </c>
      <c r="D52" s="83">
        <f t="shared" si="248"/>
        <v>-0.0228292132838336</v>
      </c>
      <c r="E52" s="83">
        <f t="shared" si="248"/>
        <v>-0.000261276885423878</v>
      </c>
      <c r="F52" s="83">
        <f t="shared" si="248"/>
        <v>0.00597981092357958</v>
      </c>
      <c r="K52" s="83">
        <f t="shared" si="249"/>
        <v>-0.102923268630382</v>
      </c>
      <c r="L52" s="119">
        <f t="shared" si="250"/>
        <v>-0.017123840508624</v>
      </c>
      <c r="M52" s="119">
        <f t="shared" si="251"/>
        <v>0.0498662886232561</v>
      </c>
      <c r="N52" s="119">
        <f t="shared" si="252"/>
        <v>0.0160340550390887</v>
      </c>
      <c r="O52" s="119">
        <f t="shared" si="253"/>
        <v>0.0540807650662385</v>
      </c>
      <c r="P52" s="83">
        <f t="shared" si="253"/>
        <v>0.027191315795525</v>
      </c>
      <c r="Q52" s="119">
        <f t="shared" si="254"/>
        <v>0.0661227764301597</v>
      </c>
      <c r="R52" s="119">
        <f t="shared" si="255"/>
        <v>0.0458620149947675</v>
      </c>
      <c r="S52" s="119">
        <f t="shared" si="256"/>
        <v>0.0441084092491792</v>
      </c>
      <c r="T52" s="119">
        <f t="shared" si="257"/>
        <v>0.0048511672905851</v>
      </c>
      <c r="U52" s="83">
        <f t="shared" si="258"/>
        <v>0.0374332860182045</v>
      </c>
      <c r="V52" s="119">
        <f t="shared" si="280"/>
        <v>-0.0525207158791621</v>
      </c>
      <c r="W52" s="119">
        <f t="shared" si="259"/>
        <v>-0.00732120273129278</v>
      </c>
      <c r="X52" s="119">
        <f t="shared" si="260"/>
        <v>0.0126207011077142</v>
      </c>
      <c r="Y52" s="119">
        <f t="shared" si="261"/>
        <v>0.141008635515387</v>
      </c>
      <c r="Z52" s="83">
        <f t="shared" si="262"/>
        <v>0.0310675277541572</v>
      </c>
      <c r="AA52" s="119">
        <f t="shared" si="281"/>
        <v>0.125707049387927</v>
      </c>
      <c r="AB52" s="119">
        <f t="shared" si="263"/>
        <v>0.130835126634663</v>
      </c>
      <c r="AC52" s="119">
        <f t="shared" si="264"/>
        <v>0.131787864042434</v>
      </c>
      <c r="AD52" s="119">
        <f t="shared" si="265"/>
        <v>0.0551208405321875</v>
      </c>
      <c r="AE52" s="83">
        <f t="shared" si="266"/>
        <v>0.105288286084649</v>
      </c>
      <c r="AF52" s="119">
        <f>AF9/AA9-1</f>
        <v>0.110880567082757</v>
      </c>
      <c r="AG52" s="119">
        <f t="shared" si="267"/>
        <v>0.093248849191101</v>
      </c>
      <c r="AH52" s="119">
        <f t="shared" ref="AH52:AJ52" si="284">AH9/AC9-1</f>
        <v>0.0915888738449844</v>
      </c>
      <c r="AI52" s="119">
        <f t="shared" si="284"/>
        <v>0.0918823835584692</v>
      </c>
      <c r="AJ52" s="83">
        <f t="shared" si="284"/>
        <v>0.0961657715912776</v>
      </c>
      <c r="AK52" s="119">
        <f t="shared" si="269"/>
        <v>0.0781573097762898</v>
      </c>
      <c r="AL52" s="119">
        <f t="shared" si="270"/>
        <v>0.0617172369270498</v>
      </c>
      <c r="AM52" s="119">
        <f t="shared" si="271"/>
        <v>0.0740059305357526</v>
      </c>
      <c r="AN52" s="119">
        <f t="shared" si="271"/>
        <v>0.060674775536194</v>
      </c>
      <c r="AO52" s="83">
        <f t="shared" si="271"/>
        <v>0.0679914585725419</v>
      </c>
      <c r="AP52" s="119">
        <f t="shared" si="272"/>
        <v>0.0261734411102743</v>
      </c>
      <c r="AQ52" s="119">
        <f t="shared" si="273"/>
        <v>0.0459334772836806</v>
      </c>
      <c r="AR52" s="119">
        <f t="shared" si="274"/>
        <v>0.0406098799035566</v>
      </c>
      <c r="AS52" s="119">
        <f t="shared" si="274"/>
        <v>0.0408952606804449</v>
      </c>
      <c r="AT52" s="83">
        <f t="shared" si="274"/>
        <v>0.0387462946059451</v>
      </c>
      <c r="AU52" s="119">
        <f t="shared" si="275"/>
        <v>0.030155878225707</v>
      </c>
      <c r="AV52" s="119">
        <f t="shared" si="276"/>
        <v>0.0305590825518505</v>
      </c>
      <c r="AW52" s="119">
        <f t="shared" si="277"/>
        <v>0.0329354982426868</v>
      </c>
      <c r="AX52" s="119">
        <f t="shared" si="278"/>
        <v>0.0331472924854672</v>
      </c>
      <c r="AY52" s="83">
        <f t="shared" si="279"/>
        <v>0.031865379203545</v>
      </c>
      <c r="BC52" s="211"/>
      <c r="BD52" s="211"/>
      <c r="BE52" s="211"/>
    </row>
    <row r="53" spans="1:57">
      <c r="A53" s="3" t="s">
        <v>183</v>
      </c>
      <c r="C53" s="83">
        <f t="shared" si="248"/>
        <v>0.014143172010477</v>
      </c>
      <c r="D53" s="83">
        <f t="shared" si="248"/>
        <v>-0.00513499505664172</v>
      </c>
      <c r="E53" s="83">
        <f t="shared" si="248"/>
        <v>0.055651382091042</v>
      </c>
      <c r="F53" s="83">
        <f t="shared" si="248"/>
        <v>-0.0366041288246369</v>
      </c>
      <c r="K53" s="83">
        <f t="shared" si="249"/>
        <v>-0.0016615907794626</v>
      </c>
      <c r="L53" s="119">
        <f t="shared" si="250"/>
        <v>0.117221057298835</v>
      </c>
      <c r="M53" s="119">
        <f t="shared" si="251"/>
        <v>0.274143462345247</v>
      </c>
      <c r="N53" s="119">
        <f t="shared" si="252"/>
        <v>0.208834710743802</v>
      </c>
      <c r="O53" s="119">
        <f t="shared" si="253"/>
        <v>0.0608152387609768</v>
      </c>
      <c r="P53" s="83">
        <f t="shared" si="253"/>
        <v>0.15732047265993</v>
      </c>
      <c r="Q53" s="119">
        <f t="shared" si="254"/>
        <v>0.00993823740977451</v>
      </c>
      <c r="R53" s="119">
        <f t="shared" si="255"/>
        <v>0.00205789545891077</v>
      </c>
      <c r="S53" s="119">
        <f t="shared" si="256"/>
        <v>-0.0893422392988261</v>
      </c>
      <c r="T53" s="119">
        <f t="shared" si="257"/>
        <v>-0.0521807174333841</v>
      </c>
      <c r="U53" s="83">
        <f t="shared" si="258"/>
        <v>-0.0357907286495348</v>
      </c>
      <c r="V53" s="119">
        <f t="shared" si="280"/>
        <v>0.264267411112658</v>
      </c>
      <c r="W53" s="119">
        <f t="shared" si="259"/>
        <v>0.280007731460602</v>
      </c>
      <c r="X53" s="119">
        <f t="shared" si="260"/>
        <v>0.309479658561122</v>
      </c>
      <c r="Y53" s="119">
        <f t="shared" si="261"/>
        <v>0.400502592624779</v>
      </c>
      <c r="Z53" s="83">
        <f t="shared" si="262"/>
        <v>0.316022735615396</v>
      </c>
      <c r="AA53" s="119">
        <f t="shared" si="281"/>
        <v>0.227411949828076</v>
      </c>
      <c r="AB53" s="119">
        <f t="shared" si="263"/>
        <v>0.120872552473952</v>
      </c>
      <c r="AC53" s="119">
        <f t="shared" si="264"/>
        <v>0.0792436820621016</v>
      </c>
      <c r="AD53" s="119">
        <f t="shared" si="265"/>
        <v>0.00598282200975242</v>
      </c>
      <c r="AE53" s="83">
        <f t="shared" si="266"/>
        <v>0.101749034023512</v>
      </c>
      <c r="AF53" s="119">
        <f>AF10/AA10-1</f>
        <v>-0.0771466857999029</v>
      </c>
      <c r="AG53" s="119">
        <f t="shared" si="267"/>
        <v>-0.0399782202338518</v>
      </c>
      <c r="AH53" s="119">
        <f t="shared" ref="AH53:AJ53" si="285">AH10/AC10-1</f>
        <v>0.0273896922112555</v>
      </c>
      <c r="AI53" s="119">
        <f t="shared" si="285"/>
        <v>-0.0654093675466733</v>
      </c>
      <c r="AJ53" s="83">
        <f t="shared" si="285"/>
        <v>-0.0390600744851662</v>
      </c>
      <c r="AK53" s="119">
        <f t="shared" si="269"/>
        <v>0.0447563241389166</v>
      </c>
      <c r="AL53" s="119">
        <f t="shared" si="270"/>
        <v>0.197392194123666</v>
      </c>
      <c r="AM53" s="119">
        <f t="shared" si="271"/>
        <v>0.0874047251309233</v>
      </c>
      <c r="AN53" s="119">
        <f t="shared" si="271"/>
        <v>0.0798267405496678</v>
      </c>
      <c r="AO53" s="83">
        <f t="shared" si="271"/>
        <v>0.101232948620744</v>
      </c>
      <c r="AP53" s="119">
        <f t="shared" si="272"/>
        <v>0.0259621073910163</v>
      </c>
      <c r="AQ53" s="119">
        <f t="shared" si="273"/>
        <v>0.0207012770528947</v>
      </c>
      <c r="AR53" s="119">
        <f t="shared" si="274"/>
        <v>0.0348775644148662</v>
      </c>
      <c r="AS53" s="119">
        <f t="shared" si="274"/>
        <v>0.0348299259433154</v>
      </c>
      <c r="AT53" s="83">
        <f t="shared" si="274"/>
        <v>0.0291587337974544</v>
      </c>
      <c r="AU53" s="119">
        <f t="shared" si="275"/>
        <v>0.0210744003385581</v>
      </c>
      <c r="AV53" s="119">
        <f t="shared" si="276"/>
        <v>0.0211675553562243</v>
      </c>
      <c r="AW53" s="119">
        <f t="shared" si="277"/>
        <v>0.0234029135952569</v>
      </c>
      <c r="AX53" s="119">
        <f t="shared" si="278"/>
        <v>0.0207713127473561</v>
      </c>
      <c r="AY53" s="83">
        <f t="shared" si="279"/>
        <v>0.0216429232049575</v>
      </c>
      <c r="BE53" s="222"/>
    </row>
    <row r="54" spans="1:57">
      <c r="A54" s="194" t="s">
        <v>90</v>
      </c>
      <c r="B54" s="220"/>
      <c r="C54" s="195">
        <f>C12/B12-1</f>
        <v>-0.976101688706546</v>
      </c>
      <c r="D54" s="195">
        <f>D12/C12-1</f>
        <v>29.8954629061925</v>
      </c>
      <c r="E54" s="195">
        <f>E12/D12-1</f>
        <v>0.375576745616733</v>
      </c>
      <c r="F54" s="195">
        <f>F12/E12-1</f>
        <v>-0.402591032373478</v>
      </c>
      <c r="G54" s="221"/>
      <c r="H54" s="221"/>
      <c r="I54" s="221"/>
      <c r="J54" s="221"/>
      <c r="K54" s="195">
        <f>K12/F12-1</f>
        <v>-0.366481526201401</v>
      </c>
      <c r="L54" s="196">
        <f t="shared" ref="L54" si="286">L12/G12-1</f>
        <v>-1.36159664017232</v>
      </c>
      <c r="M54" s="196">
        <f t="shared" ref="M54" si="287">M12/H12-1</f>
        <v>4.19990101682714</v>
      </c>
      <c r="N54" s="196">
        <f t="shared" ref="N54" si="288">N12/I12-1</f>
        <v>0.223804757872046</v>
      </c>
      <c r="O54" s="196">
        <f t="shared" ref="O54:P54" si="289">O12/J12-1</f>
        <v>-0.239262030784206</v>
      </c>
      <c r="P54" s="195">
        <f t="shared" si="289"/>
        <v>5.76953571700846</v>
      </c>
      <c r="Q54" s="196">
        <f t="shared" ref="Q54" si="290">Q12/L12-1</f>
        <v>-1.10489708304907</v>
      </c>
      <c r="R54" s="196">
        <f t="shared" ref="R54" si="291">R12/M12-1</f>
        <v>-1.00018170333902</v>
      </c>
      <c r="S54" s="196">
        <f t="shared" ref="S54" si="292">S12/N12-1</f>
        <v>-0.732171615500755</v>
      </c>
      <c r="T54" s="196">
        <f t="shared" ref="T54" si="293">T12/O12-1</f>
        <v>-0.0831417318111842</v>
      </c>
      <c r="U54" s="195">
        <f t="shared" ref="U54" si="294">U12/P12-1</f>
        <v>-0.699651448263435</v>
      </c>
      <c r="V54" s="196">
        <f>ABS(V12/Q12)-1</f>
        <v>5.09835025380711</v>
      </c>
      <c r="W54" s="196">
        <f>ABS(W12/R12)-1</f>
        <v>4277.19047619048</v>
      </c>
      <c r="X54" s="196">
        <f t="shared" ref="X54" si="295">X12/S12-1</f>
        <v>5.48376943674543</v>
      </c>
      <c r="Y54" s="196">
        <f t="shared" ref="Y54" si="296">Y12/T12-1</f>
        <v>1.42922249964565</v>
      </c>
      <c r="Z54" s="195">
        <f t="shared" ref="Z54:AA54" si="297">Z12/U12-1</f>
        <v>3.58484800194977</v>
      </c>
      <c r="AA54" s="196">
        <f t="shared" si="297"/>
        <v>2.37761419207158</v>
      </c>
      <c r="AB54" s="196">
        <f t="shared" ref="AB54" si="298">AB12/W12-1</f>
        <v>0.954820685202912</v>
      </c>
      <c r="AC54" s="196">
        <f t="shared" ref="AC54" si="299">AC12/X12-1</f>
        <v>0.29895667294595</v>
      </c>
      <c r="AD54" s="196">
        <f t="shared" ref="AD54" si="300">AD12/Y12-1</f>
        <v>0.149294662052684</v>
      </c>
      <c r="AE54" s="195">
        <f t="shared" ref="AE54:AF54" si="301">AE12/Z12-1</f>
        <v>0.514637901318116</v>
      </c>
      <c r="AF54" s="196">
        <f t="shared" si="301"/>
        <v>-0.218068679774199</v>
      </c>
      <c r="AG54" s="196">
        <f t="shared" ref="AG54" si="302">AG12/AB12-1</f>
        <v>-0.042938078291815</v>
      </c>
      <c r="AH54" s="196">
        <f t="shared" ref="AH54:AJ54" si="303">AH12/AC12-1</f>
        <v>-0.135323122232014</v>
      </c>
      <c r="AI54" s="196">
        <f t="shared" si="303"/>
        <v>-0.0786248750312422</v>
      </c>
      <c r="AJ54" s="195">
        <f t="shared" si="303"/>
        <v>-0.108327258983289</v>
      </c>
      <c r="AK54" s="196">
        <f t="shared" ref="AK54" si="304">AK12/AF12-1</f>
        <v>-0.125437050023145</v>
      </c>
      <c r="AL54" s="196">
        <f t="shared" ref="AL54" si="305">AL12/AG12-1</f>
        <v>-0.0915256657385592</v>
      </c>
      <c r="AM54" s="196">
        <f t="shared" ref="AM54:AO54" si="306">AM12/AH12-1</f>
        <v>0.0922598825031686</v>
      </c>
      <c r="AN54" s="196">
        <f t="shared" si="306"/>
        <v>0.220552087940966</v>
      </c>
      <c r="AO54" s="195">
        <f t="shared" si="306"/>
        <v>0.0578551126461033</v>
      </c>
      <c r="AP54" s="196">
        <f t="shared" ref="AP54" si="307">AP12/AK12-1</f>
        <v>0.16801009930828</v>
      </c>
      <c r="AQ54" s="196">
        <f t="shared" ref="AQ54" si="308">AQ12/AL12-1</f>
        <v>0.057360007334643</v>
      </c>
      <c r="AR54" s="196">
        <f t="shared" ref="AR54:AT54" si="309">AR12/AM12-1</f>
        <v>0.0278450310658247</v>
      </c>
      <c r="AS54" s="196">
        <f t="shared" si="309"/>
        <v>0.0291867584209737</v>
      </c>
      <c r="AT54" s="195">
        <f t="shared" si="309"/>
        <v>0.0526588354462578</v>
      </c>
      <c r="AU54" s="196">
        <f t="shared" ref="AU54" si="310">AU12/AP12-1</f>
        <v>0.0502508743171062</v>
      </c>
      <c r="AV54" s="196">
        <f t="shared" ref="AV54" si="311">AV12/AQ12-1</f>
        <v>0.0274730052386989</v>
      </c>
      <c r="AW54" s="196">
        <f t="shared" ref="AW54" si="312">AW12/AR12-1</f>
        <v>0.0299253517281421</v>
      </c>
      <c r="AX54" s="196">
        <f t="shared" ref="AX54" si="313">AX12/AS12-1</f>
        <v>0.0428974177504775</v>
      </c>
      <c r="AY54" s="195">
        <f t="shared" ref="AY54" si="314">AY12/AT12-1</f>
        <v>0.0374794453038039</v>
      </c>
    </row>
    <row r="55" spans="1:57">
      <c r="A55" s="3" t="s">
        <v>184</v>
      </c>
      <c r="C55" s="83">
        <f>C14/B14-1</f>
        <v>-1.13026968971729</v>
      </c>
      <c r="D55" s="83">
        <f>D14/C14-1</f>
        <v>-6.44611789145676</v>
      </c>
      <c r="E55" s="83">
        <f>E14/D14-1</f>
        <v>0.521396557478663</v>
      </c>
      <c r="F55" s="83">
        <f>F14/E14-1</f>
        <v>-0.411727374581809</v>
      </c>
      <c r="K55" s="83">
        <f t="shared" ref="K55" si="315">K14/F14-1</f>
        <v>-0.677769934605703</v>
      </c>
      <c r="L55" s="119">
        <f t="shared" ref="L55" si="316">L14/G14-1</f>
        <v>-1.3036563071298</v>
      </c>
      <c r="M55" s="119">
        <f t="shared" ref="M55" si="317">M14/H14-1</f>
        <v>5.89436805922792</v>
      </c>
      <c r="N55" s="119">
        <f t="shared" ref="N55" si="318">N14/I14-1</f>
        <v>0.286317402069936</v>
      </c>
      <c r="O55" s="119">
        <f t="shared" ref="O55:P55" si="319">O14/J14-1</f>
        <v>-0.240197879166361</v>
      </c>
      <c r="P55" s="83">
        <f t="shared" si="319"/>
        <v>12.2708109448624</v>
      </c>
      <c r="Q55" s="119">
        <f t="shared" ref="Q55" si="320">Q14/L14-1</f>
        <v>-1.26433745703133</v>
      </c>
      <c r="R55" s="119">
        <f t="shared" ref="R55" si="321">R14/M14-1</f>
        <v>-1.06652093041094</v>
      </c>
      <c r="S55" s="119">
        <f t="shared" ref="S55" si="322">S14/N14-1</f>
        <v>-0.806231823847113</v>
      </c>
      <c r="T55" s="119">
        <f t="shared" ref="T55" si="323">T14/O14-1</f>
        <v>-0.0587805533172173</v>
      </c>
      <c r="U55" s="83">
        <f t="shared" ref="U55" si="324">U14/P14-1</f>
        <v>-0.747575325314414</v>
      </c>
      <c r="V55" s="119">
        <f>ABS(V14/Q14)-1</f>
        <v>1.57152303284108</v>
      </c>
      <c r="W55" s="119">
        <f>ABS(W14/R14)-1</f>
        <v>11.7911501873739</v>
      </c>
      <c r="X55" s="119">
        <f t="shared" ref="X55" si="325">X14/S14-1</f>
        <v>8.81625214408233</v>
      </c>
      <c r="Y55" s="119">
        <f t="shared" ref="Y55" si="326">Y14/T14-1</f>
        <v>1.5985114834939</v>
      </c>
      <c r="Z55" s="83">
        <f t="shared" ref="Z55:AA55" si="327">Z14/U14-1</f>
        <v>5.03026638863869</v>
      </c>
      <c r="AA55" s="119">
        <f t="shared" si="327"/>
        <v>2.85337561783949</v>
      </c>
      <c r="AB55" s="119">
        <f t="shared" ref="AB55" si="328">AB14/W14-1</f>
        <v>1.03761338666967</v>
      </c>
      <c r="AC55" s="119">
        <f t="shared" ref="AC55" si="329">AC14/X14-1</f>
        <v>0.368885102913017</v>
      </c>
      <c r="AD55" s="119">
        <f t="shared" ref="AD55" si="330">AD14/Y14-1</f>
        <v>0.163951853804252</v>
      </c>
      <c r="AE55" s="83">
        <f t="shared" ref="AE55:AF55" si="331">AE14/Z14-1</f>
        <v>0.572788934698763</v>
      </c>
      <c r="AF55" s="119">
        <f t="shared" si="331"/>
        <v>-0.196897799394982</v>
      </c>
      <c r="AG55" s="119">
        <f t="shared" ref="AG55" si="332">AG14/AB14-1</f>
        <v>-0.0567943017674254</v>
      </c>
      <c r="AH55" s="119">
        <f t="shared" ref="AH55:AJ55" si="333">AH14/AC14-1</f>
        <v>-0.143887455788102</v>
      </c>
      <c r="AI55" s="119">
        <f t="shared" si="333"/>
        <v>-0.0852952498848891</v>
      </c>
      <c r="AJ55" s="83">
        <f t="shared" si="333"/>
        <v>-0.112503691407444</v>
      </c>
      <c r="AK55" s="119">
        <f t="shared" ref="AK55" si="334">AK14/AF14-1</f>
        <v>-0.131393330625208</v>
      </c>
      <c r="AL55" s="119">
        <f t="shared" ref="AL55" si="335">AL14/AG14-1</f>
        <v>-0.0782783569225718</v>
      </c>
      <c r="AM55" s="119">
        <f t="shared" ref="AM55:AO55" si="336">AM14/AH14-1</f>
        <v>0.0799022082573757</v>
      </c>
      <c r="AN55" s="119">
        <f t="shared" si="336"/>
        <v>0.21085844587848</v>
      </c>
      <c r="AO55" s="83">
        <f t="shared" si="336"/>
        <v>0.0533309888119342</v>
      </c>
      <c r="AP55" s="119">
        <f t="shared" ref="AP55" si="337">AP14/AK14-1</f>
        <v>0.150203996304126</v>
      </c>
      <c r="AQ55" s="119">
        <f t="shared" ref="AQ55" si="338">AQ14/AL14-1</f>
        <v>0.0556710141405916</v>
      </c>
      <c r="AR55" s="119">
        <f t="shared" ref="AR55:AT55" si="339">AR14/AM14-1</f>
        <v>0.0271241685692027</v>
      </c>
      <c r="AS55" s="119">
        <f t="shared" si="339"/>
        <v>0.0269359797847017</v>
      </c>
      <c r="AT55" s="83">
        <f t="shared" si="339"/>
        <v>0.0494075230896036</v>
      </c>
      <c r="AU55" s="119">
        <f t="shared" ref="AU55" si="340">AU14/AP14-1</f>
        <v>0.0481612631004753</v>
      </c>
      <c r="AV55" s="119">
        <f t="shared" ref="AV55" si="341">AV14/AQ14-1</f>
        <v>0.0267280705374084</v>
      </c>
      <c r="AW55" s="119">
        <f t="shared" ref="AW55" si="342">AW14/AR14-1</f>
        <v>0.0291710917919292</v>
      </c>
      <c r="AX55" s="119">
        <f t="shared" ref="AX55" si="343">AX14/AS14-1</f>
        <v>0.0421857129725687</v>
      </c>
      <c r="AY55" s="83">
        <f t="shared" ref="AY55" si="344">AY14/AT14-1</f>
        <v>0.036559958699077</v>
      </c>
    </row>
    <row r="56" spans="1:57">
      <c r="A56" s="3" t="s">
        <v>185</v>
      </c>
      <c r="C56" s="83">
        <f>C17/B17-1</f>
        <v>-1.05214806462772</v>
      </c>
      <c r="D56" s="83">
        <f>D17/C17-1</f>
        <v>-12.0577395577396</v>
      </c>
      <c r="E56" s="83">
        <f>E17/D17-1</f>
        <v>0.7728919008999</v>
      </c>
      <c r="F56" s="83">
        <f>F17/E17-1</f>
        <v>-0.397197608692928</v>
      </c>
      <c r="K56" s="83">
        <f t="shared" ref="K56" si="345">K17/F17-1</f>
        <v>-1.94357236418072</v>
      </c>
      <c r="L56" s="119">
        <f t="shared" ref="L56" si="346">L17/G17-1</f>
        <v>-1.21387100538774</v>
      </c>
      <c r="M56" s="119">
        <f t="shared" ref="M56" si="347">M17/H17-1</f>
        <v>6.41262828790865</v>
      </c>
      <c r="N56" s="119">
        <f t="shared" ref="N56" si="348">N17/I17-1</f>
        <v>0.0907300284049677</v>
      </c>
      <c r="O56" s="119">
        <f t="shared" ref="O56:P56" si="349">O17/J17-1</f>
        <v>-0.311204726432058</v>
      </c>
      <c r="P56" s="83">
        <f t="shared" si="349"/>
        <v>-7.00861556089285</v>
      </c>
      <c r="Q56" s="119">
        <f t="shared" ref="Q56" si="350">Q17/L17-1</f>
        <v>-1.3175090375827</v>
      </c>
      <c r="R56" s="119">
        <f t="shared" ref="R56" si="351">R17/M17-1</f>
        <v>-1.14005794868974</v>
      </c>
      <c r="S56" s="119">
        <f t="shared" ref="S56" si="352">S17/N17-1</f>
        <v>-0.989469082061323</v>
      </c>
      <c r="T56" s="119">
        <f t="shared" ref="T56" si="353">T17/O17-1</f>
        <v>-0.377493026239241</v>
      </c>
      <c r="U56" s="83">
        <f t="shared" ref="U56" si="354">U17/P17-1</f>
        <v>-0.952161620014009</v>
      </c>
      <c r="V56" s="119">
        <f>ABS(V17/Q17)-1</f>
        <v>0.419262441818833</v>
      </c>
      <c r="W56" s="119">
        <f>ABS(W17/R17)-1</f>
        <v>2.7233387888707</v>
      </c>
      <c r="X56" s="119">
        <f t="shared" ref="X56" si="355">X17/S17-1</f>
        <v>172.666064981949</v>
      </c>
      <c r="Y56" s="119">
        <f t="shared" ref="Y56" si="356">Y17/T17-1</f>
        <v>2.79629052742565</v>
      </c>
      <c r="Z56" s="83">
        <f t="shared" ref="Z56:AA56" si="357">Z17/U17-1</f>
        <v>24.398850134151</v>
      </c>
      <c r="AA56" s="119">
        <f t="shared" si="357"/>
        <v>4.74419778002018</v>
      </c>
      <c r="AB56" s="119">
        <f t="shared" ref="AB56" si="358">AB17/W17-1</f>
        <v>1.34145655308225</v>
      </c>
      <c r="AC56" s="119">
        <f t="shared" ref="AC56" si="359">AC17/X17-1</f>
        <v>0.37176622215755</v>
      </c>
      <c r="AD56" s="119">
        <f t="shared" ref="AD56" si="360">AD17/Y17-1</f>
        <v>0.181810721928003</v>
      </c>
      <c r="AE56" s="83">
        <f t="shared" ref="AE56:AF56" si="361">AE17/Z17-1</f>
        <v>0.708950043461464</v>
      </c>
      <c r="AF56" s="119">
        <f t="shared" si="361"/>
        <v>-0.293693456302152</v>
      </c>
      <c r="AG56" s="119">
        <f t="shared" ref="AG56" si="362">AG17/AB17-1</f>
        <v>-0.155194941727742</v>
      </c>
      <c r="AH56" s="119">
        <f t="shared" ref="AH56:AJ56" si="363">AH17/AC17-1</f>
        <v>-0.143841065624077</v>
      </c>
      <c r="AI56" s="119">
        <f t="shared" si="363"/>
        <v>-0.0806298270539348</v>
      </c>
      <c r="AJ56" s="83">
        <f t="shared" si="363"/>
        <v>-0.155740759382787</v>
      </c>
      <c r="AK56" s="119">
        <f t="shared" ref="AK56" si="364">AK17/AF17-1</f>
        <v>-0.165134990610971</v>
      </c>
      <c r="AL56" s="119">
        <f t="shared" ref="AL56" si="365">AL17/AG17-1</f>
        <v>-0.0521795361819006</v>
      </c>
      <c r="AM56" s="119">
        <f t="shared" ref="AM56:AO56" si="366">AM17/AH17-1</f>
        <v>0.0768286514612735</v>
      </c>
      <c r="AN56" s="119">
        <f t="shared" si="366"/>
        <v>0.210485755002615</v>
      </c>
      <c r="AO56" s="83">
        <f t="shared" si="366"/>
        <v>0.0538929176917924</v>
      </c>
      <c r="AP56" s="119">
        <f t="shared" ref="AP56" si="367">AP17/AK17-1</f>
        <v>0.112236676258102</v>
      </c>
      <c r="AQ56" s="119">
        <f t="shared" ref="AQ56" si="368">AQ17/AL17-1</f>
        <v>0.0723516769757315</v>
      </c>
      <c r="AR56" s="119">
        <f t="shared" ref="AR56:AT56" si="369">AR17/AM17-1</f>
        <v>0.0109836459202579</v>
      </c>
      <c r="AS56" s="119">
        <f t="shared" si="369"/>
        <v>-0.0019917942937403</v>
      </c>
      <c r="AT56" s="83">
        <f t="shared" si="369"/>
        <v>0.0320984237694681</v>
      </c>
      <c r="AU56" s="119">
        <f t="shared" ref="AU56" si="370">AU17/AP17-1</f>
        <v>0.0466421888061268</v>
      </c>
      <c r="AV56" s="119">
        <f t="shared" ref="AV56" si="371">AV17/AQ17-1</f>
        <v>0.0267280705374084</v>
      </c>
      <c r="AW56" s="119">
        <f t="shared" ref="AW56" si="372">AW17/AR17-1</f>
        <v>0.0291710917919292</v>
      </c>
      <c r="AX56" s="119">
        <f t="shared" ref="AX56" si="373">AX17/AS17-1</f>
        <v>0.0421857129725685</v>
      </c>
      <c r="AY56" s="83">
        <f t="shared" ref="AY56" si="374">AY17/AT17-1</f>
        <v>0.0363474925048386</v>
      </c>
    </row>
    <row r="57" spans="1:57">
      <c r="A57" s="129" t="s">
        <v>186</v>
      </c>
      <c r="B57" s="223"/>
      <c r="C57" s="224">
        <f>(C18-B18)/ABS(B18)</f>
        <v>-1.05333041931499</v>
      </c>
      <c r="D57" s="224">
        <f>(D18-C18)/ABS(C18)</f>
        <v>11.8147665907849</v>
      </c>
      <c r="E57" s="224">
        <f>(E18-D18)/ABS(D18)</f>
        <v>0.779712984337703</v>
      </c>
      <c r="F57" s="224">
        <f>(F18-E18)/ABS(E18)</f>
        <v>-0.366415079087277</v>
      </c>
      <c r="G57" s="225"/>
      <c r="H57" s="225"/>
      <c r="I57" s="225"/>
      <c r="J57" s="225"/>
      <c r="K57" s="224">
        <f t="shared" ref="K57:V57" si="375">(K18-F18)/ABS(F18)</f>
        <v>-1.99090463904271</v>
      </c>
      <c r="L57" s="226">
        <f t="shared" si="375"/>
        <v>1.20481902684258</v>
      </c>
      <c r="M57" s="226">
        <f t="shared" si="375"/>
        <v>6.314388078904</v>
      </c>
      <c r="N57" s="226">
        <f t="shared" si="375"/>
        <v>0.133532287064575</v>
      </c>
      <c r="O57" s="226">
        <f t="shared" si="375"/>
        <v>-0.239767151892336</v>
      </c>
      <c r="P57" s="224">
        <f t="shared" si="375"/>
        <v>7.00861556089284</v>
      </c>
      <c r="Q57" s="226">
        <f t="shared" si="375"/>
        <v>-1.3981590279651</v>
      </c>
      <c r="R57" s="226">
        <f t="shared" si="375"/>
        <v>-1.17808442729456</v>
      </c>
      <c r="S57" s="226">
        <f t="shared" si="375"/>
        <v>-0.986919878933419</v>
      </c>
      <c r="T57" s="226">
        <f t="shared" si="375"/>
        <v>-0.286542371482973</v>
      </c>
      <c r="U57" s="224">
        <f t="shared" si="375"/>
        <v>-0.942736927995059</v>
      </c>
      <c r="V57" s="226">
        <f t="shared" si="375"/>
        <v>2.43608390196824</v>
      </c>
      <c r="W57" s="226">
        <f t="shared" ref="W57:AT57" si="376">(W18-R18)/ABS(R18)</f>
        <v>4.64337960443523</v>
      </c>
      <c r="X57" s="226">
        <f t="shared" si="376"/>
        <v>162.310255619047</v>
      </c>
      <c r="Y57" s="226">
        <f t="shared" si="376"/>
        <v>2.64116578855708</v>
      </c>
      <c r="Z57" s="224">
        <f t="shared" si="376"/>
        <v>24.2066462650252</v>
      </c>
      <c r="AA57" s="226">
        <f t="shared" si="376"/>
        <v>4.54915209746037</v>
      </c>
      <c r="AB57" s="226">
        <f t="shared" si="376"/>
        <v>1.26538415507581</v>
      </c>
      <c r="AC57" s="226">
        <f t="shared" si="376"/>
        <v>0.365409326350392</v>
      </c>
      <c r="AD57" s="226">
        <f t="shared" si="376"/>
        <v>0.202941437262603</v>
      </c>
      <c r="AE57" s="224">
        <f t="shared" si="376"/>
        <v>0.701045855119767</v>
      </c>
      <c r="AF57" s="226">
        <f t="shared" si="376"/>
        <v>-0.256839526364764</v>
      </c>
      <c r="AG57" s="226">
        <f t="shared" si="376"/>
        <v>-0.0729260221275027</v>
      </c>
      <c r="AH57" s="226">
        <f t="shared" si="376"/>
        <v>-0.0546507654075583</v>
      </c>
      <c r="AI57" s="226">
        <f t="shared" si="376"/>
        <v>0.0297644734488444</v>
      </c>
      <c r="AJ57" s="224">
        <f t="shared" si="376"/>
        <v>-0.0774557258285674</v>
      </c>
      <c r="AK57" s="226">
        <f t="shared" si="376"/>
        <v>-0.0745330278826521</v>
      </c>
      <c r="AL57" s="226">
        <f t="shared" si="376"/>
        <v>0.0446444198504583</v>
      </c>
      <c r="AM57" s="226">
        <f t="shared" si="376"/>
        <v>0.187070888481859</v>
      </c>
      <c r="AN57" s="226">
        <f t="shared" si="376"/>
        <v>0.323834545874063</v>
      </c>
      <c r="AO57" s="224">
        <f t="shared" si="376"/>
        <v>0.161174642563681</v>
      </c>
      <c r="AP57" s="226">
        <f t="shared" si="376"/>
        <v>0.198249464190577</v>
      </c>
      <c r="AQ57" s="226">
        <f t="shared" si="376"/>
        <v>0.125357178392609</v>
      </c>
      <c r="AR57" s="226">
        <f t="shared" si="376"/>
        <v>0.0565657910632395</v>
      </c>
      <c r="AS57" s="226">
        <f t="shared" si="376"/>
        <v>0.0386441520866633</v>
      </c>
      <c r="AT57" s="224">
        <f t="shared" si="376"/>
        <v>0.0870928378505101</v>
      </c>
      <c r="AU57" s="226">
        <f t="shared" ref="AU57" si="377">(AU18-AP18)/ABS(AP18)</f>
        <v>0.0899811099834335</v>
      </c>
      <c r="AV57" s="226">
        <f t="shared" ref="AV57" si="378">(AV18-AQ18)/ABS(AQ18)</f>
        <v>0.0699769206018337</v>
      </c>
      <c r="AW57" s="226">
        <f t="shared" ref="AW57" si="379">(AW18-AR18)/ABS(AR18)</f>
        <v>0.0732851261449476</v>
      </c>
      <c r="AX57" s="226">
        <f t="shared" ref="AX57" si="380">(AX18-AS18)/ABS(AS18)</f>
        <v>0.0876562684235029</v>
      </c>
      <c r="AY57" s="224">
        <f t="shared" ref="AY57" si="381">(AY18-AT18)/ABS(AT18)</f>
        <v>0.0803883038017016</v>
      </c>
    </row>
    <row r="58" spans="1:57">
      <c r="AF58" s="119"/>
    </row>
    <row r="59" spans="1:57">
      <c r="A59" s="14" t="s">
        <v>187</v>
      </c>
      <c r="B59" s="15"/>
      <c r="C59" s="15"/>
      <c r="D59" s="15"/>
      <c r="E59" s="15"/>
      <c r="F59" s="15"/>
      <c r="G59" s="192"/>
      <c r="H59" s="192"/>
      <c r="I59" s="192"/>
      <c r="J59" s="192"/>
      <c r="K59" s="193"/>
      <c r="L59" s="192"/>
      <c r="M59" s="192"/>
      <c r="N59" s="192"/>
      <c r="O59" s="192"/>
      <c r="P59" s="193"/>
      <c r="Q59" s="192"/>
      <c r="R59" s="192"/>
      <c r="S59" s="192"/>
      <c r="T59" s="192"/>
      <c r="U59" s="193"/>
      <c r="V59" s="192"/>
      <c r="W59" s="192"/>
      <c r="X59" s="192"/>
      <c r="Y59" s="192"/>
      <c r="Z59" s="193"/>
      <c r="AA59" s="192"/>
      <c r="AB59" s="192"/>
      <c r="AC59" s="192"/>
      <c r="AD59" s="192"/>
      <c r="AE59" s="193"/>
      <c r="AF59" s="192"/>
      <c r="AG59" s="192"/>
      <c r="AH59" s="192"/>
      <c r="AI59" s="192"/>
      <c r="AJ59" s="193"/>
      <c r="AK59" s="192"/>
      <c r="AL59" s="192"/>
      <c r="AM59" s="192"/>
      <c r="AN59" s="192"/>
      <c r="AO59" s="193"/>
      <c r="AP59" s="192"/>
      <c r="AQ59" s="192"/>
      <c r="AR59" s="192"/>
      <c r="AS59" s="192"/>
      <c r="AT59" s="193"/>
      <c r="AU59" s="192"/>
      <c r="AV59" s="192"/>
      <c r="AW59" s="192"/>
      <c r="AX59" s="192"/>
      <c r="AY59" s="193"/>
    </row>
    <row r="60" spans="1:57">
      <c r="A60" s="182" t="s">
        <v>188</v>
      </c>
      <c r="B60" s="60">
        <f>SCF!B7</f>
        <v>213680</v>
      </c>
      <c r="C60" s="60">
        <f>SCF!C7</f>
        <v>195414</v>
      </c>
      <c r="D60" s="60">
        <f>SCF!D7</f>
        <v>194549</v>
      </c>
      <c r="E60" s="60">
        <f>SCF!E7</f>
        <v>178030</v>
      </c>
      <c r="F60" s="60">
        <f>SCF!F7</f>
        <v>173625</v>
      </c>
      <c r="G60" s="184">
        <v>44037</v>
      </c>
      <c r="H60" s="184">
        <v>38716</v>
      </c>
      <c r="I60" s="184">
        <v>44495</v>
      </c>
      <c r="J60" s="184">
        <v>39033</v>
      </c>
      <c r="K60" s="227">
        <f>SUM(G60:J60)</f>
        <v>166281</v>
      </c>
      <c r="L60" s="184">
        <v>37856</v>
      </c>
      <c r="M60" s="184">
        <f>-L60+72249</f>
        <v>34393</v>
      </c>
      <c r="N60" s="184">
        <f>-SUM(L60:M60)+107787</f>
        <v>35538</v>
      </c>
      <c r="O60" s="184">
        <f>-SUM(L60:N60)+144035</f>
        <v>36248</v>
      </c>
      <c r="P60" s="227">
        <f>SUM(L60:O60)</f>
        <v>144035</v>
      </c>
      <c r="Q60" s="184">
        <v>33888</v>
      </c>
      <c r="R60" s="184">
        <f>-Q60+65543</f>
        <v>31655</v>
      </c>
      <c r="S60" s="184">
        <f>-SUM(Q60:R60)+98393</f>
        <v>32850</v>
      </c>
      <c r="T60" s="184">
        <f>-SUM(Q60:S60)+132243</f>
        <v>33850</v>
      </c>
      <c r="U60" s="227">
        <f>SUM(Q60:T60)</f>
        <v>132243</v>
      </c>
      <c r="V60" s="184">
        <v>36028</v>
      </c>
      <c r="W60" s="184">
        <v>36383</v>
      </c>
      <c r="X60" s="184">
        <f>-SUM(V60:W60)+105547</f>
        <v>33136</v>
      </c>
      <c r="Y60" s="184">
        <f>-SUM(V60:X60)+141104</f>
        <v>35557</v>
      </c>
      <c r="Z60" s="227">
        <f>SUM(V60:Y60)</f>
        <v>141104</v>
      </c>
      <c r="AA60" s="184">
        <v>37689</v>
      </c>
      <c r="AB60" s="184">
        <v>39355</v>
      </c>
      <c r="AC60" s="184">
        <v>39566</v>
      </c>
      <c r="AD60" s="184">
        <v>37163</v>
      </c>
      <c r="AE60" s="227">
        <f>SUM(AA60:AD60)</f>
        <v>153773</v>
      </c>
      <c r="AF60" s="184">
        <v>38576</v>
      </c>
      <c r="AG60" s="184">
        <f>-AF60+76000</f>
        <v>37424</v>
      </c>
      <c r="AH60" s="184">
        <v>38566</v>
      </c>
      <c r="AI60" s="184">
        <v>40455</v>
      </c>
      <c r="AJ60" s="228">
        <f>SUM(AF60:AI60)</f>
        <v>155021</v>
      </c>
      <c r="AK60" s="184">
        <v>42304</v>
      </c>
      <c r="AL60" s="229">
        <v>43279</v>
      </c>
      <c r="AM60" s="230">
        <f>SCF!AM7</f>
        <v>43337.99648</v>
      </c>
      <c r="AN60" s="230">
        <f>SCF!AN7</f>
        <v>44273.0856</v>
      </c>
      <c r="AO60" s="228">
        <f>SUM(AK60:AN60)</f>
        <v>173194.08208</v>
      </c>
      <c r="AP60" s="230">
        <f>SCF!AP7</f>
        <v>44674.68584</v>
      </c>
      <c r="AQ60" s="230">
        <f>SCF!AQ7</f>
        <v>45080.02632</v>
      </c>
      <c r="AR60" s="230">
        <f>SCF!AR7</f>
        <v>45461.4299424</v>
      </c>
      <c r="AS60" s="230">
        <f>SCF!AS7</f>
        <v>45959.2716672</v>
      </c>
      <c r="AT60" s="228">
        <f>SUM(AP60:AS60)</f>
        <v>181175.4137696</v>
      </c>
      <c r="AU60" s="230">
        <f>SCF!AU7</f>
        <v>46214.9185164</v>
      </c>
      <c r="AV60" s="230">
        <f>SCF!AV7</f>
        <v>46506.256878</v>
      </c>
      <c r="AW60" s="230">
        <f>SCF!AW7</f>
        <v>46846.876369264</v>
      </c>
      <c r="AX60" s="230">
        <f>SCF!AX7</f>
        <v>47292.775474784</v>
      </c>
      <c r="AY60" s="228">
        <f>SUM(AU60:AX60)</f>
        <v>186860.827238448</v>
      </c>
    </row>
    <row r="61" s="157" customFormat="1" spans="1:57">
      <c r="A61" s="143" t="s">
        <v>189</v>
      </c>
      <c r="B61" s="105">
        <f t="shared" ref="B61:F61" si="382">B60+B12</f>
        <v>350175</v>
      </c>
      <c r="C61" s="105">
        <f t="shared" si="382"/>
        <v>198676</v>
      </c>
      <c r="D61" s="105">
        <f t="shared" si="382"/>
        <v>295330</v>
      </c>
      <c r="E61" s="105">
        <f t="shared" si="382"/>
        <v>316662</v>
      </c>
      <c r="F61" s="105">
        <f t="shared" si="382"/>
        <v>256445</v>
      </c>
      <c r="G61" s="106">
        <f t="shared" ref="G61:Y61" si="383">G60+G12</f>
        <v>-122162</v>
      </c>
      <c r="H61" s="106">
        <f t="shared" si="383"/>
        <v>60942</v>
      </c>
      <c r="I61" s="106">
        <f t="shared" si="383"/>
        <v>109440</v>
      </c>
      <c r="J61" s="106">
        <f t="shared" si="383"/>
        <v>170529</v>
      </c>
      <c r="K61" s="105">
        <f t="shared" ref="K61" si="384">SUM(G61:J61)</f>
        <v>218749</v>
      </c>
      <c r="L61" s="106">
        <f t="shared" ref="L61:N61" si="385">L60+L12</f>
        <v>97953</v>
      </c>
      <c r="M61" s="106">
        <f t="shared" si="385"/>
        <v>149966</v>
      </c>
      <c r="N61" s="106">
        <f t="shared" si="385"/>
        <v>115018</v>
      </c>
      <c r="O61" s="106">
        <f t="shared" si="383"/>
        <v>136282</v>
      </c>
      <c r="P61" s="105">
        <f t="shared" ref="P61" si="386">SUM(L61:O61)</f>
        <v>499219</v>
      </c>
      <c r="Q61" s="106">
        <f t="shared" ref="Q61:S61" si="387">Q60+Q12</f>
        <v>27584</v>
      </c>
      <c r="R61" s="106">
        <f t="shared" si="387"/>
        <v>31634</v>
      </c>
      <c r="S61" s="106">
        <f t="shared" si="387"/>
        <v>54137</v>
      </c>
      <c r="T61" s="106">
        <f t="shared" si="383"/>
        <v>125567</v>
      </c>
      <c r="U61" s="105">
        <f t="shared" ref="U61" si="388">SUM(Q61:T61)</f>
        <v>238922</v>
      </c>
      <c r="V61" s="106">
        <f t="shared" ref="V61:X61" si="389">V60+V12</f>
        <v>74472</v>
      </c>
      <c r="W61" s="106">
        <f t="shared" si="389"/>
        <v>126225</v>
      </c>
      <c r="X61" s="106">
        <f t="shared" si="389"/>
        <v>171156</v>
      </c>
      <c r="Y61" s="106">
        <f t="shared" si="383"/>
        <v>258358</v>
      </c>
      <c r="Z61" s="105">
        <f t="shared" ref="Z61" si="390">SUM(V61:Y61)</f>
        <v>630211</v>
      </c>
      <c r="AA61" s="106">
        <f>AA60+AA12</f>
        <v>167538</v>
      </c>
      <c r="AB61" s="106">
        <f t="shared" ref="AB61:AC61" si="391">AB60+AB12</f>
        <v>214980</v>
      </c>
      <c r="AC61" s="106">
        <f t="shared" si="391"/>
        <v>218848</v>
      </c>
      <c r="AD61" s="106">
        <f t="shared" ref="AD61" si="392">AD60+AD12</f>
        <v>293227</v>
      </c>
      <c r="AE61" s="105">
        <f>SUM(AA61:AD61)</f>
        <v>894593</v>
      </c>
      <c r="AF61" s="106">
        <f>AF60+AF12</f>
        <v>140109</v>
      </c>
      <c r="AG61" s="106">
        <f>AG60+AG12</f>
        <v>205508</v>
      </c>
      <c r="AH61" s="106">
        <f>AH60+AH12</f>
        <v>193587</v>
      </c>
      <c r="AI61" s="106">
        <f>AI60+AI12</f>
        <v>276386</v>
      </c>
      <c r="AJ61" s="105">
        <f>SUM(AF61:AI61)</f>
        <v>815590</v>
      </c>
      <c r="AK61" s="106">
        <f t="shared" ref="AK61:AM61" si="393">AK60+AK12</f>
        <v>131101</v>
      </c>
      <c r="AL61" s="106">
        <f t="shared" si="393"/>
        <v>195979</v>
      </c>
      <c r="AM61" s="106">
        <f t="shared" si="393"/>
        <v>212661.215725524</v>
      </c>
      <c r="AN61" s="106">
        <f t="shared" ref="AN61" si="394">AN60+AN12</f>
        <v>332239.16026</v>
      </c>
      <c r="AO61" s="105">
        <f>SUM(AK61:AN61)</f>
        <v>871980.375985524</v>
      </c>
      <c r="AP61" s="106">
        <f t="shared" ref="AP61:AS61" si="395">AP60+AP12</f>
        <v>148390.478628277</v>
      </c>
      <c r="AQ61" s="106">
        <f t="shared" si="395"/>
        <v>206538.89944</v>
      </c>
      <c r="AR61" s="106">
        <f t="shared" si="395"/>
        <v>219499.459487981</v>
      </c>
      <c r="AS61" s="106">
        <f t="shared" si="395"/>
        <v>342330.142581738</v>
      </c>
      <c r="AT61" s="105">
        <f>SUM(AP61:AS61)</f>
        <v>916758.980137996</v>
      </c>
      <c r="AU61" s="106">
        <f t="shared" ref="AU61:AX61" si="396">AU60+AU12</f>
        <v>155142.52057278</v>
      </c>
      <c r="AV61" s="106">
        <f t="shared" si="396"/>
        <v>212400.89046506</v>
      </c>
      <c r="AW61" s="106">
        <f t="shared" si="396"/>
        <v>226093.055163069</v>
      </c>
      <c r="AX61" s="106">
        <f t="shared" si="396"/>
        <v>356377.191448015</v>
      </c>
      <c r="AY61" s="105">
        <f>SUM(AU61:AX61)</f>
        <v>950013.657648925</v>
      </c>
    </row>
    <row r="62" spans="1:57">
      <c r="A62" s="231" t="s">
        <v>190</v>
      </c>
      <c r="B62" s="83">
        <f t="shared" ref="B62:F62" si="397">B61/B$6</f>
        <v>0.099518853661032</v>
      </c>
      <c r="C62" s="83">
        <f t="shared" si="397"/>
        <v>0.0597209279955752</v>
      </c>
      <c r="D62" s="83">
        <f t="shared" si="397"/>
        <v>0.0845566025040871</v>
      </c>
      <c r="E62" s="83">
        <f t="shared" si="397"/>
        <v>0.0882040071763838</v>
      </c>
      <c r="F62" s="83">
        <f t="shared" si="397"/>
        <v>0.0707810745187856</v>
      </c>
      <c r="G62" s="211">
        <f t="shared" ref="G62:AA62" si="398">G61/G$6</f>
        <v>-0.251694106836383</v>
      </c>
      <c r="H62" s="211">
        <f t="shared" si="398"/>
        <v>0.0872684469189264</v>
      </c>
      <c r="I62" s="211">
        <f t="shared" si="398"/>
        <v>0.133519916354848</v>
      </c>
      <c r="J62" s="211">
        <f t="shared" si="398"/>
        <v>0.151980670989729</v>
      </c>
      <c r="K62" s="83">
        <f t="shared" si="398"/>
        <v>0.0699910794961515</v>
      </c>
      <c r="L62" s="211">
        <f t="shared" si="398"/>
        <v>0.125354969574037</v>
      </c>
      <c r="M62" s="211">
        <f t="shared" si="398"/>
        <v>0.173401167832572</v>
      </c>
      <c r="N62" s="211">
        <f t="shared" si="398"/>
        <v>0.127069247425869</v>
      </c>
      <c r="O62" s="211">
        <f t="shared" si="398"/>
        <v>0.11734761093311</v>
      </c>
      <c r="P62" s="83">
        <f t="shared" si="398"/>
        <v>0.134460057832862</v>
      </c>
      <c r="Q62" s="211">
        <f t="shared" si="398"/>
        <v>0.0339385945701202</v>
      </c>
      <c r="R62" s="211">
        <f t="shared" si="398"/>
        <v>0.0392924526544204</v>
      </c>
      <c r="S62" s="211">
        <f t="shared" si="398"/>
        <v>0.0615134464437486</v>
      </c>
      <c r="T62" s="211">
        <f t="shared" si="398"/>
        <v>0.104655388251846</v>
      </c>
      <c r="U62" s="83">
        <f t="shared" si="398"/>
        <v>0.0646127876106314</v>
      </c>
      <c r="V62" s="211">
        <f t="shared" si="398"/>
        <v>0.089081979057266</v>
      </c>
      <c r="W62" s="211">
        <f t="shared" si="398"/>
        <v>0.134950205539133</v>
      </c>
      <c r="X62" s="211">
        <f t="shared" si="398"/>
        <v>0.162013420658803</v>
      </c>
      <c r="Y62" s="211">
        <f t="shared" si="398"/>
        <v>0.177821429726748</v>
      </c>
      <c r="Z62" s="83">
        <f t="shared" si="398"/>
        <v>0.14722227348618</v>
      </c>
      <c r="AA62" s="211">
        <f t="shared" si="398"/>
        <v>0.164135471672235</v>
      </c>
      <c r="AB62" s="211">
        <f t="shared" ref="AB62:AC62" si="399">AB61/AB$6</f>
        <v>0.189581066232559</v>
      </c>
      <c r="AC62" s="211">
        <f t="shared" si="399"/>
        <v>0.181020806209604</v>
      </c>
      <c r="AD62" s="211">
        <f t="shared" ref="AD62:AF62" si="400">AD61/AD$6</f>
        <v>0.185010950100226</v>
      </c>
      <c r="AE62" s="83">
        <f t="shared" si="400"/>
        <v>0.180777462334198</v>
      </c>
      <c r="AF62" s="211">
        <f t="shared" si="400"/>
        <v>0.127683947395041</v>
      </c>
      <c r="AG62" s="211">
        <f t="shared" ref="AG62" si="401">AG61/AG$6</f>
        <v>0.170043688356391</v>
      </c>
      <c r="AH62" s="211">
        <f t="shared" ref="AH62:AJ62" si="402">AH61/AH$6</f>
        <v>0.149995467291277</v>
      </c>
      <c r="AI62" s="211">
        <f t="shared" si="402"/>
        <v>0.165520223355823</v>
      </c>
      <c r="AJ62" s="83">
        <f t="shared" si="402"/>
        <v>0.154869878084998</v>
      </c>
      <c r="AK62" s="211">
        <f t="shared" ref="AK62:AM62" si="403">AK61/AK$6</f>
        <v>0.117703832123833</v>
      </c>
      <c r="AL62" s="211">
        <f t="shared" si="403"/>
        <v>0.154717535243458</v>
      </c>
      <c r="AM62" s="211">
        <f t="shared" si="403"/>
        <v>0.155574930376135</v>
      </c>
      <c r="AN62" s="211">
        <f t="shared" ref="AN62:AO62" si="404">AN61/AN$6</f>
        <v>0.185952518977375</v>
      </c>
      <c r="AO62" s="83">
        <f t="shared" si="404"/>
        <v>0.157563967212716</v>
      </c>
      <c r="AP62" s="211">
        <f t="shared" ref="AP62:AT62" si="405">AP61/AP$6</f>
        <v>0.127480925862892</v>
      </c>
      <c r="AQ62" s="211">
        <f t="shared" si="405"/>
        <v>0.156782837472643</v>
      </c>
      <c r="AR62" s="211">
        <f t="shared" si="405"/>
        <v>0.155165729073506</v>
      </c>
      <c r="AS62" s="211">
        <f t="shared" si="405"/>
        <v>0.18515157337526</v>
      </c>
      <c r="AT62" s="83">
        <f t="shared" si="405"/>
        <v>0.159577634176003</v>
      </c>
      <c r="AU62" s="211">
        <f t="shared" ref="AU62:AY62" si="406">AU61/AU$6</f>
        <v>0.129720333536046</v>
      </c>
      <c r="AV62" s="211">
        <f t="shared" si="406"/>
        <v>0.156895399958571</v>
      </c>
      <c r="AW62" s="211">
        <f t="shared" si="406"/>
        <v>0.155156832990467</v>
      </c>
      <c r="AX62" s="211">
        <f t="shared" si="406"/>
        <v>0.18710845390825</v>
      </c>
      <c r="AY62" s="83">
        <f t="shared" si="406"/>
        <v>0.160703388305973</v>
      </c>
    </row>
    <row r="63" spans="1:57">
      <c r="A63" s="231" t="s">
        <v>191</v>
      </c>
      <c r="B63" s="135"/>
      <c r="C63" s="135"/>
      <c r="D63" s="135"/>
      <c r="E63" s="135"/>
      <c r="F63" s="135"/>
      <c r="L63" s="200">
        <f t="shared" ref="L63" si="407">(ROUND(L62,3)-ROUND(G62,3))*10^4</f>
        <v>3770</v>
      </c>
      <c r="M63" s="200">
        <f t="shared" ref="M63" si="408">(ROUND(M62,3)-ROUND(H62,3))*10^4</f>
        <v>860</v>
      </c>
      <c r="N63" s="200">
        <f t="shared" ref="N63" si="409">(ROUND(N62,3)-ROUND(I62,3))*10^4</f>
        <v>-70.0000000000001</v>
      </c>
      <c r="O63" s="200">
        <f t="shared" ref="O63" si="410">(ROUND(O62,3)-ROUND(J62,3))*10^4</f>
        <v>-350</v>
      </c>
      <c r="P63" s="199">
        <f t="shared" ref="P63:Q63" si="411">(ROUND(P62,3)-ROUND(K62,3))*10^4</f>
        <v>640</v>
      </c>
      <c r="Q63" s="200">
        <f t="shared" si="411"/>
        <v>-910</v>
      </c>
      <c r="R63" s="200">
        <f t="shared" ref="R63" si="412">(ROUND(R62,3)-ROUND(M62,3))*10^4</f>
        <v>-1340</v>
      </c>
      <c r="S63" s="200">
        <f t="shared" ref="S63" si="413">(ROUND(S62,3)-ROUND(N62,3))*10^4</f>
        <v>-650</v>
      </c>
      <c r="T63" s="200">
        <f t="shared" ref="T63" si="414">(ROUND(T62,3)-ROUND(O62,3))*10^4</f>
        <v>-120</v>
      </c>
      <c r="U63" s="199">
        <f t="shared" ref="U63:V63" si="415">(ROUND(U62,3)-ROUND(P62,3))*10^4</f>
        <v>-690</v>
      </c>
      <c r="V63" s="200">
        <f t="shared" si="415"/>
        <v>550</v>
      </c>
      <c r="W63" s="200">
        <f t="shared" ref="W63" si="416">(ROUND(W62,3)-ROUND(R62,3))*10^4</f>
        <v>960</v>
      </c>
      <c r="X63" s="200">
        <f t="shared" ref="X63" si="417">(ROUND(X62,3)-ROUND(S62,3))*10^4</f>
        <v>1000</v>
      </c>
      <c r="Y63" s="200">
        <f t="shared" ref="Y63" si="418">(ROUND(Y62,3)-ROUND(T62,3))*10^4</f>
        <v>730</v>
      </c>
      <c r="Z63" s="199">
        <f t="shared" ref="Z63:AA63" si="419">(ROUND(Z62,3)-ROUND(U62,3))*10^4</f>
        <v>820</v>
      </c>
      <c r="AA63" s="200">
        <f t="shared" si="419"/>
        <v>750</v>
      </c>
      <c r="AB63" s="200">
        <f t="shared" ref="AB63" si="420">(ROUND(AB62,3)-ROUND(W62,3))*10^4</f>
        <v>550</v>
      </c>
      <c r="AC63" s="200">
        <f t="shared" ref="AC63" si="421">(ROUND(AC62,3)-ROUND(X62,3))*10^4</f>
        <v>190</v>
      </c>
      <c r="AD63" s="200">
        <f t="shared" ref="AD63" si="422">(ROUND(AD62,3)-ROUND(Y62,3))*10^4</f>
        <v>70.0000000000001</v>
      </c>
      <c r="AE63" s="199">
        <f t="shared" ref="AE63:AF63" si="423">(ROUND(AE62,3)-ROUND(Z62,3))*10^4</f>
        <v>340</v>
      </c>
      <c r="AF63" s="200">
        <f t="shared" si="423"/>
        <v>-360</v>
      </c>
      <c r="AG63" s="200">
        <f t="shared" ref="AG63" si="424">(ROUND(AG62,3)-ROUND(AB62,3))*10^4</f>
        <v>-200</v>
      </c>
      <c r="AH63" s="200">
        <f t="shared" ref="AH63:AJ63" si="425">(ROUND(AH62,3)-ROUND(AC62,3))*10^4</f>
        <v>-310</v>
      </c>
      <c r="AI63" s="200">
        <f t="shared" si="425"/>
        <v>-190</v>
      </c>
      <c r="AJ63" s="199">
        <f t="shared" si="425"/>
        <v>-260</v>
      </c>
      <c r="AK63" s="200">
        <f t="shared" ref="AK63" si="426">(ROUND(AK62,3)-ROUND(AF62,3))*10^4</f>
        <v>-100</v>
      </c>
      <c r="AL63" s="200">
        <f t="shared" ref="AL63" si="427">(ROUND(AL62,3)-ROUND(AG62,3))*10^4</f>
        <v>-150</v>
      </c>
      <c r="AM63" s="200">
        <f t="shared" ref="AM63:AO63" si="428">(ROUND(AM62,3)-ROUND(AH62,3))*10^4</f>
        <v>60.0000000000001</v>
      </c>
      <c r="AN63" s="200">
        <f t="shared" si="428"/>
        <v>200</v>
      </c>
      <c r="AO63" s="199">
        <f t="shared" si="428"/>
        <v>30</v>
      </c>
      <c r="AP63" s="200">
        <f t="shared" ref="AP63" si="429">(ROUND(AP62,3)-ROUND(AK62,3))*10^4</f>
        <v>90.0000000000001</v>
      </c>
      <c r="AQ63" s="200">
        <f t="shared" ref="AQ63" si="430">(ROUND(AQ62,3)-ROUND(AL62,3))*10^4</f>
        <v>20</v>
      </c>
      <c r="AR63" s="200">
        <f t="shared" ref="AR63:AT63" si="431">(ROUND(AR62,3)-ROUND(AM62,3))*10^4</f>
        <v>-10</v>
      </c>
      <c r="AS63" s="200">
        <f t="shared" si="431"/>
        <v>-10</v>
      </c>
      <c r="AT63" s="199">
        <f t="shared" si="431"/>
        <v>20</v>
      </c>
      <c r="AU63" s="200">
        <f t="shared" ref="AU63" si="432">(ROUND(AU62,3)-ROUND(AP62,3))*10^4</f>
        <v>30</v>
      </c>
      <c r="AV63" s="200">
        <f t="shared" ref="AV63" si="433">(ROUND(AV62,3)-ROUND(AQ62,3))*10^4</f>
        <v>0</v>
      </c>
      <c r="AW63" s="200">
        <f t="shared" ref="AW63" si="434">(ROUND(AW62,3)-ROUND(AR62,3))*10^4</f>
        <v>0</v>
      </c>
      <c r="AX63" s="200">
        <f t="shared" ref="AX63" si="435">(ROUND(AX62,3)-ROUND(AS62,3))*10^4</f>
        <v>20</v>
      </c>
      <c r="AY63" s="199">
        <f t="shared" ref="AY63" si="436">(ROUND(AY62,3)-ROUND(AT62,3))*10^4</f>
        <v>10</v>
      </c>
    </row>
    <row r="64" spans="1:57">
      <c r="A64" s="188"/>
      <c r="AH64" s="200"/>
      <c r="AI64" s="200"/>
      <c r="AK64" s="200"/>
      <c r="AL64" s="200"/>
      <c r="AM64" s="200"/>
      <c r="AN64" s="200"/>
      <c r="AP64" s="200"/>
      <c r="AQ64" s="200"/>
      <c r="AR64" s="200"/>
      <c r="AS64" s="200"/>
      <c r="AU64" s="200"/>
      <c r="AV64" s="200"/>
      <c r="AW64" s="200"/>
      <c r="AX64" s="200"/>
      <c r="BB64" s="232"/>
    </row>
    <row r="65" spans="1:55">
      <c r="A65" s="188" t="s">
        <v>192</v>
      </c>
      <c r="B65" s="79">
        <f t="shared" ref="B65:F65" si="437">B61+B69</f>
        <v>740402</v>
      </c>
      <c r="C65" s="79">
        <f t="shared" si="437"/>
        <v>600156</v>
      </c>
      <c r="D65" s="79">
        <f t="shared" si="437"/>
        <v>671142</v>
      </c>
      <c r="E65" s="79">
        <f t="shared" si="437"/>
        <v>687560</v>
      </c>
      <c r="F65" s="79">
        <f t="shared" si="437"/>
        <v>827899</v>
      </c>
      <c r="G65" s="6">
        <f t="shared" ref="G65:V65" si="438">G61+G69</f>
        <v>-769</v>
      </c>
      <c r="H65" s="6">
        <f t="shared" si="438"/>
        <v>168073</v>
      </c>
      <c r="I65" s="6">
        <f t="shared" si="438"/>
        <v>207611</v>
      </c>
      <c r="J65" s="6">
        <f t="shared" si="438"/>
        <v>415288</v>
      </c>
      <c r="K65" s="79">
        <f t="shared" si="438"/>
        <v>790203</v>
      </c>
      <c r="L65" s="6">
        <f t="shared" si="438"/>
        <v>190871</v>
      </c>
      <c r="M65" s="6">
        <f t="shared" si="438"/>
        <v>238496</v>
      </c>
      <c r="N65" s="6">
        <f t="shared" si="438"/>
        <v>207328</v>
      </c>
      <c r="O65" s="6">
        <f t="shared" si="438"/>
        <v>241367</v>
      </c>
      <c r="P65" s="79">
        <f t="shared" si="438"/>
        <v>878062</v>
      </c>
      <c r="Q65" s="6">
        <f t="shared" si="438"/>
        <v>119228</v>
      </c>
      <c r="R65" s="6">
        <f t="shared" si="438"/>
        <v>125155</v>
      </c>
      <c r="S65" s="6">
        <f t="shared" si="438"/>
        <v>158378</v>
      </c>
      <c r="T65" s="6">
        <f t="shared" si="438"/>
        <v>230068</v>
      </c>
      <c r="U65" s="79">
        <f t="shared" si="438"/>
        <v>632829</v>
      </c>
      <c r="V65" s="6">
        <f t="shared" si="438"/>
        <v>167523</v>
      </c>
      <c r="W65" s="6">
        <f t="shared" ref="W65:AA65" si="439">W61+W69</f>
        <v>239666</v>
      </c>
      <c r="X65" s="6">
        <f t="shared" si="439"/>
        <v>265686</v>
      </c>
      <c r="Y65" s="6">
        <f t="shared" si="439"/>
        <v>370835</v>
      </c>
      <c r="Z65" s="79">
        <f t="shared" si="439"/>
        <v>1043710</v>
      </c>
      <c r="AA65" s="6">
        <f t="shared" si="439"/>
        <v>272703</v>
      </c>
      <c r="AB65" s="6">
        <f t="shared" ref="AB65:AJ65" si="440">AB61+AB69</f>
        <v>323354</v>
      </c>
      <c r="AC65" s="6">
        <f t="shared" si="440"/>
        <v>332727</v>
      </c>
      <c r="AD65" s="6">
        <f t="shared" si="440"/>
        <v>413470</v>
      </c>
      <c r="AE65" s="79">
        <f t="shared" si="440"/>
        <v>1342254</v>
      </c>
      <c r="AF65" s="6">
        <f t="shared" si="440"/>
        <v>257543</v>
      </c>
      <c r="AG65" s="6">
        <f t="shared" si="440"/>
        <v>327747</v>
      </c>
      <c r="AH65" s="6">
        <f t="shared" si="440"/>
        <v>320576</v>
      </c>
      <c r="AI65" s="6">
        <f t="shared" si="440"/>
        <v>407906</v>
      </c>
      <c r="AJ65" s="79">
        <f t="shared" si="440"/>
        <v>1313772</v>
      </c>
      <c r="AK65" s="6">
        <f t="shared" ref="AK65:AM65" si="441">AK61+AK69</f>
        <v>259805</v>
      </c>
      <c r="AL65" s="6">
        <f t="shared" si="441"/>
        <v>327275</v>
      </c>
      <c r="AM65" s="6">
        <f t="shared" si="441"/>
        <v>322016.220525524</v>
      </c>
      <c r="AN65" s="6">
        <f t="shared" ref="AN65:AO65" si="442">AN61+AN69</f>
        <v>475174.21146</v>
      </c>
      <c r="AO65" s="79">
        <f t="shared" si="442"/>
        <v>1384270.43198552</v>
      </c>
      <c r="AP65" s="6">
        <f t="shared" ref="AP65:AT65" si="443">AP61+AP69</f>
        <v>264792.581628277</v>
      </c>
      <c r="AQ65" s="6">
        <f t="shared" si="443"/>
        <v>338274.55544</v>
      </c>
      <c r="AR65" s="6">
        <f t="shared" si="443"/>
        <v>332668.500511981</v>
      </c>
      <c r="AS65" s="6">
        <f t="shared" si="443"/>
        <v>490243.611029738</v>
      </c>
      <c r="AT65" s="79">
        <f t="shared" si="443"/>
        <v>1425979.24861</v>
      </c>
      <c r="AU65" s="6">
        <f t="shared" ref="AU65:AY65" si="444">AU61+AU69</f>
        <v>274740.20918778</v>
      </c>
      <c r="AV65" s="6">
        <f t="shared" si="444"/>
        <v>347778.27598506</v>
      </c>
      <c r="AW65" s="6">
        <f t="shared" si="444"/>
        <v>342668.291099709</v>
      </c>
      <c r="AX65" s="6">
        <f t="shared" si="444"/>
        <v>508749.650951215</v>
      </c>
      <c r="AY65" s="79">
        <f t="shared" si="444"/>
        <v>1473936.42722376</v>
      </c>
    </row>
    <row r="66" spans="1:55">
      <c r="A66" s="231" t="s">
        <v>190</v>
      </c>
      <c r="B66" s="83">
        <f t="shared" ref="B66:F66" si="445">B65/B$6</f>
        <v>0.210420384917071</v>
      </c>
      <c r="C66" s="83">
        <f t="shared" si="445"/>
        <v>0.180403638396749</v>
      </c>
      <c r="D66" s="83">
        <f t="shared" si="445"/>
        <v>0.19215618906917</v>
      </c>
      <c r="E66" s="83">
        <f t="shared" si="445"/>
        <v>0.191515076561742</v>
      </c>
      <c r="F66" s="83">
        <f t="shared" si="445"/>
        <v>0.228507402417782</v>
      </c>
      <c r="G66" s="211">
        <f t="shared" ref="G66:V66" si="446">G65/G$6</f>
        <v>-0.00158439423189845</v>
      </c>
      <c r="H66" s="211">
        <f t="shared" si="446"/>
        <v>0.240679165091476</v>
      </c>
      <c r="I66" s="211">
        <f t="shared" si="446"/>
        <v>0.253291331819685</v>
      </c>
      <c r="J66" s="211">
        <f t="shared" si="446"/>
        <v>0.370117392900813</v>
      </c>
      <c r="K66" s="83">
        <f t="shared" si="446"/>
        <v>0.252833891771379</v>
      </c>
      <c r="L66" s="211">
        <f t="shared" si="446"/>
        <v>0.24426641754276</v>
      </c>
      <c r="M66" s="211">
        <f t="shared" si="446"/>
        <v>0.275765739723651</v>
      </c>
      <c r="N66" s="211">
        <f t="shared" si="446"/>
        <v>0.229051217464316</v>
      </c>
      <c r="O66" s="211">
        <f t="shared" si="446"/>
        <v>0.207832588368911</v>
      </c>
      <c r="P66" s="83">
        <f t="shared" si="446"/>
        <v>0.236497944390816</v>
      </c>
      <c r="Q66" s="211">
        <f t="shared" si="446"/>
        <v>0.14669485039901</v>
      </c>
      <c r="R66" s="211">
        <f t="shared" si="446"/>
        <v>0.155454476574698</v>
      </c>
      <c r="S66" s="211">
        <f t="shared" si="446"/>
        <v>0.17995782220788</v>
      </c>
      <c r="T66" s="211">
        <f t="shared" si="446"/>
        <v>0.191753055056867</v>
      </c>
      <c r="U66" s="83">
        <f t="shared" si="446"/>
        <v>0.171138889557463</v>
      </c>
      <c r="V66" s="211">
        <f t="shared" si="446"/>
        <v>0.200387801826329</v>
      </c>
      <c r="W66" s="211">
        <f t="shared" ref="W66:AA66" si="447">W65/W$6</f>
        <v>0.256232726961709</v>
      </c>
      <c r="X66" s="211">
        <f t="shared" si="447"/>
        <v>0.251493945179572</v>
      </c>
      <c r="Y66" s="211">
        <f t="shared" si="447"/>
        <v>0.255236570544433</v>
      </c>
      <c r="Z66" s="83">
        <f t="shared" si="447"/>
        <v>0.243818909952795</v>
      </c>
      <c r="AA66" s="211">
        <f t="shared" si="447"/>
        <v>0.267164676261107</v>
      </c>
      <c r="AB66" s="211">
        <f t="shared" ref="AB66:AC66" si="448">AB65/AB$6</f>
        <v>0.285151158668541</v>
      </c>
      <c r="AC66" s="211">
        <f t="shared" si="448"/>
        <v>0.275216176468155</v>
      </c>
      <c r="AD66" s="211">
        <f t="shared" ref="AD66:AF66" si="449">AD65/AD$6</f>
        <v>0.260878014432302</v>
      </c>
      <c r="AE66" s="83">
        <f t="shared" si="449"/>
        <v>0.271239850890769</v>
      </c>
      <c r="AF66" s="211">
        <f t="shared" si="449"/>
        <v>0.234703743970488</v>
      </c>
      <c r="AG66" s="211">
        <f t="shared" ref="AG66" si="450">AG65/AG$6</f>
        <v>0.27118802541868</v>
      </c>
      <c r="AH66" s="211">
        <f t="shared" ref="AH66:AJ66" si="451">AH65/AH$6</f>
        <v>0.248389338759154</v>
      </c>
      <c r="AI66" s="211">
        <f t="shared" si="451"/>
        <v>0.244284052839798</v>
      </c>
      <c r="AJ66" s="83">
        <f t="shared" si="451"/>
        <v>0.249468126719901</v>
      </c>
      <c r="AK66" s="211">
        <f t="shared" ref="AK66:AM66" si="452">AK65/AK$6</f>
        <v>0.233255612885733</v>
      </c>
      <c r="AL66" s="211">
        <f t="shared" si="452"/>
        <v>0.25837044452111</v>
      </c>
      <c r="AM66" s="211">
        <f t="shared" si="452"/>
        <v>0.235574930376135</v>
      </c>
      <c r="AN66" s="211">
        <f t="shared" ref="AN66:AO66" si="453">AN65/AN$6</f>
        <v>0.265952518977375</v>
      </c>
      <c r="AO66" s="83">
        <f t="shared" si="453"/>
        <v>0.250133084374047</v>
      </c>
      <c r="AP66" s="211">
        <f t="shared" ref="AP66:AT66" si="454">AP65/AP$6</f>
        <v>0.227480925862892</v>
      </c>
      <c r="AQ66" s="211">
        <f t="shared" si="454"/>
        <v>0.256782837472643</v>
      </c>
      <c r="AR66" s="211">
        <f t="shared" si="454"/>
        <v>0.235165729073506</v>
      </c>
      <c r="AS66" s="211">
        <f t="shared" si="454"/>
        <v>0.26515157337526</v>
      </c>
      <c r="AT66" s="83">
        <f t="shared" si="454"/>
        <v>0.248216161289202</v>
      </c>
      <c r="AU66" s="211">
        <f t="shared" ref="AU66:AY66" si="455">AU65/AU$6</f>
        <v>0.229720333536046</v>
      </c>
      <c r="AV66" s="211">
        <f t="shared" si="455"/>
        <v>0.256895399958571</v>
      </c>
      <c r="AW66" s="211">
        <f t="shared" si="455"/>
        <v>0.235156832990467</v>
      </c>
      <c r="AX66" s="211">
        <f t="shared" si="455"/>
        <v>0.26710845390825</v>
      </c>
      <c r="AY66" s="83">
        <f t="shared" si="455"/>
        <v>0.249329655521639</v>
      </c>
    </row>
    <row r="67" spans="1:55">
      <c r="A67" s="231" t="s">
        <v>191</v>
      </c>
      <c r="B67" s="135"/>
      <c r="C67" s="135"/>
      <c r="D67" s="135"/>
      <c r="E67" s="135"/>
      <c r="F67" s="135"/>
      <c r="AF67" s="1">
        <f>(ROUND(AF66,3)-ROUND(AA66,3))*10^4</f>
        <v>-320</v>
      </c>
      <c r="AH67" s="200">
        <f t="shared" ref="AH67:AJ67" si="456">(ROUND(AH66,3)-ROUND(AC66,3))*10^4</f>
        <v>-270</v>
      </c>
      <c r="AI67" s="200">
        <f t="shared" si="456"/>
        <v>-170</v>
      </c>
      <c r="AJ67" s="199">
        <f t="shared" si="456"/>
        <v>-220</v>
      </c>
      <c r="AK67" s="200">
        <f t="shared" ref="AK67" si="457">(ROUND(AK66,3)-ROUND(AF66,3))*10^4</f>
        <v>-19.9999999999997</v>
      </c>
      <c r="AL67" s="200">
        <f t="shared" ref="AL67" si="458">(ROUND(AL66,3)-ROUND(AG66,3))*10^4</f>
        <v>-130</v>
      </c>
      <c r="AM67" s="200">
        <f t="shared" ref="AM67:AO67" si="459">(ROUND(AM66,3)-ROUND(AH66,3))*10^4</f>
        <v>-120</v>
      </c>
      <c r="AN67" s="200">
        <f t="shared" si="459"/>
        <v>220</v>
      </c>
      <c r="AO67" s="199">
        <f t="shared" si="459"/>
        <v>10</v>
      </c>
      <c r="AP67" s="200">
        <f t="shared" ref="AP67" si="460">(ROUND(AP66,3)-ROUND(AK66,3))*10^4</f>
        <v>-60.0000000000001</v>
      </c>
      <c r="AQ67" s="200">
        <f t="shared" ref="AQ67" si="461">(ROUND(AQ66,3)-ROUND(AL66,3))*10^4</f>
        <v>-10</v>
      </c>
      <c r="AR67" s="200">
        <f t="shared" ref="AR67:AT67" si="462">(ROUND(AR66,3)-ROUND(AM66,3))*10^4</f>
        <v>-10</v>
      </c>
      <c r="AS67" s="200">
        <f t="shared" si="462"/>
        <v>-10</v>
      </c>
      <c r="AT67" s="199">
        <f t="shared" si="462"/>
        <v>-20</v>
      </c>
      <c r="AU67" s="200">
        <f t="shared" ref="AU67" si="463">(ROUND(AU66,3)-ROUND(AP66,3))*10^4</f>
        <v>30</v>
      </c>
      <c r="AV67" s="200">
        <f t="shared" ref="AV67" si="464">(ROUND(AV66,3)-ROUND(AQ66,3))*10^4</f>
        <v>0</v>
      </c>
      <c r="AW67" s="200">
        <f t="shared" ref="AW67" si="465">(ROUND(AW66,3)-ROUND(AR66,3))*10^4</f>
        <v>0</v>
      </c>
      <c r="AX67" s="200">
        <f t="shared" ref="AX67" si="466">(ROUND(AX66,3)-ROUND(AS66,3))*10^4</f>
        <v>20</v>
      </c>
      <c r="AY67" s="199">
        <f t="shared" ref="AY67" si="467">(ROUND(AY66,3)-ROUND(AT66,3))*10^4</f>
        <v>10</v>
      </c>
    </row>
    <row r="68" spans="1:55">
      <c r="A68" s="231"/>
      <c r="B68" s="135"/>
      <c r="C68" s="135"/>
      <c r="D68" s="135"/>
      <c r="E68" s="135"/>
      <c r="F68" s="135"/>
      <c r="AH68" s="200"/>
      <c r="AI68" s="200"/>
      <c r="AJ68" s="199"/>
      <c r="AK68" s="200"/>
      <c r="AL68" s="200"/>
      <c r="AM68" s="200"/>
      <c r="AN68" s="200"/>
      <c r="AO68" s="199"/>
      <c r="AP68" s="200"/>
      <c r="AQ68" s="200"/>
      <c r="AR68" s="200"/>
      <c r="AS68" s="200"/>
      <c r="AT68" s="199"/>
      <c r="AU68" s="200"/>
      <c r="AV68" s="200"/>
      <c r="AW68" s="200"/>
      <c r="AX68" s="200"/>
      <c r="AY68" s="199"/>
    </row>
    <row r="69" spans="1:55">
      <c r="A69" s="188" t="s">
        <v>193</v>
      </c>
      <c r="B69" s="92">
        <v>390227</v>
      </c>
      <c r="C69" s="92">
        <v>401480</v>
      </c>
      <c r="D69" s="92">
        <v>375812</v>
      </c>
      <c r="E69" s="92">
        <v>370898</v>
      </c>
      <c r="F69" s="92">
        <f>427982+143472</f>
        <v>571454</v>
      </c>
      <c r="G69" s="93">
        <f>156401-35008</f>
        <v>121393</v>
      </c>
      <c r="H69" s="93">
        <f>112541-5410</f>
        <v>107131</v>
      </c>
      <c r="I69" s="93">
        <f>102150-3979</f>
        <v>98171</v>
      </c>
      <c r="J69" s="6">
        <f>K69-SUM(G69:I69)</f>
        <v>244759</v>
      </c>
      <c r="K69" s="92">
        <f>587266-15812</f>
        <v>571454</v>
      </c>
      <c r="L69" s="93">
        <f>94289-2464+1093</f>
        <v>92918</v>
      </c>
      <c r="M69" s="93">
        <f>88770-240</f>
        <v>88530</v>
      </c>
      <c r="N69" s="93">
        <f>97822-5512</f>
        <v>92310</v>
      </c>
      <c r="O69" s="6">
        <f>P69-SUM(L69:N69)</f>
        <v>105085</v>
      </c>
      <c r="P69" s="92">
        <f>388352-9509</f>
        <v>378843</v>
      </c>
      <c r="Q69" s="93">
        <v>91644</v>
      </c>
      <c r="R69" s="93">
        <f>95094-1573</f>
        <v>93521</v>
      </c>
      <c r="S69" s="93">
        <v>104241</v>
      </c>
      <c r="T69" s="6">
        <f>U69-SUM(Q69:S69)</f>
        <v>104501</v>
      </c>
      <c r="U69" s="92">
        <f>400155-6248</f>
        <v>393907</v>
      </c>
      <c r="V69" s="93">
        <f>94465-1414</f>
        <v>93051</v>
      </c>
      <c r="W69" s="93">
        <v>113441</v>
      </c>
      <c r="X69" s="93">
        <f>94530</f>
        <v>94530</v>
      </c>
      <c r="Y69" s="6">
        <f>Z69-SUM(V69:X69)</f>
        <v>112477</v>
      </c>
      <c r="Z69" s="92">
        <f>414939-1440</f>
        <v>413499</v>
      </c>
      <c r="AA69" s="93">
        <f>105504-339</f>
        <v>105165</v>
      </c>
      <c r="AB69" s="93">
        <f>108846-472</f>
        <v>108374</v>
      </c>
      <c r="AC69" s="93">
        <f>114112-233</f>
        <v>113879</v>
      </c>
      <c r="AD69" s="6">
        <f>AE69-SUM(AA69:AC69)</f>
        <v>120243</v>
      </c>
      <c r="AE69" s="92">
        <f>453131-5470</f>
        <v>447661</v>
      </c>
      <c r="AF69" s="93">
        <f>117883-449</f>
        <v>117434</v>
      </c>
      <c r="AG69" s="93">
        <v>122239</v>
      </c>
      <c r="AH69" s="93">
        <f>128320-1331</f>
        <v>126989</v>
      </c>
      <c r="AI69" s="6">
        <f>AJ69-SUM(AF69:AH69)</f>
        <v>131520</v>
      </c>
      <c r="AJ69" s="92">
        <f>503137-4955</f>
        <v>498182</v>
      </c>
      <c r="AK69" s="93">
        <f>129372-668</f>
        <v>128704</v>
      </c>
      <c r="AL69" s="91">
        <v>131296</v>
      </c>
      <c r="AM69" s="91">
        <f t="shared" ref="AM69" si="468">AM71*AM6</f>
        <v>109355.0048</v>
      </c>
      <c r="AN69" s="91">
        <f t="shared" ref="AN69" si="469">AN71*AN6</f>
        <v>142935.0512</v>
      </c>
      <c r="AO69" s="79">
        <f>SUM(AK69:AN69)</f>
        <v>512290.056</v>
      </c>
      <c r="AP69" s="91">
        <f>AP71*AP6</f>
        <v>116402.103</v>
      </c>
      <c r="AQ69" s="91">
        <f t="shared" ref="AQ69:AS69" si="470">AQ71*AQ6</f>
        <v>131735.656</v>
      </c>
      <c r="AR69" s="91">
        <f t="shared" si="470"/>
        <v>113169.041024</v>
      </c>
      <c r="AS69" s="91">
        <f t="shared" si="470"/>
        <v>147913.468448</v>
      </c>
      <c r="AT69" s="79">
        <f>SUM(AP69:AS69)</f>
        <v>509220.268472</v>
      </c>
      <c r="AU69" s="91">
        <f>AU71*AU6</f>
        <v>119597.688615</v>
      </c>
      <c r="AV69" s="91">
        <f t="shared" ref="AV69:AX69" si="471">AV71*AV6</f>
        <v>135377.38552</v>
      </c>
      <c r="AW69" s="91">
        <f t="shared" si="471"/>
        <v>116575.23593664</v>
      </c>
      <c r="AX69" s="91">
        <f t="shared" si="471"/>
        <v>152372.4595032</v>
      </c>
      <c r="AY69" s="79">
        <f>SUM(AU69:AX69)</f>
        <v>523922.76957484</v>
      </c>
      <c r="BA69" s="119"/>
      <c r="BC69" s="119"/>
    </row>
    <row r="70" spans="1:55">
      <c r="A70" s="231" t="s">
        <v>171</v>
      </c>
      <c r="B70" s="135"/>
      <c r="C70" s="135"/>
      <c r="D70" s="135"/>
      <c r="E70" s="135"/>
      <c r="F70" s="135"/>
      <c r="L70" s="211">
        <f t="shared" ref="L70" si="472">L69/G69-1</f>
        <v>-0.234568714835287</v>
      </c>
      <c r="M70" s="211">
        <f t="shared" ref="M70:P70" si="473">M69/H69-1</f>
        <v>-0.173628548226004</v>
      </c>
      <c r="N70" s="211">
        <f t="shared" si="473"/>
        <v>-0.0597019486406373</v>
      </c>
      <c r="O70" s="211">
        <f t="shared" si="473"/>
        <v>-0.570659301598715</v>
      </c>
      <c r="P70" s="83">
        <f t="shared" si="473"/>
        <v>-0.337054251085827</v>
      </c>
      <c r="Q70" s="211">
        <f t="shared" ref="Q70" si="474">Q69/L69-1</f>
        <v>-0.013711014012355</v>
      </c>
      <c r="R70" s="211">
        <f t="shared" ref="R70:U70" si="475">R69/M69-1</f>
        <v>0.0563763695922286</v>
      </c>
      <c r="S70" s="211">
        <f t="shared" si="475"/>
        <v>0.129249268768281</v>
      </c>
      <c r="T70" s="211">
        <f t="shared" si="475"/>
        <v>-0.00555740590950182</v>
      </c>
      <c r="U70" s="83">
        <f t="shared" si="475"/>
        <v>0.0397631736629687</v>
      </c>
      <c r="V70" s="211">
        <f t="shared" ref="V70:Z70" si="476">V69/Q69-1</f>
        <v>0.0153528872593951</v>
      </c>
      <c r="W70" s="211">
        <f t="shared" si="476"/>
        <v>0.213000288705211</v>
      </c>
      <c r="X70" s="211">
        <f t="shared" si="476"/>
        <v>-0.09315912165079</v>
      </c>
      <c r="Y70" s="211">
        <f t="shared" si="476"/>
        <v>0.0763246284724548</v>
      </c>
      <c r="Z70" s="83">
        <f t="shared" si="476"/>
        <v>0.0497376284249835</v>
      </c>
      <c r="AA70" s="211">
        <f t="shared" ref="AA70" si="477">AA69/V69-1</f>
        <v>0.130186671825128</v>
      </c>
      <c r="AB70" s="211">
        <f t="shared" ref="AB70:AF70" si="478">AB69/W69-1</f>
        <v>-0.0446663904584762</v>
      </c>
      <c r="AC70" s="211">
        <f t="shared" si="478"/>
        <v>0.204686342959907</v>
      </c>
      <c r="AD70" s="211">
        <f t="shared" si="478"/>
        <v>0.0690452270241917</v>
      </c>
      <c r="AE70" s="83">
        <f t="shared" si="478"/>
        <v>0.082616886618831</v>
      </c>
      <c r="AF70" s="211">
        <f t="shared" si="478"/>
        <v>0.116664289449912</v>
      </c>
      <c r="AG70" s="211">
        <f t="shared" ref="AG70:AK70" si="479">AG69/AB69-1</f>
        <v>0.127936589957001</v>
      </c>
      <c r="AH70" s="211">
        <f t="shared" si="479"/>
        <v>0.115122191097568</v>
      </c>
      <c r="AI70" s="211">
        <f t="shared" si="479"/>
        <v>0.0937850852024651</v>
      </c>
      <c r="AJ70" s="83">
        <f t="shared" si="479"/>
        <v>0.112855486629391</v>
      </c>
      <c r="AK70" s="211">
        <f t="shared" si="479"/>
        <v>0.0959687994958871</v>
      </c>
      <c r="AL70" s="211">
        <f t="shared" ref="AL70" si="480">AL69/AG69-1</f>
        <v>0.0740925563854415</v>
      </c>
      <c r="AM70" s="211">
        <f t="shared" ref="AM70:AP70" si="481">AM69/AH69-1</f>
        <v>-0.138862383356039</v>
      </c>
      <c r="AN70" s="211">
        <f t="shared" si="481"/>
        <v>0.0867932725060829</v>
      </c>
      <c r="AO70" s="83">
        <f t="shared" si="481"/>
        <v>0.0283190801755182</v>
      </c>
      <c r="AP70" s="211">
        <f t="shared" si="481"/>
        <v>-0.0955828645574338</v>
      </c>
      <c r="AQ70" s="211">
        <f t="shared" ref="AQ70" si="482">AQ69/AL69-1</f>
        <v>0.0033485864001952</v>
      </c>
      <c r="AR70" s="211">
        <f t="shared" ref="AR70:AU70" si="483">AR69/AM69-1</f>
        <v>0.0348775644148662</v>
      </c>
      <c r="AS70" s="211">
        <f t="shared" si="483"/>
        <v>0.0348299259433154</v>
      </c>
      <c r="AT70" s="83">
        <f t="shared" si="483"/>
        <v>-0.00599228404308505</v>
      </c>
      <c r="AU70" s="211">
        <f t="shared" si="483"/>
        <v>0.0274529886715189</v>
      </c>
      <c r="AV70" s="211">
        <f t="shared" ref="AV70" si="484">AV69/AQ69-1</f>
        <v>0.0276442204834808</v>
      </c>
      <c r="AW70" s="211">
        <f t="shared" ref="AW70" si="485">AW69/AR69-1</f>
        <v>0.0300982926233122</v>
      </c>
      <c r="AX70" s="211">
        <f t="shared" ref="AX70:AY70" si="486">AX69/AS69-1</f>
        <v>0.0301459434491429</v>
      </c>
      <c r="AY70" s="83">
        <f t="shared" si="486"/>
        <v>0.0288725763940179</v>
      </c>
    </row>
    <row r="71" spans="1:55">
      <c r="A71" s="188" t="s">
        <v>194</v>
      </c>
      <c r="B71" s="83">
        <f t="shared" ref="B71:F71" si="487">B69/B6</f>
        <v>0.110901531256039</v>
      </c>
      <c r="C71" s="83">
        <f t="shared" si="487"/>
        <v>0.120682710401174</v>
      </c>
      <c r="D71" s="83">
        <f t="shared" si="487"/>
        <v>0.107599586565083</v>
      </c>
      <c r="E71" s="83">
        <f t="shared" si="487"/>
        <v>0.103311069385359</v>
      </c>
      <c r="F71" s="83">
        <f t="shared" si="487"/>
        <v>0.157726327898996</v>
      </c>
      <c r="G71" s="211">
        <f t="shared" ref="G71:U71" si="488">G69/G6</f>
        <v>0.250109712604485</v>
      </c>
      <c r="H71" s="211">
        <f t="shared" si="488"/>
        <v>0.153410718172549</v>
      </c>
      <c r="I71" s="211">
        <f t="shared" si="488"/>
        <v>0.119771415464837</v>
      </c>
      <c r="J71" s="211">
        <f t="shared" si="488"/>
        <v>0.218136721911084</v>
      </c>
      <c r="K71" s="83">
        <f t="shared" si="488"/>
        <v>0.182842812275228</v>
      </c>
      <c r="L71" s="211">
        <f t="shared" si="488"/>
        <v>0.118911447968723</v>
      </c>
      <c r="M71" s="211">
        <f t="shared" si="488"/>
        <v>0.102364571891079</v>
      </c>
      <c r="N71" s="211">
        <f t="shared" si="488"/>
        <v>0.101981970038446</v>
      </c>
      <c r="O71" s="211">
        <f t="shared" si="488"/>
        <v>0.0904849774358012</v>
      </c>
      <c r="P71" s="83">
        <f t="shared" si="488"/>
        <v>0.102037886557954</v>
      </c>
      <c r="Q71" s="211">
        <f t="shared" si="488"/>
        <v>0.11275625582889</v>
      </c>
      <c r="R71" s="211">
        <f t="shared" si="488"/>
        <v>0.116162023920277</v>
      </c>
      <c r="S71" s="211">
        <f t="shared" si="488"/>
        <v>0.118444375764132</v>
      </c>
      <c r="T71" s="211">
        <f t="shared" si="488"/>
        <v>0.0870976668050214</v>
      </c>
      <c r="U71" s="83">
        <f t="shared" si="488"/>
        <v>0.106526101946832</v>
      </c>
      <c r="V71" s="211">
        <f t="shared" ref="V71:AF71" si="489">V69/V6</f>
        <v>0.111305822769063</v>
      </c>
      <c r="W71" s="211">
        <f t="shared" si="489"/>
        <v>0.121282521422577</v>
      </c>
      <c r="X71" s="211">
        <f t="shared" si="489"/>
        <v>0.0894805245207685</v>
      </c>
      <c r="Y71" s="211">
        <f t="shared" si="489"/>
        <v>0.0774151408176848</v>
      </c>
      <c r="Z71" s="83">
        <f t="shared" si="489"/>
        <v>0.096596636466615</v>
      </c>
      <c r="AA71" s="211">
        <f t="shared" si="489"/>
        <v>0.103029204588873</v>
      </c>
      <c r="AB71" s="211">
        <f t="shared" si="489"/>
        <v>0.0955700924359818</v>
      </c>
      <c r="AC71" s="211">
        <f t="shared" si="489"/>
        <v>0.0941953702585515</v>
      </c>
      <c r="AD71" s="211">
        <f t="shared" si="489"/>
        <v>0.0758670643320754</v>
      </c>
      <c r="AE71" s="83">
        <f t="shared" si="489"/>
        <v>0.0904623885565718</v>
      </c>
      <c r="AF71" s="211">
        <f t="shared" si="489"/>
        <v>0.107019796575447</v>
      </c>
      <c r="AG71" s="211">
        <f t="shared" ref="AG71:AJ71" si="490">AG69/AG6</f>
        <v>0.101144337062289</v>
      </c>
      <c r="AH71" s="211">
        <f t="shared" si="490"/>
        <v>0.098393871467877</v>
      </c>
      <c r="AI71" s="211">
        <f t="shared" si="490"/>
        <v>0.0787638294839747</v>
      </c>
      <c r="AJ71" s="83">
        <f t="shared" si="490"/>
        <v>0.0945982486349029</v>
      </c>
      <c r="AK71" s="211">
        <f t="shared" ref="AK71:AL71" si="491">AK69/AK6</f>
        <v>0.1155517807619</v>
      </c>
      <c r="AL71" s="211">
        <f t="shared" si="491"/>
        <v>0.103652909277652</v>
      </c>
      <c r="AM71" s="134">
        <v>0.08</v>
      </c>
      <c r="AN71" s="134">
        <v>0.08</v>
      </c>
      <c r="AO71" s="83">
        <f>AO69/AO6</f>
        <v>0.0925691171613302</v>
      </c>
      <c r="AP71" s="134">
        <v>0.1</v>
      </c>
      <c r="AQ71" s="134">
        <v>0.1</v>
      </c>
      <c r="AR71" s="134">
        <v>0.08</v>
      </c>
      <c r="AS71" s="134">
        <v>0.08</v>
      </c>
      <c r="AT71" s="83">
        <f>AT69/AT6</f>
        <v>0.0886385271131993</v>
      </c>
      <c r="AU71" s="134">
        <v>0.1</v>
      </c>
      <c r="AV71" s="134">
        <v>0.1</v>
      </c>
      <c r="AW71" s="134">
        <v>0.08</v>
      </c>
      <c r="AX71" s="134">
        <v>0.08</v>
      </c>
      <c r="AY71" s="83">
        <f>AY69/AY6</f>
        <v>0.0886262672156664</v>
      </c>
    </row>
    <row r="72" spans="1:55">
      <c r="A72" s="233" t="s">
        <v>191</v>
      </c>
      <c r="B72" s="234"/>
      <c r="C72" s="234"/>
      <c r="D72" s="234"/>
      <c r="E72" s="234"/>
      <c r="F72" s="234"/>
      <c r="G72" s="87"/>
      <c r="H72" s="87"/>
      <c r="I72" s="87"/>
      <c r="J72" s="87"/>
      <c r="K72" s="235"/>
      <c r="L72" s="236">
        <f t="shared" ref="L72:P72" si="492">(ROUND(L71,3)-ROUND(G71,3))*10^4</f>
        <v>-1310</v>
      </c>
      <c r="M72" s="236">
        <f t="shared" si="492"/>
        <v>-510</v>
      </c>
      <c r="N72" s="236">
        <f t="shared" si="492"/>
        <v>-180</v>
      </c>
      <c r="O72" s="236">
        <f t="shared" si="492"/>
        <v>-1280</v>
      </c>
      <c r="P72" s="237">
        <f t="shared" si="492"/>
        <v>-810</v>
      </c>
      <c r="Q72" s="236">
        <f t="shared" ref="Q72:U72" si="493">(ROUND(Q71,3)-ROUND(L71,3))*10^4</f>
        <v>-59.9999999999999</v>
      </c>
      <c r="R72" s="236">
        <f t="shared" si="493"/>
        <v>140</v>
      </c>
      <c r="S72" s="236">
        <f t="shared" si="493"/>
        <v>160</v>
      </c>
      <c r="T72" s="236">
        <f t="shared" si="493"/>
        <v>-30</v>
      </c>
      <c r="U72" s="237">
        <f t="shared" si="493"/>
        <v>50</v>
      </c>
      <c r="V72" s="236">
        <f t="shared" ref="V72:Z72" si="494">(ROUND(V71,3)-ROUND(Q71,3))*10^4</f>
        <v>-20</v>
      </c>
      <c r="W72" s="236">
        <f t="shared" si="494"/>
        <v>49.9999999999999</v>
      </c>
      <c r="X72" s="236">
        <f t="shared" si="494"/>
        <v>-290</v>
      </c>
      <c r="Y72" s="236">
        <f t="shared" si="494"/>
        <v>-99.9999999999999</v>
      </c>
      <c r="Z72" s="237">
        <f t="shared" si="494"/>
        <v>-99.9999999999999</v>
      </c>
      <c r="AA72" s="236">
        <f t="shared" ref="AA72" si="495">(ROUND(AA71,3)-ROUND(V71,3))*10^4</f>
        <v>-80.0000000000001</v>
      </c>
      <c r="AB72" s="236">
        <f t="shared" ref="AB72:AF72" si="496">(ROUND(AB71,3)-ROUND(W71,3))*10^4</f>
        <v>-250</v>
      </c>
      <c r="AC72" s="236">
        <f t="shared" si="496"/>
        <v>50</v>
      </c>
      <c r="AD72" s="236">
        <f t="shared" si="496"/>
        <v>-10</v>
      </c>
      <c r="AE72" s="237">
        <f t="shared" si="496"/>
        <v>-70.0000000000001</v>
      </c>
      <c r="AF72" s="236">
        <f t="shared" si="496"/>
        <v>40</v>
      </c>
      <c r="AG72" s="236">
        <f t="shared" ref="AG72:AK72" si="497">(ROUND(AG71,3)-ROUND(AB71,3))*10^4</f>
        <v>50</v>
      </c>
      <c r="AH72" s="236">
        <f t="shared" si="497"/>
        <v>40</v>
      </c>
      <c r="AI72" s="236">
        <f t="shared" si="497"/>
        <v>30</v>
      </c>
      <c r="AJ72" s="237">
        <f t="shared" si="497"/>
        <v>50</v>
      </c>
      <c r="AK72" s="236">
        <f t="shared" si="497"/>
        <v>90.0000000000001</v>
      </c>
      <c r="AL72" s="236">
        <f t="shared" ref="AL72" si="498">(ROUND(AL71,3)-ROUND(AG71,3))*10^4</f>
        <v>29.9999999999999</v>
      </c>
      <c r="AM72" s="236">
        <f t="shared" ref="AM72:AO72" si="499">(ROUND(AM71,3)-ROUND(AH71,3))*10^4</f>
        <v>-180</v>
      </c>
      <c r="AN72" s="236">
        <f t="shared" si="499"/>
        <v>10</v>
      </c>
      <c r="AO72" s="237">
        <f t="shared" si="499"/>
        <v>-20</v>
      </c>
      <c r="AP72" s="236">
        <f t="shared" ref="AP72" si="500">(ROUND(AP71,3)-ROUND(AK71,3))*10^4</f>
        <v>-160</v>
      </c>
      <c r="AQ72" s="236">
        <f t="shared" ref="AQ72" si="501">(ROUND(AQ71,3)-ROUND(AL71,3))*10^4</f>
        <v>-39.9999999999999</v>
      </c>
      <c r="AR72" s="236">
        <f t="shared" ref="AR72:AT72" si="502">(ROUND(AR71,3)-ROUND(AM71,3))*10^4</f>
        <v>0</v>
      </c>
      <c r="AS72" s="236">
        <f t="shared" si="502"/>
        <v>0</v>
      </c>
      <c r="AT72" s="237">
        <f t="shared" si="502"/>
        <v>-40</v>
      </c>
      <c r="AU72" s="236">
        <f t="shared" ref="AU72" si="503">(ROUND(AU71,3)-ROUND(AP71,3))*10^4</f>
        <v>0</v>
      </c>
      <c r="AV72" s="236">
        <f t="shared" ref="AV72" si="504">(ROUND(AV71,3)-ROUND(AQ71,3))*10^4</f>
        <v>0</v>
      </c>
      <c r="AW72" s="236">
        <f t="shared" ref="AW72" si="505">(ROUND(AW71,3)-ROUND(AR71,3))*10^4</f>
        <v>0</v>
      </c>
      <c r="AX72" s="236">
        <f t="shared" ref="AX72:AY72" si="506">(ROUND(AX71,3)-ROUND(AS71,3))*10^4</f>
        <v>0</v>
      </c>
      <c r="AY72" s="237">
        <f t="shared" si="506"/>
        <v>0</v>
      </c>
    </row>
    <row r="73" spans="1:55">
      <c r="AJ73" s="112"/>
    </row>
    <row r="74" spans="1:55">
      <c r="A74" s="3" t="s">
        <v>195</v>
      </c>
      <c r="AF74" s="238"/>
      <c r="AG74" s="238">
        <v>5</v>
      </c>
      <c r="AH74" s="238">
        <v>25</v>
      </c>
      <c r="AI74" s="238">
        <v>60</v>
      </c>
      <c r="AJ74" s="5">
        <f>SUM(AF74:AI74)</f>
        <v>90</v>
      </c>
      <c r="AK74" s="238">
        <v>20</v>
      </c>
      <c r="AL74" s="238">
        <v>15</v>
      </c>
      <c r="AM74" s="239">
        <v>-5</v>
      </c>
      <c r="AN74" s="239">
        <v>-40</v>
      </c>
      <c r="AO74" s="5">
        <f>SUM(AK74:AN74)</f>
        <v>-10</v>
      </c>
    </row>
    <row r="75" spans="1:55">
      <c r="A75" s="3" t="s">
        <v>196</v>
      </c>
      <c r="X75" s="138"/>
      <c r="AG75" s="200">
        <f>ROUND(AG74/(AB6/1000),3)*10^4</f>
        <v>40</v>
      </c>
      <c r="AH75" s="200">
        <f t="shared" ref="AH75:AL75" si="507">ROUND(AH74/(AC6/1000),3)*10^4</f>
        <v>210</v>
      </c>
      <c r="AI75" s="200">
        <f t="shared" si="507"/>
        <v>380</v>
      </c>
      <c r="AJ75" s="199">
        <f t="shared" si="507"/>
        <v>180</v>
      </c>
      <c r="AK75" s="200">
        <f t="shared" si="507"/>
        <v>180</v>
      </c>
      <c r="AL75" s="200">
        <f t="shared" si="507"/>
        <v>120</v>
      </c>
      <c r="AM75" s="200">
        <f t="shared" ref="AM75" si="508">ROUND(AM74/(AH6/1000),3)*10^4</f>
        <v>-40</v>
      </c>
      <c r="AN75" s="200">
        <f t="shared" ref="AN75" si="509">ROUND(AN74/(AI6/1000),3)*10^4</f>
        <v>-240</v>
      </c>
      <c r="AO75" s="199">
        <f t="shared" ref="AO75" si="510">ROUND(AO74/(AJ6/1000),3)*10^4</f>
        <v>-20</v>
      </c>
    </row>
    <row r="76" spans="1:55">
      <c r="A76" s="38"/>
      <c r="B76" s="84"/>
      <c r="C76" s="84"/>
      <c r="D76" s="84"/>
      <c r="E76" s="84"/>
      <c r="F76" s="84"/>
      <c r="G76" s="87"/>
      <c r="H76" s="87"/>
      <c r="I76" s="87"/>
      <c r="J76" s="87"/>
      <c r="K76" s="235"/>
      <c r="L76" s="87"/>
      <c r="M76" s="87"/>
      <c r="N76" s="87"/>
      <c r="O76" s="87"/>
      <c r="P76" s="235"/>
      <c r="Q76" s="87"/>
      <c r="R76" s="87"/>
      <c r="S76" s="87"/>
      <c r="T76" s="87"/>
      <c r="U76" s="235"/>
      <c r="V76" s="87"/>
      <c r="W76" s="87"/>
      <c r="X76" s="87"/>
      <c r="Y76" s="87"/>
      <c r="Z76" s="235"/>
      <c r="AA76" s="87"/>
      <c r="AB76" s="87"/>
      <c r="AC76" s="87"/>
      <c r="AD76" s="87"/>
      <c r="AE76" s="235"/>
      <c r="AF76" s="87"/>
      <c r="AG76" s="87"/>
      <c r="AH76" s="87"/>
      <c r="AI76" s="87"/>
      <c r="AJ76" s="235"/>
      <c r="AK76" s="87"/>
      <c r="AL76" s="87"/>
      <c r="AM76" s="87"/>
      <c r="AN76" s="87"/>
      <c r="AO76" s="235"/>
      <c r="AP76" s="87"/>
      <c r="AQ76" s="87"/>
      <c r="AR76" s="87"/>
      <c r="AS76" s="87"/>
      <c r="AT76" s="235"/>
      <c r="AU76" s="87"/>
      <c r="AV76" s="87"/>
      <c r="AW76" s="87"/>
      <c r="AX76" s="87"/>
      <c r="AY76" s="235"/>
    </row>
    <row r="77" spans="1:55">
      <c r="AH77" s="240"/>
    </row>
    <row r="78" spans="1:55">
      <c r="A78" s="14" t="s">
        <v>197</v>
      </c>
      <c r="B78" s="63"/>
      <c r="C78" s="63">
        <v>3</v>
      </c>
      <c r="D78" s="63"/>
      <c r="E78" s="63"/>
      <c r="F78" s="63"/>
      <c r="G78" s="113"/>
      <c r="H78" s="113"/>
      <c r="I78" s="113"/>
      <c r="J78" s="113"/>
      <c r="K78" s="114"/>
      <c r="L78" s="113"/>
      <c r="M78" s="113"/>
      <c r="N78" s="113"/>
      <c r="O78" s="113"/>
      <c r="P78" s="114"/>
      <c r="Q78" s="113"/>
      <c r="R78" s="113"/>
      <c r="S78" s="113"/>
      <c r="T78" s="113"/>
      <c r="U78" s="114"/>
      <c r="V78" s="113"/>
      <c r="W78" s="113"/>
      <c r="X78" s="113"/>
      <c r="Y78" s="113"/>
      <c r="Z78" s="114"/>
      <c r="AA78" s="113"/>
      <c r="AB78" s="113"/>
      <c r="AC78" s="113"/>
      <c r="AD78" s="113"/>
      <c r="AE78" s="114"/>
      <c r="AF78" s="113"/>
      <c r="AG78" s="113"/>
      <c r="AH78" s="241"/>
      <c r="AI78" s="113"/>
      <c r="AJ78" s="114"/>
      <c r="AK78" s="113"/>
      <c r="AL78" s="113"/>
      <c r="AM78" s="113"/>
      <c r="AN78" s="113"/>
      <c r="AO78" s="114"/>
      <c r="AP78" s="113"/>
      <c r="AQ78" s="113"/>
      <c r="AR78" s="113"/>
      <c r="AS78" s="113"/>
      <c r="AT78" s="114"/>
      <c r="AU78" s="113"/>
      <c r="AV78" s="113"/>
      <c r="AW78" s="113"/>
      <c r="AX78" s="113"/>
      <c r="AY78" s="114"/>
    </row>
    <row r="79" s="6" customFormat="1" spans="1:55">
      <c r="A79" s="3" t="s">
        <v>198</v>
      </c>
      <c r="B79" s="92">
        <v>22601</v>
      </c>
      <c r="C79" s="92">
        <v>23078</v>
      </c>
      <c r="D79" s="92">
        <v>22973</v>
      </c>
      <c r="E79" s="92">
        <v>22788</v>
      </c>
      <c r="F79" s="92">
        <v>19908</v>
      </c>
      <c r="G79" s="93">
        <v>5073</v>
      </c>
      <c r="H79" s="93">
        <v>7761</v>
      </c>
      <c r="I79" s="93">
        <v>9408</v>
      </c>
      <c r="J79" s="1">
        <f>K79-SUM(G79:I79)</f>
        <v>9484</v>
      </c>
      <c r="K79" s="92">
        <v>31726</v>
      </c>
      <c r="L79" s="93">
        <v>9143</v>
      </c>
      <c r="M79" s="93">
        <v>13560</v>
      </c>
      <c r="N79" s="93">
        <v>7802</v>
      </c>
      <c r="O79" s="1">
        <f>P79-SUM(L79:N79)</f>
        <v>7453</v>
      </c>
      <c r="P79" s="92">
        <v>37958</v>
      </c>
      <c r="Q79" s="93">
        <v>7809</v>
      </c>
      <c r="R79" s="93">
        <v>7660</v>
      </c>
      <c r="S79" s="93">
        <v>7586</v>
      </c>
      <c r="T79" s="1">
        <f>U79-SUM(Q79:S79)</f>
        <v>7181</v>
      </c>
      <c r="U79" s="92">
        <v>30236</v>
      </c>
      <c r="V79" s="93">
        <v>7458</v>
      </c>
      <c r="W79" s="93">
        <v>7635</v>
      </c>
      <c r="X79" s="93">
        <v>8568</v>
      </c>
      <c r="Y79" s="6">
        <f>Z79-SUM(V79:X79)</f>
        <v>6691</v>
      </c>
      <c r="Z79" s="92">
        <v>30352</v>
      </c>
      <c r="AA79" s="93">
        <v>5780</v>
      </c>
      <c r="AB79" s="93">
        <v>5189</v>
      </c>
      <c r="AC79" s="93">
        <v>569</v>
      </c>
      <c r="AD79" s="6">
        <f>AE79-SUM(AA79:AC79)</f>
        <v>539</v>
      </c>
      <c r="AE79" s="92">
        <v>12077</v>
      </c>
      <c r="AF79" s="93">
        <v>661</v>
      </c>
      <c r="AG79" s="93">
        <v>620</v>
      </c>
      <c r="AH79" s="93">
        <v>550</v>
      </c>
      <c r="AI79" s="93">
        <v>544</v>
      </c>
      <c r="AJ79" s="79">
        <f>SUM(AF79:AI79)</f>
        <v>2375</v>
      </c>
      <c r="AK79" s="93">
        <v>450</v>
      </c>
      <c r="AL79" s="93">
        <v>561</v>
      </c>
      <c r="AO79" s="79"/>
      <c r="AT79" s="79"/>
      <c r="AY79" s="79"/>
    </row>
    <row r="80" s="6" customFormat="1" spans="1:55">
      <c r="A80" s="3" t="s">
        <v>199</v>
      </c>
      <c r="B80" s="92">
        <v>4353</v>
      </c>
      <c r="C80" s="92">
        <v>4412</v>
      </c>
      <c r="D80" s="92">
        <v>6084</v>
      </c>
      <c r="E80" s="92">
        <v>11789</v>
      </c>
      <c r="F80" s="92">
        <v>12171</v>
      </c>
      <c r="G80" s="93">
        <v>1702</v>
      </c>
      <c r="H80" s="93">
        <v>663</v>
      </c>
      <c r="I80" s="93">
        <v>600</v>
      </c>
      <c r="J80" s="1">
        <f>K80-SUM(G80:I80)</f>
        <v>487</v>
      </c>
      <c r="K80" s="92">
        <v>3452</v>
      </c>
      <c r="L80" s="93">
        <v>537</v>
      </c>
      <c r="M80" s="93">
        <v>2285</v>
      </c>
      <c r="N80" s="93">
        <v>532</v>
      </c>
      <c r="O80" s="1">
        <f>P80-SUM(L80:N80)</f>
        <v>494</v>
      </c>
      <c r="P80" s="92">
        <v>3848</v>
      </c>
      <c r="Q80" s="93">
        <v>502</v>
      </c>
      <c r="R80" s="93">
        <v>743</v>
      </c>
      <c r="S80" s="93">
        <v>291</v>
      </c>
      <c r="T80" s="1">
        <f>U80-SUM(Q80:S80)</f>
        <v>3068</v>
      </c>
      <c r="U80" s="92">
        <v>4604</v>
      </c>
      <c r="V80" s="93">
        <v>4015</v>
      </c>
      <c r="W80" s="93">
        <v>6538</v>
      </c>
      <c r="X80" s="93">
        <v>7897</v>
      </c>
      <c r="Y80" s="6">
        <f>Z80-SUM(V80:X80)</f>
        <v>11530</v>
      </c>
      <c r="Z80" s="92">
        <v>29980</v>
      </c>
      <c r="AA80" s="93">
        <v>10803</v>
      </c>
      <c r="AB80" s="93">
        <v>10392</v>
      </c>
      <c r="AC80" s="93">
        <v>9302</v>
      </c>
      <c r="AD80" s="6">
        <f>AE80-SUM(AA80:AC80)</f>
        <v>9437</v>
      </c>
      <c r="AE80" s="92">
        <v>39934</v>
      </c>
      <c r="AF80" s="93">
        <v>7444</v>
      </c>
      <c r="AG80" s="93">
        <v>3094</v>
      </c>
      <c r="AH80" s="93">
        <v>6491</v>
      </c>
      <c r="AI80" s="93">
        <v>6975</v>
      </c>
      <c r="AJ80" s="79">
        <f>SUM(AF80:AI80)</f>
        <v>24004</v>
      </c>
      <c r="AK80" s="93">
        <v>5737</v>
      </c>
      <c r="AL80" s="93">
        <f>8152-3084</f>
        <v>5068</v>
      </c>
      <c r="AO80" s="79"/>
      <c r="AT80" s="79"/>
      <c r="AY80" s="79"/>
    </row>
    <row r="81" s="6" customFormat="1" spans="1:51">
      <c r="A81" s="3" t="s">
        <v>200</v>
      </c>
      <c r="B81" s="79">
        <f t="shared" ref="B81:G81" si="511">+B79-B80</f>
        <v>18248</v>
      </c>
      <c r="C81" s="79">
        <f t="shared" si="511"/>
        <v>18666</v>
      </c>
      <c r="D81" s="79">
        <f t="shared" si="511"/>
        <v>16889</v>
      </c>
      <c r="E81" s="79">
        <f t="shared" si="511"/>
        <v>10999</v>
      </c>
      <c r="F81" s="79">
        <f t="shared" si="511"/>
        <v>7737</v>
      </c>
      <c r="G81" s="6">
        <f t="shared" si="511"/>
        <v>3371</v>
      </c>
      <c r="H81" s="6">
        <f t="shared" ref="H81" si="512">+H79-H80</f>
        <v>7098</v>
      </c>
      <c r="I81" s="6">
        <f t="shared" ref="I81" si="513">+I79-I80</f>
        <v>8808</v>
      </c>
      <c r="J81" s="6">
        <f t="shared" ref="J81" si="514">+J79-J80</f>
        <v>8997</v>
      </c>
      <c r="K81" s="79">
        <f t="shared" ref="K81:L81" si="515">+K79-K80</f>
        <v>28274</v>
      </c>
      <c r="L81" s="6">
        <f t="shared" si="515"/>
        <v>8606</v>
      </c>
      <c r="M81" s="6">
        <f t="shared" ref="M81" si="516">+M79-M80</f>
        <v>11275</v>
      </c>
      <c r="N81" s="6">
        <f t="shared" ref="N81" si="517">+N79-N80</f>
        <v>7270</v>
      </c>
      <c r="O81" s="6">
        <f t="shared" ref="O81:Q81" si="518">+O79-O80</f>
        <v>6959</v>
      </c>
      <c r="P81" s="79">
        <f t="shared" si="518"/>
        <v>34110</v>
      </c>
      <c r="Q81" s="6">
        <f t="shared" si="518"/>
        <v>7307</v>
      </c>
      <c r="R81" s="6">
        <f t="shared" ref="R81" si="519">+R79-R80</f>
        <v>6917</v>
      </c>
      <c r="S81" s="6">
        <f t="shared" ref="S81" si="520">+S79-S80</f>
        <v>7295</v>
      </c>
      <c r="T81" s="6">
        <f t="shared" ref="T81:V81" si="521">+T79-T80</f>
        <v>4113</v>
      </c>
      <c r="U81" s="79">
        <f t="shared" si="521"/>
        <v>25632</v>
      </c>
      <c r="V81" s="6">
        <f t="shared" si="521"/>
        <v>3443</v>
      </c>
      <c r="W81" s="6">
        <f t="shared" ref="W81:AA81" si="522">+W79-W80</f>
        <v>1097</v>
      </c>
      <c r="X81" s="6">
        <f t="shared" si="522"/>
        <v>671</v>
      </c>
      <c r="Y81" s="6">
        <f t="shared" si="522"/>
        <v>-4839</v>
      </c>
      <c r="Z81" s="79">
        <f t="shared" si="522"/>
        <v>372</v>
      </c>
      <c r="AA81" s="6">
        <f t="shared" si="522"/>
        <v>-5023</v>
      </c>
      <c r="AB81" s="6">
        <f t="shared" ref="AB81" si="523">+AB79-AB80</f>
        <v>-5203</v>
      </c>
      <c r="AC81" s="6">
        <f t="shared" ref="AC81" si="524">+AC79-AC80</f>
        <v>-8733</v>
      </c>
      <c r="AD81" s="6">
        <f t="shared" ref="AD81:AF81" si="525">+AD79-AD80</f>
        <v>-8898</v>
      </c>
      <c r="AE81" s="79">
        <f t="shared" si="525"/>
        <v>-27857</v>
      </c>
      <c r="AF81" s="6">
        <f t="shared" si="525"/>
        <v>-6783</v>
      </c>
      <c r="AG81" s="6">
        <f t="shared" ref="AG81:AL81" si="526">+AG79-AG80</f>
        <v>-2474</v>
      </c>
      <c r="AH81" s="6">
        <f t="shared" si="526"/>
        <v>-5941</v>
      </c>
      <c r="AI81" s="6">
        <f t="shared" si="526"/>
        <v>-6431</v>
      </c>
      <c r="AJ81" s="79">
        <f t="shared" si="526"/>
        <v>-21629</v>
      </c>
      <c r="AK81" s="6">
        <f t="shared" si="526"/>
        <v>-5287</v>
      </c>
      <c r="AL81" s="6">
        <f t="shared" si="526"/>
        <v>-4507</v>
      </c>
      <c r="AO81" s="79"/>
      <c r="AT81" s="79"/>
      <c r="AY81" s="79"/>
    </row>
    <row r="82" s="6" customFormat="1" spans="1:51">
      <c r="A82" s="3" t="s">
        <v>71</v>
      </c>
      <c r="B82" s="79">
        <f t="shared" ref="B82:G82" si="527">B81-B13</f>
        <v>0</v>
      </c>
      <c r="C82" s="79">
        <f t="shared" si="527"/>
        <v>0</v>
      </c>
      <c r="D82" s="79">
        <f t="shared" si="527"/>
        <v>0</v>
      </c>
      <c r="E82" s="79">
        <f t="shared" si="527"/>
        <v>0</v>
      </c>
      <c r="F82" s="79">
        <f t="shared" si="527"/>
        <v>0</v>
      </c>
      <c r="G82" s="6">
        <f t="shared" si="527"/>
        <v>0</v>
      </c>
      <c r="H82" s="6">
        <f t="shared" ref="H82" si="528">H81-H13</f>
        <v>0</v>
      </c>
      <c r="I82" s="6">
        <f t="shared" ref="I82" si="529">I81-I13</f>
        <v>0</v>
      </c>
      <c r="J82" s="6">
        <f t="shared" ref="J82" si="530">J81-J13</f>
        <v>0</v>
      </c>
      <c r="K82" s="79">
        <f t="shared" ref="K82:L82" si="531">K81-K13</f>
        <v>0</v>
      </c>
      <c r="L82" s="6">
        <f t="shared" si="531"/>
        <v>0</v>
      </c>
      <c r="M82" s="6">
        <f t="shared" ref="M82" si="532">M81-M13</f>
        <v>0</v>
      </c>
      <c r="N82" s="6">
        <f t="shared" ref="N82" si="533">N81-N13</f>
        <v>0</v>
      </c>
      <c r="O82" s="6">
        <f t="shared" ref="O82:Q82" si="534">O81-O13</f>
        <v>0</v>
      </c>
      <c r="P82" s="79">
        <f t="shared" si="534"/>
        <v>0</v>
      </c>
      <c r="Q82" s="6">
        <f t="shared" si="534"/>
        <v>0</v>
      </c>
      <c r="R82" s="6">
        <f t="shared" ref="R82" si="535">R81-R13</f>
        <v>0</v>
      </c>
      <c r="S82" s="6">
        <f t="shared" ref="S82" si="536">S81-S13</f>
        <v>0</v>
      </c>
      <c r="T82" s="6">
        <f t="shared" ref="T82:V82" si="537">T81-T13</f>
        <v>0</v>
      </c>
      <c r="U82" s="79">
        <f t="shared" si="537"/>
        <v>0</v>
      </c>
      <c r="V82" s="6">
        <f t="shared" si="537"/>
        <v>0</v>
      </c>
      <c r="W82" s="6">
        <f t="shared" ref="W82:AA82" si="538">W81-W13</f>
        <v>0</v>
      </c>
      <c r="X82" s="6">
        <f t="shared" si="538"/>
        <v>0</v>
      </c>
      <c r="Y82" s="6">
        <f t="shared" si="538"/>
        <v>0</v>
      </c>
      <c r="Z82" s="79">
        <f t="shared" si="538"/>
        <v>0</v>
      </c>
      <c r="AA82" s="6">
        <f t="shared" si="538"/>
        <v>0</v>
      </c>
      <c r="AB82" s="6">
        <f t="shared" ref="AB82" si="539">AB81-AB13</f>
        <v>0</v>
      </c>
      <c r="AC82" s="6">
        <f t="shared" ref="AC82" si="540">AC81-AC13</f>
        <v>0</v>
      </c>
      <c r="AD82" s="6">
        <f t="shared" ref="AD82:AF82" si="541">AD81-AD13</f>
        <v>0</v>
      </c>
      <c r="AE82" s="79">
        <f t="shared" si="541"/>
        <v>0</v>
      </c>
      <c r="AF82" s="6">
        <f t="shared" si="541"/>
        <v>0</v>
      </c>
      <c r="AG82" s="6">
        <f t="shared" ref="AG82:AL82" si="542">AG81-AG13</f>
        <v>0</v>
      </c>
      <c r="AH82" s="6">
        <f t="shared" si="542"/>
        <v>0</v>
      </c>
      <c r="AI82" s="6">
        <f t="shared" si="542"/>
        <v>0</v>
      </c>
      <c r="AJ82" s="79">
        <f t="shared" si="542"/>
        <v>0</v>
      </c>
      <c r="AK82" s="6">
        <f t="shared" si="542"/>
        <v>0</v>
      </c>
      <c r="AL82" s="6">
        <f t="shared" si="542"/>
        <v>0</v>
      </c>
      <c r="AO82" s="79"/>
      <c r="AT82" s="79"/>
      <c r="AY82" s="79"/>
    </row>
    <row r="84" spans="1:51">
      <c r="A84" s="14" t="s">
        <v>124</v>
      </c>
      <c r="B84" s="15"/>
      <c r="C84" s="15"/>
      <c r="D84" s="15"/>
      <c r="E84" s="15"/>
      <c r="F84" s="15"/>
      <c r="G84" s="192"/>
      <c r="H84" s="192"/>
      <c r="I84" s="192"/>
      <c r="J84" s="192"/>
      <c r="K84" s="193"/>
      <c r="L84" s="192"/>
      <c r="M84" s="192"/>
      <c r="N84" s="192"/>
      <c r="O84" s="192"/>
      <c r="P84" s="193"/>
      <c r="Q84" s="192"/>
      <c r="R84" s="192"/>
      <c r="S84" s="192"/>
      <c r="T84" s="192"/>
      <c r="U84" s="193"/>
      <c r="V84" s="192"/>
      <c r="W84" s="192"/>
      <c r="X84" s="192"/>
      <c r="Y84" s="192"/>
      <c r="Z84" s="193"/>
      <c r="AA84" s="192"/>
      <c r="AB84" s="192"/>
      <c r="AC84" s="192"/>
      <c r="AD84" s="192"/>
      <c r="AE84" s="193"/>
      <c r="AF84" s="192"/>
      <c r="AG84" s="192"/>
      <c r="AH84" s="192"/>
      <c r="AI84" s="192"/>
      <c r="AJ84" s="193"/>
      <c r="AK84" s="192"/>
      <c r="AL84" s="192"/>
      <c r="AM84" s="192" t="str">
        <f t="shared" ref="AM84:AT84" si="543">AM3</f>
        <v>3Q26E</v>
      </c>
      <c r="AN84" s="192" t="str">
        <f t="shared" si="543"/>
        <v>4Q26E</v>
      </c>
      <c r="AO84" s="193" t="str">
        <f t="shared" si="543"/>
        <v>FY26E</v>
      </c>
      <c r="AP84" s="192" t="str">
        <f t="shared" si="543"/>
        <v>1Q27E</v>
      </c>
      <c r="AQ84" s="192" t="str">
        <f t="shared" si="543"/>
        <v>2Q27E</v>
      </c>
      <c r="AR84" s="192" t="str">
        <f t="shared" si="543"/>
        <v>3Q27E</v>
      </c>
      <c r="AS84" s="192" t="str">
        <f t="shared" si="543"/>
        <v>4Q27E</v>
      </c>
      <c r="AT84" s="193" t="str">
        <f t="shared" si="543"/>
        <v>FY27E</v>
      </c>
      <c r="AU84" s="192" t="str">
        <f t="shared" ref="AU84:AY84" si="544">AU3</f>
        <v>1Q28E</v>
      </c>
      <c r="AV84" s="192" t="str">
        <f t="shared" si="544"/>
        <v>2Q28E</v>
      </c>
      <c r="AW84" s="192" t="str">
        <f t="shared" si="544"/>
        <v>3Q28E</v>
      </c>
      <c r="AX84" s="192" t="str">
        <f t="shared" si="544"/>
        <v>4Q28E</v>
      </c>
      <c r="AY84" s="193" t="str">
        <f t="shared" si="544"/>
        <v>FY28E</v>
      </c>
    </row>
    <row r="85" spans="1:51">
      <c r="A85" s="242" t="s">
        <v>201</v>
      </c>
      <c r="B85" s="243"/>
      <c r="C85" s="243"/>
      <c r="D85" s="243"/>
      <c r="E85" s="243"/>
      <c r="F85" s="243"/>
      <c r="G85" s="244"/>
      <c r="H85" s="244"/>
      <c r="I85" s="244"/>
      <c r="J85" s="244"/>
      <c r="K85" s="245"/>
      <c r="L85" s="244"/>
      <c r="M85" s="244"/>
      <c r="N85" s="244"/>
      <c r="O85" s="244"/>
      <c r="P85" s="245"/>
      <c r="Q85" s="244"/>
      <c r="R85" s="244"/>
      <c r="S85" s="244"/>
      <c r="T85" s="244"/>
      <c r="U85" s="245"/>
      <c r="V85" s="244"/>
      <c r="W85" s="244"/>
      <c r="X85" s="244"/>
      <c r="Y85" s="244"/>
      <c r="Z85" s="245"/>
      <c r="AA85" s="244"/>
      <c r="AB85" s="244"/>
      <c r="AC85" s="244"/>
      <c r="AD85" s="244"/>
      <c r="AE85" s="245"/>
      <c r="AF85" s="244"/>
      <c r="AG85" s="244"/>
      <c r="AH85" s="244"/>
      <c r="AI85" s="244"/>
      <c r="AJ85" s="245"/>
      <c r="AK85" s="244"/>
      <c r="AL85" s="244"/>
      <c r="AM85" s="244"/>
      <c r="AN85" s="244"/>
      <c r="AO85" s="245"/>
      <c r="AP85" s="244"/>
      <c r="AQ85" s="244"/>
      <c r="AR85" s="244"/>
      <c r="AS85" s="244"/>
      <c r="AT85" s="245"/>
      <c r="AU85" s="244"/>
      <c r="AV85" s="244"/>
      <c r="AW85" s="244"/>
      <c r="AX85" s="244"/>
      <c r="AY85" s="245"/>
    </row>
    <row r="86" spans="1:51">
      <c r="A86" s="3" t="s">
        <v>73</v>
      </c>
      <c r="AG86" s="6"/>
      <c r="AH86" s="6"/>
      <c r="AI86" s="123"/>
      <c r="AJ86" s="122"/>
      <c r="AK86" s="123"/>
      <c r="AL86" s="123"/>
      <c r="AM86" s="123">
        <f t="shared" ref="AM86:AP86" si="545">AM6/10^3</f>
        <v>1366.93756</v>
      </c>
      <c r="AN86" s="123">
        <f t="shared" si="545"/>
        <v>1786.68814</v>
      </c>
      <c r="AO86" s="122">
        <f t="shared" si="545"/>
        <v>5534.1357</v>
      </c>
      <c r="AP86" s="123">
        <f t="shared" si="545"/>
        <v>1164.02103</v>
      </c>
      <c r="AQ86" s="123">
        <f t="shared" ref="AQ86:AU86" si="546">AQ6/10^3</f>
        <v>1317.35656</v>
      </c>
      <c r="AR86" s="123">
        <f t="shared" si="546"/>
        <v>1414.6130128</v>
      </c>
      <c r="AS86" s="123">
        <f t="shared" si="546"/>
        <v>1848.9183556</v>
      </c>
      <c r="AT86" s="122">
        <f t="shared" si="546"/>
        <v>5744.9089584</v>
      </c>
      <c r="AU86" s="123">
        <f t="shared" si="546"/>
        <v>1195.97688615</v>
      </c>
      <c r="AV86" s="123">
        <f t="shared" ref="AV86:AY86" si="547">AV6/10^3</f>
        <v>1353.7738552</v>
      </c>
      <c r="AW86" s="123">
        <f t="shared" si="547"/>
        <v>1457.190449208</v>
      </c>
      <c r="AX86" s="123">
        <f t="shared" si="547"/>
        <v>1904.65574379</v>
      </c>
      <c r="AY86" s="122">
        <f t="shared" si="547"/>
        <v>5911.596934348</v>
      </c>
    </row>
    <row r="87" spans="1:51">
      <c r="A87" s="3" t="s">
        <v>170</v>
      </c>
      <c r="AG87" s="136"/>
      <c r="AH87" s="136"/>
      <c r="AI87" s="136"/>
      <c r="AJ87" s="246"/>
      <c r="AK87" s="136"/>
      <c r="AL87" s="136"/>
      <c r="AM87" s="136">
        <f t="shared" ref="AM87:AP87" si="548">AM26</f>
        <v>0.638241841318003</v>
      </c>
      <c r="AN87" s="136">
        <f t="shared" si="548"/>
        <v>0.611867535192795</v>
      </c>
      <c r="AO87" s="246">
        <f t="shared" si="548"/>
        <v>0.626333794749763</v>
      </c>
      <c r="AP87" s="136">
        <f t="shared" si="548"/>
        <v>0.62945196849404</v>
      </c>
      <c r="AQ87" s="136">
        <f t="shared" ref="AQ87:AU87" si="549">AQ26</f>
        <v>0.633025698494263</v>
      </c>
      <c r="AR87" s="136">
        <f t="shared" si="549"/>
        <v>0.639241841318003</v>
      </c>
      <c r="AS87" s="136">
        <f t="shared" si="549"/>
        <v>0.612867535192795</v>
      </c>
      <c r="AT87" s="246">
        <f t="shared" si="549"/>
        <v>0.627344623523795</v>
      </c>
      <c r="AU87" s="136">
        <f t="shared" si="549"/>
        <v>0.63145196849404</v>
      </c>
      <c r="AV87" s="136">
        <f t="shared" ref="AV87:AY87" si="550">AV26</f>
        <v>0.633025698494263</v>
      </c>
      <c r="AW87" s="136">
        <f t="shared" si="550"/>
        <v>0.639241841318003</v>
      </c>
      <c r="AX87" s="136">
        <f t="shared" si="550"/>
        <v>0.614867535192795</v>
      </c>
      <c r="AY87" s="246">
        <f t="shared" si="550"/>
        <v>0.628389203299335</v>
      </c>
    </row>
    <row r="88" spans="1:51">
      <c r="A88" s="3" t="s">
        <v>202</v>
      </c>
      <c r="AG88" s="6"/>
      <c r="AH88" s="6"/>
      <c r="AI88" s="123"/>
      <c r="AJ88" s="122"/>
      <c r="AK88" s="123"/>
      <c r="AL88" s="123"/>
      <c r="AM88" s="123">
        <f t="shared" ref="AM88:AP88" si="551">AM12/10^3</f>
        <v>169.323219245524</v>
      </c>
      <c r="AN88" s="123">
        <f t="shared" si="551"/>
        <v>287.96607466</v>
      </c>
      <c r="AO88" s="122">
        <f t="shared" si="551"/>
        <v>698.786293905524</v>
      </c>
      <c r="AP88" s="123">
        <f t="shared" si="551"/>
        <v>103.715792788277</v>
      </c>
      <c r="AQ88" s="123">
        <f t="shared" ref="AQ88:AU88" si="552">AQ12/10^3</f>
        <v>161.45887312</v>
      </c>
      <c r="AR88" s="123">
        <f t="shared" si="552"/>
        <v>174.038029545581</v>
      </c>
      <c r="AS88" s="123">
        <f t="shared" si="552"/>
        <v>296.370870914538</v>
      </c>
      <c r="AT88" s="122">
        <f t="shared" si="552"/>
        <v>735.583566368395</v>
      </c>
      <c r="AU88" s="123">
        <f t="shared" si="552"/>
        <v>108.92760205638</v>
      </c>
      <c r="AV88" s="123">
        <f t="shared" ref="AV88:AY88" si="553">AV12/10^3</f>
        <v>165.89463358706</v>
      </c>
      <c r="AW88" s="123">
        <f t="shared" si="553"/>
        <v>179.246178793805</v>
      </c>
      <c r="AX88" s="123">
        <f t="shared" si="553"/>
        <v>309.084415973231</v>
      </c>
      <c r="AY88" s="122">
        <f t="shared" si="553"/>
        <v>763.152830410477</v>
      </c>
    </row>
    <row r="89" spans="1:51">
      <c r="A89" s="29" t="s">
        <v>190</v>
      </c>
      <c r="B89" s="135"/>
      <c r="C89" s="135"/>
      <c r="D89" s="135"/>
      <c r="E89" s="135"/>
      <c r="F89" s="135"/>
      <c r="AG89" s="119"/>
      <c r="AH89" s="119"/>
      <c r="AI89" s="119"/>
      <c r="AJ89" s="83"/>
      <c r="AK89" s="119"/>
      <c r="AL89" s="119"/>
      <c r="AM89" s="119">
        <f t="shared" ref="AM89:AP89" si="554">AM88/AM86</f>
        <v>0.123870485529364</v>
      </c>
      <c r="AN89" s="119">
        <f t="shared" si="554"/>
        <v>0.161173104703096</v>
      </c>
      <c r="AO89" s="83">
        <f t="shared" si="554"/>
        <v>0.126268369947185</v>
      </c>
      <c r="AP89" s="119">
        <f t="shared" si="554"/>
        <v>0.0891013049723658</v>
      </c>
      <c r="AQ89" s="119">
        <f t="shared" ref="AQ89" si="555">AQ88/AQ86</f>
        <v>0.122562773073374</v>
      </c>
      <c r="AR89" s="119">
        <f t="shared" ref="AR89" si="556">AR88/AR86</f>
        <v>0.123028720908696</v>
      </c>
      <c r="AS89" s="119">
        <f t="shared" ref="AS89" si="557">AS88/AS86</f>
        <v>0.160294190393475</v>
      </c>
      <c r="AT89" s="83">
        <f t="shared" ref="AT89:AU89" si="558">AT88/AT86</f>
        <v>0.128040944024509</v>
      </c>
      <c r="AU89" s="119">
        <f t="shared" si="558"/>
        <v>0.0910783505248431</v>
      </c>
      <c r="AV89" s="119">
        <f t="shared" ref="AV89:AY89" si="559">AV88/AV86</f>
        <v>0.122542352956397</v>
      </c>
      <c r="AW89" s="119">
        <f t="shared" si="559"/>
        <v>0.123008065892298</v>
      </c>
      <c r="AX89" s="119">
        <f t="shared" si="559"/>
        <v>0.162278362891026</v>
      </c>
      <c r="AY89" s="83">
        <f t="shared" si="559"/>
        <v>0.129094192125371</v>
      </c>
    </row>
    <row r="90" spans="1:51">
      <c r="A90" s="3" t="s">
        <v>203</v>
      </c>
      <c r="B90" s="135"/>
      <c r="C90" s="135"/>
      <c r="D90" s="135"/>
      <c r="E90" s="135"/>
      <c r="F90" s="135"/>
      <c r="AG90" s="119"/>
      <c r="AH90" s="119"/>
      <c r="AI90" s="119"/>
      <c r="AJ90" s="83"/>
      <c r="AK90" s="123"/>
      <c r="AL90" s="123"/>
      <c r="AM90" s="123">
        <f t="shared" ref="AM90:AY90" si="560">AM61/10^3</f>
        <v>212.661215725524</v>
      </c>
      <c r="AN90" s="123">
        <f t="shared" si="560"/>
        <v>332.23916026</v>
      </c>
      <c r="AO90" s="122">
        <f t="shared" si="560"/>
        <v>871.980375985524</v>
      </c>
      <c r="AP90" s="123">
        <f t="shared" si="560"/>
        <v>148.390478628277</v>
      </c>
      <c r="AQ90" s="123">
        <f t="shared" si="560"/>
        <v>206.53889944</v>
      </c>
      <c r="AR90" s="123">
        <f t="shared" si="560"/>
        <v>219.499459487981</v>
      </c>
      <c r="AS90" s="123">
        <f t="shared" si="560"/>
        <v>342.330142581738</v>
      </c>
      <c r="AT90" s="122">
        <f t="shared" si="560"/>
        <v>916.758980137996</v>
      </c>
      <c r="AU90" s="123">
        <f t="shared" si="560"/>
        <v>155.14252057278</v>
      </c>
      <c r="AV90" s="123">
        <f t="shared" si="560"/>
        <v>212.40089046506</v>
      </c>
      <c r="AW90" s="123">
        <f t="shared" si="560"/>
        <v>226.093055163069</v>
      </c>
      <c r="AX90" s="123">
        <f t="shared" si="560"/>
        <v>356.377191448015</v>
      </c>
      <c r="AY90" s="122">
        <f t="shared" si="560"/>
        <v>950.013657648925</v>
      </c>
    </row>
    <row r="91" spans="1:51">
      <c r="A91" s="29" t="s">
        <v>190</v>
      </c>
      <c r="B91" s="135"/>
      <c r="C91" s="135"/>
      <c r="D91" s="135"/>
      <c r="E91" s="135"/>
      <c r="F91" s="135"/>
      <c r="AG91" s="119"/>
      <c r="AH91" s="119"/>
      <c r="AI91" s="119"/>
      <c r="AJ91" s="83"/>
      <c r="AK91" s="119"/>
      <c r="AL91" s="119"/>
      <c r="AM91" s="119">
        <f t="shared" ref="AM91:AY91" si="561">AM62</f>
        <v>0.155574930376135</v>
      </c>
      <c r="AN91" s="119">
        <f t="shared" si="561"/>
        <v>0.185952518977375</v>
      </c>
      <c r="AO91" s="83">
        <f t="shared" si="561"/>
        <v>0.157563967212716</v>
      </c>
      <c r="AP91" s="119">
        <f t="shared" si="561"/>
        <v>0.127480925862892</v>
      </c>
      <c r="AQ91" s="119">
        <f t="shared" si="561"/>
        <v>0.156782837472643</v>
      </c>
      <c r="AR91" s="119">
        <f t="shared" si="561"/>
        <v>0.155165729073506</v>
      </c>
      <c r="AS91" s="119">
        <f t="shared" si="561"/>
        <v>0.18515157337526</v>
      </c>
      <c r="AT91" s="83">
        <f t="shared" si="561"/>
        <v>0.159577634176003</v>
      </c>
      <c r="AU91" s="119">
        <f t="shared" si="561"/>
        <v>0.129720333536046</v>
      </c>
      <c r="AV91" s="119">
        <f t="shared" si="561"/>
        <v>0.156895399958571</v>
      </c>
      <c r="AW91" s="119">
        <f t="shared" si="561"/>
        <v>0.155156832990467</v>
      </c>
      <c r="AX91" s="119">
        <f t="shared" si="561"/>
        <v>0.18710845390825</v>
      </c>
      <c r="AY91" s="83">
        <f t="shared" si="561"/>
        <v>0.160703388305973</v>
      </c>
    </row>
    <row r="92" spans="1:51">
      <c r="A92" s="3" t="s">
        <v>186</v>
      </c>
      <c r="AG92" s="247"/>
      <c r="AH92" s="247"/>
      <c r="AI92" s="247"/>
      <c r="AJ92" s="248"/>
      <c r="AK92" s="247"/>
      <c r="AL92" s="247"/>
      <c r="AM92" s="247">
        <f t="shared" ref="AM92:AP92" si="562">AM18</f>
        <v>2.80138416165092</v>
      </c>
      <c r="AN92" s="247">
        <f t="shared" si="562"/>
        <v>4.86520572157274</v>
      </c>
      <c r="AO92" s="248">
        <f t="shared" si="562"/>
        <v>11.4507542898857</v>
      </c>
      <c r="AP92" s="247">
        <f t="shared" si="562"/>
        <v>1.76113316393306</v>
      </c>
      <c r="AQ92" s="247">
        <f t="shared" ref="AQ92:AU92" si="563">AQ18</f>
        <v>2.72406256270885</v>
      </c>
      <c r="AR92" s="247">
        <f t="shared" si="563"/>
        <v>2.95984667282673</v>
      </c>
      <c r="AS92" s="247">
        <f t="shared" si="563"/>
        <v>5.0532174714101</v>
      </c>
      <c r="AT92" s="248">
        <f t="shared" si="563"/>
        <v>12.4480329765208</v>
      </c>
      <c r="AU92" s="247">
        <f t="shared" si="563"/>
        <v>1.91960188085239</v>
      </c>
      <c r="AV92" s="247">
        <f t="shared" ref="AV92:AY92" si="564">AV18</f>
        <v>2.91468407237396</v>
      </c>
      <c r="AW92" s="247">
        <f t="shared" si="564"/>
        <v>3.17675940961454</v>
      </c>
      <c r="AX92" s="247">
        <f t="shared" si="564"/>
        <v>5.49616365848636</v>
      </c>
      <c r="AY92" s="248">
        <f t="shared" si="564"/>
        <v>13.4487092331709</v>
      </c>
    </row>
    <row r="94" spans="1:51">
      <c r="A94" s="242" t="s">
        <v>204</v>
      </c>
      <c r="B94" s="243"/>
      <c r="C94" s="243"/>
      <c r="D94" s="243"/>
      <c r="E94" s="243"/>
      <c r="F94" s="243"/>
      <c r="G94" s="249"/>
      <c r="H94" s="249"/>
      <c r="I94" s="249"/>
      <c r="J94" s="249"/>
      <c r="K94" s="250"/>
      <c r="L94" s="249"/>
      <c r="M94" s="249"/>
      <c r="N94" s="249"/>
      <c r="O94" s="249"/>
      <c r="P94" s="250"/>
      <c r="Q94" s="249"/>
      <c r="R94" s="249"/>
      <c r="S94" s="249"/>
      <c r="T94" s="249"/>
      <c r="U94" s="250"/>
      <c r="V94" s="249"/>
      <c r="W94" s="249"/>
      <c r="X94" s="249"/>
      <c r="Y94" s="249"/>
      <c r="Z94" s="250"/>
      <c r="AA94" s="249"/>
      <c r="AB94" s="249"/>
      <c r="AC94" s="249"/>
      <c r="AD94" s="249"/>
      <c r="AE94" s="250"/>
      <c r="AF94" s="249"/>
      <c r="AG94" s="249"/>
      <c r="AH94" s="249"/>
      <c r="AI94" s="249"/>
      <c r="AJ94" s="250"/>
      <c r="AK94" s="249"/>
      <c r="AL94" s="249"/>
      <c r="AM94" s="249" t="s">
        <v>132</v>
      </c>
      <c r="AN94" s="249" t="s">
        <v>133</v>
      </c>
      <c r="AO94" s="250" t="s">
        <v>134</v>
      </c>
      <c r="AP94" s="249" t="s">
        <v>135</v>
      </c>
      <c r="AQ94" s="249" t="s">
        <v>136</v>
      </c>
      <c r="AR94" s="249" t="s">
        <v>137</v>
      </c>
      <c r="AS94" s="249" t="s">
        <v>138</v>
      </c>
      <c r="AT94" s="250" t="s">
        <v>139</v>
      </c>
      <c r="AU94" s="249" t="s">
        <v>140</v>
      </c>
      <c r="AV94" s="249" t="s">
        <v>141</v>
      </c>
      <c r="AW94" s="249" t="s">
        <v>142</v>
      </c>
      <c r="AX94" s="249" t="s">
        <v>143</v>
      </c>
      <c r="AY94" s="250" t="s">
        <v>144</v>
      </c>
    </row>
    <row r="95" spans="1:51">
      <c r="A95" s="3" t="s">
        <v>73</v>
      </c>
      <c r="AG95" s="251"/>
      <c r="AH95" s="6"/>
      <c r="AI95" s="123"/>
      <c r="AJ95" s="122"/>
      <c r="AK95" s="123"/>
      <c r="AL95" s="123"/>
      <c r="AM95" s="123">
        <v>1365.23582010667</v>
      </c>
      <c r="AN95" s="123">
        <v>1782.86685990131</v>
      </c>
      <c r="AO95" s="122">
        <v>5528.61268000798</v>
      </c>
      <c r="AP95" s="123">
        <v>1169.87114343642</v>
      </c>
      <c r="AQ95" s="123">
        <v>1321.30992054107</v>
      </c>
      <c r="AR95" s="123">
        <v>1420.34193744436</v>
      </c>
      <c r="AS95" s="123">
        <v>1854.92829333266</v>
      </c>
      <c r="AT95" s="122">
        <v>5762.14507067363</v>
      </c>
      <c r="AU95" s="123">
        <v>1208.9469738301</v>
      </c>
      <c r="AV95" s="123">
        <v>1363.76536983916</v>
      </c>
      <c r="AW95" s="123">
        <v>1465.85474549567</v>
      </c>
      <c r="AX95" s="123">
        <v>1918.36440733797</v>
      </c>
      <c r="AY95" s="122">
        <v>5953.55686540533</v>
      </c>
    </row>
    <row r="96" spans="1:51">
      <c r="A96" s="3" t="s">
        <v>170</v>
      </c>
      <c r="AG96" s="136"/>
      <c r="AH96" s="136"/>
      <c r="AI96" s="136"/>
      <c r="AJ96" s="246"/>
      <c r="AK96" s="136"/>
      <c r="AL96" s="136"/>
      <c r="AM96" s="136">
        <v>0.641410870879882</v>
      </c>
      <c r="AN96" s="136">
        <v>0.606400073538462</v>
      </c>
      <c r="AO96" s="246">
        <v>0.637418021829312</v>
      </c>
      <c r="AP96" s="136">
        <v>0.629820884765509</v>
      </c>
      <c r="AQ96" s="136">
        <v>0.633349570584103</v>
      </c>
      <c r="AR96" s="136">
        <v>0.636368566659088</v>
      </c>
      <c r="AS96" s="136">
        <v>0.607629101475024</v>
      </c>
      <c r="AT96" s="246">
        <v>0.624747684600743</v>
      </c>
      <c r="AU96" s="136">
        <v>0.630668655523598</v>
      </c>
      <c r="AV96" s="136">
        <v>0.632966854502424</v>
      </c>
      <c r="AW96" s="136">
        <v>0.636179864912968</v>
      </c>
      <c r="AX96" s="136">
        <v>0.609051849857079</v>
      </c>
      <c r="AY96" s="246">
        <v>0.624788736469687</v>
      </c>
    </row>
    <row r="97" spans="1:54">
      <c r="A97" s="3" t="s">
        <v>202</v>
      </c>
      <c r="AG97" s="6"/>
      <c r="AH97" s="6"/>
      <c r="AI97" s="123"/>
      <c r="AJ97" s="122"/>
      <c r="AK97" s="123"/>
      <c r="AL97" s="123"/>
      <c r="AM97" s="123">
        <v>182.652085172259</v>
      </c>
      <c r="AN97" s="123">
        <v>289.447179017232</v>
      </c>
      <c r="AO97" s="122">
        <v>776.096264189491</v>
      </c>
      <c r="AP97" s="123">
        <v>97.3210499776828</v>
      </c>
      <c r="AQ97" s="123">
        <v>162.782563656463</v>
      </c>
      <c r="AR97" s="123">
        <v>179.735907452049</v>
      </c>
      <c r="AS97" s="123">
        <v>297.630149344656</v>
      </c>
      <c r="AT97" s="122">
        <v>740.996163385272</v>
      </c>
      <c r="AU97" s="123">
        <v>103.466708427347</v>
      </c>
      <c r="AV97" s="123">
        <v>166.933514926443</v>
      </c>
      <c r="AW97" s="123">
        <v>186.88271620347</v>
      </c>
      <c r="AX97" s="123">
        <v>312.322747376934</v>
      </c>
      <c r="AY97" s="122">
        <v>762.461317904265</v>
      </c>
    </row>
    <row r="98" spans="1:54">
      <c r="A98" s="29" t="s">
        <v>190</v>
      </c>
      <c r="B98" s="135"/>
      <c r="C98" s="135"/>
      <c r="D98" s="135"/>
      <c r="E98" s="135"/>
      <c r="F98" s="135"/>
      <c r="AG98" s="119"/>
      <c r="AH98" s="119"/>
      <c r="AI98" s="119"/>
      <c r="AJ98" s="83"/>
      <c r="AK98" s="119"/>
      <c r="AL98" s="119"/>
      <c r="AM98" s="119">
        <f t="shared" ref="AM98" si="565">AM97/AM95</f>
        <v>0.133787937938801</v>
      </c>
      <c r="AN98" s="119">
        <f t="shared" ref="AN98" si="566">AN97/AN95</f>
        <v>0.162349295691802</v>
      </c>
      <c r="AO98" s="83">
        <f t="shared" ref="AO98:AT98" si="567">AO97/AO95</f>
        <v>0.140378121801864</v>
      </c>
      <c r="AP98" s="119">
        <f t="shared" si="567"/>
        <v>0.083189546578445</v>
      </c>
      <c r="AQ98" s="119">
        <f t="shared" si="567"/>
        <v>0.123197866848532</v>
      </c>
      <c r="AR98" s="119">
        <f t="shared" si="567"/>
        <v>0.126544110762124</v>
      </c>
      <c r="AS98" s="119">
        <f t="shared" si="567"/>
        <v>0.160453722343045</v>
      </c>
      <c r="AT98" s="83">
        <f t="shared" si="567"/>
        <v>0.128597276586555</v>
      </c>
      <c r="AU98" s="119">
        <f t="shared" ref="AU98:AY98" si="568">AU97/AU95</f>
        <v>0.0855841576736415</v>
      </c>
      <c r="AV98" s="119">
        <f t="shared" si="568"/>
        <v>0.122406330750378</v>
      </c>
      <c r="AW98" s="119">
        <f t="shared" si="568"/>
        <v>0.127490610360767</v>
      </c>
      <c r="AX98" s="119">
        <f t="shared" si="568"/>
        <v>0.162806788002458</v>
      </c>
      <c r="AY98" s="83">
        <f t="shared" si="568"/>
        <v>0.128068201100882</v>
      </c>
    </row>
    <row r="99" spans="1:54">
      <c r="A99" s="3" t="s">
        <v>203</v>
      </c>
      <c r="B99" s="135"/>
      <c r="C99" s="135"/>
      <c r="D99" s="135"/>
      <c r="E99" s="135"/>
      <c r="F99" s="135"/>
      <c r="AG99" s="119"/>
      <c r="AH99" s="119"/>
      <c r="AI99" s="119"/>
      <c r="AJ99" s="83"/>
      <c r="AK99" s="123"/>
      <c r="AL99" s="123"/>
      <c r="AM99" s="123">
        <v>224.738447896592</v>
      </c>
      <c r="AN99" s="123">
        <v>334.515601806519</v>
      </c>
      <c r="AO99" s="122">
        <v>950.490870606782</v>
      </c>
      <c r="AP99" s="123">
        <v>145.254471400319</v>
      </c>
      <c r="AQ99" s="123">
        <v>211.476721558317</v>
      </c>
      <c r="AR99" s="123">
        <v>224.891492014889</v>
      </c>
      <c r="AS99" s="123">
        <v>344.987238909602</v>
      </c>
      <c r="AT99" s="122">
        <v>919.824369078576</v>
      </c>
      <c r="AU99" s="123">
        <v>152.102824758154</v>
      </c>
      <c r="AV99" s="123">
        <v>216.734937444468</v>
      </c>
      <c r="AW99" s="123">
        <v>233.448504508587</v>
      </c>
      <c r="AX99" s="123">
        <v>367.8822846284</v>
      </c>
      <c r="AY99" s="122">
        <v>930.36244546935</v>
      </c>
    </row>
    <row r="100" spans="1:54">
      <c r="A100" s="29" t="s">
        <v>190</v>
      </c>
      <c r="B100" s="135"/>
      <c r="C100" s="135"/>
      <c r="D100" s="135"/>
      <c r="E100" s="135"/>
      <c r="F100" s="135"/>
      <c r="AG100" s="119"/>
      <c r="AH100" s="119"/>
      <c r="AI100" s="119"/>
      <c r="AJ100" s="83"/>
      <c r="AK100" s="119"/>
      <c r="AL100" s="119"/>
      <c r="AM100" s="119">
        <f t="shared" ref="AM100:AY100" si="569">AM99/AM95</f>
        <v>0.164615112339371</v>
      </c>
      <c r="AN100" s="119">
        <f t="shared" si="569"/>
        <v>0.187627920699046</v>
      </c>
      <c r="AO100" s="83">
        <f t="shared" si="569"/>
        <v>0.171922130491046</v>
      </c>
      <c r="AP100" s="119">
        <f t="shared" si="569"/>
        <v>0.124162795377312</v>
      </c>
      <c r="AQ100" s="119">
        <f t="shared" si="569"/>
        <v>0.160050808875876</v>
      </c>
      <c r="AR100" s="119">
        <f t="shared" si="569"/>
        <v>0.158336162642313</v>
      </c>
      <c r="AS100" s="119">
        <f t="shared" si="569"/>
        <v>0.185984137580748</v>
      </c>
      <c r="AT100" s="83">
        <f t="shared" si="569"/>
        <v>0.159632282387337</v>
      </c>
      <c r="AU100" s="119">
        <f t="shared" si="569"/>
        <v>0.125814306210862</v>
      </c>
      <c r="AV100" s="119">
        <f t="shared" si="569"/>
        <v>0.158923919200287</v>
      </c>
      <c r="AW100" s="119">
        <f t="shared" si="569"/>
        <v>0.159257597129549</v>
      </c>
      <c r="AX100" s="119">
        <f t="shared" si="569"/>
        <v>0.191768718821725</v>
      </c>
      <c r="AY100" s="83">
        <f t="shared" si="569"/>
        <v>0.156270019167107</v>
      </c>
    </row>
    <row r="101" spans="1:54">
      <c r="A101" s="3" t="s">
        <v>186</v>
      </c>
      <c r="AG101" s="247"/>
      <c r="AH101" s="247"/>
      <c r="AI101" s="247"/>
      <c r="AJ101" s="248"/>
      <c r="AK101" s="247"/>
      <c r="AL101" s="247"/>
      <c r="AM101" s="247">
        <v>3.02631389966463</v>
      </c>
      <c r="AN101" s="247">
        <v>4.85645779018564</v>
      </c>
      <c r="AO101" s="248">
        <v>12.7526058872132</v>
      </c>
      <c r="AP101" s="247">
        <v>1.67497958247862</v>
      </c>
      <c r="AQ101" s="247">
        <v>2.7632324670009</v>
      </c>
      <c r="AR101" s="247">
        <v>3.07337526339505</v>
      </c>
      <c r="AS101" s="247">
        <v>5.09332301749192</v>
      </c>
      <c r="AT101" s="248">
        <v>12.716074137334</v>
      </c>
      <c r="AU101" s="247">
        <v>1.79939024589947</v>
      </c>
      <c r="AV101" s="247">
        <v>2.85906194634629</v>
      </c>
      <c r="AW101" s="247">
        <v>3.25573336583621</v>
      </c>
      <c r="AX101" s="247">
        <v>5.45997964302553</v>
      </c>
      <c r="AY101" s="248">
        <v>13.672020449864</v>
      </c>
      <c r="BA101" s="119"/>
      <c r="BB101" s="247"/>
    </row>
    <row r="102" spans="1:54">
      <c r="AL102" s="119"/>
      <c r="AM102" s="119"/>
      <c r="AN102" s="119"/>
      <c r="AO102" s="83"/>
      <c r="AP102" s="136"/>
      <c r="AQ102" s="136"/>
      <c r="AR102" s="136"/>
      <c r="AS102" s="136"/>
      <c r="AT102" s="83">
        <f>AT101/AO101-1</f>
        <v>-0.00286464979803214</v>
      </c>
      <c r="AU102" s="136"/>
      <c r="AV102" s="136"/>
      <c r="AW102" s="136"/>
      <c r="AX102" s="136"/>
      <c r="AY102" s="83">
        <f>AY101/AT101-1</f>
        <v>0.0751762141527155</v>
      </c>
    </row>
    <row r="103" spans="1:54">
      <c r="A103" s="242" t="s">
        <v>205</v>
      </c>
      <c r="B103" s="243"/>
      <c r="C103" s="243"/>
      <c r="D103" s="243"/>
      <c r="E103" s="243"/>
      <c r="F103" s="243"/>
      <c r="G103" s="244"/>
      <c r="H103" s="244"/>
      <c r="I103" s="244"/>
      <c r="J103" s="244"/>
      <c r="K103" s="245"/>
      <c r="L103" s="244"/>
      <c r="M103" s="244"/>
      <c r="N103" s="244"/>
      <c r="O103" s="244"/>
      <c r="P103" s="245"/>
      <c r="Q103" s="244"/>
      <c r="R103" s="244"/>
      <c r="S103" s="244"/>
      <c r="T103" s="244"/>
      <c r="U103" s="245"/>
      <c r="V103" s="244"/>
      <c r="W103" s="244"/>
      <c r="X103" s="244"/>
      <c r="Y103" s="244"/>
      <c r="Z103" s="245"/>
      <c r="AA103" s="244"/>
      <c r="AB103" s="244"/>
      <c r="AC103" s="244"/>
      <c r="AD103" s="244"/>
      <c r="AE103" s="245"/>
      <c r="AF103" s="244"/>
      <c r="AG103" s="244"/>
      <c r="AH103" s="244"/>
      <c r="AI103" s="244"/>
      <c r="AJ103" s="245"/>
      <c r="AK103" s="244"/>
      <c r="AL103" s="244"/>
      <c r="AM103" s="244"/>
      <c r="AN103" s="244"/>
      <c r="AO103" s="245"/>
      <c r="AP103" s="244"/>
      <c r="AQ103" s="244"/>
      <c r="AR103" s="244"/>
      <c r="AS103" s="244"/>
      <c r="AT103" s="245"/>
      <c r="AU103" s="244"/>
      <c r="AV103" s="244"/>
      <c r="AW103" s="244"/>
      <c r="AX103" s="244"/>
      <c r="AY103" s="245"/>
    </row>
    <row r="104" spans="1:54">
      <c r="A104" s="3" t="s">
        <v>73</v>
      </c>
      <c r="AG104" s="119"/>
      <c r="AH104" s="119"/>
      <c r="AI104" s="119"/>
      <c r="AJ104" s="83"/>
      <c r="AK104" s="211"/>
      <c r="AL104" s="211"/>
      <c r="AM104" s="211">
        <f t="shared" ref="AM104:AT104" si="570">AM$86/AM95-1</f>
        <v>0.00124648054810006</v>
      </c>
      <c r="AN104" s="211">
        <f t="shared" si="570"/>
        <v>0.00214333452746041</v>
      </c>
      <c r="AO104" s="83">
        <f t="shared" si="570"/>
        <v>0.000998988410237489</v>
      </c>
      <c r="AP104" s="211">
        <f t="shared" si="570"/>
        <v>-0.00500064769461306</v>
      </c>
      <c r="AQ104" s="211">
        <f t="shared" si="570"/>
        <v>-0.00299200095269625</v>
      </c>
      <c r="AR104" s="211">
        <f t="shared" si="570"/>
        <v>-0.0040334827081645</v>
      </c>
      <c r="AS104" s="211">
        <f t="shared" si="570"/>
        <v>-0.00323998386043167</v>
      </c>
      <c r="AT104" s="83">
        <f t="shared" si="570"/>
        <v>-0.00299126663112914</v>
      </c>
      <c r="AU104" s="211">
        <f t="shared" ref="AU104:AY104" si="571">AU$86/AU95-1</f>
        <v>-0.0107284173424137</v>
      </c>
      <c r="AV104" s="211">
        <f t="shared" si="571"/>
        <v>-0.00732641762294739</v>
      </c>
      <c r="AW104" s="211">
        <f t="shared" si="571"/>
        <v>-0.00591074682828663</v>
      </c>
      <c r="AX104" s="211">
        <f t="shared" si="571"/>
        <v>-0.00714601641665691</v>
      </c>
      <c r="AY104" s="83">
        <f t="shared" si="571"/>
        <v>-0.00704787608583191</v>
      </c>
    </row>
    <row r="105" spans="1:54">
      <c r="A105" s="3" t="s">
        <v>170</v>
      </c>
      <c r="AG105" s="200"/>
      <c r="AH105" s="200"/>
      <c r="AI105" s="200"/>
      <c r="AJ105" s="199"/>
      <c r="AK105" s="200"/>
      <c r="AL105" s="200"/>
      <c r="AM105" s="200">
        <f t="shared" ref="AM105:AT105" si="572">ROUND(AM$87-AM96,3)*10^4</f>
        <v>-30</v>
      </c>
      <c r="AN105" s="200">
        <f t="shared" si="572"/>
        <v>50</v>
      </c>
      <c r="AO105" s="199">
        <f t="shared" si="572"/>
        <v>-110</v>
      </c>
      <c r="AP105" s="200">
        <f t="shared" si="572"/>
        <v>0</v>
      </c>
      <c r="AQ105" s="200">
        <f t="shared" si="572"/>
        <v>0</v>
      </c>
      <c r="AR105" s="200">
        <f t="shared" si="572"/>
        <v>30</v>
      </c>
      <c r="AS105" s="200">
        <f t="shared" si="572"/>
        <v>50</v>
      </c>
      <c r="AT105" s="199">
        <f t="shared" si="572"/>
        <v>30</v>
      </c>
      <c r="AU105" s="200">
        <f t="shared" ref="AU105:AY105" si="573">ROUND(AU$87-AU96,3)*10^4</f>
        <v>10</v>
      </c>
      <c r="AV105" s="200">
        <f t="shared" si="573"/>
        <v>0</v>
      </c>
      <c r="AW105" s="200">
        <f t="shared" si="573"/>
        <v>30</v>
      </c>
      <c r="AX105" s="200">
        <f t="shared" si="573"/>
        <v>60</v>
      </c>
      <c r="AY105" s="199">
        <f t="shared" si="573"/>
        <v>40</v>
      </c>
    </row>
    <row r="106" spans="1:54">
      <c r="A106" s="3" t="s">
        <v>202</v>
      </c>
      <c r="AG106" s="119"/>
      <c r="AH106" s="119"/>
      <c r="AI106" s="119"/>
      <c r="AJ106" s="83"/>
      <c r="AK106" s="211"/>
      <c r="AL106" s="211"/>
      <c r="AM106" s="211">
        <f t="shared" ref="AM106:AT106" si="574">AM$88/AM97-1</f>
        <v>-0.0729740693305798</v>
      </c>
      <c r="AN106" s="211">
        <f t="shared" si="574"/>
        <v>-0.00511701085586735</v>
      </c>
      <c r="AO106" s="83">
        <f t="shared" si="574"/>
        <v>-0.0996138930841326</v>
      </c>
      <c r="AP106" s="211">
        <f t="shared" si="574"/>
        <v>0.0657077046750008</v>
      </c>
      <c r="AQ106" s="211">
        <f t="shared" si="574"/>
        <v>-0.00813164817367473</v>
      </c>
      <c r="AR106" s="211">
        <f t="shared" si="574"/>
        <v>-0.0317013889280227</v>
      </c>
      <c r="AS106" s="211">
        <f t="shared" si="574"/>
        <v>-0.00423101770062828</v>
      </c>
      <c r="AT106" s="83">
        <f t="shared" si="574"/>
        <v>-0.0073044872353305</v>
      </c>
      <c r="AU106" s="211">
        <f t="shared" ref="AU106:AY106" si="575">AU$88/AU97-1</f>
        <v>0.0527792341327631</v>
      </c>
      <c r="AV106" s="211">
        <f t="shared" si="575"/>
        <v>-0.00622332393731928</v>
      </c>
      <c r="AW106" s="211">
        <f t="shared" si="575"/>
        <v>-0.0408627269808641</v>
      </c>
      <c r="AX106" s="211">
        <f t="shared" si="575"/>
        <v>-0.010368541615685</v>
      </c>
      <c r="AY106" s="83">
        <f t="shared" si="575"/>
        <v>0.000906947657505208</v>
      </c>
    </row>
    <row r="107" spans="1:54">
      <c r="A107" s="29" t="s">
        <v>190</v>
      </c>
      <c r="B107" s="135"/>
      <c r="C107" s="135"/>
      <c r="D107" s="135"/>
      <c r="E107" s="135"/>
      <c r="F107" s="135"/>
      <c r="AG107" s="200"/>
      <c r="AH107" s="200"/>
      <c r="AI107" s="200"/>
      <c r="AJ107" s="199"/>
      <c r="AK107" s="200"/>
      <c r="AL107" s="200"/>
      <c r="AM107" s="200">
        <f t="shared" ref="AM107:AT107" si="576">ROUND(AM$89-AM98,3)*10^4</f>
        <v>-100</v>
      </c>
      <c r="AN107" s="200">
        <f t="shared" si="576"/>
        <v>-10</v>
      </c>
      <c r="AO107" s="199">
        <f t="shared" si="576"/>
        <v>-140</v>
      </c>
      <c r="AP107" s="200">
        <f t="shared" si="576"/>
        <v>60</v>
      </c>
      <c r="AQ107" s="200">
        <f t="shared" si="576"/>
        <v>-10</v>
      </c>
      <c r="AR107" s="200">
        <f t="shared" si="576"/>
        <v>-40</v>
      </c>
      <c r="AS107" s="200">
        <f t="shared" si="576"/>
        <v>0</v>
      </c>
      <c r="AT107" s="199">
        <f t="shared" si="576"/>
        <v>-10</v>
      </c>
      <c r="AU107" s="200">
        <f t="shared" ref="AU107:AY107" si="577">ROUND(AU$89-AU98,3)*10^4</f>
        <v>50</v>
      </c>
      <c r="AV107" s="200">
        <f t="shared" si="577"/>
        <v>0</v>
      </c>
      <c r="AW107" s="200">
        <f t="shared" si="577"/>
        <v>-40</v>
      </c>
      <c r="AX107" s="200">
        <f t="shared" si="577"/>
        <v>-10</v>
      </c>
      <c r="AY107" s="199">
        <f t="shared" si="577"/>
        <v>10</v>
      </c>
    </row>
    <row r="108" spans="1:54">
      <c r="A108" s="3" t="s">
        <v>203</v>
      </c>
      <c r="B108" s="135"/>
      <c r="C108" s="135"/>
      <c r="D108" s="135"/>
      <c r="E108" s="135"/>
      <c r="F108" s="135"/>
      <c r="AG108" s="200"/>
      <c r="AH108" s="200"/>
      <c r="AI108" s="200"/>
      <c r="AJ108" s="199"/>
      <c r="AK108" s="211"/>
      <c r="AL108" s="211"/>
      <c r="AM108" s="211">
        <f t="shared" ref="AM108:AY108" si="578">AM$90/AM99-1</f>
        <v>-0.0537390565971397</v>
      </c>
      <c r="AN108" s="211">
        <f t="shared" si="578"/>
        <v>-0.00680518796201235</v>
      </c>
      <c r="AO108" s="83">
        <f t="shared" si="578"/>
        <v>-0.0825999460375013</v>
      </c>
      <c r="AP108" s="211">
        <f t="shared" si="578"/>
        <v>0.0215897465856032</v>
      </c>
      <c r="AQ108" s="211">
        <f t="shared" si="578"/>
        <v>-0.0233492465834113</v>
      </c>
      <c r="AR108" s="211">
        <f t="shared" si="578"/>
        <v>-0.0239761516925272</v>
      </c>
      <c r="AS108" s="211">
        <f t="shared" si="578"/>
        <v>-0.00770201337377741</v>
      </c>
      <c r="AT108" s="83">
        <f t="shared" si="578"/>
        <v>-0.00333258070086828</v>
      </c>
      <c r="AU108" s="211">
        <f t="shared" si="578"/>
        <v>0.0199844797061384</v>
      </c>
      <c r="AV108" s="211">
        <f t="shared" si="578"/>
        <v>-0.0199969927807245</v>
      </c>
      <c r="AW108" s="211">
        <f t="shared" si="578"/>
        <v>-0.0315078023780931</v>
      </c>
      <c r="AX108" s="211">
        <f t="shared" si="578"/>
        <v>-0.0312738440015016</v>
      </c>
      <c r="AY108" s="83">
        <f t="shared" si="578"/>
        <v>0.0211221038373504</v>
      </c>
    </row>
    <row r="109" spans="1:54">
      <c r="A109" s="29" t="s">
        <v>190</v>
      </c>
      <c r="B109" s="135"/>
      <c r="C109" s="135"/>
      <c r="D109" s="135"/>
      <c r="E109" s="135"/>
      <c r="F109" s="135"/>
      <c r="AG109" s="200"/>
      <c r="AH109" s="200"/>
      <c r="AI109" s="200"/>
      <c r="AJ109" s="199"/>
      <c r="AK109" s="200"/>
      <c r="AL109" s="200"/>
      <c r="AM109" s="200">
        <f t="shared" ref="AM109:AY109" si="579">ROUND(AM$91-AM100,3)*10^4</f>
        <v>-90</v>
      </c>
      <c r="AN109" s="200">
        <f t="shared" si="579"/>
        <v>-20</v>
      </c>
      <c r="AO109" s="199">
        <f t="shared" si="579"/>
        <v>-140</v>
      </c>
      <c r="AP109" s="200">
        <f t="shared" si="579"/>
        <v>30</v>
      </c>
      <c r="AQ109" s="200">
        <f t="shared" si="579"/>
        <v>-30</v>
      </c>
      <c r="AR109" s="200">
        <f t="shared" si="579"/>
        <v>-30</v>
      </c>
      <c r="AS109" s="200">
        <f t="shared" si="579"/>
        <v>-10</v>
      </c>
      <c r="AT109" s="199">
        <f t="shared" si="579"/>
        <v>0</v>
      </c>
      <c r="AU109" s="200">
        <f t="shared" si="579"/>
        <v>40</v>
      </c>
      <c r="AV109" s="200">
        <f t="shared" si="579"/>
        <v>-20</v>
      </c>
      <c r="AW109" s="200">
        <f t="shared" si="579"/>
        <v>-40</v>
      </c>
      <c r="AX109" s="200">
        <f t="shared" si="579"/>
        <v>-50</v>
      </c>
      <c r="AY109" s="199">
        <f t="shared" si="579"/>
        <v>40</v>
      </c>
    </row>
    <row r="110" spans="1:54">
      <c r="A110" s="3" t="s">
        <v>186</v>
      </c>
      <c r="AG110" s="247"/>
      <c r="AH110" s="247"/>
      <c r="AI110" s="247"/>
      <c r="AJ110" s="248"/>
      <c r="AK110" s="247"/>
      <c r="AL110" s="247"/>
      <c r="AM110" s="247">
        <f t="shared" ref="AM110:AT110" si="580">ROUND(AM$92,2)-ROUND(AM101,2)</f>
        <v>-0.23</v>
      </c>
      <c r="AN110" s="247">
        <f t="shared" si="580"/>
        <v>0.00999999999999979</v>
      </c>
      <c r="AO110" s="248">
        <f t="shared" si="580"/>
        <v>-1.3</v>
      </c>
      <c r="AP110" s="247">
        <f t="shared" si="580"/>
        <v>0.0900000000000001</v>
      </c>
      <c r="AQ110" s="247">
        <f t="shared" si="580"/>
        <v>-0.0399999999999996</v>
      </c>
      <c r="AR110" s="247">
        <f t="shared" si="580"/>
        <v>-0.11</v>
      </c>
      <c r="AS110" s="247">
        <f t="shared" si="580"/>
        <v>-0.04</v>
      </c>
      <c r="AT110" s="248">
        <f t="shared" si="580"/>
        <v>-0.270000000000001</v>
      </c>
      <c r="AU110" s="247">
        <f t="shared" ref="AU110:AY110" si="581">ROUND(AU$92,2)-ROUND(AU101,2)</f>
        <v>0.12</v>
      </c>
      <c r="AV110" s="247">
        <f t="shared" si="581"/>
        <v>0.0500000000000003</v>
      </c>
      <c r="AW110" s="247">
        <f t="shared" si="581"/>
        <v>-0.0799999999999996</v>
      </c>
      <c r="AX110" s="247">
        <f t="shared" si="581"/>
        <v>0.04</v>
      </c>
      <c r="AY110" s="248">
        <f t="shared" si="581"/>
        <v>-0.220000000000001</v>
      </c>
    </row>
    <row r="111" spans="1:54">
      <c r="AJ111" s="83"/>
      <c r="AO111" s="83">
        <f>AO92/AO101-1</f>
        <v>-0.102085143133985</v>
      </c>
      <c r="AT111" s="83">
        <f>AT92/AT101-1</f>
        <v>-0.0210789240388475</v>
      </c>
      <c r="AY111" s="83">
        <f>AY92/AY101-1</f>
        <v>-0.0163334466556706</v>
      </c>
    </row>
    <row r="112" spans="1:54">
      <c r="A112" s="252" t="s">
        <v>206</v>
      </c>
      <c r="B112" s="253"/>
      <c r="C112" s="253"/>
      <c r="D112" s="253"/>
      <c r="E112" s="253"/>
      <c r="F112" s="253"/>
      <c r="G112" s="254"/>
      <c r="H112" s="254"/>
      <c r="I112" s="254"/>
      <c r="J112" s="254"/>
      <c r="K112" s="255"/>
      <c r="L112" s="254"/>
      <c r="M112" s="254"/>
      <c r="N112" s="254"/>
      <c r="O112" s="254"/>
      <c r="P112" s="255"/>
      <c r="Q112" s="254"/>
      <c r="R112" s="254"/>
      <c r="S112" s="254"/>
      <c r="T112" s="254"/>
      <c r="U112" s="255"/>
      <c r="V112" s="254"/>
      <c r="W112" s="254"/>
      <c r="X112" s="254"/>
      <c r="Y112" s="254"/>
      <c r="Z112" s="255"/>
      <c r="AA112" s="254"/>
      <c r="AB112" s="254"/>
      <c r="AC112" s="254"/>
      <c r="AD112" s="254"/>
      <c r="AE112" s="255"/>
      <c r="AF112" s="254"/>
      <c r="AG112" s="254"/>
      <c r="AH112" s="254"/>
      <c r="AI112" s="254"/>
      <c r="AJ112" s="255"/>
      <c r="AK112" s="254"/>
      <c r="AL112" s="254"/>
      <c r="AM112" s="254"/>
      <c r="AN112" s="254"/>
      <c r="AO112" s="255"/>
      <c r="AP112" s="254"/>
      <c r="AQ112" s="254"/>
      <c r="AR112" s="254"/>
      <c r="AS112" s="254"/>
      <c r="AT112" s="255"/>
      <c r="AU112" s="254"/>
      <c r="AV112" s="254"/>
      <c r="AW112" s="254"/>
      <c r="AX112" s="254"/>
      <c r="AY112" s="255"/>
    </row>
    <row r="113" spans="1:51">
      <c r="A113" s="3" t="s">
        <v>73</v>
      </c>
      <c r="AG113" s="6"/>
      <c r="AH113" s="6"/>
      <c r="AI113" s="123"/>
      <c r="AJ113" s="122"/>
      <c r="AK113" s="123"/>
      <c r="AL113" s="123"/>
      <c r="AM113" s="123">
        <v>1366.93756</v>
      </c>
      <c r="AN113" s="123">
        <v>1786.68814</v>
      </c>
      <c r="AO113" s="122">
        <v>5534.1357</v>
      </c>
      <c r="AP113" s="123">
        <v>1164.02103</v>
      </c>
      <c r="AQ113" s="123">
        <v>1317.35656</v>
      </c>
      <c r="AR113" s="123">
        <v>1414.6130128</v>
      </c>
      <c r="AS113" s="123">
        <v>1848.9183556</v>
      </c>
      <c r="AT113" s="122">
        <v>5744.9089584</v>
      </c>
      <c r="AU113" s="123">
        <v>1195.97688615</v>
      </c>
      <c r="AV113" s="123">
        <v>1353.7738552</v>
      </c>
      <c r="AW113" s="123">
        <v>1457.190449208</v>
      </c>
      <c r="AX113" s="123">
        <v>1904.65574379</v>
      </c>
      <c r="AY113" s="122">
        <v>5911.596934348</v>
      </c>
    </row>
    <row r="114" spans="1:51">
      <c r="A114" s="3" t="s">
        <v>170</v>
      </c>
      <c r="AG114" s="136"/>
      <c r="AH114" s="136"/>
      <c r="AI114" s="136"/>
      <c r="AJ114" s="246"/>
      <c r="AK114" s="136"/>
      <c r="AL114" s="136"/>
      <c r="AM114" s="136">
        <v>0.638241841318004</v>
      </c>
      <c r="AN114" s="136">
        <v>0.611867535192795</v>
      </c>
      <c r="AO114" s="246">
        <v>0.626333794749764</v>
      </c>
      <c r="AP114" s="136">
        <v>0.62945196849404</v>
      </c>
      <c r="AQ114" s="136">
        <v>0.633025698494263</v>
      </c>
      <c r="AR114" s="136">
        <v>0.639241841318003</v>
      </c>
      <c r="AS114" s="136">
        <v>0.612867535192796</v>
      </c>
      <c r="AT114" s="246">
        <v>0.627344623523796</v>
      </c>
      <c r="AU114" s="136">
        <v>0.63145196849404</v>
      </c>
      <c r="AV114" s="136">
        <v>0.633025698494263</v>
      </c>
      <c r="AW114" s="136">
        <v>0.639241841318003</v>
      </c>
      <c r="AX114" s="136">
        <v>0.614867535192797</v>
      </c>
      <c r="AY114" s="246">
        <v>0.628389203299335</v>
      </c>
    </row>
    <row r="115" spans="1:51">
      <c r="A115" s="3" t="s">
        <v>202</v>
      </c>
      <c r="AG115" s="6"/>
      <c r="AH115" s="6"/>
      <c r="AI115" s="123"/>
      <c r="AJ115" s="122"/>
      <c r="AK115" s="123"/>
      <c r="AL115" s="123"/>
      <c r="AM115" s="123">
        <v>169.323219245524</v>
      </c>
      <c r="AN115" s="123">
        <v>287.96607466</v>
      </c>
      <c r="AO115" s="122">
        <v>698.786293905524</v>
      </c>
      <c r="AP115" s="123">
        <v>103.715792788277</v>
      </c>
      <c r="AQ115" s="123">
        <v>161.45887312</v>
      </c>
      <c r="AR115" s="123">
        <v>174.038029545581</v>
      </c>
      <c r="AS115" s="123">
        <v>296.370870914538</v>
      </c>
      <c r="AT115" s="122">
        <v>735.583566368395</v>
      </c>
      <c r="AU115" s="123">
        <v>108.92760205638</v>
      </c>
      <c r="AV115" s="123">
        <v>165.89463358706</v>
      </c>
      <c r="AW115" s="123">
        <v>179.246178793805</v>
      </c>
      <c r="AX115" s="123">
        <v>309.084415973231</v>
      </c>
      <c r="AY115" s="122">
        <v>763.152830410477</v>
      </c>
    </row>
    <row r="116" spans="1:51">
      <c r="A116" s="29" t="s">
        <v>190</v>
      </c>
      <c r="B116" s="135"/>
      <c r="C116" s="135"/>
      <c r="D116" s="135"/>
      <c r="E116" s="135"/>
      <c r="F116" s="135"/>
      <c r="AG116" s="119"/>
      <c r="AH116" s="119"/>
      <c r="AI116" s="119"/>
      <c r="AJ116" s="83"/>
      <c r="AK116" s="119"/>
      <c r="AL116" s="119"/>
      <c r="AM116" s="119">
        <f t="shared" ref="AM116:AT116" si="582">AM115/AM113</f>
        <v>0.123870485529364</v>
      </c>
      <c r="AN116" s="119">
        <f t="shared" si="582"/>
        <v>0.161173104703096</v>
      </c>
      <c r="AO116" s="83">
        <f t="shared" si="582"/>
        <v>0.126268369947185</v>
      </c>
      <c r="AP116" s="119">
        <f t="shared" si="582"/>
        <v>0.0891013049723655</v>
      </c>
      <c r="AQ116" s="119">
        <f t="shared" si="582"/>
        <v>0.122562773073374</v>
      </c>
      <c r="AR116" s="119">
        <f t="shared" si="582"/>
        <v>0.123028720908696</v>
      </c>
      <c r="AS116" s="119">
        <f t="shared" si="582"/>
        <v>0.160294190393475</v>
      </c>
      <c r="AT116" s="83">
        <f t="shared" si="582"/>
        <v>0.128040944024509</v>
      </c>
      <c r="AU116" s="119">
        <f t="shared" ref="AU116:AY116" si="583">AU115/AU113</f>
        <v>0.091078350524843</v>
      </c>
      <c r="AV116" s="119">
        <f t="shared" si="583"/>
        <v>0.122542352956396</v>
      </c>
      <c r="AW116" s="119">
        <f t="shared" si="583"/>
        <v>0.123008065892298</v>
      </c>
      <c r="AX116" s="119">
        <f t="shared" si="583"/>
        <v>0.162278362891026</v>
      </c>
      <c r="AY116" s="83">
        <f t="shared" si="583"/>
        <v>0.129094192125371</v>
      </c>
    </row>
    <row r="117" spans="1:51">
      <c r="A117" s="3" t="s">
        <v>203</v>
      </c>
      <c r="B117" s="135"/>
      <c r="C117" s="135"/>
      <c r="D117" s="135"/>
      <c r="E117" s="135"/>
      <c r="F117" s="135"/>
      <c r="AG117" s="119"/>
      <c r="AH117" s="119"/>
      <c r="AI117" s="119"/>
      <c r="AJ117" s="83"/>
      <c r="AK117" s="123"/>
      <c r="AL117" s="123"/>
      <c r="AM117" s="123">
        <v>212.661215725524</v>
      </c>
      <c r="AN117" s="123">
        <v>332.23916026</v>
      </c>
      <c r="AO117" s="122">
        <v>871.980375985524</v>
      </c>
      <c r="AP117" s="123">
        <v>148.390478628277</v>
      </c>
      <c r="AQ117" s="123">
        <v>206.53889944</v>
      </c>
      <c r="AR117" s="123">
        <v>219.499459487981</v>
      </c>
      <c r="AS117" s="123">
        <v>342.330142581738</v>
      </c>
      <c r="AT117" s="122">
        <v>916.758980137996</v>
      </c>
      <c r="AU117" s="123">
        <v>155.14252057278</v>
      </c>
      <c r="AV117" s="123">
        <v>212.40089046506</v>
      </c>
      <c r="AW117" s="123">
        <v>226.093055163069</v>
      </c>
      <c r="AX117" s="123">
        <v>356.377191448015</v>
      </c>
      <c r="AY117" s="122">
        <v>950.013657648925</v>
      </c>
    </row>
    <row r="118" spans="1:51">
      <c r="A118" s="29" t="s">
        <v>190</v>
      </c>
      <c r="B118" s="135"/>
      <c r="C118" s="135"/>
      <c r="D118" s="135"/>
      <c r="E118" s="135"/>
      <c r="F118" s="135"/>
      <c r="AG118" s="119"/>
      <c r="AH118" s="119"/>
      <c r="AI118" s="119"/>
      <c r="AJ118" s="83"/>
      <c r="AK118" s="119"/>
      <c r="AL118" s="119"/>
      <c r="AM118" s="119">
        <f t="shared" ref="AM118:AY118" si="584">AM117/AM113</f>
        <v>0.155574930376135</v>
      </c>
      <c r="AN118" s="119">
        <f t="shared" si="584"/>
        <v>0.185952518977375</v>
      </c>
      <c r="AO118" s="83">
        <f t="shared" si="584"/>
        <v>0.157563967212717</v>
      </c>
      <c r="AP118" s="119">
        <f t="shared" si="584"/>
        <v>0.127480925862892</v>
      </c>
      <c r="AQ118" s="119">
        <f t="shared" si="584"/>
        <v>0.156782837472643</v>
      </c>
      <c r="AR118" s="119">
        <f t="shared" si="584"/>
        <v>0.155165729073506</v>
      </c>
      <c r="AS118" s="119">
        <f t="shared" si="584"/>
        <v>0.18515157337526</v>
      </c>
      <c r="AT118" s="83">
        <f t="shared" si="584"/>
        <v>0.159577634176003</v>
      </c>
      <c r="AU118" s="119">
        <f t="shared" si="584"/>
        <v>0.129720333536046</v>
      </c>
      <c r="AV118" s="119">
        <f t="shared" si="584"/>
        <v>0.156895399958571</v>
      </c>
      <c r="AW118" s="119">
        <f t="shared" si="584"/>
        <v>0.155156832990467</v>
      </c>
      <c r="AX118" s="119">
        <f t="shared" si="584"/>
        <v>0.18710845390825</v>
      </c>
      <c r="AY118" s="83">
        <f t="shared" si="584"/>
        <v>0.160703388305973</v>
      </c>
    </row>
    <row r="119" spans="1:51">
      <c r="A119" s="3" t="s">
        <v>186</v>
      </c>
      <c r="AG119" s="247"/>
      <c r="AH119" s="247"/>
      <c r="AI119" s="247"/>
      <c r="AJ119" s="248"/>
      <c r="AK119" s="247"/>
      <c r="AL119" s="247"/>
      <c r="AM119" s="247">
        <v>2.80138416165092</v>
      </c>
      <c r="AN119" s="247">
        <v>4.86520572157274</v>
      </c>
      <c r="AO119" s="248">
        <v>11.4507542898857</v>
      </c>
      <c r="AP119" s="247">
        <v>1.76113316393306</v>
      </c>
      <c r="AQ119" s="247">
        <v>2.72406256270885</v>
      </c>
      <c r="AR119" s="247">
        <v>2.95984667282673</v>
      </c>
      <c r="AS119" s="247">
        <v>5.0532174714101</v>
      </c>
      <c r="AT119" s="248">
        <v>12.4480329765208</v>
      </c>
      <c r="AU119" s="247">
        <v>1.91960188085239</v>
      </c>
      <c r="AV119" s="247">
        <v>2.91468407237396</v>
      </c>
      <c r="AW119" s="247">
        <v>3.17675940961454</v>
      </c>
      <c r="AX119" s="247">
        <v>5.49616365848636</v>
      </c>
      <c r="AY119" s="248">
        <v>13.4487092331709</v>
      </c>
    </row>
    <row r="121" spans="1:51">
      <c r="A121" s="252" t="s">
        <v>207</v>
      </c>
      <c r="B121" s="253"/>
      <c r="C121" s="253"/>
      <c r="D121" s="253"/>
      <c r="E121" s="253"/>
      <c r="F121" s="253"/>
      <c r="G121" s="254"/>
      <c r="H121" s="254"/>
      <c r="I121" s="254"/>
      <c r="J121" s="254"/>
      <c r="K121" s="255"/>
      <c r="L121" s="254"/>
      <c r="M121" s="254"/>
      <c r="N121" s="254"/>
      <c r="O121" s="254"/>
      <c r="P121" s="255"/>
      <c r="Q121" s="254"/>
      <c r="R121" s="254"/>
      <c r="S121" s="254"/>
      <c r="T121" s="254"/>
      <c r="U121" s="255"/>
      <c r="V121" s="254"/>
      <c r="W121" s="254"/>
      <c r="X121" s="254"/>
      <c r="Y121" s="254"/>
      <c r="Z121" s="255"/>
      <c r="AA121" s="254"/>
      <c r="AB121" s="254"/>
      <c r="AC121" s="254"/>
      <c r="AD121" s="254"/>
      <c r="AE121" s="255"/>
      <c r="AF121" s="254"/>
      <c r="AG121" s="254"/>
      <c r="AH121" s="254"/>
      <c r="AI121" s="254"/>
      <c r="AJ121" s="255"/>
      <c r="AK121" s="254"/>
      <c r="AL121" s="254"/>
      <c r="AM121" s="254"/>
      <c r="AN121" s="254"/>
      <c r="AO121" s="255"/>
      <c r="AP121" s="254"/>
      <c r="AQ121" s="254"/>
      <c r="AR121" s="254"/>
      <c r="AS121" s="254"/>
      <c r="AT121" s="255"/>
      <c r="AU121" s="254"/>
      <c r="AV121" s="254"/>
      <c r="AW121" s="254"/>
      <c r="AX121" s="254"/>
      <c r="AY121" s="255"/>
    </row>
    <row r="122" spans="1:51">
      <c r="A122" s="3" t="s">
        <v>73</v>
      </c>
      <c r="AG122" s="119"/>
      <c r="AH122" s="119"/>
      <c r="AI122" s="119"/>
      <c r="AJ122" s="83"/>
      <c r="AK122" s="211"/>
      <c r="AL122" s="211"/>
      <c r="AM122" s="211">
        <f t="shared" ref="AM122:AT122" si="585">AM$86/AM113-1</f>
        <v>0</v>
      </c>
      <c r="AN122" s="211">
        <f t="shared" si="585"/>
        <v>0</v>
      </c>
      <c r="AO122" s="83">
        <f t="shared" si="585"/>
        <v>0</v>
      </c>
      <c r="AP122" s="211">
        <f t="shared" si="585"/>
        <v>0</v>
      </c>
      <c r="AQ122" s="211">
        <f t="shared" si="585"/>
        <v>0</v>
      </c>
      <c r="AR122" s="211">
        <f t="shared" si="585"/>
        <v>0</v>
      </c>
      <c r="AS122" s="211">
        <f t="shared" si="585"/>
        <v>0</v>
      </c>
      <c r="AT122" s="83">
        <f t="shared" si="585"/>
        <v>0</v>
      </c>
      <c r="AU122" s="211">
        <f t="shared" ref="AU122:AY122" si="586">AU$86/AU113-1</f>
        <v>0</v>
      </c>
      <c r="AV122" s="211">
        <f t="shared" si="586"/>
        <v>0</v>
      </c>
      <c r="AW122" s="211">
        <f t="shared" si="586"/>
        <v>0</v>
      </c>
      <c r="AX122" s="211">
        <f t="shared" si="586"/>
        <v>0</v>
      </c>
      <c r="AY122" s="83">
        <f t="shared" si="586"/>
        <v>0</v>
      </c>
    </row>
    <row r="123" spans="1:51">
      <c r="A123" s="3" t="s">
        <v>170</v>
      </c>
      <c r="AG123" s="200"/>
      <c r="AH123" s="200"/>
      <c r="AI123" s="200"/>
      <c r="AJ123" s="199"/>
      <c r="AK123" s="200"/>
      <c r="AL123" s="200"/>
      <c r="AM123" s="200">
        <f t="shared" ref="AM123:AY123" si="587">(ROUND(AM$87,3)-ROUND(AM114,3))*10^4</f>
        <v>0</v>
      </c>
      <c r="AN123" s="200">
        <f t="shared" si="587"/>
        <v>0</v>
      </c>
      <c r="AO123" s="199">
        <f t="shared" si="587"/>
        <v>0</v>
      </c>
      <c r="AP123" s="200">
        <f t="shared" si="587"/>
        <v>0</v>
      </c>
      <c r="AQ123" s="200">
        <f t="shared" si="587"/>
        <v>0</v>
      </c>
      <c r="AR123" s="200">
        <f t="shared" si="587"/>
        <v>0</v>
      </c>
      <c r="AS123" s="200">
        <f t="shared" si="587"/>
        <v>0</v>
      </c>
      <c r="AT123" s="199">
        <f t="shared" si="587"/>
        <v>0</v>
      </c>
      <c r="AU123" s="200">
        <f t="shared" si="587"/>
        <v>0</v>
      </c>
      <c r="AV123" s="200">
        <f t="shared" si="587"/>
        <v>0</v>
      </c>
      <c r="AW123" s="200">
        <f t="shared" si="587"/>
        <v>0</v>
      </c>
      <c r="AX123" s="200">
        <f t="shared" si="587"/>
        <v>0</v>
      </c>
      <c r="AY123" s="199">
        <f t="shared" si="587"/>
        <v>0</v>
      </c>
    </row>
    <row r="124" spans="1:51">
      <c r="A124" s="3" t="s">
        <v>202</v>
      </c>
      <c r="AG124" s="119"/>
      <c r="AH124" s="119"/>
      <c r="AI124" s="119"/>
      <c r="AJ124" s="83"/>
      <c r="AK124" s="211"/>
      <c r="AL124" s="211"/>
      <c r="AM124" s="211">
        <f t="shared" ref="AM124:AT124" si="588">AM$88/AM115-1</f>
        <v>-1.66533453693773e-15</v>
      </c>
      <c r="AN124" s="211">
        <f t="shared" si="588"/>
        <v>0</v>
      </c>
      <c r="AO124" s="83">
        <f t="shared" si="588"/>
        <v>0</v>
      </c>
      <c r="AP124" s="211">
        <f t="shared" si="588"/>
        <v>3.77475828372553e-15</v>
      </c>
      <c r="AQ124" s="211">
        <f t="shared" si="588"/>
        <v>0</v>
      </c>
      <c r="AR124" s="211">
        <f t="shared" si="588"/>
        <v>-1.33226762955019e-15</v>
      </c>
      <c r="AS124" s="211">
        <f t="shared" si="588"/>
        <v>-9.99200722162641e-16</v>
      </c>
      <c r="AT124" s="83">
        <f t="shared" si="588"/>
        <v>0</v>
      </c>
      <c r="AU124" s="211">
        <f t="shared" ref="AU124:AY124" si="589">AU$88/AU115-1</f>
        <v>0</v>
      </c>
      <c r="AV124" s="211">
        <f t="shared" si="589"/>
        <v>0</v>
      </c>
      <c r="AW124" s="211">
        <f t="shared" si="589"/>
        <v>0</v>
      </c>
      <c r="AX124" s="211">
        <f t="shared" si="589"/>
        <v>0</v>
      </c>
      <c r="AY124" s="83">
        <f t="shared" si="589"/>
        <v>0</v>
      </c>
    </row>
    <row r="125" spans="1:51">
      <c r="A125" s="29" t="s">
        <v>190</v>
      </c>
      <c r="B125" s="135"/>
      <c r="C125" s="135"/>
      <c r="D125" s="135"/>
      <c r="E125" s="135"/>
      <c r="F125" s="135"/>
      <c r="AG125" s="200"/>
      <c r="AH125" s="200"/>
      <c r="AI125" s="200"/>
      <c r="AJ125" s="199"/>
      <c r="AK125" s="200"/>
      <c r="AL125" s="200"/>
      <c r="AM125" s="200">
        <f t="shared" ref="AM125:AT125" si="590">ROUND(AM$89-AM116,3)*10^4</f>
        <v>0</v>
      </c>
      <c r="AN125" s="200">
        <f t="shared" si="590"/>
        <v>0</v>
      </c>
      <c r="AO125" s="199">
        <f t="shared" si="590"/>
        <v>0</v>
      </c>
      <c r="AP125" s="200">
        <f t="shared" si="590"/>
        <v>0</v>
      </c>
      <c r="AQ125" s="200">
        <f t="shared" si="590"/>
        <v>0</v>
      </c>
      <c r="AR125" s="200">
        <f t="shared" si="590"/>
        <v>0</v>
      </c>
      <c r="AS125" s="200">
        <f t="shared" si="590"/>
        <v>0</v>
      </c>
      <c r="AT125" s="199">
        <f t="shared" si="590"/>
        <v>0</v>
      </c>
      <c r="AU125" s="200">
        <f t="shared" ref="AU125:AY125" si="591">ROUND(AU$89-AU116,3)*10^4</f>
        <v>0</v>
      </c>
      <c r="AV125" s="200">
        <f t="shared" si="591"/>
        <v>0</v>
      </c>
      <c r="AW125" s="200">
        <f t="shared" si="591"/>
        <v>0</v>
      </c>
      <c r="AX125" s="200">
        <f t="shared" si="591"/>
        <v>0</v>
      </c>
      <c r="AY125" s="199">
        <f t="shared" si="591"/>
        <v>0</v>
      </c>
    </row>
    <row r="126" spans="1:51">
      <c r="A126" s="3" t="s">
        <v>203</v>
      </c>
      <c r="B126" s="135"/>
      <c r="C126" s="135"/>
      <c r="D126" s="135"/>
      <c r="E126" s="135"/>
      <c r="F126" s="135"/>
      <c r="AG126" s="200"/>
      <c r="AH126" s="200"/>
      <c r="AI126" s="200"/>
      <c r="AJ126" s="199"/>
      <c r="AK126" s="211"/>
      <c r="AL126" s="211"/>
      <c r="AM126" s="211">
        <f t="shared" ref="AM126:AY126" si="592">AM$90/AM117-1</f>
        <v>-1.33226762955019e-15</v>
      </c>
      <c r="AN126" s="211">
        <f t="shared" si="592"/>
        <v>0</v>
      </c>
      <c r="AO126" s="83">
        <f t="shared" si="592"/>
        <v>0</v>
      </c>
      <c r="AP126" s="211">
        <f t="shared" si="592"/>
        <v>2.44249065417534e-15</v>
      </c>
      <c r="AQ126" s="211">
        <f t="shared" si="592"/>
        <v>0</v>
      </c>
      <c r="AR126" s="211">
        <f t="shared" si="592"/>
        <v>-9.99200722162641e-16</v>
      </c>
      <c r="AS126" s="211">
        <f t="shared" si="592"/>
        <v>0</v>
      </c>
      <c r="AT126" s="83">
        <f t="shared" si="592"/>
        <v>0</v>
      </c>
      <c r="AU126" s="211">
        <f t="shared" si="592"/>
        <v>0</v>
      </c>
      <c r="AV126" s="211">
        <f t="shared" si="592"/>
        <v>0</v>
      </c>
      <c r="AW126" s="211">
        <f t="shared" si="592"/>
        <v>0</v>
      </c>
      <c r="AX126" s="211">
        <f t="shared" si="592"/>
        <v>0</v>
      </c>
      <c r="AY126" s="83">
        <f t="shared" si="592"/>
        <v>0</v>
      </c>
    </row>
    <row r="127" spans="1:51">
      <c r="A127" s="29" t="s">
        <v>190</v>
      </c>
      <c r="B127" s="135"/>
      <c r="C127" s="135"/>
      <c r="D127" s="135"/>
      <c r="E127" s="135"/>
      <c r="F127" s="135"/>
      <c r="AG127" s="200"/>
      <c r="AH127" s="200"/>
      <c r="AI127" s="200"/>
      <c r="AJ127" s="199"/>
      <c r="AK127" s="200"/>
      <c r="AL127" s="200"/>
      <c r="AM127" s="200">
        <f t="shared" ref="AM127:AY127" si="593">ROUND(AM$91-AM118,3)*10^4</f>
        <v>0</v>
      </c>
      <c r="AN127" s="200">
        <f t="shared" si="593"/>
        <v>0</v>
      </c>
      <c r="AO127" s="199">
        <f t="shared" si="593"/>
        <v>0</v>
      </c>
      <c r="AP127" s="200">
        <f t="shared" si="593"/>
        <v>0</v>
      </c>
      <c r="AQ127" s="200">
        <f t="shared" si="593"/>
        <v>0</v>
      </c>
      <c r="AR127" s="200">
        <f t="shared" si="593"/>
        <v>0</v>
      </c>
      <c r="AS127" s="200">
        <f t="shared" si="593"/>
        <v>0</v>
      </c>
      <c r="AT127" s="199">
        <f t="shared" si="593"/>
        <v>0</v>
      </c>
      <c r="AU127" s="200">
        <f t="shared" si="593"/>
        <v>0</v>
      </c>
      <c r="AV127" s="200">
        <f t="shared" si="593"/>
        <v>0</v>
      </c>
      <c r="AW127" s="200">
        <f t="shared" si="593"/>
        <v>0</v>
      </c>
      <c r="AX127" s="200">
        <f t="shared" si="593"/>
        <v>0</v>
      </c>
      <c r="AY127" s="199">
        <f t="shared" si="593"/>
        <v>0</v>
      </c>
    </row>
    <row r="128" spans="1:51">
      <c r="A128" s="3" t="s">
        <v>186</v>
      </c>
      <c r="AG128" s="247"/>
      <c r="AH128" s="247"/>
      <c r="AI128" s="247"/>
      <c r="AJ128" s="248"/>
      <c r="AK128" s="247"/>
      <c r="AL128" s="247"/>
      <c r="AM128" s="247">
        <f t="shared" ref="AM128:AT128" si="594">ROUND(AM$92,2)-ROUND(AM119,2)</f>
        <v>0</v>
      </c>
      <c r="AN128" s="247">
        <f t="shared" si="594"/>
        <v>0</v>
      </c>
      <c r="AO128" s="248">
        <f t="shared" si="594"/>
        <v>0</v>
      </c>
      <c r="AP128" s="247">
        <f t="shared" si="594"/>
        <v>0</v>
      </c>
      <c r="AQ128" s="247">
        <f t="shared" si="594"/>
        <v>0</v>
      </c>
      <c r="AR128" s="247">
        <f t="shared" si="594"/>
        <v>0</v>
      </c>
      <c r="AS128" s="247">
        <f t="shared" si="594"/>
        <v>0</v>
      </c>
      <c r="AT128" s="248">
        <f t="shared" si="594"/>
        <v>0</v>
      </c>
      <c r="AU128" s="247">
        <f t="shared" ref="AU128:AY128" si="595">ROUND(AU$92,2)-ROUND(AU119,2)</f>
        <v>0</v>
      </c>
      <c r="AV128" s="247">
        <f t="shared" si="595"/>
        <v>0</v>
      </c>
      <c r="AW128" s="247">
        <f t="shared" si="595"/>
        <v>0</v>
      </c>
      <c r="AX128" s="247">
        <f t="shared" si="595"/>
        <v>0</v>
      </c>
      <c r="AY128" s="248">
        <f t="shared" si="595"/>
        <v>0</v>
      </c>
    </row>
    <row r="129" spans="1:51">
      <c r="AJ129" s="137"/>
      <c r="AO129" s="137"/>
      <c r="AT129" s="137"/>
      <c r="AY129" s="137"/>
    </row>
    <row r="132" spans="1:51">
      <c r="A132" s="242" t="s">
        <v>208</v>
      </c>
      <c r="B132" s="243"/>
      <c r="C132" s="243"/>
      <c r="D132" s="243"/>
      <c r="E132" s="243"/>
      <c r="F132" s="243"/>
      <c r="G132" s="249"/>
      <c r="H132" s="249"/>
      <c r="I132" s="249"/>
      <c r="J132" s="249"/>
      <c r="K132" s="250"/>
      <c r="L132" s="249"/>
      <c r="M132" s="249"/>
      <c r="N132" s="249"/>
      <c r="O132" s="249"/>
      <c r="P132" s="250"/>
      <c r="Q132" s="249"/>
      <c r="R132" s="249"/>
      <c r="S132" s="249"/>
      <c r="T132" s="249"/>
      <c r="U132" s="250"/>
      <c r="V132" s="249"/>
      <c r="W132" s="249"/>
      <c r="X132" s="249"/>
      <c r="Y132" s="249"/>
      <c r="Z132" s="250"/>
      <c r="AA132" s="249"/>
      <c r="AB132" s="249"/>
      <c r="AC132" s="249"/>
      <c r="AD132" s="249"/>
      <c r="AE132" s="250"/>
      <c r="AF132" s="249"/>
      <c r="AG132" s="249"/>
      <c r="AH132" s="249" t="s">
        <v>209</v>
      </c>
      <c r="AI132" s="249" t="s">
        <v>210</v>
      </c>
      <c r="AJ132" s="250" t="s">
        <v>211</v>
      </c>
      <c r="AK132" s="249" t="s">
        <v>212</v>
      </c>
      <c r="AL132" s="249" t="s">
        <v>213</v>
      </c>
      <c r="AM132" s="249" t="s">
        <v>132</v>
      </c>
      <c r="AN132" s="249" t="s">
        <v>133</v>
      </c>
      <c r="AO132" s="250" t="s">
        <v>134</v>
      </c>
      <c r="AP132" s="249" t="str">
        <f>LEFT(AK132,2)&amp;"28"</f>
        <v>1Q28</v>
      </c>
      <c r="AQ132" s="249" t="str">
        <f t="shared" ref="AQ132" si="596">LEFT(AL132,2)&amp;"28"</f>
        <v>2Q28</v>
      </c>
      <c r="AR132" s="249" t="str">
        <f t="shared" ref="AR132" si="597">LEFT(AM132,2)&amp;"28"</f>
        <v>3Q28</v>
      </c>
      <c r="AS132" s="249" t="str">
        <f t="shared" ref="AS132" si="598">LEFT(AN132,2)&amp;"28"</f>
        <v>4Q28</v>
      </c>
      <c r="AT132" s="250" t="str">
        <f t="shared" ref="AT132:AU132" si="599">LEFT(AO132,2)&amp;"28"</f>
        <v>FY28</v>
      </c>
      <c r="AU132" s="249" t="str">
        <f t="shared" si="599"/>
        <v>1Q28</v>
      </c>
      <c r="AV132" s="249" t="str">
        <f t="shared" ref="AV132" si="600">LEFT(AQ132,2)&amp;"28"</f>
        <v>2Q28</v>
      </c>
      <c r="AW132" s="249" t="str">
        <f t="shared" ref="AW132" si="601">LEFT(AR132,2)&amp;"28"</f>
        <v>3Q28</v>
      </c>
      <c r="AX132" s="249" t="str">
        <f t="shared" ref="AX132" si="602">LEFT(AS132,2)&amp;"28"</f>
        <v>4Q28</v>
      </c>
      <c r="AY132" s="250" t="str">
        <f t="shared" ref="AY132" si="603">LEFT(AT132,2)&amp;"28"</f>
        <v>FY28</v>
      </c>
    </row>
    <row r="133" spans="1:51">
      <c r="AJ133" s="256"/>
      <c r="AO133" s="256">
        <v>10.68962</v>
      </c>
      <c r="AT133" s="256">
        <v>11.71554</v>
      </c>
      <c r="AY133" s="256">
        <v>12.867528</v>
      </c>
    </row>
    <row r="134" spans="1:51">
      <c r="AO134" s="137"/>
      <c r="AT134" s="137"/>
      <c r="AY134" s="137"/>
    </row>
    <row r="136" spans="1:51">
      <c r="AT136" s="257"/>
      <c r="AY136" s="257"/>
    </row>
  </sheetData>
  <printOptions horizontalCentered="1" verticalCentered="1"/>
  <pageMargins left="0.7" right="0.7" top="0.75" bottom="0.75" header="0.3" footer="0.3"/>
  <pageSetup paperSize="1" scale="10" orientation="landscape"/>
  <headerFooter/>
  <customProperties>
    <customPr name="Qube.Worksheet.Visibility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4"/>
  <sheetViews>
    <sheetView showGridLines="0" workbookViewId="0">
      <pane xSplit="1" ySplit="6" topLeftCell="B7" activePane="bottomRight" state="frozen"/>
      <selection/>
      <selection pane="topRight"/>
      <selection pane="bottomLeft"/>
      <selection pane="bottomRight" activeCell="B7" sqref="B7"/>
    </sheetView>
  </sheetViews>
  <sheetFormatPr defaultColWidth="12.625" defaultRowHeight="13.6"/>
  <cols>
    <col min="1" max="1" width="38.25" style="3" customWidth="1"/>
    <col min="2" max="6" width="12.875" style="4" customWidth="1"/>
    <col min="7" max="10" width="12.625" style="88" hidden="1" customWidth="1" outlineLevel="1"/>
    <col min="11" max="11" width="12.625" style="89" customWidth="1" collapsed="1"/>
    <col min="12" max="15" width="12.625" style="88" hidden="1" customWidth="1" outlineLevel="1"/>
    <col min="16" max="16" width="12.625" style="89" customWidth="1" collapsed="1"/>
    <col min="17" max="20" width="12.625" style="88" hidden="1" customWidth="1" outlineLevel="1"/>
    <col min="21" max="21" width="12.625" style="89" customWidth="1" collapsed="1"/>
    <col min="22" max="25" width="12.625" style="88" hidden="1" customWidth="1" outlineLevel="1"/>
    <col min="26" max="26" width="12.625" style="89" customWidth="1" collapsed="1"/>
    <col min="27" max="30" width="12.625" style="1" hidden="1" customWidth="1" outlineLevel="1"/>
    <col min="31" max="31" width="12.625" style="5" customWidth="1" collapsed="1"/>
    <col min="32" max="35" width="12.625" style="1" hidden="1" customWidth="1" outlineLevel="1"/>
    <col min="36" max="36" width="12.625" style="5" customWidth="1" collapsed="1"/>
    <col min="37" max="40" width="12.625" style="1" customWidth="1" outlineLevel="1"/>
    <col min="41" max="41" width="12.625" style="5"/>
    <col min="42" max="45" width="12.625" style="1" customWidth="1" outlineLevel="1"/>
    <col min="46" max="46" width="12.625" style="5"/>
    <col min="47" max="50" width="12.625" style="1" customWidth="1" outlineLevel="1"/>
    <col min="51" max="51" width="12.625" style="5"/>
    <col min="52" max="16384" width="12.625" style="3"/>
  </cols>
  <sheetData>
    <row r="1" s="1" customFormat="1" ht="28.8" spans="1:51">
      <c r="A1" s="7" t="s">
        <v>214</v>
      </c>
      <c r="B1" s="8"/>
      <c r="C1" s="8"/>
      <c r="D1" s="8"/>
      <c r="E1" s="8"/>
      <c r="F1" s="8"/>
      <c r="G1" s="9"/>
      <c r="H1" s="9"/>
      <c r="I1" s="9"/>
      <c r="J1" s="9"/>
      <c r="K1" s="10"/>
      <c r="L1" s="9"/>
      <c r="M1" s="9"/>
      <c r="N1" s="9"/>
      <c r="O1" s="9"/>
      <c r="P1" s="10"/>
      <c r="Q1" s="9"/>
      <c r="R1" s="9"/>
      <c r="S1" s="9"/>
      <c r="T1" s="9"/>
      <c r="U1" s="10"/>
      <c r="V1" s="9"/>
      <c r="W1" s="9"/>
      <c r="X1" s="9"/>
      <c r="Y1" s="9"/>
      <c r="Z1" s="10"/>
      <c r="AA1" s="9"/>
      <c r="AB1" s="9"/>
      <c r="AC1" s="9"/>
      <c r="AD1" s="9"/>
      <c r="AE1" s="10"/>
      <c r="AF1" s="9"/>
      <c r="AG1" s="9"/>
      <c r="AH1" s="9"/>
      <c r="AI1" s="9"/>
      <c r="AJ1" s="10"/>
      <c r="AK1" s="9"/>
      <c r="AL1" s="9"/>
      <c r="AM1" s="9"/>
      <c r="AN1" s="9"/>
      <c r="AO1" s="10"/>
      <c r="AP1" s="9"/>
      <c r="AQ1" s="9"/>
      <c r="AR1" s="9"/>
      <c r="AS1" s="9"/>
      <c r="AT1" s="10"/>
      <c r="AU1" s="9"/>
      <c r="AV1" s="9"/>
      <c r="AW1" s="9"/>
      <c r="AX1" s="9"/>
      <c r="AY1" s="10"/>
    </row>
    <row r="2" s="1" customFormat="1" spans="1:51">
      <c r="A2" s="14"/>
      <c r="B2" s="15"/>
      <c r="C2" s="15"/>
      <c r="D2" s="15"/>
      <c r="E2" s="15"/>
      <c r="F2" s="15"/>
      <c r="G2" s="9"/>
      <c r="H2" s="9"/>
      <c r="I2" s="9"/>
      <c r="J2" s="9"/>
      <c r="K2" s="13"/>
      <c r="L2" s="9"/>
      <c r="M2" s="9"/>
      <c r="N2" s="9"/>
      <c r="O2" s="9"/>
      <c r="P2" s="13"/>
      <c r="Q2" s="9"/>
      <c r="R2" s="9"/>
      <c r="S2" s="9"/>
      <c r="T2" s="9"/>
      <c r="U2" s="13"/>
      <c r="V2" s="9"/>
      <c r="W2" s="9"/>
      <c r="X2" s="9"/>
      <c r="Y2" s="9"/>
      <c r="Z2" s="13"/>
      <c r="AA2" s="9"/>
      <c r="AB2" s="9"/>
      <c r="AC2" s="9"/>
      <c r="AD2" s="9"/>
      <c r="AE2" s="13"/>
      <c r="AF2" s="9"/>
      <c r="AG2" s="9"/>
      <c r="AH2" s="9"/>
      <c r="AI2" s="9"/>
      <c r="AJ2" s="13"/>
      <c r="AK2" s="9"/>
      <c r="AL2" s="9"/>
      <c r="AM2" s="9"/>
      <c r="AN2" s="9"/>
      <c r="AO2" s="10"/>
      <c r="AP2" s="9"/>
      <c r="AQ2" s="9"/>
      <c r="AR2" s="9"/>
      <c r="AS2" s="9"/>
      <c r="AT2" s="10"/>
      <c r="AU2" s="9"/>
      <c r="AV2" s="9"/>
      <c r="AW2" s="9"/>
      <c r="AX2" s="9"/>
      <c r="AY2" s="10"/>
    </row>
    <row r="3" s="1" customFormat="1" spans="1:51">
      <c r="A3" s="14" t="s">
        <v>13</v>
      </c>
      <c r="B3" s="13" t="str">
        <f>'Rev Driver'!B3</f>
        <v>FY15</v>
      </c>
      <c r="C3" s="13" t="str">
        <f>'Rev Driver'!C3</f>
        <v>FY16</v>
      </c>
      <c r="D3" s="13" t="str">
        <f>'Rev Driver'!D3</f>
        <v>FY17</v>
      </c>
      <c r="E3" s="13" t="str">
        <f>'Rev Driver'!E3</f>
        <v>FY18</v>
      </c>
      <c r="F3" s="13" t="str">
        <f>'Rev Driver'!F3</f>
        <v>FY19</v>
      </c>
      <c r="G3" s="9" t="str">
        <f>'Rev Driver'!G3</f>
        <v>1Q20</v>
      </c>
      <c r="H3" s="9" t="str">
        <f>'Rev Driver'!H3</f>
        <v>2Q20</v>
      </c>
      <c r="I3" s="9" t="str">
        <f>'Rev Driver'!I3</f>
        <v>3Q20</v>
      </c>
      <c r="J3" s="9" t="str">
        <f>'Rev Driver'!J3</f>
        <v>4Q20</v>
      </c>
      <c r="K3" s="13" t="str">
        <f>'Rev Driver'!K3</f>
        <v>FY20</v>
      </c>
      <c r="L3" s="9" t="str">
        <f>'Rev Driver'!L3</f>
        <v>1Q21</v>
      </c>
      <c r="M3" s="9" t="str">
        <f>'Rev Driver'!M3</f>
        <v>2Q21</v>
      </c>
      <c r="N3" s="9" t="str">
        <f>'Rev Driver'!N3</f>
        <v>3Q21</v>
      </c>
      <c r="O3" s="9" t="str">
        <f>'Rev Driver'!O3</f>
        <v>4Q21</v>
      </c>
      <c r="P3" s="13" t="str">
        <f>'Rev Driver'!P3</f>
        <v>FY21</v>
      </c>
      <c r="Q3" s="9" t="str">
        <f>'Rev Driver'!Q3</f>
        <v>1Q22</v>
      </c>
      <c r="R3" s="9" t="str">
        <f>'Rev Driver'!R3</f>
        <v>2Q22</v>
      </c>
      <c r="S3" s="9" t="str">
        <f>'Rev Driver'!S3</f>
        <v>3Q22</v>
      </c>
      <c r="T3" s="9" t="str">
        <f>'Rev Driver'!T3</f>
        <v>4Q22</v>
      </c>
      <c r="U3" s="13" t="str">
        <f>'Rev Driver'!U3</f>
        <v>FY22</v>
      </c>
      <c r="V3" s="9" t="str">
        <f>'Rev Driver'!V3</f>
        <v>1Q23</v>
      </c>
      <c r="W3" s="9" t="str">
        <f>'Rev Driver'!W3</f>
        <v>2Q23</v>
      </c>
      <c r="X3" s="9" t="str">
        <f>'Rev Driver'!X3</f>
        <v>3Q23</v>
      </c>
      <c r="Y3" s="9" t="str">
        <f>'Rev Driver'!Y3</f>
        <v>4Q23</v>
      </c>
      <c r="Z3" s="13" t="str">
        <f>'Rev Driver'!Z3</f>
        <v>FY23</v>
      </c>
      <c r="AA3" s="9" t="str">
        <f>'Rev Driver'!AA3</f>
        <v>1Q24</v>
      </c>
      <c r="AB3" s="9" t="str">
        <f>'Rev Driver'!AB3</f>
        <v>2Q24</v>
      </c>
      <c r="AC3" s="9" t="str">
        <f>'Rev Driver'!AC3</f>
        <v>3Q24</v>
      </c>
      <c r="AD3" s="9" t="str">
        <f>'Rev Driver'!AD3</f>
        <v>4Q24</v>
      </c>
      <c r="AE3" s="13" t="str">
        <f>'Rev Driver'!AE3</f>
        <v>FY24</v>
      </c>
      <c r="AF3" s="9" t="str">
        <f>'Rev Driver'!AF3</f>
        <v>1Q25</v>
      </c>
      <c r="AG3" s="9" t="str">
        <f>'Rev Driver'!AG3</f>
        <v>2Q25</v>
      </c>
      <c r="AH3" s="9" t="str">
        <f>'Rev Driver'!AH3</f>
        <v>3Q25</v>
      </c>
      <c r="AI3" s="9" t="str">
        <f>'Rev Driver'!AI3</f>
        <v>4Q25</v>
      </c>
      <c r="AJ3" s="13" t="str">
        <f>'Rev Driver'!AJ3</f>
        <v>FY25</v>
      </c>
      <c r="AK3" s="9" t="str">
        <f>'Rev Driver'!AK3</f>
        <v>1Q26</v>
      </c>
      <c r="AL3" s="9" t="str">
        <f>'Rev Driver'!AL3</f>
        <v>2Q26</v>
      </c>
      <c r="AM3" s="16" t="str">
        <f>'Rev Driver'!AM3</f>
        <v>3Q26E</v>
      </c>
      <c r="AN3" s="16" t="str">
        <f>'Rev Driver'!AN3</f>
        <v>4Q26E</v>
      </c>
      <c r="AO3" s="17" t="str">
        <f>'Rev Driver'!AO3</f>
        <v>FY26E</v>
      </c>
      <c r="AP3" s="16" t="str">
        <f>'Rev Driver'!AP3</f>
        <v>1Q27E</v>
      </c>
      <c r="AQ3" s="16" t="str">
        <f>'Rev Driver'!AQ3</f>
        <v>2Q27E</v>
      </c>
      <c r="AR3" s="16" t="str">
        <f>'Rev Driver'!AR3</f>
        <v>3Q27E</v>
      </c>
      <c r="AS3" s="16" t="str">
        <f>'Rev Driver'!AS3</f>
        <v>4Q27E</v>
      </c>
      <c r="AT3" s="17" t="str">
        <f>'Rev Driver'!AT3</f>
        <v>FY27E</v>
      </c>
      <c r="AU3" s="16" t="str">
        <f>'Rev Driver'!AU3</f>
        <v>1Q28E</v>
      </c>
      <c r="AV3" s="16" t="str">
        <f>'Rev Driver'!AV3</f>
        <v>2Q28E</v>
      </c>
      <c r="AW3" s="16" t="str">
        <f>'Rev Driver'!AW3</f>
        <v>3Q28E</v>
      </c>
      <c r="AX3" s="16" t="str">
        <f>'Rev Driver'!AX3</f>
        <v>4Q28E</v>
      </c>
      <c r="AY3" s="17" t="str">
        <f>'Rev Driver'!AY3</f>
        <v>FY28E</v>
      </c>
    </row>
    <row r="4" s="1" customFormat="1" outlineLevel="1" spans="1:51">
      <c r="A4" s="18" t="s">
        <v>151</v>
      </c>
      <c r="B4" s="19">
        <f>'Rev Driver'!B4</f>
        <v>42399</v>
      </c>
      <c r="C4" s="19">
        <f>'Rev Driver'!C4</f>
        <v>42763</v>
      </c>
      <c r="D4" s="19">
        <f>'Rev Driver'!D4</f>
        <v>43134</v>
      </c>
      <c r="E4" s="19">
        <f>'Rev Driver'!E4</f>
        <v>43498</v>
      </c>
      <c r="F4" s="19">
        <f>'Rev Driver'!F4</f>
        <v>43862</v>
      </c>
      <c r="G4" s="20">
        <f>'Rev Driver'!G4</f>
        <v>43953</v>
      </c>
      <c r="H4" s="20">
        <f>'Rev Driver'!H4</f>
        <v>44044</v>
      </c>
      <c r="I4" s="20">
        <f>'Rev Driver'!I4</f>
        <v>44135</v>
      </c>
      <c r="J4" s="20">
        <f>'Rev Driver'!J4</f>
        <v>44226</v>
      </c>
      <c r="K4" s="19">
        <f>'Rev Driver'!K4</f>
        <v>44226</v>
      </c>
      <c r="L4" s="20">
        <f>'Rev Driver'!L4</f>
        <v>44317</v>
      </c>
      <c r="M4" s="20">
        <f>'Rev Driver'!M4</f>
        <v>44408</v>
      </c>
      <c r="N4" s="20">
        <f>'Rev Driver'!N4</f>
        <v>44500</v>
      </c>
      <c r="O4" s="20">
        <f>'Rev Driver'!O4</f>
        <v>44590</v>
      </c>
      <c r="P4" s="19">
        <f>'Rev Driver'!P4</f>
        <v>44590</v>
      </c>
      <c r="Q4" s="20">
        <f>'Rev Driver'!Q4</f>
        <v>44681</v>
      </c>
      <c r="R4" s="20">
        <f>'Rev Driver'!R4</f>
        <v>44772</v>
      </c>
      <c r="S4" s="20">
        <f>'Rev Driver'!S4</f>
        <v>44863</v>
      </c>
      <c r="T4" s="20">
        <f>'Rev Driver'!T4</f>
        <v>44954</v>
      </c>
      <c r="U4" s="19">
        <f>'Rev Driver'!U4</f>
        <v>44954</v>
      </c>
      <c r="V4" s="20">
        <f>'Rev Driver'!V4</f>
        <v>45045</v>
      </c>
      <c r="W4" s="20">
        <f>'Rev Driver'!W4</f>
        <v>45136</v>
      </c>
      <c r="X4" s="20">
        <f>'Rev Driver'!X4</f>
        <v>45227</v>
      </c>
      <c r="Y4" s="20">
        <f>'Rev Driver'!Y4</f>
        <v>45325</v>
      </c>
      <c r="Z4" s="19">
        <f>'Rev Driver'!Z4</f>
        <v>45325</v>
      </c>
      <c r="AA4" s="20">
        <f>'Rev Driver'!AA4</f>
        <v>45416</v>
      </c>
      <c r="AB4" s="20">
        <f>'Rev Driver'!AB4</f>
        <v>45507</v>
      </c>
      <c r="AC4" s="20">
        <f>'Rev Driver'!AC4</f>
        <v>45598</v>
      </c>
      <c r="AD4" s="20">
        <f>'Rev Driver'!AD4</f>
        <v>45689</v>
      </c>
      <c r="AE4" s="19">
        <f>'Rev Driver'!AE4</f>
        <v>45689</v>
      </c>
      <c r="AF4" s="20">
        <f>'Rev Driver'!AF4</f>
        <v>45780</v>
      </c>
      <c r="AG4" s="20">
        <f>'Rev Driver'!AG4</f>
        <v>45871</v>
      </c>
      <c r="AH4" s="20">
        <f>'Rev Driver'!AH4</f>
        <v>45962</v>
      </c>
      <c r="AI4" s="20">
        <f>'Rev Driver'!AI4</f>
        <v>46053</v>
      </c>
      <c r="AJ4" s="19">
        <f>'Rev Driver'!AJ4</f>
        <v>46053</v>
      </c>
      <c r="AK4" s="20">
        <f>'Rev Driver'!AK4</f>
        <v>46144</v>
      </c>
      <c r="AL4" s="20">
        <f>'Rev Driver'!AL4</f>
        <v>46235</v>
      </c>
      <c r="AM4" s="21">
        <f>'Rev Driver'!AM4</f>
        <v>46326</v>
      </c>
      <c r="AN4" s="21">
        <f>'Rev Driver'!AN4</f>
        <v>46417</v>
      </c>
      <c r="AO4" s="22">
        <f>'Rev Driver'!AO4</f>
        <v>46417</v>
      </c>
      <c r="AP4" s="21">
        <f>'Rev Driver'!AP4</f>
        <v>46508</v>
      </c>
      <c r="AQ4" s="21">
        <f>'Rev Driver'!AQ4</f>
        <v>46599</v>
      </c>
      <c r="AR4" s="21">
        <f>'Rev Driver'!AR4</f>
        <v>46690</v>
      </c>
      <c r="AS4" s="21">
        <f>'Rev Driver'!AS4</f>
        <v>46781</v>
      </c>
      <c r="AT4" s="22">
        <f>'Rev Driver'!AT4</f>
        <v>46781</v>
      </c>
      <c r="AU4" s="21">
        <f>'Rev Driver'!AU4</f>
        <v>46872</v>
      </c>
      <c r="AV4" s="21">
        <f>'Rev Driver'!AV4</f>
        <v>46963</v>
      </c>
      <c r="AW4" s="21">
        <f>'Rev Driver'!AW4</f>
        <v>47054</v>
      </c>
      <c r="AX4" s="21">
        <f>'Rev Driver'!AX4</f>
        <v>47145</v>
      </c>
      <c r="AY4" s="22">
        <f>'Rev Driver'!AY4</f>
        <v>47145</v>
      </c>
    </row>
    <row r="5" s="1" customFormat="1" outlineLevel="1" spans="1:51">
      <c r="A5" s="18" t="s">
        <v>152</v>
      </c>
      <c r="B5" s="23">
        <f>'Rev Driver'!B5</f>
        <v>52</v>
      </c>
      <c r="C5" s="23">
        <f>'Rev Driver'!C5</f>
        <v>52</v>
      </c>
      <c r="D5" s="23">
        <f>'Rev Driver'!D5</f>
        <v>53</v>
      </c>
      <c r="E5" s="23">
        <f>'Rev Driver'!E5</f>
        <v>52</v>
      </c>
      <c r="F5" s="23">
        <f>'Rev Driver'!F5</f>
        <v>52</v>
      </c>
      <c r="G5" s="24">
        <f>'Rev Driver'!G5</f>
        <v>13</v>
      </c>
      <c r="H5" s="24">
        <f>'Rev Driver'!H5</f>
        <v>13</v>
      </c>
      <c r="I5" s="24">
        <f>'Rev Driver'!I5</f>
        <v>13</v>
      </c>
      <c r="J5" s="24">
        <f>'Rev Driver'!J5</f>
        <v>13</v>
      </c>
      <c r="K5" s="23">
        <f>'Rev Driver'!K5</f>
        <v>52</v>
      </c>
      <c r="L5" s="24">
        <f>'Rev Driver'!L5</f>
        <v>13</v>
      </c>
      <c r="M5" s="24">
        <f>'Rev Driver'!M5</f>
        <v>13</v>
      </c>
      <c r="N5" s="24">
        <f>'Rev Driver'!N5</f>
        <v>13</v>
      </c>
      <c r="O5" s="24">
        <f>'Rev Driver'!O5</f>
        <v>13</v>
      </c>
      <c r="P5" s="23">
        <f>'Rev Driver'!P5</f>
        <v>52</v>
      </c>
      <c r="Q5" s="24">
        <f>'Rev Driver'!Q5</f>
        <v>13</v>
      </c>
      <c r="R5" s="24">
        <f>'Rev Driver'!R5</f>
        <v>13</v>
      </c>
      <c r="S5" s="24">
        <f>'Rev Driver'!S5</f>
        <v>13</v>
      </c>
      <c r="T5" s="24">
        <f>'Rev Driver'!T5</f>
        <v>13</v>
      </c>
      <c r="U5" s="23">
        <f>'Rev Driver'!U5</f>
        <v>52</v>
      </c>
      <c r="V5" s="24">
        <f>'Rev Driver'!V5</f>
        <v>13</v>
      </c>
      <c r="W5" s="24">
        <f>'Rev Driver'!W5</f>
        <v>13</v>
      </c>
      <c r="X5" s="24">
        <f>'Rev Driver'!X5</f>
        <v>13</v>
      </c>
      <c r="Y5" s="24">
        <f>'Rev Driver'!Y5</f>
        <v>14</v>
      </c>
      <c r="Z5" s="23">
        <f>'Rev Driver'!Z5</f>
        <v>53</v>
      </c>
      <c r="AA5" s="24">
        <f>'Rev Driver'!AA5</f>
        <v>13</v>
      </c>
      <c r="AB5" s="24">
        <f>'Rev Driver'!AB5</f>
        <v>13</v>
      </c>
      <c r="AC5" s="24">
        <f>'Rev Driver'!AC5</f>
        <v>13</v>
      </c>
      <c r="AD5" s="24">
        <f>'Rev Driver'!AD5</f>
        <v>13</v>
      </c>
      <c r="AE5" s="23">
        <f>'Rev Driver'!AE5</f>
        <v>52</v>
      </c>
      <c r="AF5" s="24">
        <f>'Rev Driver'!AF5</f>
        <v>13</v>
      </c>
      <c r="AG5" s="24">
        <f>'Rev Driver'!AG5</f>
        <v>13</v>
      </c>
      <c r="AH5" s="24">
        <f>'Rev Driver'!AH5</f>
        <v>13</v>
      </c>
      <c r="AI5" s="24">
        <f>'Rev Driver'!AI5</f>
        <v>13</v>
      </c>
      <c r="AJ5" s="23">
        <f>'Rev Driver'!AJ5</f>
        <v>52</v>
      </c>
      <c r="AK5" s="24">
        <f>'Rev Driver'!AK5</f>
        <v>13</v>
      </c>
      <c r="AL5" s="24">
        <f>'Rev Driver'!AL5</f>
        <v>13</v>
      </c>
      <c r="AM5" s="25">
        <f>'Rev Driver'!AM5</f>
        <v>13</v>
      </c>
      <c r="AN5" s="25">
        <f>'Rev Driver'!AN5</f>
        <v>13</v>
      </c>
      <c r="AO5" s="26">
        <f>'Rev Driver'!AO5</f>
        <v>52</v>
      </c>
      <c r="AP5" s="25">
        <f>'Rev Driver'!AP5</f>
        <v>13</v>
      </c>
      <c r="AQ5" s="25">
        <f>'Rev Driver'!AQ5</f>
        <v>13</v>
      </c>
      <c r="AR5" s="25">
        <f>'Rev Driver'!AR5</f>
        <v>13</v>
      </c>
      <c r="AS5" s="25">
        <f>'Rev Driver'!AS5</f>
        <v>13</v>
      </c>
      <c r="AT5" s="26">
        <f>'Rev Driver'!AT5</f>
        <v>52</v>
      </c>
      <c r="AU5" s="25">
        <f>'Rev Driver'!AU5</f>
        <v>13</v>
      </c>
      <c r="AV5" s="25">
        <f>'Rev Driver'!AV5</f>
        <v>13</v>
      </c>
      <c r="AW5" s="25">
        <f>'Rev Driver'!AW5</f>
        <v>13</v>
      </c>
      <c r="AX5" s="25">
        <f>'Rev Driver'!AX5</f>
        <v>13</v>
      </c>
      <c r="AY5" s="26">
        <f>'Rev Driver'!AY5</f>
        <v>52</v>
      </c>
    </row>
    <row r="6" spans="1:51">
      <c r="A6" s="29" t="s">
        <v>215</v>
      </c>
      <c r="B6" s="90">
        <f>SCF!B36</f>
        <v>588578</v>
      </c>
      <c r="C6" s="90">
        <f>SCF!C36</f>
        <v>547189</v>
      </c>
      <c r="D6" s="90">
        <f>SCF!D36</f>
        <v>675558</v>
      </c>
      <c r="E6" s="90">
        <f>SCF!E36</f>
        <v>723135</v>
      </c>
      <c r="F6" s="90">
        <f>SCF!F36</f>
        <v>671267</v>
      </c>
      <c r="G6" s="91">
        <f>SCF!G36</f>
        <v>703989</v>
      </c>
      <c r="H6" s="91">
        <f>SCF!H36</f>
        <v>766721</v>
      </c>
      <c r="I6" s="91">
        <f>SCF!I36</f>
        <v>812881</v>
      </c>
      <c r="J6" s="91">
        <f>SCF!J36</f>
        <v>1104862</v>
      </c>
      <c r="K6" s="90">
        <f>SCF!K36</f>
        <v>1104862</v>
      </c>
      <c r="L6" s="91">
        <f>SCF!L36</f>
        <v>909008</v>
      </c>
      <c r="M6" s="91">
        <f>SCF!M36</f>
        <v>921504</v>
      </c>
      <c r="N6" s="91">
        <f>SCF!N36</f>
        <v>865622</v>
      </c>
      <c r="O6" s="91">
        <f>SCF!O36</f>
        <v>823139</v>
      </c>
      <c r="P6" s="90">
        <f>SCF!P36</f>
        <v>823139</v>
      </c>
      <c r="Q6" s="91">
        <f>SCF!Q36</f>
        <v>468378</v>
      </c>
      <c r="R6" s="91">
        <f>SCF!R36</f>
        <v>369957</v>
      </c>
      <c r="S6" s="91">
        <f>SCF!S36</f>
        <v>257332</v>
      </c>
      <c r="T6" s="91">
        <f>SCF!T36</f>
        <v>517602</v>
      </c>
      <c r="U6" s="90">
        <f>SCF!U36</f>
        <v>517602</v>
      </c>
      <c r="V6" s="91">
        <f>SCF!V36</f>
        <v>446952</v>
      </c>
      <c r="W6" s="91">
        <f>SCF!W36</f>
        <v>617339</v>
      </c>
      <c r="X6" s="91">
        <f>SCF!X36</f>
        <v>649489</v>
      </c>
      <c r="Y6" s="91">
        <f>SCF!Y36</f>
        <v>900884</v>
      </c>
      <c r="Z6" s="90">
        <f>SCF!Z36</f>
        <v>900884</v>
      </c>
      <c r="AA6" s="91">
        <f>SCF!AA36</f>
        <v>864195</v>
      </c>
      <c r="AB6" s="91">
        <f>SCF!AB36</f>
        <v>738402</v>
      </c>
      <c r="AC6" s="91">
        <f>SCF!AC36</f>
        <v>683089</v>
      </c>
      <c r="AD6" s="91">
        <f>SCF!AD36</f>
        <v>772727</v>
      </c>
      <c r="AE6" s="90">
        <f>SCF!AE36</f>
        <v>772727</v>
      </c>
      <c r="AF6" s="91">
        <f>SCF!AF36</f>
        <v>510563</v>
      </c>
      <c r="AG6" s="91">
        <f>SCF!AG36</f>
        <v>572730</v>
      </c>
      <c r="AH6" s="91">
        <f>SCF!AH36</f>
        <v>605783</v>
      </c>
      <c r="AI6" s="91">
        <f>SCF!AI36</f>
        <v>759540</v>
      </c>
      <c r="AJ6" s="90">
        <v>759540</v>
      </c>
      <c r="AK6" s="91">
        <f>SCF!AK36</f>
        <v>594080</v>
      </c>
      <c r="AL6" s="91">
        <f>SCF!AL36</f>
        <v>627716</v>
      </c>
      <c r="AM6" s="91">
        <f>SCF!AM36</f>
        <v>676349.139111715</v>
      </c>
      <c r="AN6" s="91">
        <f>SCF!AN36</f>
        <v>768594.745763354</v>
      </c>
      <c r="AO6" s="90">
        <f>SCF!AO36</f>
        <v>768594.745763354</v>
      </c>
      <c r="AP6" s="91">
        <f>SCF!AP36</f>
        <v>828807.837579932</v>
      </c>
      <c r="AQ6" s="91">
        <f>SCF!AQ36</f>
        <v>956277.539264876</v>
      </c>
      <c r="AR6" s="91">
        <f>SCF!AR36</f>
        <v>850766.042790157</v>
      </c>
      <c r="AS6" s="91">
        <f>SCF!AS36</f>
        <v>929085.138471749</v>
      </c>
      <c r="AT6" s="90">
        <f>SCF!AT36</f>
        <v>929085.138471749</v>
      </c>
      <c r="AU6" s="91">
        <f>SCF!AU36</f>
        <v>964530.526907196</v>
      </c>
      <c r="AV6" s="91">
        <f>SCF!AV36</f>
        <v>1050819.95172809</v>
      </c>
      <c r="AW6" s="91">
        <f>SCF!AW36</f>
        <v>1100923.35331121</v>
      </c>
      <c r="AX6" s="91">
        <f>SCF!AX36</f>
        <v>1107375.12810613</v>
      </c>
      <c r="AY6" s="90">
        <f>SCF!AY36</f>
        <v>1107375.12810613</v>
      </c>
    </row>
    <row r="7" spans="1:51">
      <c r="A7" s="29" t="s">
        <v>216</v>
      </c>
      <c r="B7" s="92"/>
      <c r="C7" s="92"/>
      <c r="D7" s="92"/>
      <c r="E7" s="92"/>
      <c r="F7" s="92"/>
      <c r="G7" s="93">
        <v>0</v>
      </c>
      <c r="H7" s="93">
        <v>0</v>
      </c>
      <c r="I7" s="93">
        <v>0</v>
      </c>
      <c r="J7" s="93">
        <v>0</v>
      </c>
      <c r="K7" s="79">
        <f t="shared" ref="K7:K30" si="0">J7</f>
        <v>0</v>
      </c>
      <c r="L7" s="93">
        <v>0</v>
      </c>
      <c r="M7" s="93">
        <v>0</v>
      </c>
      <c r="N7" s="93">
        <v>0</v>
      </c>
      <c r="O7" s="93">
        <v>0</v>
      </c>
      <c r="P7" s="79">
        <f t="shared" ref="P7:P30" si="1">O7</f>
        <v>0</v>
      </c>
      <c r="Q7" s="93">
        <v>0</v>
      </c>
      <c r="R7" s="93">
        <v>0</v>
      </c>
      <c r="S7" s="93">
        <v>0</v>
      </c>
      <c r="T7" s="93">
        <v>0</v>
      </c>
      <c r="U7" s="79">
        <f t="shared" ref="U7:U30" si="2">T7</f>
        <v>0</v>
      </c>
      <c r="V7" s="93">
        <v>0</v>
      </c>
      <c r="W7" s="93">
        <v>0</v>
      </c>
      <c r="X7" s="93">
        <v>0</v>
      </c>
      <c r="Y7" s="93">
        <v>0</v>
      </c>
      <c r="Z7" s="79">
        <f t="shared" ref="Z7:Z30" si="3">Y7</f>
        <v>0</v>
      </c>
      <c r="AA7" s="93">
        <v>0</v>
      </c>
      <c r="AB7" s="93">
        <v>0</v>
      </c>
      <c r="AC7" s="93">
        <v>0</v>
      </c>
      <c r="AD7" s="93">
        <v>116221</v>
      </c>
      <c r="AE7" s="79">
        <f t="shared" ref="AE7:AE30" si="4">AD7</f>
        <v>116221</v>
      </c>
      <c r="AF7" s="93">
        <v>97006</v>
      </c>
      <c r="AG7" s="93">
        <v>30795</v>
      </c>
      <c r="AH7" s="93">
        <v>25255</v>
      </c>
      <c r="AI7" s="93">
        <v>25036</v>
      </c>
      <c r="AJ7" s="79">
        <f t="shared" ref="AJ7:AJ30" si="5">AI7</f>
        <v>25036</v>
      </c>
      <c r="AK7" s="93">
        <v>25144</v>
      </c>
      <c r="AL7" s="93">
        <v>10283</v>
      </c>
      <c r="AM7" s="91">
        <f t="shared" ref="AM7:AN7" si="6">AL7</f>
        <v>10283</v>
      </c>
      <c r="AN7" s="91">
        <f t="shared" si="6"/>
        <v>10283</v>
      </c>
      <c r="AO7" s="79">
        <f t="shared" ref="AO7:AO30" si="7">AN7</f>
        <v>10283</v>
      </c>
      <c r="AP7" s="91">
        <f>AO7</f>
        <v>10283</v>
      </c>
      <c r="AQ7" s="91">
        <f t="shared" ref="AQ7:AS7" si="8">AP7</f>
        <v>10283</v>
      </c>
      <c r="AR7" s="91">
        <f t="shared" si="8"/>
        <v>10283</v>
      </c>
      <c r="AS7" s="91">
        <f t="shared" si="8"/>
        <v>10283</v>
      </c>
      <c r="AT7" s="79">
        <f t="shared" ref="AT7:AT30" si="9">AS7</f>
        <v>10283</v>
      </c>
      <c r="AU7" s="91">
        <f>AT7</f>
        <v>10283</v>
      </c>
      <c r="AV7" s="91">
        <f t="shared" ref="AV7" si="10">AU7</f>
        <v>10283</v>
      </c>
      <c r="AW7" s="91">
        <f t="shared" ref="AW7" si="11">AV7</f>
        <v>10283</v>
      </c>
      <c r="AX7" s="91">
        <f t="shared" ref="AX7" si="12">AW7</f>
        <v>10283</v>
      </c>
      <c r="AY7" s="79">
        <f t="shared" ref="AY7:AY15" si="13">AX7</f>
        <v>10283</v>
      </c>
    </row>
    <row r="8" spans="1:51">
      <c r="A8" s="29" t="s">
        <v>217</v>
      </c>
      <c r="B8" s="94">
        <v>56868</v>
      </c>
      <c r="C8" s="94">
        <v>93384</v>
      </c>
      <c r="D8" s="94">
        <v>79724</v>
      </c>
      <c r="E8" s="94">
        <v>73112</v>
      </c>
      <c r="F8" s="94">
        <v>80251</v>
      </c>
      <c r="G8" s="95">
        <v>88639</v>
      </c>
      <c r="H8" s="95">
        <v>88323</v>
      </c>
      <c r="I8" s="95">
        <v>89074</v>
      </c>
      <c r="J8" s="95">
        <v>83857</v>
      </c>
      <c r="K8" s="79">
        <f t="shared" si="0"/>
        <v>83857</v>
      </c>
      <c r="L8" s="95">
        <v>107821</v>
      </c>
      <c r="M8" s="95">
        <v>87151</v>
      </c>
      <c r="N8" s="95">
        <v>83447</v>
      </c>
      <c r="O8" s="95">
        <v>69102</v>
      </c>
      <c r="P8" s="79">
        <f t="shared" si="1"/>
        <v>69102</v>
      </c>
      <c r="Q8" s="95">
        <v>88807</v>
      </c>
      <c r="R8" s="95">
        <v>79820</v>
      </c>
      <c r="S8" s="95">
        <v>108468</v>
      </c>
      <c r="T8" s="95">
        <v>104506</v>
      </c>
      <c r="U8" s="79">
        <f t="shared" si="2"/>
        <v>104506</v>
      </c>
      <c r="V8" s="95">
        <v>106149</v>
      </c>
      <c r="W8" s="95">
        <v>112597</v>
      </c>
      <c r="X8" s="95">
        <v>96762</v>
      </c>
      <c r="Y8" s="95">
        <v>78346</v>
      </c>
      <c r="Z8" s="79">
        <f t="shared" si="3"/>
        <v>78346</v>
      </c>
      <c r="AA8" s="95">
        <v>93605</v>
      </c>
      <c r="AB8" s="95">
        <v>115077</v>
      </c>
      <c r="AC8" s="95">
        <v>111583</v>
      </c>
      <c r="AD8" s="95">
        <v>105324</v>
      </c>
      <c r="AE8" s="79">
        <f t="shared" si="4"/>
        <v>105324</v>
      </c>
      <c r="AF8" s="95">
        <v>113311</v>
      </c>
      <c r="AG8" s="95">
        <v>174000</v>
      </c>
      <c r="AH8" s="95">
        <v>131741</v>
      </c>
      <c r="AI8" s="95">
        <v>146757</v>
      </c>
      <c r="AJ8" s="79">
        <f t="shared" si="5"/>
        <v>146757</v>
      </c>
      <c r="AK8" s="95">
        <v>146042</v>
      </c>
      <c r="AL8" s="95">
        <v>190347</v>
      </c>
      <c r="AM8" s="96">
        <f t="shared" ref="AM8:AN8" si="14">AM50*2-AH8</f>
        <v>119114.574197802</v>
      </c>
      <c r="AN8" s="96">
        <f t="shared" si="14"/>
        <v>160710.431564835</v>
      </c>
      <c r="AO8" s="79">
        <f t="shared" si="7"/>
        <v>160710.431564835</v>
      </c>
      <c r="AP8" s="96">
        <f>AP50*2-AK8</f>
        <v>108507.653813187</v>
      </c>
      <c r="AQ8" s="96">
        <f t="shared" ref="AQ8" si="15">AQ50*2-AL8</f>
        <v>119448.938285714</v>
      </c>
      <c r="AR8" s="96">
        <f t="shared" ref="AR8" si="16">AR50*2-AM8</f>
        <v>162875.316485626</v>
      </c>
      <c r="AS8" s="96">
        <f t="shared" ref="AS8" si="17">AS50*2-AN8</f>
        <v>153402.51104589</v>
      </c>
      <c r="AT8" s="79">
        <f t="shared" si="9"/>
        <v>153402.51104589</v>
      </c>
      <c r="AU8" s="96">
        <f>AU50*2-AP8</f>
        <v>158287.190020275</v>
      </c>
      <c r="AV8" s="96">
        <f t="shared" ref="AV8" si="18">AV50*2-AQ8</f>
        <v>139404.524137143</v>
      </c>
      <c r="AW8" s="96">
        <f t="shared" ref="AW8" si="19">AW50*2-AR8</f>
        <v>175000.710748316</v>
      </c>
      <c r="AX8" s="96">
        <f t="shared" ref="AX8" si="20">AX50*2-AS8</f>
        <v>164737.789015736</v>
      </c>
      <c r="AY8" s="79">
        <f t="shared" si="13"/>
        <v>164737.789015736</v>
      </c>
    </row>
    <row r="9" spans="1:51">
      <c r="A9" s="29" t="s">
        <v>218</v>
      </c>
      <c r="B9" s="92">
        <v>436701</v>
      </c>
      <c r="C9" s="92">
        <v>399795</v>
      </c>
      <c r="D9" s="92">
        <v>424393</v>
      </c>
      <c r="E9" s="92">
        <v>437879</v>
      </c>
      <c r="F9" s="92">
        <v>434326</v>
      </c>
      <c r="G9" s="93">
        <v>426594</v>
      </c>
      <c r="H9" s="93">
        <v>453239</v>
      </c>
      <c r="I9" s="93">
        <v>545548</v>
      </c>
      <c r="J9" s="93">
        <v>404053</v>
      </c>
      <c r="K9" s="79">
        <f t="shared" si="0"/>
        <v>404053</v>
      </c>
      <c r="L9" s="93">
        <v>388633</v>
      </c>
      <c r="M9" s="93">
        <v>415604</v>
      </c>
      <c r="N9" s="93">
        <v>543713</v>
      </c>
      <c r="O9" s="93">
        <v>525864</v>
      </c>
      <c r="P9" s="79">
        <f t="shared" si="1"/>
        <v>525864</v>
      </c>
      <c r="Q9" s="93">
        <v>562510</v>
      </c>
      <c r="R9" s="93">
        <v>708024</v>
      </c>
      <c r="S9" s="93">
        <v>741963</v>
      </c>
      <c r="T9" s="93">
        <v>505621</v>
      </c>
      <c r="U9" s="79">
        <f t="shared" si="2"/>
        <v>505621</v>
      </c>
      <c r="V9" s="93">
        <v>447806</v>
      </c>
      <c r="W9" s="93">
        <v>493479</v>
      </c>
      <c r="X9" s="93">
        <v>595067</v>
      </c>
      <c r="Y9" s="93">
        <v>469466</v>
      </c>
      <c r="Z9" s="79">
        <f t="shared" si="3"/>
        <v>469466</v>
      </c>
      <c r="AA9" s="93">
        <v>449267</v>
      </c>
      <c r="AB9" s="93">
        <v>539759</v>
      </c>
      <c r="AC9" s="93">
        <v>692596</v>
      </c>
      <c r="AD9" s="93">
        <v>575005</v>
      </c>
      <c r="AE9" s="79">
        <f t="shared" si="4"/>
        <v>575005</v>
      </c>
      <c r="AF9" s="93">
        <v>542059</v>
      </c>
      <c r="AG9" s="93">
        <v>592966</v>
      </c>
      <c r="AH9" s="93">
        <v>730453</v>
      </c>
      <c r="AI9" s="93">
        <v>601218</v>
      </c>
      <c r="AJ9" s="79">
        <f t="shared" si="5"/>
        <v>601218</v>
      </c>
      <c r="AK9" s="93">
        <v>532691</v>
      </c>
      <c r="AL9" s="93">
        <v>591662</v>
      </c>
      <c r="AM9" s="91">
        <f t="shared" ref="AM9:AN9" si="21">AM44*2-AH9</f>
        <v>748702.184306792</v>
      </c>
      <c r="AN9" s="91">
        <f t="shared" si="21"/>
        <v>646268.952134</v>
      </c>
      <c r="AO9" s="79">
        <f t="shared" si="7"/>
        <v>646268.952134</v>
      </c>
      <c r="AP9" s="91">
        <f>AP44*2-AK9</f>
        <v>567900.514740714</v>
      </c>
      <c r="AQ9" s="91">
        <f t="shared" ref="AQ9" si="22">AQ44*2-AL9</f>
        <v>688115.288227429</v>
      </c>
      <c r="AR9" s="91">
        <f t="shared" ref="AR9" si="23">AR44*2-AM9</f>
        <v>765473.201970531</v>
      </c>
      <c r="AS9" s="91">
        <f t="shared" ref="AS9" si="24">AS44*2-AN9</f>
        <v>692468.736912892</v>
      </c>
      <c r="AT9" s="79">
        <f t="shared" si="9"/>
        <v>692468.736912892</v>
      </c>
      <c r="AU9" s="91">
        <f>AU44*2-AP9</f>
        <v>519990.129550775</v>
      </c>
      <c r="AV9" s="91">
        <f t="shared" ref="AV9" si="25">AV44*2-AQ9</f>
        <v>694190.364683506</v>
      </c>
      <c r="AW9" s="91">
        <f t="shared" ref="AW9" si="26">AW44*2-AR9</f>
        <v>758459.808622108</v>
      </c>
      <c r="AX9" s="91">
        <f t="shared" ref="AX9" si="27">AX44*2-AS9</f>
        <v>760111.10892173</v>
      </c>
      <c r="AY9" s="79">
        <f t="shared" si="13"/>
        <v>760111.10892173</v>
      </c>
    </row>
    <row r="10" spans="1:51">
      <c r="A10" s="97" t="s">
        <v>219</v>
      </c>
      <c r="B10" s="98">
        <v>96833</v>
      </c>
      <c r="C10" s="98">
        <v>98932</v>
      </c>
      <c r="D10" s="98">
        <v>84863</v>
      </c>
      <c r="E10" s="98">
        <v>101824</v>
      </c>
      <c r="F10" s="98">
        <v>78905</v>
      </c>
      <c r="G10" s="99">
        <v>67412</v>
      </c>
      <c r="H10" s="99">
        <v>75160</v>
      </c>
      <c r="I10" s="99">
        <v>73776</v>
      </c>
      <c r="J10" s="99">
        <v>68857</v>
      </c>
      <c r="K10" s="100">
        <f t="shared" si="0"/>
        <v>68857</v>
      </c>
      <c r="L10" s="99">
        <v>78727</v>
      </c>
      <c r="M10" s="99">
        <v>77392</v>
      </c>
      <c r="N10" s="99">
        <v>111423</v>
      </c>
      <c r="O10" s="99">
        <v>89654</v>
      </c>
      <c r="P10" s="100">
        <f t="shared" si="1"/>
        <v>89654</v>
      </c>
      <c r="Q10" s="99">
        <v>93179</v>
      </c>
      <c r="R10" s="99">
        <v>104887</v>
      </c>
      <c r="S10" s="99">
        <v>112602</v>
      </c>
      <c r="T10" s="99">
        <v>100289</v>
      </c>
      <c r="U10" s="100">
        <f t="shared" si="2"/>
        <v>100289</v>
      </c>
      <c r="V10" s="99">
        <v>107684</v>
      </c>
      <c r="W10" s="99">
        <v>87850</v>
      </c>
      <c r="X10" s="99">
        <v>100085</v>
      </c>
      <c r="Y10" s="99">
        <v>88569</v>
      </c>
      <c r="Z10" s="100">
        <f t="shared" si="3"/>
        <v>88569</v>
      </c>
      <c r="AA10" s="99">
        <v>102516</v>
      </c>
      <c r="AB10" s="99">
        <v>123415</v>
      </c>
      <c r="AC10" s="99">
        <v>168499</v>
      </c>
      <c r="AD10" s="99">
        <v>104154</v>
      </c>
      <c r="AE10" s="100">
        <f t="shared" si="4"/>
        <v>104154</v>
      </c>
      <c r="AF10" s="99">
        <v>111231</v>
      </c>
      <c r="AG10" s="99">
        <v>118624</v>
      </c>
      <c r="AH10" s="99">
        <v>116303</v>
      </c>
      <c r="AI10" s="99">
        <v>117913</v>
      </c>
      <c r="AJ10" s="100">
        <f t="shared" si="5"/>
        <v>117913</v>
      </c>
      <c r="AK10" s="99">
        <v>117202</v>
      </c>
      <c r="AL10" s="99">
        <v>125670</v>
      </c>
      <c r="AM10" s="101">
        <f>AL10+(SCF!AM35-SCF!AL35)-SCF!AM17</f>
        <v>125670</v>
      </c>
      <c r="AN10" s="101">
        <f>AM10+(SCF!AN35-SCF!AM35)-SCF!AN17</f>
        <v>125670</v>
      </c>
      <c r="AO10" s="100">
        <f t="shared" si="7"/>
        <v>125670</v>
      </c>
      <c r="AP10" s="101">
        <f>AO10+(SCF!AP35-SCF!AO35)-SCF!AP17</f>
        <v>125670</v>
      </c>
      <c r="AQ10" s="101">
        <f>AP10+(SCF!AQ35-SCF!AP35)-SCF!AQ17</f>
        <v>125670</v>
      </c>
      <c r="AR10" s="101">
        <f>AQ10+(SCF!AR35-SCF!AQ35)-SCF!AR17</f>
        <v>125670</v>
      </c>
      <c r="AS10" s="101">
        <f>AR10+(SCF!AS35-SCF!AR35)-SCF!AS17</f>
        <v>125670</v>
      </c>
      <c r="AT10" s="100">
        <f t="shared" si="9"/>
        <v>125670</v>
      </c>
      <c r="AU10" s="101">
        <f>AT10+(SCF!AU35-SCF!AT35)-SCF!AU17</f>
        <v>125670</v>
      </c>
      <c r="AV10" s="101">
        <f>AU10+(SCF!AV35-SCF!AU35)-SCF!AV17</f>
        <v>125670</v>
      </c>
      <c r="AW10" s="101">
        <f>AV10+(SCF!AW35-SCF!AV35)-SCF!AW17</f>
        <v>125670</v>
      </c>
      <c r="AX10" s="101">
        <f>AW10+(SCF!AX35-SCF!AW35)-SCF!AX17</f>
        <v>125670</v>
      </c>
      <c r="AY10" s="100">
        <f t="shared" si="13"/>
        <v>125670</v>
      </c>
    </row>
    <row r="11" spans="1:51">
      <c r="A11" s="2" t="s">
        <v>220</v>
      </c>
      <c r="B11" s="102">
        <f t="shared" ref="B11:F11" si="28">SUM(B6:B10)</f>
        <v>1178980</v>
      </c>
      <c r="C11" s="102">
        <f t="shared" si="28"/>
        <v>1139300</v>
      </c>
      <c r="D11" s="102">
        <f t="shared" si="28"/>
        <v>1264538</v>
      </c>
      <c r="E11" s="102">
        <f t="shared" si="28"/>
        <v>1335950</v>
      </c>
      <c r="F11" s="102">
        <f t="shared" si="28"/>
        <v>1264749</v>
      </c>
      <c r="G11" s="103">
        <f t="shared" ref="G11:I11" si="29">SUM(G6:G10)</f>
        <v>1286634</v>
      </c>
      <c r="H11" s="103">
        <f t="shared" si="29"/>
        <v>1383443</v>
      </c>
      <c r="I11" s="103">
        <f t="shared" si="29"/>
        <v>1521279</v>
      </c>
      <c r="J11" s="103">
        <f t="shared" ref="J11" si="30">SUM(J6:J10)</f>
        <v>1661629</v>
      </c>
      <c r="K11" s="102">
        <f t="shared" si="0"/>
        <v>1661629</v>
      </c>
      <c r="L11" s="103">
        <f t="shared" ref="L11:Q11" si="31">SUM(L6:L10)</f>
        <v>1484189</v>
      </c>
      <c r="M11" s="103">
        <f t="shared" ref="M11:T11" si="32">SUM(M6:M10)</f>
        <v>1501651</v>
      </c>
      <c r="N11" s="103">
        <f t="shared" si="32"/>
        <v>1604205</v>
      </c>
      <c r="O11" s="103">
        <f t="shared" si="32"/>
        <v>1507759</v>
      </c>
      <c r="P11" s="102">
        <f t="shared" si="1"/>
        <v>1507759</v>
      </c>
      <c r="Q11" s="103">
        <f t="shared" si="31"/>
        <v>1212874</v>
      </c>
      <c r="R11" s="103">
        <f t="shared" si="32"/>
        <v>1262688</v>
      </c>
      <c r="S11" s="103">
        <f t="shared" si="32"/>
        <v>1220365</v>
      </c>
      <c r="T11" s="103">
        <f t="shared" si="32"/>
        <v>1228018</v>
      </c>
      <c r="U11" s="102">
        <f t="shared" si="2"/>
        <v>1228018</v>
      </c>
      <c r="V11" s="103">
        <f t="shared" ref="V11" si="33">SUM(V6:V10)</f>
        <v>1108591</v>
      </c>
      <c r="W11" s="103">
        <f t="shared" ref="W11" si="34">SUM(W6:W10)</f>
        <v>1311265</v>
      </c>
      <c r="X11" s="103">
        <f t="shared" ref="X11" si="35">SUM(X6:X10)</f>
        <v>1441403</v>
      </c>
      <c r="Y11" s="103">
        <f t="shared" ref="Y11" si="36">SUM(Y6:Y10)</f>
        <v>1537265</v>
      </c>
      <c r="Z11" s="102">
        <f t="shared" si="3"/>
        <v>1537265</v>
      </c>
      <c r="AA11" s="103">
        <f>SUM(AA6:AA10)</f>
        <v>1509583</v>
      </c>
      <c r="AB11" s="103">
        <f t="shared" ref="AB11" si="37">SUM(AB6:AB10)</f>
        <v>1516653</v>
      </c>
      <c r="AC11" s="103">
        <f t="shared" ref="AC11:AD11" si="38">SUM(AC6:AC10)</f>
        <v>1655767</v>
      </c>
      <c r="AD11" s="103">
        <f t="shared" si="38"/>
        <v>1673431</v>
      </c>
      <c r="AE11" s="102">
        <f t="shared" si="4"/>
        <v>1673431</v>
      </c>
      <c r="AF11" s="103">
        <f>SUM(AF6:AF10)</f>
        <v>1374170</v>
      </c>
      <c r="AG11" s="103">
        <f t="shared" ref="AG11" si="39">SUM(AG6:AG10)</f>
        <v>1489115</v>
      </c>
      <c r="AH11" s="103">
        <f t="shared" ref="AH11:AI11" si="40">SUM(AH6:AH10)</f>
        <v>1609535</v>
      </c>
      <c r="AI11" s="103">
        <f t="shared" si="40"/>
        <v>1650464</v>
      </c>
      <c r="AJ11" s="102">
        <f t="shared" si="5"/>
        <v>1650464</v>
      </c>
      <c r="AK11" s="103">
        <f>SUM(AK6:AK10)</f>
        <v>1415159</v>
      </c>
      <c r="AL11" s="103">
        <f t="shared" ref="AL11:AM11" si="41">SUM(AL6:AL10)</f>
        <v>1545678</v>
      </c>
      <c r="AM11" s="103">
        <f t="shared" si="41"/>
        <v>1680118.89761631</v>
      </c>
      <c r="AN11" s="103">
        <f t="shared" ref="AN11" si="42">SUM(AN6:AN10)</f>
        <v>1711527.12946219</v>
      </c>
      <c r="AO11" s="102">
        <f t="shared" si="7"/>
        <v>1711527.12946219</v>
      </c>
      <c r="AP11" s="103">
        <f>SUM(AP6:AP10)</f>
        <v>1641169.00613383</v>
      </c>
      <c r="AQ11" s="103">
        <f t="shared" ref="AQ11:AR11" si="43">SUM(AQ6:AQ10)</f>
        <v>1899794.76577802</v>
      </c>
      <c r="AR11" s="103">
        <f t="shared" si="43"/>
        <v>1915067.56124631</v>
      </c>
      <c r="AS11" s="103">
        <f t="shared" ref="AS11" si="44">SUM(AS6:AS10)</f>
        <v>1910909.38643053</v>
      </c>
      <c r="AT11" s="102">
        <f t="shared" si="9"/>
        <v>1910909.38643053</v>
      </c>
      <c r="AU11" s="103">
        <f>SUM(AU6:AU10)</f>
        <v>1778760.84647825</v>
      </c>
      <c r="AV11" s="103">
        <f t="shared" ref="AV11:AW11" si="45">SUM(AV6:AV10)</f>
        <v>2020367.84054874</v>
      </c>
      <c r="AW11" s="103">
        <f t="shared" si="45"/>
        <v>2170336.87268163</v>
      </c>
      <c r="AX11" s="103">
        <f t="shared" ref="AX11" si="46">SUM(AX6:AX10)</f>
        <v>2168177.0260436</v>
      </c>
      <c r="AY11" s="102">
        <f t="shared" si="13"/>
        <v>2168177.0260436</v>
      </c>
    </row>
    <row r="12" spans="1:51">
      <c r="A12" s="3" t="s">
        <v>221</v>
      </c>
      <c r="B12" s="92">
        <v>894178</v>
      </c>
      <c r="C12" s="92">
        <v>824738</v>
      </c>
      <c r="D12" s="92">
        <v>738182</v>
      </c>
      <c r="E12" s="92">
        <v>694855</v>
      </c>
      <c r="F12" s="92">
        <v>665290</v>
      </c>
      <c r="G12" s="93">
        <v>654784</v>
      </c>
      <c r="H12" s="93">
        <v>635703</v>
      </c>
      <c r="I12" s="93">
        <v>593932</v>
      </c>
      <c r="J12" s="93">
        <v>550587</v>
      </c>
      <c r="K12" s="79">
        <f t="shared" si="0"/>
        <v>550587</v>
      </c>
      <c r="L12" s="93">
        <v>533773</v>
      </c>
      <c r="M12" s="93">
        <v>532795</v>
      </c>
      <c r="N12" s="93">
        <v>516176</v>
      </c>
      <c r="O12" s="93">
        <v>508336</v>
      </c>
      <c r="P12" s="79">
        <f t="shared" si="1"/>
        <v>508336</v>
      </c>
      <c r="Q12" s="93">
        <v>497976</v>
      </c>
      <c r="R12" s="93">
        <v>511181</v>
      </c>
      <c r="S12" s="93">
        <v>542138</v>
      </c>
      <c r="T12" s="93">
        <v>551585</v>
      </c>
      <c r="U12" s="79">
        <f t="shared" si="2"/>
        <v>551585</v>
      </c>
      <c r="V12" s="93">
        <v>550810</v>
      </c>
      <c r="W12" s="93">
        <v>553680</v>
      </c>
      <c r="X12" s="93">
        <v>546935</v>
      </c>
      <c r="Y12" s="93">
        <v>538033</v>
      </c>
      <c r="Z12" s="79">
        <f t="shared" si="3"/>
        <v>538033</v>
      </c>
      <c r="AA12" s="93">
        <v>540697</v>
      </c>
      <c r="AB12" s="93">
        <v>552453</v>
      </c>
      <c r="AC12" s="93">
        <v>570440</v>
      </c>
      <c r="AD12" s="93">
        <v>575773</v>
      </c>
      <c r="AE12" s="79">
        <f t="shared" si="4"/>
        <v>575773</v>
      </c>
      <c r="AF12" s="93">
        <v>606060</v>
      </c>
      <c r="AG12" s="93">
        <v>638590</v>
      </c>
      <c r="AH12" s="93">
        <v>661646</v>
      </c>
      <c r="AI12" s="93">
        <v>674079</v>
      </c>
      <c r="AJ12" s="79">
        <f t="shared" si="5"/>
        <v>674079</v>
      </c>
      <c r="AK12" s="93">
        <v>686576</v>
      </c>
      <c r="AL12" s="93">
        <v>708576</v>
      </c>
      <c r="AM12" s="91">
        <f>AL12-SCF!AM23-SCF!AM7-SCF!AM8</f>
        <v>730244.99824</v>
      </c>
      <c r="AN12" s="91">
        <f>AM12-SCF!AN23-SCF!AN7-SCF!AN8</f>
        <v>741313.26964</v>
      </c>
      <c r="AO12" s="79">
        <f t="shared" si="7"/>
        <v>741313.26964</v>
      </c>
      <c r="AP12" s="91">
        <f>AO12-SCF!AP23-SCF!AP7-SCF!AP8</f>
        <v>752481.9411</v>
      </c>
      <c r="AQ12" s="91">
        <f>AP12-SCF!AQ23-SCF!AQ7-SCF!AQ8</f>
        <v>763751.94768</v>
      </c>
      <c r="AR12" s="91">
        <f>AQ12-SCF!AR23-SCF!AR7-SCF!AR8</f>
        <v>775117.3051656</v>
      </c>
      <c r="AS12" s="91">
        <f>AR12-SCF!AS23-SCF!AS7-SCF!AS8</f>
        <v>786607.1230824</v>
      </c>
      <c r="AT12" s="79">
        <f t="shared" si="9"/>
        <v>786607.1230824</v>
      </c>
      <c r="AU12" s="91">
        <f>AT12-SCF!AU23-SCF!AU7-SCF!AU8</f>
        <v>798160.8527115</v>
      </c>
      <c r="AV12" s="91">
        <f>AU12-SCF!AV23-SCF!AV7-SCF!AV8</f>
        <v>809787.416931</v>
      </c>
      <c r="AW12" s="91">
        <f>AV12-SCF!AW23-SCF!AW7-SCF!AW8</f>
        <v>821499.136023316</v>
      </c>
      <c r="AX12" s="91">
        <f>AW12-SCF!AX23-SCF!AX7-SCF!AX8</f>
        <v>833322.329892012</v>
      </c>
      <c r="AY12" s="79">
        <f t="shared" si="13"/>
        <v>833322.329892012</v>
      </c>
    </row>
    <row r="13" spans="1:51">
      <c r="A13" s="3" t="s">
        <v>222</v>
      </c>
      <c r="B13" s="92"/>
      <c r="C13" s="92"/>
      <c r="D13" s="92"/>
      <c r="E13" s="92"/>
      <c r="F13" s="92">
        <v>1230954</v>
      </c>
      <c r="G13" s="93">
        <v>1133618</v>
      </c>
      <c r="H13" s="93">
        <v>1073464</v>
      </c>
      <c r="I13" s="93">
        <v>955781</v>
      </c>
      <c r="J13" s="93">
        <v>893989</v>
      </c>
      <c r="K13" s="79">
        <f t="shared" si="0"/>
        <v>893989</v>
      </c>
      <c r="L13" s="93">
        <v>839003</v>
      </c>
      <c r="M13" s="93">
        <v>791036</v>
      </c>
      <c r="N13" s="93">
        <v>762641</v>
      </c>
      <c r="O13" s="93">
        <v>698231</v>
      </c>
      <c r="P13" s="79">
        <f t="shared" si="1"/>
        <v>698231</v>
      </c>
      <c r="Q13" s="93">
        <v>671991</v>
      </c>
      <c r="R13" s="93">
        <v>740627</v>
      </c>
      <c r="S13" s="93">
        <v>713166</v>
      </c>
      <c r="T13" s="93">
        <v>723550</v>
      </c>
      <c r="U13" s="79">
        <f t="shared" si="2"/>
        <v>723550</v>
      </c>
      <c r="V13" s="93">
        <v>692699</v>
      </c>
      <c r="W13" s="93">
        <v>714977</v>
      </c>
      <c r="X13" s="93">
        <v>682559</v>
      </c>
      <c r="Y13" s="93">
        <v>678256</v>
      </c>
      <c r="Z13" s="79">
        <f t="shared" si="3"/>
        <v>678256</v>
      </c>
      <c r="AA13" s="93">
        <v>699471</v>
      </c>
      <c r="AB13" s="93">
        <v>746788</v>
      </c>
      <c r="AC13" s="93">
        <v>798290</v>
      </c>
      <c r="AD13" s="93">
        <v>803121</v>
      </c>
      <c r="AE13" s="79">
        <f t="shared" si="4"/>
        <v>803121</v>
      </c>
      <c r="AF13" s="93">
        <v>868130</v>
      </c>
      <c r="AG13" s="93">
        <v>933559</v>
      </c>
      <c r="AH13" s="93">
        <v>965919</v>
      </c>
      <c r="AI13" s="93">
        <v>997399</v>
      </c>
      <c r="AJ13" s="79">
        <f t="shared" si="5"/>
        <v>997399</v>
      </c>
      <c r="AK13" s="93">
        <v>1115832</v>
      </c>
      <c r="AL13" s="93">
        <v>1107421</v>
      </c>
      <c r="AM13" s="91">
        <f>AL13*(1+AM65)</f>
        <v>1162792.05</v>
      </c>
      <c r="AN13" s="91">
        <f>AM13*(1+AN65)</f>
        <v>1220931.6525</v>
      </c>
      <c r="AO13" s="79">
        <f t="shared" si="7"/>
        <v>1220931.6525</v>
      </c>
      <c r="AP13" s="91">
        <f>AO13*(1+AP65)</f>
        <v>1281978.235125</v>
      </c>
      <c r="AQ13" s="91">
        <f>AP13*(1+AQ65)</f>
        <v>1346077.14688125</v>
      </c>
      <c r="AR13" s="91">
        <f>AQ13*(1+AR65)</f>
        <v>1413381.00422531</v>
      </c>
      <c r="AS13" s="91">
        <f>AR13*(1+AS65)</f>
        <v>1484050.05443658</v>
      </c>
      <c r="AT13" s="79">
        <f t="shared" si="9"/>
        <v>1484050.05443658</v>
      </c>
      <c r="AU13" s="91">
        <f>AT13*(1+AU65)</f>
        <v>1558252.55715841</v>
      </c>
      <c r="AV13" s="91">
        <f>AU13*(1+AV65)</f>
        <v>1636165.18501633</v>
      </c>
      <c r="AW13" s="91">
        <f>AV13*(1+AW65)</f>
        <v>1717973.44426714</v>
      </c>
      <c r="AX13" s="91">
        <f>AW13*(1+AX65)</f>
        <v>1803872.1164805</v>
      </c>
      <c r="AY13" s="79">
        <f t="shared" si="13"/>
        <v>1803872.1164805</v>
      </c>
    </row>
    <row r="14" spans="1:51">
      <c r="A14" s="3" t="s">
        <v>223</v>
      </c>
      <c r="B14" s="92">
        <v>359881</v>
      </c>
      <c r="C14" s="92">
        <v>331719</v>
      </c>
      <c r="D14" s="92">
        <v>322972</v>
      </c>
      <c r="E14" s="92">
        <v>354788</v>
      </c>
      <c r="F14" s="92">
        <v>388672</v>
      </c>
      <c r="G14" s="93">
        <v>216795</v>
      </c>
      <c r="H14" s="93">
        <v>216204</v>
      </c>
      <c r="I14" s="93">
        <v>205970</v>
      </c>
      <c r="J14" s="93">
        <v>208697</v>
      </c>
      <c r="K14" s="79">
        <f t="shared" si="0"/>
        <v>208697</v>
      </c>
      <c r="L14" s="93">
        <v>213585</v>
      </c>
      <c r="M14" s="93">
        <v>229911</v>
      </c>
      <c r="N14" s="93">
        <v>229512</v>
      </c>
      <c r="O14" s="93">
        <v>225165</v>
      </c>
      <c r="P14" s="79">
        <f t="shared" si="1"/>
        <v>225165</v>
      </c>
      <c r="Q14" s="93">
        <v>224462</v>
      </c>
      <c r="R14" s="93">
        <v>219598</v>
      </c>
      <c r="S14" s="93">
        <v>218325</v>
      </c>
      <c r="T14" s="93">
        <v>209947</v>
      </c>
      <c r="U14" s="79">
        <f t="shared" si="2"/>
        <v>209947</v>
      </c>
      <c r="V14" s="93">
        <v>205978</v>
      </c>
      <c r="W14" s="93">
        <v>216792</v>
      </c>
      <c r="X14" s="93">
        <v>226749</v>
      </c>
      <c r="Y14" s="93">
        <v>220679</v>
      </c>
      <c r="Z14" s="79">
        <f t="shared" si="3"/>
        <v>220679</v>
      </c>
      <c r="AA14" s="93">
        <v>220334</v>
      </c>
      <c r="AB14" s="93">
        <v>233664</v>
      </c>
      <c r="AC14" s="93">
        <v>245375</v>
      </c>
      <c r="AD14" s="93">
        <v>247562</v>
      </c>
      <c r="AE14" s="79">
        <f t="shared" si="4"/>
        <v>247562</v>
      </c>
      <c r="AF14" s="93">
        <v>247816</v>
      </c>
      <c r="AG14" s="93">
        <v>240677</v>
      </c>
      <c r="AH14" s="93">
        <v>242818</v>
      </c>
      <c r="AI14" s="93">
        <v>219932</v>
      </c>
      <c r="AJ14" s="79">
        <f t="shared" si="5"/>
        <v>219932</v>
      </c>
      <c r="AK14" s="93">
        <v>235397</v>
      </c>
      <c r="AL14" s="93">
        <v>233181</v>
      </c>
      <c r="AM14" s="91">
        <f>AL14</f>
        <v>233181</v>
      </c>
      <c r="AN14" s="91">
        <f t="shared" ref="AN14" si="47">AM14</f>
        <v>233181</v>
      </c>
      <c r="AO14" s="79">
        <f t="shared" si="7"/>
        <v>233181</v>
      </c>
      <c r="AP14" s="91">
        <f>AO14</f>
        <v>233181</v>
      </c>
      <c r="AQ14" s="91">
        <f t="shared" ref="AQ14:AR14" si="48">AP14</f>
        <v>233181</v>
      </c>
      <c r="AR14" s="91">
        <f t="shared" si="48"/>
        <v>233181</v>
      </c>
      <c r="AS14" s="91">
        <f t="shared" ref="AS14" si="49">AR14</f>
        <v>233181</v>
      </c>
      <c r="AT14" s="79">
        <f t="shared" si="9"/>
        <v>233181</v>
      </c>
      <c r="AU14" s="91">
        <f>AT14</f>
        <v>233181</v>
      </c>
      <c r="AV14" s="91">
        <f t="shared" ref="AV14:AW14" si="50">AU14</f>
        <v>233181</v>
      </c>
      <c r="AW14" s="91">
        <f t="shared" si="50"/>
        <v>233181</v>
      </c>
      <c r="AX14" s="91">
        <f t="shared" ref="AX14" si="51">AW14</f>
        <v>233181</v>
      </c>
      <c r="AY14" s="79">
        <f t="shared" si="13"/>
        <v>233181</v>
      </c>
    </row>
    <row r="15" spans="1:51">
      <c r="A15" s="104" t="s">
        <v>224</v>
      </c>
      <c r="B15" s="105">
        <f t="shared" ref="B15:J15" si="52">SUM(B12:B14,B11)</f>
        <v>2433039</v>
      </c>
      <c r="C15" s="105">
        <f t="shared" si="52"/>
        <v>2295757</v>
      </c>
      <c r="D15" s="105">
        <f t="shared" si="52"/>
        <v>2325692</v>
      </c>
      <c r="E15" s="105">
        <f t="shared" si="52"/>
        <v>2385593</v>
      </c>
      <c r="F15" s="105">
        <f t="shared" si="52"/>
        <v>3549665</v>
      </c>
      <c r="G15" s="106">
        <f t="shared" si="52"/>
        <v>3291831</v>
      </c>
      <c r="H15" s="106">
        <f t="shared" si="52"/>
        <v>3308814</v>
      </c>
      <c r="I15" s="106">
        <f t="shared" si="52"/>
        <v>3276962</v>
      </c>
      <c r="J15" s="106">
        <f t="shared" si="52"/>
        <v>3314902</v>
      </c>
      <c r="K15" s="105">
        <f t="shared" si="0"/>
        <v>3314902</v>
      </c>
      <c r="L15" s="106">
        <f>SUM(L12:L14,L11)</f>
        <v>3070550</v>
      </c>
      <c r="M15" s="106">
        <f>SUM(M12:M14,M11)</f>
        <v>3055393</v>
      </c>
      <c r="N15" s="106">
        <f>SUM(N12:N14,N11)</f>
        <v>3112534</v>
      </c>
      <c r="O15" s="106">
        <f>SUM(O12:O14,O11)</f>
        <v>2939491</v>
      </c>
      <c r="P15" s="105">
        <f t="shared" si="1"/>
        <v>2939491</v>
      </c>
      <c r="Q15" s="106">
        <f>SUM(Q12:Q14,Q11)</f>
        <v>2607303</v>
      </c>
      <c r="R15" s="106">
        <f>SUM(R12:R14,R11)</f>
        <v>2734094</v>
      </c>
      <c r="S15" s="106">
        <f>SUM(S12:S14,S11)</f>
        <v>2693994</v>
      </c>
      <c r="T15" s="106">
        <f>SUM(T12:T14,T11)</f>
        <v>2713100</v>
      </c>
      <c r="U15" s="105">
        <f t="shared" si="2"/>
        <v>2713100</v>
      </c>
      <c r="V15" s="106">
        <f>SUM(V12:V14,V11)</f>
        <v>2558078</v>
      </c>
      <c r="W15" s="106">
        <f>SUM(W12:W14,W11)</f>
        <v>2796714</v>
      </c>
      <c r="X15" s="106">
        <f>SUM(X12:X14,X11)</f>
        <v>2897646</v>
      </c>
      <c r="Y15" s="106">
        <f>SUM(Y12:Y14,Y11)</f>
        <v>2974233</v>
      </c>
      <c r="Z15" s="105">
        <f t="shared" si="3"/>
        <v>2974233</v>
      </c>
      <c r="AA15" s="106">
        <f>SUM(AA12:AA14,AA11)</f>
        <v>2970085</v>
      </c>
      <c r="AB15" s="106">
        <f>SUM(AB12:AB14,AB11)</f>
        <v>3049558</v>
      </c>
      <c r="AC15" s="106">
        <f>SUM(AC12:AC14,AC11)</f>
        <v>3269872</v>
      </c>
      <c r="AD15" s="106">
        <f>SUM(AD12:AD14,AD11)</f>
        <v>3299887</v>
      </c>
      <c r="AE15" s="105">
        <f t="shared" si="4"/>
        <v>3299887</v>
      </c>
      <c r="AF15" s="106">
        <f>SUM(AF12:AF14,AF11)</f>
        <v>3096176</v>
      </c>
      <c r="AG15" s="106">
        <f>SUM(AG12:AG14,AG11)</f>
        <v>3301941</v>
      </c>
      <c r="AH15" s="106">
        <f>SUM(AH12:AH14,AH11)</f>
        <v>3479918</v>
      </c>
      <c r="AI15" s="106">
        <f>SUM(AI12:AI14,AI11)</f>
        <v>3541874</v>
      </c>
      <c r="AJ15" s="105">
        <f t="shared" si="5"/>
        <v>3541874</v>
      </c>
      <c r="AK15" s="106">
        <f>SUM(AK12:AK14,AK11)</f>
        <v>3452964</v>
      </c>
      <c r="AL15" s="106">
        <f>SUM(AL12:AL14,AL11)</f>
        <v>3594856</v>
      </c>
      <c r="AM15" s="106">
        <f>SUM(AM12:AM14,AM11)</f>
        <v>3806336.94585631</v>
      </c>
      <c r="AN15" s="106">
        <f>SUM(AN12:AN14,AN11)</f>
        <v>3906953.05160219</v>
      </c>
      <c r="AO15" s="105">
        <f t="shared" si="7"/>
        <v>3906953.05160219</v>
      </c>
      <c r="AP15" s="106">
        <f>SUM(AP12:AP14,AP11)</f>
        <v>3908810.18235883</v>
      </c>
      <c r="AQ15" s="106">
        <f>SUM(AQ12:AQ14,AQ11)</f>
        <v>4242804.86033927</v>
      </c>
      <c r="AR15" s="106">
        <f>SUM(AR12:AR14,AR11)</f>
        <v>4336746.87063723</v>
      </c>
      <c r="AS15" s="106">
        <f>SUM(AS12:AS14,AS11)</f>
        <v>4414747.56394951</v>
      </c>
      <c r="AT15" s="105">
        <f t="shared" si="9"/>
        <v>4414747.56394951</v>
      </c>
      <c r="AU15" s="106">
        <f>SUM(AU12:AU14,AU11)</f>
        <v>4368355.25634815</v>
      </c>
      <c r="AV15" s="106">
        <f>SUM(AV12:AV14,AV11)</f>
        <v>4699501.44249607</v>
      </c>
      <c r="AW15" s="106">
        <f>SUM(AW12:AW14,AW11)</f>
        <v>4942990.45297209</v>
      </c>
      <c r="AX15" s="106">
        <f>SUM(AX12:AX14,AX11)</f>
        <v>5038552.47241611</v>
      </c>
      <c r="AY15" s="105">
        <f t="shared" si="13"/>
        <v>5038552.47241611</v>
      </c>
    </row>
    <row r="16" spans="1:51">
      <c r="B16" s="79"/>
      <c r="C16" s="79"/>
      <c r="D16" s="79"/>
      <c r="E16" s="79"/>
      <c r="F16" s="79"/>
      <c r="G16" s="6"/>
      <c r="H16" s="6"/>
      <c r="I16" s="6"/>
      <c r="J16" s="6"/>
      <c r="K16" s="79"/>
      <c r="L16" s="6"/>
      <c r="M16" s="6"/>
      <c r="N16" s="6"/>
      <c r="O16" s="6"/>
      <c r="P16" s="79"/>
      <c r="Q16" s="6"/>
      <c r="R16" s="6"/>
      <c r="S16" s="6"/>
      <c r="T16" s="6"/>
      <c r="U16" s="79"/>
      <c r="V16" s="6"/>
      <c r="W16" s="6"/>
      <c r="X16" s="6"/>
      <c r="Y16" s="6"/>
      <c r="Z16" s="79"/>
      <c r="AA16" s="6"/>
      <c r="AB16" s="6"/>
      <c r="AC16" s="6"/>
      <c r="AD16" s="6"/>
      <c r="AE16" s="79"/>
      <c r="AF16" s="6"/>
      <c r="AG16" s="6"/>
      <c r="AH16" s="6"/>
      <c r="AI16" s="6"/>
      <c r="AJ16" s="79"/>
      <c r="AK16" s="6"/>
      <c r="AL16" s="6"/>
      <c r="AM16" s="6"/>
      <c r="AN16" s="6"/>
      <c r="AO16" s="79"/>
      <c r="AP16" s="6"/>
      <c r="AQ16" s="6"/>
      <c r="AR16" s="6"/>
      <c r="AS16" s="6"/>
      <c r="AT16" s="79"/>
      <c r="AU16" s="6"/>
      <c r="AV16" s="6"/>
      <c r="AW16" s="6"/>
      <c r="AX16" s="6"/>
      <c r="AY16" s="79"/>
    </row>
    <row r="17" spans="1:51">
      <c r="A17" s="29" t="s">
        <v>225</v>
      </c>
      <c r="B17" s="92">
        <v>184175</v>
      </c>
      <c r="C17" s="92">
        <v>187017</v>
      </c>
      <c r="D17" s="92">
        <v>168868</v>
      </c>
      <c r="E17" s="92">
        <v>226878</v>
      </c>
      <c r="F17" s="92">
        <v>219919</v>
      </c>
      <c r="G17" s="93">
        <v>162747</v>
      </c>
      <c r="H17" s="93">
        <v>284221</v>
      </c>
      <c r="I17" s="93">
        <v>334775</v>
      </c>
      <c r="J17" s="93">
        <v>289396</v>
      </c>
      <c r="K17" s="79">
        <f t="shared" si="0"/>
        <v>289396</v>
      </c>
      <c r="L17" s="93">
        <v>236667</v>
      </c>
      <c r="M17" s="93">
        <v>289475</v>
      </c>
      <c r="N17" s="93">
        <v>424560</v>
      </c>
      <c r="O17" s="93">
        <v>374829</v>
      </c>
      <c r="P17" s="79">
        <f t="shared" si="1"/>
        <v>374829</v>
      </c>
      <c r="Q17" s="93">
        <v>311352</v>
      </c>
      <c r="R17" s="93">
        <v>408297</v>
      </c>
      <c r="S17" s="93">
        <v>322128</v>
      </c>
      <c r="T17" s="93">
        <v>258895</v>
      </c>
      <c r="U17" s="79">
        <f t="shared" si="2"/>
        <v>258895</v>
      </c>
      <c r="V17" s="93">
        <v>221587</v>
      </c>
      <c r="W17" s="93">
        <v>323197</v>
      </c>
      <c r="X17" s="93">
        <v>373930</v>
      </c>
      <c r="Y17" s="93">
        <v>296976</v>
      </c>
      <c r="Z17" s="79">
        <f t="shared" si="3"/>
        <v>296976</v>
      </c>
      <c r="AA17" s="93">
        <v>266925</v>
      </c>
      <c r="AB17" s="93">
        <v>406756</v>
      </c>
      <c r="AC17" s="93">
        <v>466303</v>
      </c>
      <c r="AD17" s="93">
        <v>364532</v>
      </c>
      <c r="AE17" s="79">
        <f t="shared" si="4"/>
        <v>364532</v>
      </c>
      <c r="AF17" s="93">
        <v>296738</v>
      </c>
      <c r="AG17" s="93">
        <v>368051</v>
      </c>
      <c r="AH17" s="93">
        <v>461528</v>
      </c>
      <c r="AI17" s="93">
        <v>377465</v>
      </c>
      <c r="AJ17" s="79">
        <f t="shared" si="5"/>
        <v>377465</v>
      </c>
      <c r="AK17" s="93">
        <v>257945</v>
      </c>
      <c r="AL17" s="93">
        <v>354209</v>
      </c>
      <c r="AM17" s="96">
        <f t="shared" ref="AM17:AN17" si="53">AM56*2-AH17</f>
        <v>473132.880605321</v>
      </c>
      <c r="AN17" s="96">
        <f t="shared" si="53"/>
        <v>405929.371896</v>
      </c>
      <c r="AO17" s="79">
        <f t="shared" si="7"/>
        <v>405929.371896</v>
      </c>
      <c r="AP17" s="96">
        <f>AP56*2-AK17</f>
        <v>341171.138945849</v>
      </c>
      <c r="AQ17" s="96">
        <f t="shared" ref="AQ17" si="54">AQ56*2-AL17</f>
        <v>565913.151602286</v>
      </c>
      <c r="AR17" s="96">
        <f t="shared" ref="AR17" si="55">AR56*2-AM17</f>
        <v>537438.988310137</v>
      </c>
      <c r="AS17" s="96">
        <f t="shared" ref="AS17" si="56">AS56*2-AN17</f>
        <v>403448.467134113</v>
      </c>
      <c r="AT17" s="79">
        <f t="shared" si="9"/>
        <v>403448.467134113</v>
      </c>
      <c r="AU17" s="96">
        <f>AU56*2-AP17</f>
        <v>266226.397982702</v>
      </c>
      <c r="AV17" s="96">
        <f t="shared" ref="AV17" si="57">AV56*2-AQ17</f>
        <v>463718.942153648</v>
      </c>
      <c r="AW17" s="96">
        <f t="shared" ref="AW17" si="58">AW56*2-AR17</f>
        <v>559007.127726568</v>
      </c>
      <c r="AX17" s="96">
        <f t="shared" ref="AX17" si="59">AX56*2-AS17</f>
        <v>410705.608500165</v>
      </c>
      <c r="AY17" s="79">
        <f t="shared" ref="AY17:AY19" si="60">AX17</f>
        <v>410705.608500165</v>
      </c>
    </row>
    <row r="18" spans="1:51">
      <c r="A18" s="29" t="s">
        <v>226</v>
      </c>
      <c r="B18" s="92">
        <v>321237</v>
      </c>
      <c r="C18" s="92">
        <v>273044</v>
      </c>
      <c r="D18" s="92">
        <v>308601</v>
      </c>
      <c r="E18" s="92">
        <v>293579</v>
      </c>
      <c r="F18" s="92">
        <v>302214</v>
      </c>
      <c r="G18" s="93">
        <v>285799</v>
      </c>
      <c r="H18" s="93">
        <v>351849</v>
      </c>
      <c r="I18" s="93">
        <v>356370</v>
      </c>
      <c r="J18" s="93">
        <v>396365</v>
      </c>
      <c r="K18" s="79">
        <f t="shared" si="0"/>
        <v>396365</v>
      </c>
      <c r="L18" s="93">
        <v>321906</v>
      </c>
      <c r="M18" s="93">
        <v>351991</v>
      </c>
      <c r="N18" s="93">
        <v>355149</v>
      </c>
      <c r="O18" s="93">
        <v>395815</v>
      </c>
      <c r="P18" s="79">
        <f t="shared" si="1"/>
        <v>395815</v>
      </c>
      <c r="Q18" s="93">
        <v>320681</v>
      </c>
      <c r="R18" s="93">
        <v>342690</v>
      </c>
      <c r="S18" s="93">
        <v>378366</v>
      </c>
      <c r="T18" s="93">
        <v>413303</v>
      </c>
      <c r="U18" s="79">
        <f t="shared" si="2"/>
        <v>413303</v>
      </c>
      <c r="V18" s="93">
        <v>340331</v>
      </c>
      <c r="W18" s="93">
        <v>375544</v>
      </c>
      <c r="X18" s="93">
        <v>402572</v>
      </c>
      <c r="Y18" s="93">
        <v>436655</v>
      </c>
      <c r="Z18" s="79">
        <f t="shared" si="3"/>
        <v>436655</v>
      </c>
      <c r="AA18" s="93">
        <v>402786</v>
      </c>
      <c r="AB18" s="93">
        <v>422484</v>
      </c>
      <c r="AC18" s="93">
        <v>469148</v>
      </c>
      <c r="AD18" s="93">
        <v>504922</v>
      </c>
      <c r="AE18" s="79">
        <f t="shared" si="4"/>
        <v>504922</v>
      </c>
      <c r="AF18" s="93">
        <v>433682</v>
      </c>
      <c r="AG18" s="93">
        <v>429616</v>
      </c>
      <c r="AH18" s="93">
        <v>458075</v>
      </c>
      <c r="AI18" s="93">
        <v>465549</v>
      </c>
      <c r="AJ18" s="79">
        <f t="shared" si="5"/>
        <v>465549</v>
      </c>
      <c r="AK18" s="93">
        <v>425149</v>
      </c>
      <c r="AL18" s="93">
        <v>443364</v>
      </c>
      <c r="AM18" s="91">
        <f>AL18</f>
        <v>443364</v>
      </c>
      <c r="AN18" s="91">
        <f t="shared" ref="AN18" si="61">AM18</f>
        <v>443364</v>
      </c>
      <c r="AO18" s="79">
        <f t="shared" si="7"/>
        <v>443364</v>
      </c>
      <c r="AP18" s="91">
        <f>AO18</f>
        <v>443364</v>
      </c>
      <c r="AQ18" s="91">
        <f t="shared" ref="AQ18:AR18" si="62">AP18</f>
        <v>443364</v>
      </c>
      <c r="AR18" s="91">
        <f t="shared" si="62"/>
        <v>443364</v>
      </c>
      <c r="AS18" s="91">
        <f t="shared" ref="AS18" si="63">AR18</f>
        <v>443364</v>
      </c>
      <c r="AT18" s="79">
        <f t="shared" si="9"/>
        <v>443364</v>
      </c>
      <c r="AU18" s="91">
        <f>AT18</f>
        <v>443364</v>
      </c>
      <c r="AV18" s="91">
        <f t="shared" ref="AV18:AW18" si="64">AU18</f>
        <v>443364</v>
      </c>
      <c r="AW18" s="91">
        <f t="shared" si="64"/>
        <v>443364</v>
      </c>
      <c r="AX18" s="91">
        <f t="shared" ref="AX18" si="65">AW18</f>
        <v>443364</v>
      </c>
      <c r="AY18" s="79">
        <f t="shared" si="60"/>
        <v>443364</v>
      </c>
    </row>
    <row r="19" spans="1:51">
      <c r="A19" s="29" t="s">
        <v>227</v>
      </c>
      <c r="B19" s="92"/>
      <c r="C19" s="92"/>
      <c r="D19" s="92"/>
      <c r="E19" s="92"/>
      <c r="F19" s="92">
        <v>282829</v>
      </c>
      <c r="G19" s="93">
        <v>307173</v>
      </c>
      <c r="H19" s="93">
        <v>278495</v>
      </c>
      <c r="I19" s="93">
        <v>255775</v>
      </c>
      <c r="J19" s="93">
        <v>248846</v>
      </c>
      <c r="K19" s="79">
        <f t="shared" si="0"/>
        <v>248846</v>
      </c>
      <c r="L19" s="93">
        <v>231750</v>
      </c>
      <c r="M19" s="93">
        <v>219453</v>
      </c>
      <c r="N19" s="93">
        <v>209812</v>
      </c>
      <c r="O19" s="93">
        <v>222823</v>
      </c>
      <c r="P19" s="79">
        <f t="shared" si="1"/>
        <v>222823</v>
      </c>
      <c r="Q19" s="93">
        <v>195599</v>
      </c>
      <c r="R19" s="93">
        <v>202699</v>
      </c>
      <c r="S19" s="93">
        <v>211304</v>
      </c>
      <c r="T19" s="93">
        <v>213979</v>
      </c>
      <c r="U19" s="79">
        <f t="shared" si="2"/>
        <v>213979</v>
      </c>
      <c r="V19" s="93">
        <v>188520</v>
      </c>
      <c r="W19" s="93">
        <v>191700</v>
      </c>
      <c r="X19" s="93">
        <v>195025</v>
      </c>
      <c r="Y19" s="93">
        <v>179625</v>
      </c>
      <c r="Z19" s="79">
        <f t="shared" si="3"/>
        <v>179625</v>
      </c>
      <c r="AA19" s="93">
        <v>188851</v>
      </c>
      <c r="AB19" s="93">
        <v>202840</v>
      </c>
      <c r="AC19" s="93">
        <v>210335</v>
      </c>
      <c r="AD19" s="93">
        <v>211600</v>
      </c>
      <c r="AE19" s="79">
        <f t="shared" si="4"/>
        <v>211600</v>
      </c>
      <c r="AF19" s="93">
        <v>215511</v>
      </c>
      <c r="AG19" s="93">
        <v>223020</v>
      </c>
      <c r="AH19" s="93">
        <v>225847</v>
      </c>
      <c r="AI19" s="93">
        <v>241265</v>
      </c>
      <c r="AJ19" s="79">
        <f t="shared" si="5"/>
        <v>241265</v>
      </c>
      <c r="AK19" s="93">
        <v>262316</v>
      </c>
      <c r="AL19" s="93">
        <v>262354</v>
      </c>
      <c r="AM19" s="91">
        <f>(AL19+AL24)*(1+AM66)*AM67</f>
        <v>275471.7</v>
      </c>
      <c r="AN19" s="91">
        <f>(AM19+AM24)*(1+AN66)*AN67</f>
        <v>289245.285</v>
      </c>
      <c r="AO19" s="79">
        <f t="shared" si="7"/>
        <v>289245.285</v>
      </c>
      <c r="AP19" s="91">
        <f>(AO19+AO24)*(1+AP66)*AP67</f>
        <v>303707.54925</v>
      </c>
      <c r="AQ19" s="91">
        <f>(AP19+AP24)*(1+AQ66)*AQ67</f>
        <v>318892.9267125</v>
      </c>
      <c r="AR19" s="91">
        <f>(AQ19+AQ24)*(1+AR66)*AR67</f>
        <v>334837.573048125</v>
      </c>
      <c r="AS19" s="91">
        <f>(AR19+AR24)*(1+AS66)*AS67</f>
        <v>351579.451700531</v>
      </c>
      <c r="AT19" s="79">
        <f t="shared" si="9"/>
        <v>351579.451700531</v>
      </c>
      <c r="AU19" s="91">
        <f>(AT19+AT24)*(1+AU66)*AU67</f>
        <v>369158.424285558</v>
      </c>
      <c r="AV19" s="91">
        <f>(AU19+AU24)*(1+AV66)*AV67</f>
        <v>387616.345499836</v>
      </c>
      <c r="AW19" s="91">
        <f>(AV19+AV24)*(1+AW66)*AW67</f>
        <v>406997.162774828</v>
      </c>
      <c r="AX19" s="91">
        <f>(AW19+AW24)*(1+AX66)*AX67</f>
        <v>427347.020913569</v>
      </c>
      <c r="AY19" s="79">
        <f t="shared" si="60"/>
        <v>427347.020913569</v>
      </c>
    </row>
    <row r="20" hidden="1" outlineLevel="1" spans="1:51">
      <c r="A20" s="29" t="s">
        <v>228</v>
      </c>
      <c r="B20" s="92">
        <v>23303</v>
      </c>
      <c r="C20" s="92">
        <v>20076</v>
      </c>
      <c r="D20" s="92">
        <v>19751</v>
      </c>
      <c r="E20" s="92">
        <v>19558</v>
      </c>
      <c r="F20" s="92"/>
      <c r="G20" s="93"/>
      <c r="H20" s="93"/>
      <c r="I20" s="93"/>
      <c r="J20" s="93"/>
      <c r="K20" s="79"/>
      <c r="L20" s="93"/>
      <c r="M20" s="93"/>
      <c r="N20" s="93"/>
      <c r="O20" s="93"/>
      <c r="P20" s="79"/>
      <c r="Q20" s="93"/>
      <c r="R20" s="93"/>
      <c r="S20" s="93"/>
      <c r="T20" s="93"/>
      <c r="U20" s="79"/>
      <c r="V20" s="93"/>
      <c r="W20" s="93"/>
      <c r="X20" s="93"/>
      <c r="Y20" s="93"/>
      <c r="Z20" s="79"/>
      <c r="AA20" s="93"/>
      <c r="AB20" s="93"/>
      <c r="AC20" s="93"/>
      <c r="AD20" s="93"/>
      <c r="AE20" s="79"/>
      <c r="AF20" s="93"/>
      <c r="AG20" s="93"/>
      <c r="AH20" s="93"/>
      <c r="AI20" s="93"/>
      <c r="AJ20" s="79"/>
      <c r="AK20" s="93"/>
      <c r="AL20" s="93"/>
      <c r="AM20" s="91"/>
      <c r="AN20" s="91"/>
      <c r="AO20" s="79"/>
      <c r="AP20" s="91"/>
      <c r="AQ20" s="91"/>
      <c r="AR20" s="91"/>
      <c r="AS20" s="91"/>
      <c r="AT20" s="79"/>
      <c r="AU20" s="91"/>
      <c r="AV20" s="91"/>
      <c r="AW20" s="91"/>
      <c r="AX20" s="91"/>
      <c r="AY20" s="79"/>
    </row>
    <row r="21" collapsed="1" spans="1:51">
      <c r="A21" s="29" t="s">
        <v>229</v>
      </c>
      <c r="B21" s="92"/>
      <c r="C21" s="92"/>
      <c r="D21" s="92"/>
      <c r="E21" s="92"/>
      <c r="F21" s="92"/>
      <c r="G21" s="93">
        <v>210000</v>
      </c>
      <c r="H21" s="93">
        <v>0</v>
      </c>
      <c r="I21" s="93">
        <v>0</v>
      </c>
      <c r="J21" s="93"/>
      <c r="K21" s="79"/>
      <c r="L21" s="93"/>
      <c r="M21" s="93"/>
      <c r="N21" s="93"/>
      <c r="O21" s="93"/>
      <c r="P21" s="79"/>
      <c r="Q21" s="93"/>
      <c r="R21" s="93"/>
      <c r="S21" s="93"/>
      <c r="T21" s="93"/>
      <c r="U21" s="79"/>
      <c r="V21" s="93"/>
      <c r="W21" s="93"/>
      <c r="X21" s="93"/>
      <c r="Y21" s="93"/>
      <c r="Z21" s="79"/>
      <c r="AA21" s="93"/>
      <c r="AB21" s="93"/>
      <c r="AC21" s="93"/>
      <c r="AD21" s="93"/>
      <c r="AE21" s="79"/>
      <c r="AF21" s="93"/>
      <c r="AG21" s="93"/>
      <c r="AH21" s="93"/>
      <c r="AI21" s="93"/>
      <c r="AJ21" s="79"/>
      <c r="AK21" s="93"/>
      <c r="AL21" s="93"/>
      <c r="AM21" s="91"/>
      <c r="AN21" s="91"/>
      <c r="AO21" s="79"/>
      <c r="AP21" s="91"/>
      <c r="AQ21" s="91"/>
      <c r="AR21" s="91"/>
      <c r="AS21" s="91"/>
      <c r="AT21" s="79"/>
      <c r="AU21" s="91"/>
      <c r="AV21" s="91"/>
      <c r="AW21" s="91"/>
      <c r="AX21" s="91"/>
      <c r="AY21" s="79"/>
    </row>
    <row r="22" spans="1:51">
      <c r="A22" s="97" t="s">
        <v>230</v>
      </c>
      <c r="B22" s="98">
        <v>5988</v>
      </c>
      <c r="C22" s="98">
        <v>5863</v>
      </c>
      <c r="D22" s="98">
        <v>10326</v>
      </c>
      <c r="E22" s="98">
        <v>18902</v>
      </c>
      <c r="F22" s="98">
        <v>10392</v>
      </c>
      <c r="G22" s="99">
        <v>8232</v>
      </c>
      <c r="H22" s="99">
        <v>6425</v>
      </c>
      <c r="I22" s="99">
        <v>6663</v>
      </c>
      <c r="J22" s="99">
        <v>24792</v>
      </c>
      <c r="K22" s="100">
        <f t="shared" si="0"/>
        <v>24792</v>
      </c>
      <c r="L22" s="99">
        <v>26672</v>
      </c>
      <c r="M22" s="99">
        <v>26260</v>
      </c>
      <c r="N22" s="99">
        <v>39900</v>
      </c>
      <c r="O22" s="99">
        <v>21773</v>
      </c>
      <c r="P22" s="100">
        <f t="shared" si="1"/>
        <v>21773</v>
      </c>
      <c r="Q22" s="99">
        <v>25400</v>
      </c>
      <c r="R22" s="99">
        <v>5582</v>
      </c>
      <c r="S22" s="99">
        <v>23694</v>
      </c>
      <c r="T22" s="99">
        <v>16023</v>
      </c>
      <c r="U22" s="100">
        <f t="shared" si="2"/>
        <v>16023</v>
      </c>
      <c r="V22" s="99">
        <v>19023</v>
      </c>
      <c r="W22" s="99">
        <v>46039</v>
      </c>
      <c r="X22" s="99">
        <v>55615</v>
      </c>
      <c r="Y22" s="99">
        <v>53564</v>
      </c>
      <c r="Z22" s="100">
        <f t="shared" si="3"/>
        <v>53564</v>
      </c>
      <c r="AA22" s="99">
        <v>61137</v>
      </c>
      <c r="AB22" s="99">
        <v>19576</v>
      </c>
      <c r="AC22" s="99">
        <v>36303</v>
      </c>
      <c r="AD22" s="99">
        <v>45890</v>
      </c>
      <c r="AE22" s="100">
        <f t="shared" si="4"/>
        <v>45890</v>
      </c>
      <c r="AF22" s="99">
        <v>52939</v>
      </c>
      <c r="AG22" s="99">
        <v>17354</v>
      </c>
      <c r="AH22" s="99">
        <v>17557</v>
      </c>
      <c r="AI22" s="99">
        <v>21721</v>
      </c>
      <c r="AJ22" s="100">
        <f t="shared" si="5"/>
        <v>21721</v>
      </c>
      <c r="AK22" s="99">
        <v>31708</v>
      </c>
      <c r="AL22" s="99">
        <v>38871</v>
      </c>
      <c r="AM22" s="101">
        <f>AL22+SCF!AM16</f>
        <v>38871</v>
      </c>
      <c r="AN22" s="101">
        <f>AM22+SCF!AN16</f>
        <v>38871</v>
      </c>
      <c r="AO22" s="100">
        <f t="shared" si="7"/>
        <v>38871</v>
      </c>
      <c r="AP22" s="101">
        <f>AO22+SCF!AP16</f>
        <v>38871</v>
      </c>
      <c r="AQ22" s="101">
        <f>AP22+SCF!AQ16</f>
        <v>38871</v>
      </c>
      <c r="AR22" s="101">
        <f>AQ22+SCF!AR16</f>
        <v>38871</v>
      </c>
      <c r="AS22" s="101">
        <f>AR22+SCF!AS16</f>
        <v>38871</v>
      </c>
      <c r="AT22" s="100">
        <f t="shared" si="9"/>
        <v>38871</v>
      </c>
      <c r="AU22" s="101">
        <f>AT22+SCF!AU16</f>
        <v>38871</v>
      </c>
      <c r="AV22" s="101">
        <f>AU22+SCF!AV16</f>
        <v>38871</v>
      </c>
      <c r="AW22" s="101">
        <f>AV22+SCF!AW16</f>
        <v>38871</v>
      </c>
      <c r="AX22" s="101">
        <f>AW22+SCF!AX16</f>
        <v>38871</v>
      </c>
      <c r="AY22" s="100">
        <f t="shared" ref="AY22:AY27" si="66">AX22</f>
        <v>38871</v>
      </c>
    </row>
    <row r="23" spans="1:51">
      <c r="A23" s="2" t="s">
        <v>231</v>
      </c>
      <c r="B23" s="102">
        <f t="shared" ref="B23:F23" si="67">SUM(B17:B22)</f>
        <v>534703</v>
      </c>
      <c r="C23" s="102">
        <f t="shared" si="67"/>
        <v>486000</v>
      </c>
      <c r="D23" s="102">
        <f t="shared" si="67"/>
        <v>507546</v>
      </c>
      <c r="E23" s="102">
        <f t="shared" si="67"/>
        <v>558917</v>
      </c>
      <c r="F23" s="102">
        <f t="shared" si="67"/>
        <v>815354</v>
      </c>
      <c r="G23" s="103">
        <f t="shared" ref="G23:I23" si="68">SUM(G17:G22)</f>
        <v>973951</v>
      </c>
      <c r="H23" s="103">
        <f t="shared" si="68"/>
        <v>920990</v>
      </c>
      <c r="I23" s="103">
        <f t="shared" si="68"/>
        <v>953583</v>
      </c>
      <c r="J23" s="103">
        <f t="shared" ref="J23" si="69">SUM(J17:J22)</f>
        <v>959399</v>
      </c>
      <c r="K23" s="102">
        <f t="shared" si="0"/>
        <v>959399</v>
      </c>
      <c r="L23" s="103">
        <f t="shared" ref="L23:Q23" si="70">SUM(L17:L22)</f>
        <v>816995</v>
      </c>
      <c r="M23" s="103">
        <f t="shared" ref="M23:T23" si="71">SUM(M17:M22)</f>
        <v>887179</v>
      </c>
      <c r="N23" s="103">
        <f t="shared" si="71"/>
        <v>1029421</v>
      </c>
      <c r="O23" s="103">
        <f t="shared" si="71"/>
        <v>1015240</v>
      </c>
      <c r="P23" s="102">
        <f t="shared" si="1"/>
        <v>1015240</v>
      </c>
      <c r="Q23" s="103">
        <f t="shared" si="70"/>
        <v>853032</v>
      </c>
      <c r="R23" s="103">
        <f t="shared" si="71"/>
        <v>959268</v>
      </c>
      <c r="S23" s="103">
        <f t="shared" si="71"/>
        <v>935492</v>
      </c>
      <c r="T23" s="103">
        <f t="shared" si="71"/>
        <v>902200</v>
      </c>
      <c r="U23" s="102">
        <f t="shared" si="2"/>
        <v>902200</v>
      </c>
      <c r="V23" s="103">
        <f t="shared" ref="V23" si="72">SUM(V17:V22)</f>
        <v>769461</v>
      </c>
      <c r="W23" s="103">
        <f t="shared" ref="W23" si="73">SUM(W17:W22)</f>
        <v>936480</v>
      </c>
      <c r="X23" s="103">
        <f t="shared" ref="X23" si="74">SUM(X17:X22)</f>
        <v>1027142</v>
      </c>
      <c r="Y23" s="103">
        <f t="shared" ref="Y23" si="75">SUM(Y17:Y22)</f>
        <v>966820</v>
      </c>
      <c r="Z23" s="102">
        <f t="shared" si="3"/>
        <v>966820</v>
      </c>
      <c r="AA23" s="103">
        <f>SUM(AA17:AA22)</f>
        <v>919699</v>
      </c>
      <c r="AB23" s="103">
        <f t="shared" ref="AB23" si="76">SUM(AB17:AB22)</f>
        <v>1051656</v>
      </c>
      <c r="AC23" s="103">
        <f t="shared" ref="AC23:AD23" si="77">SUM(AC17:AC22)</f>
        <v>1182089</v>
      </c>
      <c r="AD23" s="103">
        <f t="shared" si="77"/>
        <v>1126944</v>
      </c>
      <c r="AE23" s="102">
        <f t="shared" si="4"/>
        <v>1126944</v>
      </c>
      <c r="AF23" s="103">
        <f>SUM(AF17:AF22)</f>
        <v>998870</v>
      </c>
      <c r="AG23" s="103">
        <f t="shared" ref="AG23" si="78">SUM(AG17:AG22)</f>
        <v>1038041</v>
      </c>
      <c r="AH23" s="103">
        <f t="shared" ref="AH23:AI23" si="79">SUM(AH17:AH22)</f>
        <v>1163007</v>
      </c>
      <c r="AI23" s="103">
        <f t="shared" si="79"/>
        <v>1106000</v>
      </c>
      <c r="AJ23" s="102">
        <f t="shared" si="5"/>
        <v>1106000</v>
      </c>
      <c r="AK23" s="103">
        <f>SUM(AK17:AK22)</f>
        <v>977118</v>
      </c>
      <c r="AL23" s="103">
        <f t="shared" ref="AL23:AM23" si="80">SUM(AL17:AL22)</f>
        <v>1098798</v>
      </c>
      <c r="AM23" s="103">
        <f t="shared" si="80"/>
        <v>1230839.58060532</v>
      </c>
      <c r="AN23" s="103">
        <f t="shared" ref="AN23" si="81">SUM(AN17:AN22)</f>
        <v>1177409.656896</v>
      </c>
      <c r="AO23" s="102">
        <f t="shared" si="7"/>
        <v>1177409.656896</v>
      </c>
      <c r="AP23" s="103">
        <f>SUM(AP17:AP22)</f>
        <v>1127113.68819585</v>
      </c>
      <c r="AQ23" s="103">
        <f t="shared" ref="AQ23:AR23" si="82">SUM(AQ17:AQ22)</f>
        <v>1367041.07831479</v>
      </c>
      <c r="AR23" s="103">
        <f t="shared" si="82"/>
        <v>1354511.56135826</v>
      </c>
      <c r="AS23" s="103">
        <f t="shared" ref="AS23" si="83">SUM(AS17:AS22)</f>
        <v>1237262.91883464</v>
      </c>
      <c r="AT23" s="102">
        <f t="shared" si="9"/>
        <v>1237262.91883464</v>
      </c>
      <c r="AU23" s="103">
        <f>SUM(AU17:AU22)</f>
        <v>1117619.82226826</v>
      </c>
      <c r="AV23" s="103">
        <f t="shared" ref="AV23:AW23" si="84">SUM(AV17:AV22)</f>
        <v>1333570.28765348</v>
      </c>
      <c r="AW23" s="103">
        <f t="shared" si="84"/>
        <v>1448239.2905014</v>
      </c>
      <c r="AX23" s="103">
        <f t="shared" ref="AX23" si="85">SUM(AX17:AX22)</f>
        <v>1320287.62941373</v>
      </c>
      <c r="AY23" s="102">
        <f t="shared" si="66"/>
        <v>1320287.62941373</v>
      </c>
    </row>
    <row r="24" spans="1:51">
      <c r="A24" s="3" t="s">
        <v>232</v>
      </c>
      <c r="B24" s="92"/>
      <c r="C24" s="92"/>
      <c r="D24" s="92"/>
      <c r="E24" s="92"/>
      <c r="F24" s="92">
        <v>1252634</v>
      </c>
      <c r="G24" s="93">
        <v>1184448</v>
      </c>
      <c r="H24" s="93">
        <v>1122853</v>
      </c>
      <c r="I24" s="93">
        <v>1010051</v>
      </c>
      <c r="J24" s="93">
        <v>957588</v>
      </c>
      <c r="K24" s="79">
        <f t="shared" si="0"/>
        <v>957588</v>
      </c>
      <c r="L24" s="93">
        <v>844401</v>
      </c>
      <c r="M24" s="93">
        <v>791793</v>
      </c>
      <c r="N24" s="93">
        <v>764346</v>
      </c>
      <c r="O24" s="93">
        <v>697264</v>
      </c>
      <c r="P24" s="79">
        <f t="shared" si="1"/>
        <v>697264</v>
      </c>
      <c r="Q24" s="93">
        <v>662322</v>
      </c>
      <c r="R24" s="93">
        <v>714265</v>
      </c>
      <c r="S24" s="93">
        <v>708512</v>
      </c>
      <c r="T24" s="93">
        <v>713361</v>
      </c>
      <c r="U24" s="79">
        <f t="shared" si="2"/>
        <v>713361</v>
      </c>
      <c r="V24" s="93">
        <v>682996</v>
      </c>
      <c r="W24" s="93">
        <v>692046</v>
      </c>
      <c r="X24" s="93">
        <v>658923</v>
      </c>
      <c r="Y24" s="93">
        <v>646624</v>
      </c>
      <c r="Z24" s="79">
        <f t="shared" si="3"/>
        <v>646624</v>
      </c>
      <c r="AA24" s="93">
        <v>656862</v>
      </c>
      <c r="AB24" s="93">
        <v>688006</v>
      </c>
      <c r="AC24" s="93">
        <v>734918</v>
      </c>
      <c r="AD24" s="93">
        <v>740013</v>
      </c>
      <c r="AE24" s="79">
        <f t="shared" si="4"/>
        <v>740013</v>
      </c>
      <c r="AF24" s="93">
        <v>810391</v>
      </c>
      <c r="AG24" s="93">
        <v>876461</v>
      </c>
      <c r="AH24" s="93">
        <v>905041</v>
      </c>
      <c r="AI24" s="93">
        <v>926830</v>
      </c>
      <c r="AJ24" s="79">
        <f t="shared" si="5"/>
        <v>926830</v>
      </c>
      <c r="AK24" s="93">
        <v>1030161</v>
      </c>
      <c r="AL24" s="93">
        <v>1025086</v>
      </c>
      <c r="AM24" s="91">
        <f>(AL19+AL24)*(1+AM66)*(1-AM67)</f>
        <v>1076340.3</v>
      </c>
      <c r="AN24" s="91">
        <f>(AM19+AM24)*(1+AN66)*(1-AN67)</f>
        <v>1130157.315</v>
      </c>
      <c r="AO24" s="79">
        <f t="shared" si="7"/>
        <v>1130157.315</v>
      </c>
      <c r="AP24" s="91">
        <f>(AO19+AO24)*(1+AP66)*(1-AP67)</f>
        <v>1186665.18075</v>
      </c>
      <c r="AQ24" s="91">
        <f>(AP19+AP24)*(1+AQ66)*(1-AQ67)</f>
        <v>1245998.4397875</v>
      </c>
      <c r="AR24" s="91">
        <f>(AQ19+AQ24)*(1+AR66)*(1-AR67)</f>
        <v>1308298.36177688</v>
      </c>
      <c r="AS24" s="91">
        <f>(AR19+AR24)*(1+AS66)*(1-AS67)</f>
        <v>1373713.27986572</v>
      </c>
      <c r="AT24" s="79">
        <f t="shared" si="9"/>
        <v>1373713.27986572</v>
      </c>
      <c r="AU24" s="91">
        <f>(AT19+AT24)*(1+AU66)*(1-AU67)</f>
        <v>1442398.94385901</v>
      </c>
      <c r="AV24" s="91">
        <f>(AU19+AU24)*(1+AV66)*(1-AV67)</f>
        <v>1514518.89105196</v>
      </c>
      <c r="AW24" s="91">
        <f>(AV19+AV24)*(1+AW66)*(1-AW67)</f>
        <v>1590244.83560455</v>
      </c>
      <c r="AX24" s="91">
        <f>(AW19+AW24)*(1+AX66)*(1-AX67)</f>
        <v>1669757.07738478</v>
      </c>
      <c r="AY24" s="79">
        <f t="shared" si="66"/>
        <v>1669757.07738478</v>
      </c>
    </row>
    <row r="25" spans="1:51">
      <c r="A25" s="3" t="s">
        <v>233</v>
      </c>
      <c r="B25" s="92">
        <v>286235</v>
      </c>
      <c r="C25" s="92">
        <v>262992</v>
      </c>
      <c r="D25" s="92">
        <v>249686</v>
      </c>
      <c r="E25" s="92">
        <v>250439</v>
      </c>
      <c r="F25" s="92">
        <v>231963</v>
      </c>
      <c r="G25" s="93">
        <v>232178</v>
      </c>
      <c r="H25" s="93">
        <v>343250</v>
      </c>
      <c r="I25" s="93">
        <v>343559</v>
      </c>
      <c r="J25" s="93">
        <v>343910</v>
      </c>
      <c r="K25" s="79">
        <f t="shared" si="0"/>
        <v>343910</v>
      </c>
      <c r="L25" s="93">
        <v>344278</v>
      </c>
      <c r="M25" s="93">
        <v>303015</v>
      </c>
      <c r="N25" s="93">
        <v>303247</v>
      </c>
      <c r="O25" s="93">
        <v>303574</v>
      </c>
      <c r="P25" s="79">
        <f t="shared" si="1"/>
        <v>303574</v>
      </c>
      <c r="Q25" s="93">
        <v>303901</v>
      </c>
      <c r="R25" s="93">
        <v>304219</v>
      </c>
      <c r="S25" s="93">
        <v>296532</v>
      </c>
      <c r="T25" s="93">
        <v>296852</v>
      </c>
      <c r="U25" s="79">
        <f t="shared" si="2"/>
        <v>296852</v>
      </c>
      <c r="V25" s="93">
        <v>297172</v>
      </c>
      <c r="W25" s="93">
        <v>297385</v>
      </c>
      <c r="X25" s="93">
        <v>248033</v>
      </c>
      <c r="Y25" s="93">
        <v>222119</v>
      </c>
      <c r="Z25" s="79">
        <f t="shared" si="3"/>
        <v>222119</v>
      </c>
      <c r="AA25" s="93">
        <v>213102</v>
      </c>
      <c r="AB25" s="93">
        <v>0</v>
      </c>
      <c r="AC25" s="93">
        <v>0</v>
      </c>
      <c r="AD25" s="93">
        <v>0</v>
      </c>
      <c r="AE25" s="79">
        <f t="shared" si="4"/>
        <v>0</v>
      </c>
      <c r="AF25" s="93">
        <v>0</v>
      </c>
      <c r="AG25" s="93">
        <v>0</v>
      </c>
      <c r="AH25" s="93">
        <v>0</v>
      </c>
      <c r="AI25" s="93">
        <v>0</v>
      </c>
      <c r="AJ25" s="79">
        <f t="shared" si="5"/>
        <v>0</v>
      </c>
      <c r="AK25" s="93">
        <v>0</v>
      </c>
      <c r="AL25" s="93">
        <v>0</v>
      </c>
      <c r="AM25" s="107">
        <v>0</v>
      </c>
      <c r="AN25" s="107">
        <v>0</v>
      </c>
      <c r="AO25" s="79">
        <f t="shared" si="7"/>
        <v>0</v>
      </c>
      <c r="AP25" s="107">
        <v>0</v>
      </c>
      <c r="AQ25" s="107">
        <v>0</v>
      </c>
      <c r="AR25" s="107">
        <v>0</v>
      </c>
      <c r="AS25" s="107">
        <v>0</v>
      </c>
      <c r="AT25" s="79">
        <f t="shared" si="9"/>
        <v>0</v>
      </c>
      <c r="AU25" s="107">
        <v>0</v>
      </c>
      <c r="AV25" s="107">
        <v>0</v>
      </c>
      <c r="AW25" s="107">
        <v>0</v>
      </c>
      <c r="AX25" s="107">
        <v>0</v>
      </c>
      <c r="AY25" s="79">
        <f t="shared" si="66"/>
        <v>0</v>
      </c>
    </row>
    <row r="26" spans="1:51">
      <c r="A26" s="3" t="s">
        <v>234</v>
      </c>
      <c r="B26" s="92">
        <f>89256+47440+179683</f>
        <v>316379</v>
      </c>
      <c r="C26" s="92">
        <f>76321+46397+172008</f>
        <v>294726</v>
      </c>
      <c r="D26" s="92">
        <f>75648+50653+189688</f>
        <v>315989</v>
      </c>
      <c r="E26" s="92">
        <f>76134+46337+235145</f>
        <v>357616</v>
      </c>
      <c r="F26" s="92">
        <v>178536</v>
      </c>
      <c r="G26" s="93">
        <v>103188</v>
      </c>
      <c r="H26" s="93">
        <v>108111</v>
      </c>
      <c r="I26" s="93">
        <v>110965</v>
      </c>
      <c r="J26" s="93">
        <v>104693</v>
      </c>
      <c r="K26" s="79">
        <f t="shared" si="0"/>
        <v>104693</v>
      </c>
      <c r="L26" s="93">
        <v>114926</v>
      </c>
      <c r="M26" s="93">
        <v>106473</v>
      </c>
      <c r="N26" s="93">
        <v>97191</v>
      </c>
      <c r="O26" s="93">
        <v>86089</v>
      </c>
      <c r="P26" s="79">
        <f t="shared" si="1"/>
        <v>86089</v>
      </c>
      <c r="Q26" s="93">
        <v>83243</v>
      </c>
      <c r="R26" s="93">
        <v>83415</v>
      </c>
      <c r="S26" s="93">
        <v>97393</v>
      </c>
      <c r="T26" s="93">
        <v>94118</v>
      </c>
      <c r="U26" s="79">
        <f t="shared" si="2"/>
        <v>94118</v>
      </c>
      <c r="V26" s="93">
        <v>97476</v>
      </c>
      <c r="W26" s="93">
        <v>92019</v>
      </c>
      <c r="X26" s="93">
        <v>87435</v>
      </c>
      <c r="Y26" s="93">
        <v>88683</v>
      </c>
      <c r="Z26" s="79">
        <f t="shared" si="3"/>
        <v>88683</v>
      </c>
      <c r="AA26" s="93">
        <v>89252</v>
      </c>
      <c r="AB26" s="93">
        <v>88746</v>
      </c>
      <c r="AC26" s="93">
        <v>92405</v>
      </c>
      <c r="AD26" s="93">
        <v>81607</v>
      </c>
      <c r="AE26" s="79">
        <f t="shared" si="4"/>
        <v>81607</v>
      </c>
      <c r="AF26" s="93">
        <v>84321</v>
      </c>
      <c r="AG26" s="93">
        <v>80235</v>
      </c>
      <c r="AH26" s="93">
        <v>80460</v>
      </c>
      <c r="AI26" s="93">
        <v>88633</v>
      </c>
      <c r="AJ26" s="79">
        <f t="shared" si="5"/>
        <v>88633</v>
      </c>
      <c r="AK26" s="93">
        <v>91789</v>
      </c>
      <c r="AL26" s="93">
        <v>101310</v>
      </c>
      <c r="AM26" s="91">
        <f>AL26+SCF!AM11+SCF!AM29+SCF!AM9</f>
        <v>101310</v>
      </c>
      <c r="AN26" s="91">
        <f>AM26+SCF!AN11+SCF!AN29+SCF!AN9</f>
        <v>101310</v>
      </c>
      <c r="AO26" s="79">
        <f t="shared" si="7"/>
        <v>101310</v>
      </c>
      <c r="AP26" s="91">
        <f>AO26+SCF!AP11+SCF!AP29+SCF!AP9</f>
        <v>101310</v>
      </c>
      <c r="AQ26" s="91">
        <f>AP26+SCF!AQ11+SCF!AQ29+SCF!AQ9</f>
        <v>101310</v>
      </c>
      <c r="AR26" s="91">
        <f>AQ26+SCF!AR11+SCF!AR29+SCF!AR9</f>
        <v>101310</v>
      </c>
      <c r="AS26" s="91">
        <f>AR26+SCF!AS11+SCF!AS29+SCF!AS9</f>
        <v>101310</v>
      </c>
      <c r="AT26" s="79">
        <f t="shared" si="9"/>
        <v>101310</v>
      </c>
      <c r="AU26" s="91">
        <f>AT26+SCF!AU11+SCF!AU29+SCF!AU9</f>
        <v>101310</v>
      </c>
      <c r="AV26" s="91">
        <f>AU26+SCF!AV11+SCF!AV29+SCF!AV9</f>
        <v>101310</v>
      </c>
      <c r="AW26" s="91">
        <f>AV26+SCF!AW11+SCF!AW29+SCF!AW9</f>
        <v>101310</v>
      </c>
      <c r="AX26" s="91">
        <f>AW26+SCF!AX11+SCF!AX29+SCF!AX9</f>
        <v>101310</v>
      </c>
      <c r="AY26" s="79">
        <f t="shared" si="66"/>
        <v>101310</v>
      </c>
    </row>
    <row r="27" spans="1:51">
      <c r="A27" s="104" t="s">
        <v>235</v>
      </c>
      <c r="B27" s="105">
        <f t="shared" ref="B27:J27" si="86">SUM(B23:B26)</f>
        <v>1137317</v>
      </c>
      <c r="C27" s="105">
        <f t="shared" si="86"/>
        <v>1043718</v>
      </c>
      <c r="D27" s="105">
        <f t="shared" si="86"/>
        <v>1073221</v>
      </c>
      <c r="E27" s="105">
        <f t="shared" si="86"/>
        <v>1166972</v>
      </c>
      <c r="F27" s="105">
        <f t="shared" si="86"/>
        <v>2478487</v>
      </c>
      <c r="G27" s="106">
        <f t="shared" si="86"/>
        <v>2493765</v>
      </c>
      <c r="H27" s="106">
        <f t="shared" si="86"/>
        <v>2495204</v>
      </c>
      <c r="I27" s="106">
        <f t="shared" si="86"/>
        <v>2418158</v>
      </c>
      <c r="J27" s="106">
        <f t="shared" si="86"/>
        <v>2365590</v>
      </c>
      <c r="K27" s="105">
        <f t="shared" si="0"/>
        <v>2365590</v>
      </c>
      <c r="L27" s="106">
        <f>SUM(L23:L26)</f>
        <v>2120600</v>
      </c>
      <c r="M27" s="106">
        <f>SUM(M23:M26)</f>
        <v>2088460</v>
      </c>
      <c r="N27" s="106">
        <f>SUM(N23:N26)</f>
        <v>2194205</v>
      </c>
      <c r="O27" s="106">
        <f>SUM(O23:O26)</f>
        <v>2102167</v>
      </c>
      <c r="P27" s="105">
        <f t="shared" si="1"/>
        <v>2102167</v>
      </c>
      <c r="Q27" s="106">
        <f>SUM(Q23:Q26)</f>
        <v>1902498</v>
      </c>
      <c r="R27" s="106">
        <f>SUM(R23:R26)</f>
        <v>2061167</v>
      </c>
      <c r="S27" s="106">
        <f>SUM(S23:S26)</f>
        <v>2037929</v>
      </c>
      <c r="T27" s="106">
        <f>SUM(T23:T26)</f>
        <v>2006531</v>
      </c>
      <c r="U27" s="105">
        <f t="shared" si="2"/>
        <v>2006531</v>
      </c>
      <c r="V27" s="106">
        <f>SUM(V23:V26)</f>
        <v>1847105</v>
      </c>
      <c r="W27" s="106">
        <f>SUM(W23:W26)</f>
        <v>2017930</v>
      </c>
      <c r="X27" s="106">
        <f>SUM(X23:X26)</f>
        <v>2021533</v>
      </c>
      <c r="Y27" s="106">
        <f>SUM(Y23:Y26)</f>
        <v>1924246</v>
      </c>
      <c r="Z27" s="105">
        <f t="shared" si="3"/>
        <v>1924246</v>
      </c>
      <c r="AA27" s="106">
        <f>SUM(AA23:AA26)</f>
        <v>1878915</v>
      </c>
      <c r="AB27" s="106">
        <f>SUM(AB23:AB26)</f>
        <v>1828408</v>
      </c>
      <c r="AC27" s="106">
        <f>SUM(AC23:AC26)</f>
        <v>2009412</v>
      </c>
      <c r="AD27" s="106">
        <f>SUM(AD23:AD26)</f>
        <v>1948564</v>
      </c>
      <c r="AE27" s="105">
        <f t="shared" si="4"/>
        <v>1948564</v>
      </c>
      <c r="AF27" s="106">
        <f>SUM(AF23:AF26)</f>
        <v>1893582</v>
      </c>
      <c r="AG27" s="106">
        <f>SUM(AG23:AG26)</f>
        <v>1994737</v>
      </c>
      <c r="AH27" s="106">
        <f>SUM(AH23:AH26)</f>
        <v>2148508</v>
      </c>
      <c r="AI27" s="106">
        <f>SUM(AI23:AI26)</f>
        <v>2121463</v>
      </c>
      <c r="AJ27" s="105">
        <f t="shared" si="5"/>
        <v>2121463</v>
      </c>
      <c r="AK27" s="106">
        <f>SUM(AK23:AK26)</f>
        <v>2099068</v>
      </c>
      <c r="AL27" s="106">
        <f>SUM(AL23:AL26)</f>
        <v>2225194</v>
      </c>
      <c r="AM27" s="106">
        <f>SUM(AM23:AM26)</f>
        <v>2408489.88060532</v>
      </c>
      <c r="AN27" s="106">
        <f>SUM(AN23:AN26)</f>
        <v>2408876.971896</v>
      </c>
      <c r="AO27" s="105">
        <f t="shared" si="7"/>
        <v>2408876.971896</v>
      </c>
      <c r="AP27" s="106">
        <f>SUM(AP23:AP26)</f>
        <v>2415088.86894585</v>
      </c>
      <c r="AQ27" s="106">
        <f>SUM(AQ23:AQ26)</f>
        <v>2714349.51810229</v>
      </c>
      <c r="AR27" s="106">
        <f>SUM(AR23:AR26)</f>
        <v>2764119.92313514</v>
      </c>
      <c r="AS27" s="106">
        <f>SUM(AS23:AS26)</f>
        <v>2712286.19870036</v>
      </c>
      <c r="AT27" s="105">
        <f t="shared" si="9"/>
        <v>2712286.19870036</v>
      </c>
      <c r="AU27" s="106">
        <f>SUM(AU23:AU26)</f>
        <v>2661328.76612727</v>
      </c>
      <c r="AV27" s="106">
        <f>SUM(AV23:AV26)</f>
        <v>2949399.17870544</v>
      </c>
      <c r="AW27" s="106">
        <f>SUM(AW23:AW26)</f>
        <v>3139794.12610595</v>
      </c>
      <c r="AX27" s="106">
        <f>SUM(AX23:AX26)</f>
        <v>3091354.70679852</v>
      </c>
      <c r="AY27" s="105">
        <f t="shared" si="66"/>
        <v>3091354.70679852</v>
      </c>
    </row>
    <row r="28" spans="1:51">
      <c r="B28" s="79"/>
      <c r="C28" s="79"/>
      <c r="D28" s="79"/>
      <c r="E28" s="79"/>
      <c r="F28" s="79"/>
      <c r="G28" s="6"/>
      <c r="H28" s="6"/>
      <c r="I28" s="6"/>
      <c r="J28" s="6"/>
      <c r="K28" s="79"/>
      <c r="L28" s="6"/>
      <c r="M28" s="6"/>
      <c r="N28" s="6"/>
      <c r="O28" s="6"/>
      <c r="P28" s="79"/>
      <c r="Q28" s="6"/>
      <c r="R28" s="6"/>
      <c r="S28" s="6"/>
      <c r="T28" s="6"/>
      <c r="U28" s="79"/>
      <c r="V28" s="6"/>
      <c r="W28" s="6"/>
      <c r="X28" s="6"/>
      <c r="Y28" s="6"/>
      <c r="Z28" s="79"/>
      <c r="AA28" s="6"/>
      <c r="AB28" s="6"/>
      <c r="AC28" s="6"/>
      <c r="AD28" s="6"/>
      <c r="AE28" s="79"/>
      <c r="AF28" s="6"/>
      <c r="AG28" s="6"/>
      <c r="AH28" s="6"/>
      <c r="AI28" s="6"/>
      <c r="AJ28" s="79"/>
      <c r="AK28" s="6"/>
      <c r="AL28" s="6"/>
      <c r="AM28" s="6"/>
      <c r="AN28" s="6"/>
      <c r="AO28" s="79"/>
      <c r="AP28" s="6"/>
      <c r="AQ28" s="6"/>
      <c r="AR28" s="6"/>
      <c r="AS28" s="6"/>
      <c r="AT28" s="79"/>
      <c r="AU28" s="6"/>
      <c r="AV28" s="6"/>
      <c r="AW28" s="6"/>
      <c r="AX28" s="6"/>
      <c r="AY28" s="79"/>
    </row>
    <row r="29" spans="1:51">
      <c r="A29" s="3" t="s">
        <v>236</v>
      </c>
      <c r="B29" s="92">
        <v>1295722</v>
      </c>
      <c r="C29" s="92">
        <v>1252039</v>
      </c>
      <c r="D29" s="92">
        <v>1252471</v>
      </c>
      <c r="E29" s="92">
        <v>1218621</v>
      </c>
      <c r="F29" s="92">
        <v>1071178</v>
      </c>
      <c r="G29" s="93">
        <v>798066</v>
      </c>
      <c r="H29" s="93">
        <v>813610</v>
      </c>
      <c r="I29" s="93">
        <v>858804</v>
      </c>
      <c r="J29" s="93">
        <v>949312</v>
      </c>
      <c r="K29" s="79">
        <f t="shared" si="0"/>
        <v>949312</v>
      </c>
      <c r="L29" s="93">
        <v>949950</v>
      </c>
      <c r="M29" s="93">
        <v>966933</v>
      </c>
      <c r="N29" s="93">
        <v>918329</v>
      </c>
      <c r="O29" s="93">
        <v>837324</v>
      </c>
      <c r="P29" s="79">
        <f t="shared" si="1"/>
        <v>837324</v>
      </c>
      <c r="Q29" s="93">
        <v>704805</v>
      </c>
      <c r="R29" s="93">
        <v>672927</v>
      </c>
      <c r="S29" s="93">
        <v>656065</v>
      </c>
      <c r="T29" s="93">
        <v>706569</v>
      </c>
      <c r="U29" s="79">
        <f t="shared" si="2"/>
        <v>706569</v>
      </c>
      <c r="V29" s="93">
        <v>710973</v>
      </c>
      <c r="W29" s="93">
        <v>778784</v>
      </c>
      <c r="X29" s="93">
        <v>876113</v>
      </c>
      <c r="Y29" s="93">
        <v>1049987</v>
      </c>
      <c r="Z29" s="79">
        <f t="shared" si="3"/>
        <v>1049987</v>
      </c>
      <c r="AA29" s="93">
        <v>1091170</v>
      </c>
      <c r="AB29" s="93">
        <v>1221150</v>
      </c>
      <c r="AC29" s="93">
        <v>1260460</v>
      </c>
      <c r="AD29" s="93">
        <v>1351323</v>
      </c>
      <c r="AE29" s="79">
        <f t="shared" si="4"/>
        <v>1351323</v>
      </c>
      <c r="AF29" s="93">
        <v>1202594</v>
      </c>
      <c r="AG29" s="93">
        <v>1307204</v>
      </c>
      <c r="AH29" s="93">
        <v>1331410</v>
      </c>
      <c r="AI29" s="93">
        <v>1420411</v>
      </c>
      <c r="AJ29" s="79">
        <f t="shared" si="5"/>
        <v>1420411</v>
      </c>
      <c r="AK29" s="93">
        <v>1353896</v>
      </c>
      <c r="AL29" s="93">
        <v>1369662</v>
      </c>
      <c r="AM29" s="91">
        <f>AL29+SCF!AM6+SCF!AM27+SCF!AM28+SCF!AM10+SCF!AM31</f>
        <v>1397847.06525099</v>
      </c>
      <c r="AN29" s="91">
        <f>AM29+SCF!AN6+SCF!AN27+SCF!AN28+SCF!AN10+SCF!AN31</f>
        <v>1498076.07970619</v>
      </c>
      <c r="AO29" s="79">
        <f t="shared" si="7"/>
        <v>1498076.07970619</v>
      </c>
      <c r="AP29" s="91">
        <f>AO29+SCF!AP6+SCF!AP27+SCF!AP28+SCF!AP10+SCF!AP31</f>
        <v>1493721.31341298</v>
      </c>
      <c r="AQ29" s="91">
        <f>AP29+SCF!AQ6+SCF!AQ27+SCF!AQ28+SCF!AQ10+SCF!AQ31</f>
        <v>1528455.34223698</v>
      </c>
      <c r="AR29" s="91">
        <f>AQ29+SCF!AR6+SCF!AR27+SCF!AR28+SCF!AR10+SCF!AR31</f>
        <v>1572626.94750209</v>
      </c>
      <c r="AS29" s="91">
        <f>AR29+SCF!AS6+SCF!AS27+SCF!AS28+SCF!AS10+SCF!AS31</f>
        <v>1702461.36524915</v>
      </c>
      <c r="AT29" s="79">
        <f t="shared" si="9"/>
        <v>1702461.36524915</v>
      </c>
      <c r="AU29" s="91">
        <f>AT29+SCF!AU6+SCF!AU27+SCF!AU28+SCF!AU10+SCF!AU31</f>
        <v>1707026.49022089</v>
      </c>
      <c r="AV29" s="91">
        <f>AU29+SCF!AV6+SCF!AV27+SCF!AV28+SCF!AV10+SCF!AV31</f>
        <v>1750102.26379063</v>
      </c>
      <c r="AW29" s="91">
        <f>AV29+SCF!AW6+SCF!AW27+SCF!AW28+SCF!AW10+SCF!AW31</f>
        <v>1803196.32686614</v>
      </c>
      <c r="AX29" s="91">
        <f>AW29+SCF!AX6+SCF!AX27+SCF!AX28+SCF!AX10+SCF!AX31</f>
        <v>1947197.7656176</v>
      </c>
      <c r="AY29" s="79">
        <f t="shared" ref="AY29:AY30" si="87">AX29</f>
        <v>1947197.7656176</v>
      </c>
    </row>
    <row r="30" ht="14.35" spans="1:51">
      <c r="A30" s="53" t="s">
        <v>237</v>
      </c>
      <c r="B30" s="108">
        <f t="shared" ref="B30:F30" si="88">B29+B27</f>
        <v>2433039</v>
      </c>
      <c r="C30" s="108">
        <f t="shared" si="88"/>
        <v>2295757</v>
      </c>
      <c r="D30" s="108">
        <f t="shared" si="88"/>
        <v>2325692</v>
      </c>
      <c r="E30" s="108">
        <f t="shared" si="88"/>
        <v>2385593</v>
      </c>
      <c r="F30" s="108">
        <f t="shared" si="88"/>
        <v>3549665</v>
      </c>
      <c r="G30" s="109">
        <f t="shared" ref="G30:I30" si="89">G29+G27</f>
        <v>3291831</v>
      </c>
      <c r="H30" s="109">
        <f t="shared" si="89"/>
        <v>3308814</v>
      </c>
      <c r="I30" s="109">
        <f t="shared" si="89"/>
        <v>3276962</v>
      </c>
      <c r="J30" s="109">
        <f t="shared" ref="J30" si="90">J29+J27</f>
        <v>3314902</v>
      </c>
      <c r="K30" s="108">
        <f t="shared" si="0"/>
        <v>3314902</v>
      </c>
      <c r="L30" s="109">
        <f t="shared" ref="L30:T30" si="91">L29+L27</f>
        <v>3070550</v>
      </c>
      <c r="M30" s="109">
        <f t="shared" si="91"/>
        <v>3055393</v>
      </c>
      <c r="N30" s="109">
        <f t="shared" si="91"/>
        <v>3112534</v>
      </c>
      <c r="O30" s="109">
        <f t="shared" si="91"/>
        <v>2939491</v>
      </c>
      <c r="P30" s="108">
        <f t="shared" si="1"/>
        <v>2939491</v>
      </c>
      <c r="Q30" s="109">
        <f t="shared" si="91"/>
        <v>2607303</v>
      </c>
      <c r="R30" s="109">
        <f t="shared" si="91"/>
        <v>2734094</v>
      </c>
      <c r="S30" s="109">
        <f t="shared" si="91"/>
        <v>2693994</v>
      </c>
      <c r="T30" s="109">
        <f t="shared" si="91"/>
        <v>2713100</v>
      </c>
      <c r="U30" s="108">
        <f t="shared" si="2"/>
        <v>2713100</v>
      </c>
      <c r="V30" s="109">
        <f t="shared" ref="V30" si="92">V29+V27</f>
        <v>2558078</v>
      </c>
      <c r="W30" s="109">
        <f t="shared" ref="W30" si="93">W29+W27</f>
        <v>2796714</v>
      </c>
      <c r="X30" s="109">
        <f t="shared" ref="X30" si="94">X29+X27</f>
        <v>2897646</v>
      </c>
      <c r="Y30" s="109">
        <f t="shared" ref="Y30" si="95">Y29+Y27</f>
        <v>2974233</v>
      </c>
      <c r="Z30" s="108">
        <f t="shared" si="3"/>
        <v>2974233</v>
      </c>
      <c r="AA30" s="109">
        <f>AA29+AA27</f>
        <v>2970085</v>
      </c>
      <c r="AB30" s="109">
        <f t="shared" ref="AB30" si="96">AB29+AB27</f>
        <v>3049558</v>
      </c>
      <c r="AC30" s="109">
        <f t="shared" ref="AC30:AD30" si="97">AC29+AC27</f>
        <v>3269872</v>
      </c>
      <c r="AD30" s="109">
        <f t="shared" si="97"/>
        <v>3299887</v>
      </c>
      <c r="AE30" s="108">
        <f t="shared" si="4"/>
        <v>3299887</v>
      </c>
      <c r="AF30" s="109">
        <f>AF29+AF27</f>
        <v>3096176</v>
      </c>
      <c r="AG30" s="109">
        <f t="shared" ref="AG30" si="98">AG29+AG27</f>
        <v>3301941</v>
      </c>
      <c r="AH30" s="109">
        <f t="shared" ref="AH30:AI30" si="99">AH29+AH27</f>
        <v>3479918</v>
      </c>
      <c r="AI30" s="109">
        <f t="shared" si="99"/>
        <v>3541874</v>
      </c>
      <c r="AJ30" s="108">
        <f t="shared" si="5"/>
        <v>3541874</v>
      </c>
      <c r="AK30" s="109">
        <f>AK29+AK27</f>
        <v>3452964</v>
      </c>
      <c r="AL30" s="109">
        <f t="shared" ref="AL30:AM30" si="100">AL29+AL27</f>
        <v>3594856</v>
      </c>
      <c r="AM30" s="109">
        <f t="shared" si="100"/>
        <v>3806336.94585631</v>
      </c>
      <c r="AN30" s="109">
        <f t="shared" ref="AN30" si="101">AN29+AN27</f>
        <v>3906953.05160219</v>
      </c>
      <c r="AO30" s="108">
        <f t="shared" si="7"/>
        <v>3906953.05160219</v>
      </c>
      <c r="AP30" s="109">
        <f>AP29+AP27</f>
        <v>3908810.18235883</v>
      </c>
      <c r="AQ30" s="109">
        <f t="shared" ref="AQ30:AR30" si="102">AQ29+AQ27</f>
        <v>4242804.86033927</v>
      </c>
      <c r="AR30" s="109">
        <f t="shared" si="102"/>
        <v>4336746.87063723</v>
      </c>
      <c r="AS30" s="109">
        <f t="shared" ref="AS30" si="103">AS29+AS27</f>
        <v>4414747.56394951</v>
      </c>
      <c r="AT30" s="108">
        <f t="shared" si="9"/>
        <v>4414747.56394951</v>
      </c>
      <c r="AU30" s="109">
        <f>AU29+AU27</f>
        <v>4368355.25634815</v>
      </c>
      <c r="AV30" s="109">
        <f t="shared" ref="AV30:AW30" si="104">AV29+AV27</f>
        <v>4699501.44249607</v>
      </c>
      <c r="AW30" s="109">
        <f t="shared" si="104"/>
        <v>4942990.45297209</v>
      </c>
      <c r="AX30" s="109">
        <f t="shared" ref="AX30" si="105">AX29+AX27</f>
        <v>5038552.47241611</v>
      </c>
      <c r="AY30" s="108">
        <f t="shared" si="87"/>
        <v>5038552.47241611</v>
      </c>
    </row>
    <row r="31" ht="14.35" spans="1:51">
      <c r="A31" s="110" t="s">
        <v>71</v>
      </c>
      <c r="B31" s="5" t="str">
        <f t="shared" ref="B31:F31" si="106">(IF(B30=B15,"-",B30-B15))</f>
        <v>-</v>
      </c>
      <c r="C31" s="5" t="str">
        <f t="shared" si="106"/>
        <v>-</v>
      </c>
      <c r="D31" s="5" t="str">
        <f t="shared" si="106"/>
        <v>-</v>
      </c>
      <c r="E31" s="5" t="str">
        <f t="shared" si="106"/>
        <v>-</v>
      </c>
      <c r="F31" s="5" t="str">
        <f t="shared" si="106"/>
        <v>-</v>
      </c>
      <c r="G31" s="1" t="str">
        <f t="shared" ref="G31:AG31" si="107">(IF(G30=G15,"-",G30-G15))</f>
        <v>-</v>
      </c>
      <c r="H31" s="1" t="str">
        <f t="shared" si="107"/>
        <v>-</v>
      </c>
      <c r="I31" s="1" t="str">
        <f t="shared" si="107"/>
        <v>-</v>
      </c>
      <c r="J31" s="1" t="str">
        <f t="shared" si="107"/>
        <v>-</v>
      </c>
      <c r="K31" s="5" t="str">
        <f t="shared" si="107"/>
        <v>-</v>
      </c>
      <c r="L31" s="1" t="str">
        <f t="shared" si="107"/>
        <v>-</v>
      </c>
      <c r="M31" s="1" t="str">
        <f t="shared" si="107"/>
        <v>-</v>
      </c>
      <c r="N31" s="1" t="str">
        <f t="shared" si="107"/>
        <v>-</v>
      </c>
      <c r="O31" s="1" t="str">
        <f t="shared" si="107"/>
        <v>-</v>
      </c>
      <c r="P31" s="5" t="str">
        <f t="shared" si="107"/>
        <v>-</v>
      </c>
      <c r="Q31" s="1" t="str">
        <f t="shared" si="107"/>
        <v>-</v>
      </c>
      <c r="R31" s="1" t="str">
        <f t="shared" si="107"/>
        <v>-</v>
      </c>
      <c r="S31" s="1" t="str">
        <f t="shared" si="107"/>
        <v>-</v>
      </c>
      <c r="T31" s="1" t="str">
        <f t="shared" si="107"/>
        <v>-</v>
      </c>
      <c r="U31" s="5" t="str">
        <f t="shared" si="107"/>
        <v>-</v>
      </c>
      <c r="V31" s="1" t="str">
        <f t="shared" si="107"/>
        <v>-</v>
      </c>
      <c r="W31" s="1" t="str">
        <f t="shared" si="107"/>
        <v>-</v>
      </c>
      <c r="X31" s="1" t="str">
        <f t="shared" si="107"/>
        <v>-</v>
      </c>
      <c r="Y31" s="1" t="str">
        <f t="shared" si="107"/>
        <v>-</v>
      </c>
      <c r="Z31" s="5" t="str">
        <f t="shared" si="107"/>
        <v>-</v>
      </c>
      <c r="AA31" s="1" t="str">
        <f t="shared" si="107"/>
        <v>-</v>
      </c>
      <c r="AB31" s="1" t="str">
        <f t="shared" si="107"/>
        <v>-</v>
      </c>
      <c r="AC31" s="1" t="str">
        <f t="shared" si="107"/>
        <v>-</v>
      </c>
      <c r="AD31" s="1" t="str">
        <f t="shared" si="107"/>
        <v>-</v>
      </c>
      <c r="AE31" s="5" t="str">
        <f t="shared" si="107"/>
        <v>-</v>
      </c>
      <c r="AF31" s="1" t="str">
        <f t="shared" si="107"/>
        <v>-</v>
      </c>
      <c r="AG31" s="1" t="str">
        <f t="shared" si="107"/>
        <v>-</v>
      </c>
      <c r="AH31" s="1" t="str">
        <f>(IF(MROUND(AH30,1)=MROUND(AH15,1),"-",AH30-AH15))</f>
        <v>-</v>
      </c>
      <c r="AI31" s="1" t="str">
        <f t="shared" ref="AI31:AT31" si="108">(IF(MROUND(AI30,1)=MROUND(AI15,1),"-",AI30-AI15))</f>
        <v>-</v>
      </c>
      <c r="AJ31" s="5" t="str">
        <f t="shared" si="108"/>
        <v>-</v>
      </c>
      <c r="AK31" s="1" t="str">
        <f t="shared" si="108"/>
        <v>-</v>
      </c>
      <c r="AL31" s="1" t="str">
        <f t="shared" si="108"/>
        <v>-</v>
      </c>
      <c r="AM31" s="1" t="str">
        <f t="shared" si="108"/>
        <v>-</v>
      </c>
      <c r="AN31" s="1" t="str">
        <f t="shared" si="108"/>
        <v>-</v>
      </c>
      <c r="AO31" s="5" t="str">
        <f t="shared" si="108"/>
        <v>-</v>
      </c>
      <c r="AP31" s="1" t="str">
        <f t="shared" si="108"/>
        <v>-</v>
      </c>
      <c r="AQ31" s="1" t="str">
        <f t="shared" si="108"/>
        <v>-</v>
      </c>
      <c r="AR31" s="1" t="str">
        <f t="shared" si="108"/>
        <v>-</v>
      </c>
      <c r="AS31" s="1" t="str">
        <f t="shared" si="108"/>
        <v>-</v>
      </c>
      <c r="AT31" s="5" t="str">
        <f t="shared" si="108"/>
        <v>-</v>
      </c>
      <c r="AU31" s="1" t="str">
        <f t="shared" ref="AU31:AY31" si="109">(IF(MROUND(AU30,1)=MROUND(AU15,1),"-",AU30-AU15))</f>
        <v>-</v>
      </c>
      <c r="AV31" s="1" t="str">
        <f t="shared" si="109"/>
        <v>-</v>
      </c>
      <c r="AW31" s="1" t="str">
        <f t="shared" si="109"/>
        <v>-</v>
      </c>
      <c r="AX31" s="1" t="str">
        <f t="shared" si="109"/>
        <v>-</v>
      </c>
      <c r="AY31" s="5" t="str">
        <f t="shared" si="109"/>
        <v>-</v>
      </c>
    </row>
    <row r="32" spans="1:51">
      <c r="G32" s="1"/>
      <c r="H32" s="1"/>
      <c r="I32" s="1"/>
      <c r="J32" s="1"/>
      <c r="K32" s="5"/>
      <c r="L32" s="1"/>
      <c r="M32" s="1"/>
      <c r="N32" s="1"/>
      <c r="O32" s="1"/>
      <c r="P32" s="5"/>
      <c r="Q32" s="1"/>
      <c r="R32" s="1"/>
      <c r="S32" s="1"/>
      <c r="T32" s="1"/>
      <c r="U32" s="5"/>
      <c r="V32" s="1"/>
      <c r="W32" s="1"/>
      <c r="X32" s="1"/>
      <c r="Y32" s="1"/>
      <c r="Z32" s="5"/>
    </row>
    <row r="33" spans="1:51">
      <c r="G33" s="1"/>
      <c r="H33" s="1"/>
      <c r="I33" s="1"/>
      <c r="J33" s="1"/>
      <c r="K33" s="5"/>
      <c r="L33" s="1"/>
      <c r="M33" s="1"/>
      <c r="N33" s="1"/>
      <c r="O33" s="1"/>
      <c r="P33" s="5"/>
      <c r="Q33" s="1"/>
      <c r="R33" s="1"/>
      <c r="S33" s="1"/>
      <c r="T33" s="1"/>
      <c r="U33" s="5"/>
      <c r="V33" s="1"/>
      <c r="W33" s="1"/>
      <c r="X33" s="1"/>
      <c r="Y33" s="1"/>
      <c r="Z33" s="5"/>
      <c r="AM33" s="6"/>
      <c r="AP33" s="6"/>
      <c r="AR33" s="6"/>
      <c r="AU33" s="6"/>
      <c r="AW33" s="6"/>
    </row>
    <row r="34" spans="1:51">
      <c r="G34" s="1"/>
      <c r="H34" s="1"/>
      <c r="I34" s="1"/>
      <c r="J34" s="1"/>
      <c r="K34" s="5"/>
      <c r="L34" s="1"/>
      <c r="M34" s="1"/>
      <c r="N34" s="1"/>
      <c r="O34" s="1"/>
      <c r="P34" s="5"/>
      <c r="Q34" s="1"/>
      <c r="R34" s="1"/>
      <c r="S34" s="1"/>
      <c r="T34" s="1"/>
      <c r="U34" s="5"/>
      <c r="V34" s="1"/>
      <c r="W34" s="1"/>
      <c r="X34" s="1"/>
      <c r="Y34" s="1"/>
      <c r="Z34" s="5"/>
    </row>
    <row r="35" spans="1:51">
      <c r="A35" s="56" t="s">
        <v>238</v>
      </c>
      <c r="B35" s="57"/>
      <c r="C35" s="57"/>
      <c r="D35" s="57"/>
      <c r="E35" s="57"/>
      <c r="F35" s="57"/>
      <c r="G35" s="111"/>
      <c r="H35" s="111"/>
      <c r="I35" s="111"/>
      <c r="J35" s="111"/>
      <c r="K35" s="112"/>
      <c r="L35" s="111"/>
      <c r="M35" s="111"/>
      <c r="N35" s="111"/>
      <c r="O35" s="111"/>
      <c r="P35" s="112"/>
      <c r="Q35" s="111"/>
      <c r="R35" s="111"/>
      <c r="S35" s="111"/>
      <c r="T35" s="111"/>
      <c r="U35" s="112"/>
      <c r="V35" s="111"/>
      <c r="W35" s="111"/>
      <c r="X35" s="111"/>
      <c r="Y35" s="111"/>
      <c r="Z35" s="112"/>
      <c r="AA35" s="111"/>
      <c r="AB35" s="111"/>
      <c r="AC35" s="111"/>
      <c r="AD35" s="111"/>
      <c r="AE35" s="112"/>
      <c r="AF35" s="111"/>
      <c r="AG35" s="111"/>
      <c r="AH35" s="111"/>
      <c r="AI35" s="111"/>
      <c r="AJ35" s="112"/>
      <c r="AK35" s="111"/>
      <c r="AL35" s="111"/>
      <c r="AM35" s="111"/>
      <c r="AN35" s="111"/>
      <c r="AO35" s="112"/>
      <c r="AP35" s="111"/>
      <c r="AQ35" s="111"/>
      <c r="AR35" s="111"/>
      <c r="AS35" s="111"/>
      <c r="AT35" s="112"/>
      <c r="AU35" s="111"/>
      <c r="AV35" s="111"/>
      <c r="AW35" s="111"/>
      <c r="AX35" s="111"/>
      <c r="AY35" s="112"/>
    </row>
    <row r="36" spans="1:51">
      <c r="A36" s="3" t="s">
        <v>239</v>
      </c>
      <c r="B36" s="79">
        <f>IS!B6</f>
        <v>3518680</v>
      </c>
      <c r="C36" s="79">
        <f>IS!C6</f>
        <v>3326740</v>
      </c>
      <c r="D36" s="79">
        <f>IS!D6</f>
        <v>3492690</v>
      </c>
      <c r="E36" s="79">
        <f>IS!E6</f>
        <v>3590109</v>
      </c>
      <c r="F36" s="79">
        <f>IS!F6</f>
        <v>3623073</v>
      </c>
      <c r="G36" s="6">
        <f>IS!G6</f>
        <v>485359</v>
      </c>
      <c r="H36" s="6">
        <f>IS!H6</f>
        <v>698328</v>
      </c>
      <c r="I36" s="6">
        <f>IS!I6</f>
        <v>819653</v>
      </c>
      <c r="J36" s="6">
        <f>IS!J6</f>
        <v>1122044</v>
      </c>
      <c r="K36" s="79">
        <f>IS!K6</f>
        <v>3125384</v>
      </c>
      <c r="L36" s="6">
        <f>IS!L6</f>
        <v>781405</v>
      </c>
      <c r="M36" s="6">
        <f>IS!M6</f>
        <v>864850</v>
      </c>
      <c r="N36" s="6">
        <f>IS!N6</f>
        <v>905160</v>
      </c>
      <c r="O36" s="6">
        <f>IS!O6</f>
        <v>1161353</v>
      </c>
      <c r="P36" s="79">
        <f>IS!P6</f>
        <v>3712768</v>
      </c>
      <c r="Q36" s="6">
        <f>IS!Q6</f>
        <v>812762</v>
      </c>
      <c r="R36" s="6">
        <f>IS!R6</f>
        <v>805091</v>
      </c>
      <c r="S36" s="6">
        <f>IS!S6</f>
        <v>880084</v>
      </c>
      <c r="T36" s="6">
        <f>IS!T6</f>
        <v>1199814</v>
      </c>
      <c r="U36" s="79">
        <f>IS!U6</f>
        <v>3697751</v>
      </c>
      <c r="V36" s="6">
        <f>IS!V6</f>
        <v>835994</v>
      </c>
      <c r="W36" s="6">
        <f>IS!W6</f>
        <v>935345</v>
      </c>
      <c r="X36" s="6">
        <f>IS!X6</f>
        <v>1056431</v>
      </c>
      <c r="Y36" s="6">
        <f>IS!Y6</f>
        <v>1452907</v>
      </c>
      <c r="Z36" s="79">
        <f>IS!Z6</f>
        <v>4280677</v>
      </c>
      <c r="AA36" s="6">
        <f>IS!AA6</f>
        <v>1020730</v>
      </c>
      <c r="AB36" s="6">
        <f>IS!AB6</f>
        <v>1133974</v>
      </c>
      <c r="AC36" s="6">
        <f>IS!AC6</f>
        <v>1208966</v>
      </c>
      <c r="AD36" s="6">
        <f>IS!AD6</f>
        <v>1584917</v>
      </c>
      <c r="AE36" s="79">
        <f>IS!AE6</f>
        <v>4948587</v>
      </c>
      <c r="AF36" s="6">
        <f>IS!AF6</f>
        <v>1097311</v>
      </c>
      <c r="AG36" s="6">
        <f>IS!AG6</f>
        <v>1208560</v>
      </c>
      <c r="AH36" s="6">
        <f>IS!AH6</f>
        <v>1290619</v>
      </c>
      <c r="AI36" s="6">
        <f>IS!AI6</f>
        <v>1669802</v>
      </c>
      <c r="AJ36" s="79">
        <f>IS!AJ6</f>
        <v>5266292</v>
      </c>
      <c r="AK36" s="6">
        <f>IS!AK6</f>
        <v>1113821</v>
      </c>
      <c r="AL36" s="6">
        <f>IS!AL6</f>
        <v>1266689</v>
      </c>
      <c r="AM36" s="6">
        <f>IS!AM6</f>
        <v>1366937.56</v>
      </c>
      <c r="AN36" s="6">
        <f>IS!AN6</f>
        <v>1786688.14</v>
      </c>
      <c r="AO36" s="79">
        <f>IS!AO6</f>
        <v>5534135.7</v>
      </c>
      <c r="AP36" s="6">
        <f>IS!AP6</f>
        <v>1164021.03</v>
      </c>
      <c r="AQ36" s="6">
        <f>IS!AQ6</f>
        <v>1317356.56</v>
      </c>
      <c r="AR36" s="6">
        <f>IS!AR6</f>
        <v>1414613.0128</v>
      </c>
      <c r="AS36" s="6">
        <f>IS!AS6</f>
        <v>1848918.3556</v>
      </c>
      <c r="AT36" s="79">
        <f>IS!AT6</f>
        <v>5744908.9584</v>
      </c>
      <c r="AU36" s="6">
        <f>IS!AU6</f>
        <v>1195976.88615</v>
      </c>
      <c r="AV36" s="6">
        <f>IS!AV6</f>
        <v>1353773.8552</v>
      </c>
      <c r="AW36" s="6">
        <f>IS!AW6</f>
        <v>1457190.449208</v>
      </c>
      <c r="AX36" s="6">
        <f>IS!AX6</f>
        <v>1904655.74379</v>
      </c>
      <c r="AY36" s="79">
        <f>IS!AY6</f>
        <v>5911596.934348</v>
      </c>
    </row>
    <row r="37" spans="1:51">
      <c r="A37" s="3" t="s">
        <v>153</v>
      </c>
      <c r="B37" s="79">
        <f>IS!B7</f>
        <v>1340490</v>
      </c>
      <c r="C37" s="79">
        <f>IS!C7</f>
        <v>1298172</v>
      </c>
      <c r="D37" s="79">
        <f>IS!D7</f>
        <v>1408848</v>
      </c>
      <c r="E37" s="79">
        <f>IS!E7</f>
        <v>1430193</v>
      </c>
      <c r="F37" s="79">
        <f>IS!F7</f>
        <v>1472155</v>
      </c>
      <c r="G37" s="6">
        <f>IS!G7</f>
        <v>221214</v>
      </c>
      <c r="H37" s="6">
        <f>IS!H7</f>
        <v>274720</v>
      </c>
      <c r="I37" s="6">
        <f>IS!I7</f>
        <v>295220</v>
      </c>
      <c r="J37" s="6">
        <f>IS!J7</f>
        <v>443025</v>
      </c>
      <c r="K37" s="79">
        <f>IS!K7</f>
        <v>1234179</v>
      </c>
      <c r="L37" s="6">
        <f>IS!L7</f>
        <v>286271</v>
      </c>
      <c r="M37" s="6">
        <f>IS!M7</f>
        <v>301365</v>
      </c>
      <c r="N37" s="6">
        <f>IS!N7</f>
        <v>328916</v>
      </c>
      <c r="O37" s="6">
        <f>IS!O7</f>
        <v>484221</v>
      </c>
      <c r="P37" s="79">
        <f>IS!P7</f>
        <v>1400773</v>
      </c>
      <c r="Q37" s="6">
        <f>IS!Q7</f>
        <v>363216</v>
      </c>
      <c r="R37" s="6">
        <f>IS!R7</f>
        <v>339200</v>
      </c>
      <c r="S37" s="6">
        <f>IS!S7</f>
        <v>359268</v>
      </c>
      <c r="T37" s="6">
        <f>IS!T7</f>
        <v>531529</v>
      </c>
      <c r="U37" s="79">
        <f>IS!U7</f>
        <v>1593213</v>
      </c>
      <c r="V37" s="6">
        <f>IS!V7</f>
        <v>326200</v>
      </c>
      <c r="W37" s="6">
        <f>IS!W7</f>
        <v>350965</v>
      </c>
      <c r="X37" s="6">
        <f>IS!X7</f>
        <v>370762</v>
      </c>
      <c r="Y37" s="6">
        <f>IS!Y7</f>
        <v>539338</v>
      </c>
      <c r="Z37" s="79">
        <f>IS!Z7</f>
        <v>1587265</v>
      </c>
      <c r="AA37" s="6">
        <f>IS!AA7</f>
        <v>343273</v>
      </c>
      <c r="AB37" s="6">
        <f>IS!AB7</f>
        <v>397712</v>
      </c>
      <c r="AC37" s="6">
        <f>IS!AC7</f>
        <v>422034</v>
      </c>
      <c r="AD37" s="6">
        <f>IS!AD7</f>
        <v>610907</v>
      </c>
      <c r="AE37" s="79">
        <f>IS!AE7</f>
        <v>1773926</v>
      </c>
      <c r="AF37" s="6">
        <f>IS!AF7</f>
        <v>417133</v>
      </c>
      <c r="AG37" s="6">
        <f>IS!AG7</f>
        <v>451590</v>
      </c>
      <c r="AH37" s="6">
        <f>IS!AH7</f>
        <v>483670</v>
      </c>
      <c r="AI37" s="6">
        <f>IS!AI7</f>
        <v>676491</v>
      </c>
      <c r="AJ37" s="79">
        <f>IS!AJ7</f>
        <v>2028884</v>
      </c>
      <c r="AK37" s="6">
        <f>IS!AK7</f>
        <v>413838</v>
      </c>
      <c r="AL37" s="6">
        <f>IS!AL7</f>
        <v>466109</v>
      </c>
      <c r="AM37" s="6">
        <f>IS!AM7</f>
        <v>494500.814738862</v>
      </c>
      <c r="AN37" s="6">
        <f>IS!AN7</f>
        <v>693471.67162</v>
      </c>
      <c r="AO37" s="79">
        <f>IS!AO7</f>
        <v>2067919.48635886</v>
      </c>
      <c r="AP37" s="6">
        <f>IS!AP7</f>
        <v>431325.70129804</v>
      </c>
      <c r="AQ37" s="6">
        <f>IS!AQ7</f>
        <v>483436.00344</v>
      </c>
      <c r="AR37" s="6">
        <f>IS!AR7</f>
        <v>510333.18574532</v>
      </c>
      <c r="AS37" s="6">
        <f>IS!AS7</f>
        <v>715776.320230712</v>
      </c>
      <c r="AT37" s="79">
        <f>IS!AT7</f>
        <v>2140871.21071407</v>
      </c>
      <c r="AU37" s="6">
        <f>IS!AU7</f>
        <v>440774.92711721</v>
      </c>
      <c r="AV37" s="6">
        <f>IS!AV7</f>
        <v>496800.214908748</v>
      </c>
      <c r="AW37" s="6">
        <f>IS!AW7</f>
        <v>525693.34330527</v>
      </c>
      <c r="AX37" s="6">
        <f>IS!AX7</f>
        <v>733544.761215042</v>
      </c>
      <c r="AY37" s="79">
        <f>IS!AY7</f>
        <v>2196813.24654627</v>
      </c>
    </row>
    <row r="38" spans="1:51">
      <c r="A38" s="3" t="s">
        <v>240</v>
      </c>
      <c r="B38" s="27">
        <f>B36</f>
        <v>3518680</v>
      </c>
      <c r="C38" s="27">
        <f t="shared" ref="C38:F38" si="110">C36</f>
        <v>3326740</v>
      </c>
      <c r="D38" s="27">
        <f t="shared" si="110"/>
        <v>3492690</v>
      </c>
      <c r="E38" s="27">
        <f t="shared" si="110"/>
        <v>3590109</v>
      </c>
      <c r="F38" s="27">
        <f t="shared" si="110"/>
        <v>3623073</v>
      </c>
      <c r="G38" s="6"/>
      <c r="H38" s="6"/>
      <c r="I38" s="6"/>
      <c r="J38" s="6">
        <f>J36+I36+H36+G36</f>
        <v>3125384</v>
      </c>
      <c r="K38" s="79">
        <f>J38</f>
        <v>3125384</v>
      </c>
      <c r="L38" s="6">
        <f>L36+J36+I36+H36</f>
        <v>3421430</v>
      </c>
      <c r="M38" s="6">
        <f>M36+L36+J36+I36</f>
        <v>3587952</v>
      </c>
      <c r="N38" s="6">
        <f>N36+M36+L36+J36</f>
        <v>3673459</v>
      </c>
      <c r="O38" s="6">
        <f>O36+N36+M36+L36</f>
        <v>3712768</v>
      </c>
      <c r="P38" s="79">
        <f>O38</f>
        <v>3712768</v>
      </c>
      <c r="Q38" s="6">
        <f>Q36+O36+N36+M36</f>
        <v>3744125</v>
      </c>
      <c r="R38" s="6">
        <f>R36+Q36+O36+N36</f>
        <v>3684366</v>
      </c>
      <c r="S38" s="6">
        <f>S36+R36+Q36+O36</f>
        <v>3659290</v>
      </c>
      <c r="T38" s="6">
        <f>T36+S36+R36+Q36</f>
        <v>3697751</v>
      </c>
      <c r="U38" s="79">
        <f>T38</f>
        <v>3697751</v>
      </c>
      <c r="V38" s="6">
        <f>V36+T36+S36+R36</f>
        <v>3720983</v>
      </c>
      <c r="W38" s="6">
        <f>W36+V36+T36+S36</f>
        <v>3851237</v>
      </c>
      <c r="X38" s="6">
        <f>X36+W36+V36+T36</f>
        <v>4027584</v>
      </c>
      <c r="Y38" s="6">
        <f>Y36+X36+W36+V36</f>
        <v>4280677</v>
      </c>
      <c r="Z38" s="79">
        <f>Y38</f>
        <v>4280677</v>
      </c>
      <c r="AA38" s="6">
        <f>AA36+Y36+X36+W36</f>
        <v>4465413</v>
      </c>
      <c r="AB38" s="6">
        <f>AB36+AA36+Y36+X36</f>
        <v>4664042</v>
      </c>
      <c r="AC38" s="6">
        <f>AC36+AB36+AA36+Y36</f>
        <v>4816577</v>
      </c>
      <c r="AD38" s="6">
        <f>AD36+AC36+AB36+AA36</f>
        <v>4948587</v>
      </c>
      <c r="AE38" s="79">
        <f>AD38</f>
        <v>4948587</v>
      </c>
      <c r="AF38" s="6">
        <f>AF36+AD36+AC36+AB36</f>
        <v>5025168</v>
      </c>
      <c r="AG38" s="6">
        <f>AG36+AF36+AD36+AC36</f>
        <v>5099754</v>
      </c>
      <c r="AH38" s="6">
        <f>AH36+AG36+AF36+AD36</f>
        <v>5181407</v>
      </c>
      <c r="AI38" s="6">
        <f>AI36+AH36+AG36+AF36</f>
        <v>5266292</v>
      </c>
      <c r="AJ38" s="79">
        <f>AI38</f>
        <v>5266292</v>
      </c>
      <c r="AK38" s="6">
        <f>AK36+AI36+AH36+AG36</f>
        <v>5282802</v>
      </c>
      <c r="AL38" s="6">
        <f>AL36+AK36+AI36+AH36</f>
        <v>5340931</v>
      </c>
      <c r="AM38" s="6">
        <f>AM36+AL36+AK36+AI36</f>
        <v>5417249.56</v>
      </c>
      <c r="AN38" s="6">
        <f>AN36+AM36+AL36+AK36</f>
        <v>5534135.7</v>
      </c>
      <c r="AO38" s="79">
        <f>AN38</f>
        <v>5534135.7</v>
      </c>
      <c r="AP38" s="6">
        <f>AP36+AN36+AM36+AL36</f>
        <v>5584335.73</v>
      </c>
      <c r="AQ38" s="6">
        <f>AQ36+AP36+AN36+AM36</f>
        <v>5635003.29</v>
      </c>
      <c r="AR38" s="6">
        <f>AR36+AQ36+AP36+AN36</f>
        <v>5682678.7428</v>
      </c>
      <c r="AS38" s="6">
        <f>AS36+AR36+AQ36+AP36</f>
        <v>5744908.9584</v>
      </c>
      <c r="AT38" s="79">
        <f>AS38</f>
        <v>5744908.9584</v>
      </c>
      <c r="AU38" s="6">
        <f>AU36+AS36+AR36+AQ36</f>
        <v>5776864.81455</v>
      </c>
      <c r="AV38" s="6">
        <f>AV36+AU36+AS36+AR36</f>
        <v>5813282.10975</v>
      </c>
      <c r="AW38" s="6">
        <f>AW36+AV36+AU36+AS36</f>
        <v>5855859.546158</v>
      </c>
      <c r="AX38" s="6">
        <f>AX36+AW36+AV36+AU36</f>
        <v>5911596.934348</v>
      </c>
      <c r="AY38" s="79">
        <f>AX38</f>
        <v>5911596.934348</v>
      </c>
    </row>
    <row r="39" spans="1:51">
      <c r="A39" s="3" t="s">
        <v>241</v>
      </c>
      <c r="B39" s="27">
        <f>B37</f>
        <v>1340490</v>
      </c>
      <c r="C39" s="27">
        <f>C37</f>
        <v>1298172</v>
      </c>
      <c r="D39" s="27">
        <f>D37</f>
        <v>1408848</v>
      </c>
      <c r="E39" s="27">
        <f>E37</f>
        <v>1430193</v>
      </c>
      <c r="F39" s="27">
        <f>F37</f>
        <v>1472155</v>
      </c>
      <c r="G39" s="6"/>
      <c r="H39" s="6"/>
      <c r="I39" s="6"/>
      <c r="J39" s="6">
        <f>J37+I37+H37+G37</f>
        <v>1234179</v>
      </c>
      <c r="K39" s="79">
        <f>J39</f>
        <v>1234179</v>
      </c>
      <c r="L39" s="6">
        <f>L37+J37+I37+H37</f>
        <v>1299236</v>
      </c>
      <c r="M39" s="6">
        <f>M37+L37+J37+I37</f>
        <v>1325881</v>
      </c>
      <c r="N39" s="6">
        <f>N37+M37+L37+J37</f>
        <v>1359577</v>
      </c>
      <c r="O39" s="6">
        <f>O37+N37+M37+L37</f>
        <v>1400773</v>
      </c>
      <c r="P39" s="79">
        <f>O39</f>
        <v>1400773</v>
      </c>
      <c r="Q39" s="6">
        <f>Q37+O37+N37+M37</f>
        <v>1477718</v>
      </c>
      <c r="R39" s="6">
        <f>R37+Q37+O37+N37</f>
        <v>1515553</v>
      </c>
      <c r="S39" s="6">
        <f>S37+R37+Q37+O37</f>
        <v>1545905</v>
      </c>
      <c r="T39" s="6">
        <f>T37+S37+R37+Q37</f>
        <v>1593213</v>
      </c>
      <c r="U39" s="79">
        <f>T39</f>
        <v>1593213</v>
      </c>
      <c r="V39" s="6">
        <f>V37+T37+S37+R37</f>
        <v>1556197</v>
      </c>
      <c r="W39" s="6">
        <f>W37+V37+T37+S37</f>
        <v>1567962</v>
      </c>
      <c r="X39" s="6">
        <f>X37+W37+V37+T37</f>
        <v>1579456</v>
      </c>
      <c r="Y39" s="6">
        <f>Y37+X37+W37+V37</f>
        <v>1587265</v>
      </c>
      <c r="Z39" s="79">
        <f>Y39</f>
        <v>1587265</v>
      </c>
      <c r="AA39" s="6">
        <f>AA37+Y37+X37+W37</f>
        <v>1604338</v>
      </c>
      <c r="AB39" s="6">
        <f>AB37+AA37+Y37+X37</f>
        <v>1651085</v>
      </c>
      <c r="AC39" s="6">
        <f>AC37+AB37+AA37+Y37</f>
        <v>1702357</v>
      </c>
      <c r="AD39" s="6">
        <f>AD37+AC37+AB37+AA37</f>
        <v>1773926</v>
      </c>
      <c r="AE39" s="79">
        <f>AD39</f>
        <v>1773926</v>
      </c>
      <c r="AF39" s="6">
        <f>AF37+AD37+AC37+AB37</f>
        <v>1847786</v>
      </c>
      <c r="AG39" s="6">
        <f>AG37+AF37+AD37+AC37</f>
        <v>1901664</v>
      </c>
      <c r="AH39" s="6">
        <f>AH37+AG37+AF37+AD37</f>
        <v>1963300</v>
      </c>
      <c r="AI39" s="6">
        <f>AI37+AH37+AG37+AF37</f>
        <v>2028884</v>
      </c>
      <c r="AJ39" s="79">
        <f>AI39</f>
        <v>2028884</v>
      </c>
      <c r="AK39" s="6">
        <f>AK37+AI37+AH37+AG37</f>
        <v>2025589</v>
      </c>
      <c r="AL39" s="6">
        <f>AL37+AK37+AI37+AH37</f>
        <v>2040108</v>
      </c>
      <c r="AM39" s="6">
        <f>AM37+AL37+AK37+AI37</f>
        <v>2050938.81473886</v>
      </c>
      <c r="AN39" s="6">
        <f>AN37+AM37+AL37+AK37</f>
        <v>2067919.48635886</v>
      </c>
      <c r="AO39" s="79">
        <f>AN39</f>
        <v>2067919.48635886</v>
      </c>
      <c r="AP39" s="6">
        <f>AP37+AN37+AM37+AL37</f>
        <v>2085407.1876569</v>
      </c>
      <c r="AQ39" s="6">
        <f>AQ37+AP37+AN37+AM37</f>
        <v>2102734.1910969</v>
      </c>
      <c r="AR39" s="6">
        <f>AR37+AQ37+AP37+AN37</f>
        <v>2118566.56210336</v>
      </c>
      <c r="AS39" s="6">
        <f>AS37+AR37+AQ37+AP37</f>
        <v>2140871.21071407</v>
      </c>
      <c r="AT39" s="79">
        <f>AS39</f>
        <v>2140871.21071407</v>
      </c>
      <c r="AU39" s="6">
        <f>AU37+AS37+AR37+AQ37</f>
        <v>2150320.43653324</v>
      </c>
      <c r="AV39" s="6">
        <f>AV37+AU37+AS37+AR37</f>
        <v>2163684.64800199</v>
      </c>
      <c r="AW39" s="6">
        <f>AW37+AV37+AU37+AS37</f>
        <v>2179044.80556194</v>
      </c>
      <c r="AX39" s="6">
        <f>AX37+AW37+AV37+AU37</f>
        <v>2196813.24654627</v>
      </c>
      <c r="AY39" s="79">
        <f>AX39</f>
        <v>2196813.24654627</v>
      </c>
    </row>
    <row r="40" spans="1:51">
      <c r="G40" s="1"/>
      <c r="H40" s="1"/>
      <c r="I40" s="1"/>
      <c r="J40" s="1"/>
      <c r="K40" s="5"/>
      <c r="L40" s="1"/>
      <c r="M40" s="1"/>
      <c r="N40" s="1"/>
      <c r="O40" s="1"/>
      <c r="P40" s="5"/>
      <c r="Q40" s="1"/>
      <c r="R40" s="1"/>
      <c r="S40" s="1"/>
      <c r="T40" s="1"/>
      <c r="U40" s="5"/>
      <c r="V40" s="1"/>
      <c r="W40" s="1"/>
      <c r="X40" s="1"/>
      <c r="Y40" s="1"/>
      <c r="Z40" s="5"/>
    </row>
    <row r="41" spans="1:51">
      <c r="A41" s="14" t="s">
        <v>242</v>
      </c>
      <c r="B41" s="15"/>
      <c r="C41" s="15"/>
      <c r="D41" s="15"/>
      <c r="E41" s="15"/>
      <c r="F41" s="15"/>
      <c r="G41" s="113"/>
      <c r="H41" s="113"/>
      <c r="I41" s="113"/>
      <c r="J41" s="113"/>
      <c r="K41" s="114"/>
      <c r="L41" s="113"/>
      <c r="M41" s="113"/>
      <c r="N41" s="113"/>
      <c r="O41" s="113"/>
      <c r="P41" s="114"/>
      <c r="Q41" s="113"/>
      <c r="R41" s="113"/>
      <c r="S41" s="113"/>
      <c r="T41" s="113"/>
      <c r="U41" s="114"/>
      <c r="V41" s="113"/>
      <c r="W41" s="113"/>
      <c r="X41" s="113"/>
      <c r="Y41" s="113"/>
      <c r="Z41" s="114"/>
      <c r="AA41" s="113"/>
      <c r="AB41" s="113"/>
      <c r="AC41" s="113"/>
      <c r="AD41" s="113"/>
      <c r="AE41" s="114"/>
      <c r="AF41" s="113"/>
      <c r="AG41" s="113"/>
      <c r="AH41" s="115"/>
      <c r="AI41" s="113"/>
      <c r="AJ41" s="114"/>
      <c r="AK41" s="113"/>
      <c r="AL41" s="113"/>
      <c r="AM41" s="113"/>
      <c r="AN41" s="115"/>
      <c r="AO41" s="114"/>
      <c r="AP41" s="113"/>
      <c r="AQ41" s="115"/>
      <c r="AR41" s="113"/>
      <c r="AS41" s="115"/>
      <c r="AT41" s="114"/>
      <c r="AU41" s="113"/>
      <c r="AV41" s="115"/>
      <c r="AW41" s="113"/>
      <c r="AX41" s="115"/>
      <c r="AY41" s="114"/>
    </row>
    <row r="42" spans="1:51">
      <c r="A42" s="116" t="s">
        <v>243</v>
      </c>
      <c r="B42" s="117"/>
      <c r="C42" s="117"/>
      <c r="D42" s="117"/>
      <c r="E42" s="117"/>
      <c r="F42" s="117"/>
      <c r="G42" s="1"/>
      <c r="H42" s="1"/>
      <c r="I42" s="1"/>
      <c r="J42" s="1"/>
      <c r="K42" s="5"/>
      <c r="L42" s="1"/>
      <c r="M42" s="1"/>
      <c r="N42" s="1"/>
      <c r="O42" s="1"/>
      <c r="P42" s="5"/>
      <c r="Q42" s="1"/>
      <c r="R42" s="1"/>
      <c r="S42" s="1"/>
      <c r="T42" s="1"/>
      <c r="U42" s="5"/>
      <c r="V42" s="1"/>
      <c r="W42" s="1"/>
      <c r="X42" s="1"/>
      <c r="Y42" s="1"/>
      <c r="Z42" s="5"/>
    </row>
    <row r="43" spans="1:51">
      <c r="A43" s="3" t="s">
        <v>244</v>
      </c>
      <c r="C43" s="118">
        <f>C9/B9-1</f>
        <v>-0.0845109125007728</v>
      </c>
      <c r="D43" s="118">
        <f>D9/C9-1</f>
        <v>0.0615265323478282</v>
      </c>
      <c r="E43" s="118">
        <f>E9/D9-1</f>
        <v>0.0317771499529917</v>
      </c>
      <c r="F43" s="118">
        <f>F9/E9-1</f>
        <v>-0.00811411371634629</v>
      </c>
      <c r="G43" s="119"/>
      <c r="H43" s="119"/>
      <c r="I43" s="119"/>
      <c r="J43" s="119"/>
      <c r="K43" s="83">
        <f t="shared" ref="K43:AT43" si="111">K9/F9-1</f>
        <v>-0.0697011000953202</v>
      </c>
      <c r="L43" s="119">
        <f t="shared" si="111"/>
        <v>-0.0889862492205704</v>
      </c>
      <c r="M43" s="119">
        <f t="shared" si="111"/>
        <v>-0.0830356610971253</v>
      </c>
      <c r="N43" s="119">
        <f t="shared" si="111"/>
        <v>-0.00336359037151635</v>
      </c>
      <c r="O43" s="119">
        <f t="shared" si="111"/>
        <v>0.301472826584631</v>
      </c>
      <c r="P43" s="83">
        <f t="shared" si="111"/>
        <v>0.301472826584631</v>
      </c>
      <c r="Q43" s="119">
        <f t="shared" si="111"/>
        <v>0.447406679309271</v>
      </c>
      <c r="R43" s="119">
        <f t="shared" si="111"/>
        <v>0.703602467733708</v>
      </c>
      <c r="S43" s="119">
        <f t="shared" si="111"/>
        <v>0.364622512244511</v>
      </c>
      <c r="T43" s="119">
        <f t="shared" si="111"/>
        <v>-0.0384947438881535</v>
      </c>
      <c r="U43" s="83">
        <f t="shared" si="111"/>
        <v>-0.0384947438881535</v>
      </c>
      <c r="V43" s="119">
        <f t="shared" si="111"/>
        <v>-0.20391459707383</v>
      </c>
      <c r="W43" s="119">
        <f t="shared" si="111"/>
        <v>-0.303019389173248</v>
      </c>
      <c r="X43" s="119">
        <f t="shared" si="111"/>
        <v>-0.197982918285683</v>
      </c>
      <c r="Y43" s="119">
        <f t="shared" si="111"/>
        <v>-0.071506128107812</v>
      </c>
      <c r="Z43" s="83">
        <f t="shared" si="111"/>
        <v>-0.071506128107812</v>
      </c>
      <c r="AA43" s="119">
        <f t="shared" si="111"/>
        <v>0.00326257352514259</v>
      </c>
      <c r="AB43" s="119">
        <f t="shared" si="111"/>
        <v>0.0937831194437859</v>
      </c>
      <c r="AC43" s="119">
        <f t="shared" si="111"/>
        <v>0.163895830217438</v>
      </c>
      <c r="AD43" s="119">
        <f t="shared" si="111"/>
        <v>0.224806482258566</v>
      </c>
      <c r="AE43" s="83">
        <f t="shared" si="111"/>
        <v>0.224806482258566</v>
      </c>
      <c r="AF43" s="119">
        <f t="shared" si="111"/>
        <v>0.206540876583412</v>
      </c>
      <c r="AG43" s="119">
        <f t="shared" si="111"/>
        <v>0.0985754753510364</v>
      </c>
      <c r="AH43" s="119">
        <f t="shared" si="111"/>
        <v>0.0546595706587967</v>
      </c>
      <c r="AI43" s="119">
        <f t="shared" si="111"/>
        <v>0.0455874296745247</v>
      </c>
      <c r="AJ43" s="83">
        <f t="shared" si="111"/>
        <v>0.0455874296745247</v>
      </c>
      <c r="AK43" s="119">
        <f t="shared" si="111"/>
        <v>-0.0172822515630218</v>
      </c>
      <c r="AL43" s="119">
        <f t="shared" si="111"/>
        <v>-0.00219911428311237</v>
      </c>
      <c r="AM43" s="119">
        <f t="shared" si="111"/>
        <v>0.0249833792274003</v>
      </c>
      <c r="AN43" s="119">
        <f t="shared" si="111"/>
        <v>0.0749328066258825</v>
      </c>
      <c r="AO43" s="83">
        <f t="shared" si="111"/>
        <v>0.0749328066258825</v>
      </c>
      <c r="AP43" s="119">
        <f t="shared" si="111"/>
        <v>0.0660974462506667</v>
      </c>
      <c r="AQ43" s="119">
        <f t="shared" si="111"/>
        <v>0.163020927873395</v>
      </c>
      <c r="AR43" s="119">
        <f t="shared" si="111"/>
        <v>0.0224001185187763</v>
      </c>
      <c r="AS43" s="119">
        <f t="shared" si="111"/>
        <v>0.0714869322227825</v>
      </c>
      <c r="AT43" s="83">
        <f t="shared" si="111"/>
        <v>0.0714869322227825</v>
      </c>
      <c r="AU43" s="119">
        <f t="shared" ref="AU43" si="112">AU9/AP9-1</f>
        <v>-0.0843640460720725</v>
      </c>
      <c r="AV43" s="119">
        <f t="shared" ref="AV43" si="113">AV9/AQ9-1</f>
        <v>0.00882857358354383</v>
      </c>
      <c r="AW43" s="119">
        <f t="shared" ref="AW43" si="114">AW9/AR9-1</f>
        <v>-0.00916216704956951</v>
      </c>
      <c r="AX43" s="119">
        <f t="shared" ref="AX43" si="115">AX9/AS9-1</f>
        <v>0.0976829254565288</v>
      </c>
      <c r="AY43" s="83">
        <f t="shared" ref="AY43" si="116">AY9/AT9-1</f>
        <v>0.0976829254565288</v>
      </c>
    </row>
    <row r="44" spans="1:51">
      <c r="A44" s="3" t="s">
        <v>245</v>
      </c>
      <c r="B44" s="79"/>
      <c r="C44" s="79">
        <f t="shared" ref="C44:F44" si="117">AVERAGE(B9:C9)</f>
        <v>418248</v>
      </c>
      <c r="D44" s="79">
        <f t="shared" si="117"/>
        <v>412094</v>
      </c>
      <c r="E44" s="79">
        <f t="shared" si="117"/>
        <v>431136</v>
      </c>
      <c r="F44" s="79">
        <f t="shared" si="117"/>
        <v>436102.5</v>
      </c>
      <c r="G44" s="6"/>
      <c r="H44" s="6"/>
      <c r="I44" s="6"/>
      <c r="J44" s="6"/>
      <c r="K44" s="79">
        <f>AVERAGE(K9,F9)</f>
        <v>419189.5</v>
      </c>
      <c r="L44" s="6">
        <f t="shared" ref="L44:AL44" si="118">AVERAGE(L9,G9)</f>
        <v>407613.5</v>
      </c>
      <c r="M44" s="6">
        <f t="shared" si="118"/>
        <v>434421.5</v>
      </c>
      <c r="N44" s="6">
        <f t="shared" si="118"/>
        <v>544630.5</v>
      </c>
      <c r="O44" s="6">
        <f t="shared" si="118"/>
        <v>464958.5</v>
      </c>
      <c r="P44" s="79">
        <f t="shared" si="118"/>
        <v>464958.5</v>
      </c>
      <c r="Q44" s="6">
        <f t="shared" si="118"/>
        <v>475571.5</v>
      </c>
      <c r="R44" s="6">
        <f t="shared" si="118"/>
        <v>561814</v>
      </c>
      <c r="S44" s="6">
        <f t="shared" si="118"/>
        <v>642838</v>
      </c>
      <c r="T44" s="6">
        <f t="shared" si="118"/>
        <v>515742.5</v>
      </c>
      <c r="U44" s="79">
        <f t="shared" si="118"/>
        <v>515742.5</v>
      </c>
      <c r="V44" s="6">
        <f t="shared" si="118"/>
        <v>505158</v>
      </c>
      <c r="W44" s="6">
        <f t="shared" si="118"/>
        <v>600751.5</v>
      </c>
      <c r="X44" s="6">
        <f t="shared" si="118"/>
        <v>668515</v>
      </c>
      <c r="Y44" s="6">
        <f t="shared" si="118"/>
        <v>487543.5</v>
      </c>
      <c r="Z44" s="79">
        <f t="shared" si="118"/>
        <v>487543.5</v>
      </c>
      <c r="AA44" s="6">
        <f t="shared" si="118"/>
        <v>448536.5</v>
      </c>
      <c r="AB44" s="6">
        <f t="shared" si="118"/>
        <v>516619</v>
      </c>
      <c r="AC44" s="6">
        <f t="shared" si="118"/>
        <v>643831.5</v>
      </c>
      <c r="AD44" s="6">
        <f t="shared" si="118"/>
        <v>522235.5</v>
      </c>
      <c r="AE44" s="79">
        <f t="shared" si="118"/>
        <v>522235.5</v>
      </c>
      <c r="AF44" s="6">
        <f t="shared" si="118"/>
        <v>495663</v>
      </c>
      <c r="AG44" s="6">
        <f t="shared" si="118"/>
        <v>566362.5</v>
      </c>
      <c r="AH44" s="6">
        <f t="shared" si="118"/>
        <v>711524.5</v>
      </c>
      <c r="AI44" s="6">
        <f t="shared" si="118"/>
        <v>588111.5</v>
      </c>
      <c r="AJ44" s="79">
        <f t="shared" si="118"/>
        <v>588111.5</v>
      </c>
      <c r="AK44" s="6">
        <f t="shared" si="118"/>
        <v>537375</v>
      </c>
      <c r="AL44" s="6">
        <f t="shared" si="118"/>
        <v>592314</v>
      </c>
      <c r="AM44" s="6">
        <f>AM46*(AM37/(AM5*7))</f>
        <v>739577.592153396</v>
      </c>
      <c r="AN44" s="6">
        <f>AN46*(AN37/(AN5*7))</f>
        <v>623743.476067</v>
      </c>
      <c r="AO44" s="79">
        <f>AVERAGE(AO9,AJ9)</f>
        <v>623743.476067</v>
      </c>
      <c r="AP44" s="6">
        <f>AP46*(AP37/(AP5*7))</f>
        <v>550295.757370357</v>
      </c>
      <c r="AQ44" s="6">
        <f>AQ46*(AQ37/(AQ5*7))</f>
        <v>639888.644113714</v>
      </c>
      <c r="AR44" s="6">
        <f>AR46*(AR37/(AR5*7))</f>
        <v>757087.693138662</v>
      </c>
      <c r="AS44" s="6">
        <f>AS46*(AS37/(AS5*7))</f>
        <v>669368.844523446</v>
      </c>
      <c r="AT44" s="79">
        <f>AVERAGE(AT9,AO9)</f>
        <v>669368.844523446</v>
      </c>
      <c r="AU44" s="6">
        <f>AU46*(AU37/(AU5*7))</f>
        <v>543945.322145744</v>
      </c>
      <c r="AV44" s="6">
        <f>AV46*(AV37/(AV5*7))</f>
        <v>691152.826455467</v>
      </c>
      <c r="AW44" s="6">
        <f>AW46*(AW37/(AW5*7))</f>
        <v>761966.50529632</v>
      </c>
      <c r="AX44" s="6">
        <f>AX46*(AX37/(AX5*7))</f>
        <v>726289.922917311</v>
      </c>
      <c r="AY44" s="79">
        <f>AVERAGE(AY9,AT9)</f>
        <v>726289.922917311</v>
      </c>
    </row>
    <row r="45" spans="1:51">
      <c r="A45" s="3" t="s">
        <v>246</v>
      </c>
      <c r="C45" s="120">
        <f>C39/C44</f>
        <v>3.10383313249555</v>
      </c>
      <c r="D45" s="120">
        <f>D39/D44</f>
        <v>3.41875397360796</v>
      </c>
      <c r="E45" s="120">
        <f>E39/E44</f>
        <v>3.31726647739924</v>
      </c>
      <c r="F45" s="120">
        <f>F39/F44</f>
        <v>3.37570869233724</v>
      </c>
      <c r="G45" s="121"/>
      <c r="H45" s="121"/>
      <c r="I45" s="121"/>
      <c r="J45" s="121"/>
      <c r="K45" s="120">
        <f t="shared" ref="K45:AH45" si="119">K39/K44</f>
        <v>2.94420303943682</v>
      </c>
      <c r="L45" s="121">
        <f t="shared" si="119"/>
        <v>3.18742141759289</v>
      </c>
      <c r="M45" s="121">
        <f t="shared" si="119"/>
        <v>3.05206118942087</v>
      </c>
      <c r="N45" s="121">
        <f t="shared" si="119"/>
        <v>2.49632916261575</v>
      </c>
      <c r="O45" s="121">
        <f t="shared" si="119"/>
        <v>3.01268392770538</v>
      </c>
      <c r="P45" s="120">
        <f t="shared" si="119"/>
        <v>3.01268392770538</v>
      </c>
      <c r="Q45" s="121">
        <f t="shared" si="119"/>
        <v>3.10724675469409</v>
      </c>
      <c r="R45" s="121">
        <f t="shared" si="119"/>
        <v>2.69760632522507</v>
      </c>
      <c r="S45" s="121">
        <f t="shared" si="119"/>
        <v>2.40481272108992</v>
      </c>
      <c r="T45" s="121">
        <f t="shared" si="119"/>
        <v>3.08916368148834</v>
      </c>
      <c r="U45" s="120">
        <f t="shared" si="119"/>
        <v>3.08916368148834</v>
      </c>
      <c r="V45" s="121">
        <f t="shared" si="119"/>
        <v>3.08061438203493</v>
      </c>
      <c r="W45" s="121">
        <f t="shared" si="119"/>
        <v>2.61000097378034</v>
      </c>
      <c r="X45" s="121">
        <f t="shared" si="119"/>
        <v>2.36263359834858</v>
      </c>
      <c r="Y45" s="121">
        <f t="shared" si="119"/>
        <v>3.25563770207171</v>
      </c>
      <c r="Z45" s="120">
        <f t="shared" si="119"/>
        <v>3.25563770207171</v>
      </c>
      <c r="AA45" s="121">
        <f t="shared" si="119"/>
        <v>3.57682819569868</v>
      </c>
      <c r="AB45" s="121">
        <f t="shared" si="119"/>
        <v>3.19594323863427</v>
      </c>
      <c r="AC45" s="121">
        <f t="shared" si="119"/>
        <v>2.64410330963925</v>
      </c>
      <c r="AD45" s="121">
        <f t="shared" si="119"/>
        <v>3.39679320919394</v>
      </c>
      <c r="AE45" s="120">
        <f t="shared" si="119"/>
        <v>3.39679320919394</v>
      </c>
      <c r="AF45" s="121">
        <f t="shared" si="119"/>
        <v>3.72790787288944</v>
      </c>
      <c r="AG45" s="121">
        <f t="shared" si="119"/>
        <v>3.35767993113951</v>
      </c>
      <c r="AH45" s="121">
        <f t="shared" si="119"/>
        <v>2.75928657410954</v>
      </c>
      <c r="AI45" s="121">
        <f t="shared" ref="AI45" si="120">AI39/AI44</f>
        <v>3.44982881647443</v>
      </c>
      <c r="AJ45" s="120">
        <f t="shared" ref="AJ45:AT45" si="121">AJ39/AJ44</f>
        <v>3.44982881647443</v>
      </c>
      <c r="AK45" s="121">
        <f t="shared" si="121"/>
        <v>3.76941428239125</v>
      </c>
      <c r="AL45" s="121">
        <f t="shared" si="121"/>
        <v>3.44430150224374</v>
      </c>
      <c r="AM45" s="121">
        <f t="shared" si="121"/>
        <v>2.7731218961992</v>
      </c>
      <c r="AN45" s="121">
        <f t="shared" si="121"/>
        <v>3.31533645754194</v>
      </c>
      <c r="AO45" s="120">
        <f t="shared" si="121"/>
        <v>3.31533645754194</v>
      </c>
      <c r="AP45" s="121">
        <f t="shared" si="121"/>
        <v>3.78961160380779</v>
      </c>
      <c r="AQ45" s="121">
        <f t="shared" si="121"/>
        <v>3.28609393281126</v>
      </c>
      <c r="AR45" s="121">
        <f t="shared" si="121"/>
        <v>2.79831065978686</v>
      </c>
      <c r="AS45" s="121">
        <f t="shared" si="121"/>
        <v>3.19834307830424</v>
      </c>
      <c r="AT45" s="120">
        <f t="shared" si="121"/>
        <v>3.19834307830424</v>
      </c>
      <c r="AU45" s="121">
        <f t="shared" ref="AU45:AY45" si="122">AU39/AU44</f>
        <v>3.95319225846212</v>
      </c>
      <c r="AV45" s="121">
        <f t="shared" si="122"/>
        <v>3.13054445439847</v>
      </c>
      <c r="AW45" s="121">
        <f t="shared" si="122"/>
        <v>2.85976455712385</v>
      </c>
      <c r="AX45" s="121">
        <f t="shared" si="122"/>
        <v>3.02470566811978</v>
      </c>
      <c r="AY45" s="120">
        <f t="shared" si="122"/>
        <v>3.02470566811978</v>
      </c>
    </row>
    <row r="46" spans="1:51">
      <c r="A46" s="3" t="s">
        <v>247</v>
      </c>
      <c r="C46" s="122">
        <f t="shared" ref="C46:AH46" si="123">C44/(C37/(C$5*7))</f>
        <v>117.274345772363</v>
      </c>
      <c r="D46" s="122">
        <f t="shared" si="123"/>
        <v>108.519069480881</v>
      </c>
      <c r="E46" s="122">
        <f t="shared" si="123"/>
        <v>109.728899526148</v>
      </c>
      <c r="F46" s="122">
        <f t="shared" si="123"/>
        <v>107.829209560135</v>
      </c>
      <c r="G46" s="123"/>
      <c r="H46" s="123"/>
      <c r="I46" s="123"/>
      <c r="J46" s="123"/>
      <c r="K46" s="122">
        <f t="shared" si="123"/>
        <v>123.632777741316</v>
      </c>
      <c r="L46" s="123">
        <f t="shared" si="123"/>
        <v>129.572427874287</v>
      </c>
      <c r="M46" s="123">
        <f t="shared" si="123"/>
        <v>131.177663298658</v>
      </c>
      <c r="N46" s="123">
        <f t="shared" si="123"/>
        <v>150.680950455435</v>
      </c>
      <c r="O46" s="123">
        <f t="shared" si="123"/>
        <v>87.379984552508</v>
      </c>
      <c r="P46" s="122">
        <f t="shared" si="123"/>
        <v>120.822498720349</v>
      </c>
      <c r="Q46" s="123">
        <f t="shared" si="123"/>
        <v>119.149504702436</v>
      </c>
      <c r="R46" s="123">
        <f t="shared" si="123"/>
        <v>150.722505896226</v>
      </c>
      <c r="S46" s="123">
        <f t="shared" si="123"/>
        <v>162.826241134752</v>
      </c>
      <c r="T46" s="123">
        <f t="shared" si="123"/>
        <v>88.297284814187</v>
      </c>
      <c r="U46" s="122">
        <f t="shared" si="123"/>
        <v>117.831244158816</v>
      </c>
      <c r="V46" s="123">
        <f t="shared" si="123"/>
        <v>140.923905579399</v>
      </c>
      <c r="W46" s="123">
        <f t="shared" si="123"/>
        <v>155.765921103244</v>
      </c>
      <c r="X46" s="123">
        <f t="shared" si="123"/>
        <v>164.080636634822</v>
      </c>
      <c r="Y46" s="123">
        <f t="shared" si="123"/>
        <v>88.5887198751061</v>
      </c>
      <c r="Z46" s="122">
        <f t="shared" si="123"/>
        <v>113.956168944694</v>
      </c>
      <c r="AA46" s="123">
        <f t="shared" si="123"/>
        <v>118.904841044883</v>
      </c>
      <c r="AB46" s="123">
        <f t="shared" si="123"/>
        <v>118.206966347508</v>
      </c>
      <c r="AC46" s="123">
        <f t="shared" si="123"/>
        <v>138.824517692887</v>
      </c>
      <c r="AD46" s="123">
        <f t="shared" si="123"/>
        <v>77.791595938498</v>
      </c>
      <c r="AE46" s="122">
        <f t="shared" si="123"/>
        <v>107.159893930186</v>
      </c>
      <c r="AF46" s="123">
        <f t="shared" si="123"/>
        <v>108.131778113935</v>
      </c>
      <c r="AG46" s="123">
        <f t="shared" si="123"/>
        <v>114.127831661463</v>
      </c>
      <c r="AH46" s="123">
        <f t="shared" si="123"/>
        <v>133.869641491099</v>
      </c>
      <c r="AI46" s="123">
        <f t="shared" ref="AI46" si="124">AI44/(AI37/(AI$5*7))</f>
        <v>79.1113946822648</v>
      </c>
      <c r="AJ46" s="122">
        <f>AJ44/(AJ37/(AJ5*7))</f>
        <v>105.512481738729</v>
      </c>
      <c r="AK46" s="123">
        <f t="shared" ref="AK46:AL46" si="125">AK44/(AK37/(AK$5*7))</f>
        <v>118.164897858582</v>
      </c>
      <c r="AL46" s="123">
        <f t="shared" si="125"/>
        <v>115.639419105831</v>
      </c>
      <c r="AM46" s="124">
        <v>136.1</v>
      </c>
      <c r="AN46" s="124">
        <v>81.85</v>
      </c>
      <c r="AO46" s="122">
        <f>AO44/(AO37/(AO5*7))</f>
        <v>109.792778097062</v>
      </c>
      <c r="AP46" s="124">
        <v>116.1</v>
      </c>
      <c r="AQ46" s="124">
        <v>120.45</v>
      </c>
      <c r="AR46" s="124">
        <v>135</v>
      </c>
      <c r="AS46" s="124">
        <v>85.1</v>
      </c>
      <c r="AT46" s="122">
        <f>AT44/(AT37/(AT5*7))</f>
        <v>113.808928901083</v>
      </c>
      <c r="AU46" s="124">
        <v>112.3</v>
      </c>
      <c r="AV46" s="124">
        <v>126.6</v>
      </c>
      <c r="AW46" s="124">
        <v>131.9</v>
      </c>
      <c r="AX46" s="124">
        <v>90.1</v>
      </c>
      <c r="AY46" s="122">
        <f>AY44/(AY37/(AY5*7))</f>
        <v>120.342287792342</v>
      </c>
    </row>
    <row r="47" spans="1:51">
      <c r="G47" s="1"/>
      <c r="H47" s="1"/>
      <c r="I47" s="1"/>
      <c r="J47" s="1"/>
      <c r="K47" s="5"/>
      <c r="L47" s="1"/>
      <c r="M47" s="1"/>
      <c r="N47" s="1"/>
      <c r="O47" s="1"/>
      <c r="P47" s="5"/>
      <c r="Q47" s="1"/>
      <c r="R47" s="1"/>
      <c r="S47" s="1"/>
      <c r="T47" s="1"/>
      <c r="U47" s="5"/>
      <c r="V47" s="1"/>
      <c r="W47" s="1"/>
      <c r="X47" s="1"/>
      <c r="Y47" s="1"/>
      <c r="Z47" s="5"/>
    </row>
    <row r="48" spans="1:51">
      <c r="A48" s="116" t="s">
        <v>248</v>
      </c>
      <c r="B48" s="117"/>
      <c r="C48" s="117"/>
      <c r="D48" s="117"/>
      <c r="E48" s="117"/>
      <c r="F48" s="117"/>
      <c r="G48" s="1"/>
      <c r="H48" s="1"/>
      <c r="I48" s="1"/>
      <c r="J48" s="1"/>
      <c r="K48" s="5"/>
      <c r="L48" s="1"/>
      <c r="M48" s="1"/>
      <c r="N48" s="1"/>
      <c r="O48" s="1"/>
      <c r="P48" s="5"/>
      <c r="Q48" s="1"/>
      <c r="R48" s="1"/>
      <c r="S48" s="1"/>
      <c r="T48" s="1"/>
      <c r="U48" s="5"/>
      <c r="V48" s="1"/>
      <c r="W48" s="1"/>
      <c r="X48" s="1"/>
      <c r="Y48" s="1"/>
      <c r="Z48" s="5"/>
    </row>
    <row r="49" spans="1:51">
      <c r="A49" s="3" t="s">
        <v>249</v>
      </c>
      <c r="C49" s="118">
        <f>C8/B8-1</f>
        <v>0.64211859041992</v>
      </c>
      <c r="D49" s="118">
        <f>D8/C8-1</f>
        <v>-0.146277734943888</v>
      </c>
      <c r="E49" s="118">
        <f>E8/D8-1</f>
        <v>-0.0829361296472831</v>
      </c>
      <c r="F49" s="118">
        <f>F8/E8-1</f>
        <v>0.0976447094868147</v>
      </c>
      <c r="G49" s="1"/>
      <c r="H49" s="119"/>
      <c r="I49" s="119"/>
      <c r="J49" s="119"/>
      <c r="K49" s="83">
        <f t="shared" ref="K49:AT49" si="126">K8/F8-1</f>
        <v>0.0449340195137755</v>
      </c>
      <c r="L49" s="119">
        <f t="shared" si="126"/>
        <v>0.216405871004862</v>
      </c>
      <c r="M49" s="119">
        <f t="shared" si="126"/>
        <v>-0.0132694768067207</v>
      </c>
      <c r="N49" s="119">
        <f t="shared" si="126"/>
        <v>-0.0631721939061903</v>
      </c>
      <c r="O49" s="119">
        <f t="shared" si="126"/>
        <v>-0.175954303158949</v>
      </c>
      <c r="P49" s="83">
        <f t="shared" si="126"/>
        <v>-0.175954303158949</v>
      </c>
      <c r="Q49" s="119">
        <f t="shared" si="126"/>
        <v>-0.176347835764832</v>
      </c>
      <c r="R49" s="119">
        <f t="shared" si="126"/>
        <v>-0.084118369267134</v>
      </c>
      <c r="S49" s="119">
        <f t="shared" si="126"/>
        <v>0.299843014128728</v>
      </c>
      <c r="T49" s="119">
        <f t="shared" si="126"/>
        <v>0.512344071083326</v>
      </c>
      <c r="U49" s="83">
        <f t="shared" si="126"/>
        <v>0.512344071083326</v>
      </c>
      <c r="V49" s="119">
        <f t="shared" si="126"/>
        <v>0.195277399304109</v>
      </c>
      <c r="W49" s="119">
        <f t="shared" si="126"/>
        <v>0.410636431971937</v>
      </c>
      <c r="X49" s="119">
        <f t="shared" si="126"/>
        <v>-0.107921230224582</v>
      </c>
      <c r="Y49" s="119">
        <f t="shared" si="126"/>
        <v>-0.250320555757564</v>
      </c>
      <c r="Z49" s="83">
        <f t="shared" si="126"/>
        <v>-0.250320555757564</v>
      </c>
      <c r="AA49" s="119">
        <f t="shared" si="126"/>
        <v>-0.118173510819697</v>
      </c>
      <c r="AB49" s="119">
        <f t="shared" si="126"/>
        <v>0.0220254536088884</v>
      </c>
      <c r="AC49" s="119">
        <f t="shared" si="126"/>
        <v>0.153169632707054</v>
      </c>
      <c r="AD49" s="119">
        <f t="shared" si="126"/>
        <v>0.344344318791004</v>
      </c>
      <c r="AE49" s="83">
        <f t="shared" si="126"/>
        <v>0.344344318791004</v>
      </c>
      <c r="AF49" s="119">
        <f t="shared" si="126"/>
        <v>0.210522942150526</v>
      </c>
      <c r="AG49" s="119">
        <f t="shared" si="126"/>
        <v>0.512031074845538</v>
      </c>
      <c r="AH49" s="119">
        <f t="shared" si="126"/>
        <v>0.180654759237518</v>
      </c>
      <c r="AI49" s="119">
        <f t="shared" si="126"/>
        <v>0.393386122821009</v>
      </c>
      <c r="AJ49" s="83">
        <f t="shared" si="126"/>
        <v>0.393386122821009</v>
      </c>
      <c r="AK49" s="119">
        <f t="shared" si="126"/>
        <v>0.288859863561349</v>
      </c>
      <c r="AL49" s="119">
        <f t="shared" si="126"/>
        <v>0.0939482758620689</v>
      </c>
      <c r="AM49" s="119">
        <f t="shared" si="126"/>
        <v>-0.0958427961090157</v>
      </c>
      <c r="AN49" s="119">
        <f t="shared" si="126"/>
        <v>0.0950784737003019</v>
      </c>
      <c r="AO49" s="83">
        <f t="shared" si="126"/>
        <v>0.0950784737003019</v>
      </c>
      <c r="AP49" s="119">
        <f t="shared" si="126"/>
        <v>-0.257010628359055</v>
      </c>
      <c r="AQ49" s="119">
        <f t="shared" si="126"/>
        <v>-0.372467450047995</v>
      </c>
      <c r="AR49" s="119">
        <f t="shared" si="126"/>
        <v>0.367383610129479</v>
      </c>
      <c r="AS49" s="119">
        <f t="shared" si="126"/>
        <v>-0.0454725959465604</v>
      </c>
      <c r="AT49" s="83">
        <f t="shared" si="126"/>
        <v>-0.0454725959465604</v>
      </c>
      <c r="AU49" s="119">
        <f t="shared" ref="AU49" si="127">AU8/AP8-1</f>
        <v>0.458765206487565</v>
      </c>
      <c r="AV49" s="119">
        <f t="shared" ref="AV49" si="128">AV8/AQ8-1</f>
        <v>0.167063735666666</v>
      </c>
      <c r="AW49" s="119">
        <f t="shared" ref="AW49" si="129">AW8/AR8-1</f>
        <v>0.0744458677000333</v>
      </c>
      <c r="AX49" s="119">
        <f t="shared" ref="AX49" si="130">AX8/AS8-1</f>
        <v>0.0738923886744933</v>
      </c>
      <c r="AY49" s="83">
        <f t="shared" ref="AY49" si="131">AY8/AT8-1</f>
        <v>0.0738923886744933</v>
      </c>
    </row>
    <row r="50" spans="1:51">
      <c r="A50" s="3" t="s">
        <v>250</v>
      </c>
      <c r="C50" s="79">
        <f t="shared" ref="C50:F50" si="132">AVERAGE(B8:C8)</f>
        <v>75126</v>
      </c>
      <c r="D50" s="79">
        <f t="shared" si="132"/>
        <v>86554</v>
      </c>
      <c r="E50" s="79">
        <f t="shared" si="132"/>
        <v>76418</v>
      </c>
      <c r="F50" s="79">
        <f t="shared" si="132"/>
        <v>76681.5</v>
      </c>
      <c r="G50" s="6"/>
      <c r="H50" s="6"/>
      <c r="I50" s="6"/>
      <c r="J50" s="6"/>
      <c r="K50" s="79">
        <f>AVERAGE(K8,F8)</f>
        <v>82054</v>
      </c>
      <c r="L50" s="6">
        <f t="shared" ref="L50:AL50" si="133">AVERAGE(L8,G8)</f>
        <v>98230</v>
      </c>
      <c r="M50" s="6">
        <f t="shared" si="133"/>
        <v>87737</v>
      </c>
      <c r="N50" s="6">
        <f t="shared" si="133"/>
        <v>86260.5</v>
      </c>
      <c r="O50" s="6">
        <f t="shared" si="133"/>
        <v>76479.5</v>
      </c>
      <c r="P50" s="79">
        <f t="shared" si="133"/>
        <v>76479.5</v>
      </c>
      <c r="Q50" s="6">
        <f t="shared" si="133"/>
        <v>98314</v>
      </c>
      <c r="R50" s="6">
        <f t="shared" si="133"/>
        <v>83485.5</v>
      </c>
      <c r="S50" s="6">
        <f t="shared" si="133"/>
        <v>95957.5</v>
      </c>
      <c r="T50" s="6">
        <f t="shared" si="133"/>
        <v>86804</v>
      </c>
      <c r="U50" s="79">
        <f t="shared" si="133"/>
        <v>86804</v>
      </c>
      <c r="V50" s="6">
        <f t="shared" si="133"/>
        <v>97478</v>
      </c>
      <c r="W50" s="6">
        <f t="shared" si="133"/>
        <v>96208.5</v>
      </c>
      <c r="X50" s="6">
        <f t="shared" si="133"/>
        <v>102615</v>
      </c>
      <c r="Y50" s="6">
        <f t="shared" si="133"/>
        <v>91426</v>
      </c>
      <c r="Z50" s="79">
        <f t="shared" si="133"/>
        <v>91426</v>
      </c>
      <c r="AA50" s="6">
        <f t="shared" si="133"/>
        <v>99877</v>
      </c>
      <c r="AB50" s="6">
        <f t="shared" si="133"/>
        <v>113837</v>
      </c>
      <c r="AC50" s="6">
        <f t="shared" si="133"/>
        <v>104172.5</v>
      </c>
      <c r="AD50" s="6">
        <f t="shared" si="133"/>
        <v>91835</v>
      </c>
      <c r="AE50" s="79">
        <f t="shared" si="133"/>
        <v>91835</v>
      </c>
      <c r="AF50" s="6">
        <f t="shared" si="133"/>
        <v>103458</v>
      </c>
      <c r="AG50" s="6">
        <f t="shared" si="133"/>
        <v>144538.5</v>
      </c>
      <c r="AH50" s="6">
        <f t="shared" si="133"/>
        <v>121662</v>
      </c>
      <c r="AI50" s="6">
        <f t="shared" si="133"/>
        <v>126040.5</v>
      </c>
      <c r="AJ50" s="79">
        <f t="shared" si="133"/>
        <v>126040.5</v>
      </c>
      <c r="AK50" s="6">
        <f t="shared" si="133"/>
        <v>129676.5</v>
      </c>
      <c r="AL50" s="6">
        <f t="shared" si="133"/>
        <v>182173.5</v>
      </c>
      <c r="AM50" s="6">
        <f>AM52*(AM$36/(AM$5*7))</f>
        <v>125427.787098901</v>
      </c>
      <c r="AN50" s="6">
        <f>AN52*(AN36/(AN5*7))</f>
        <v>153733.715782418</v>
      </c>
      <c r="AO50" s="79">
        <f>AVERAGE(AO8,AJ8)</f>
        <v>153733.715782418</v>
      </c>
      <c r="AP50" s="6">
        <f>AP52*(AP$36/(AP$5*7))</f>
        <v>127274.826906593</v>
      </c>
      <c r="AQ50" s="6">
        <f>AQ52*(AQ36/(AQ5*7))</f>
        <v>154897.969142857</v>
      </c>
      <c r="AR50" s="6">
        <f>AR52*(AR$36/(AR$5*7))</f>
        <v>140994.945341714</v>
      </c>
      <c r="AS50" s="6">
        <f>AS52*(AS36/(AS5*7))</f>
        <v>157056.471305363</v>
      </c>
      <c r="AT50" s="79">
        <f>AVERAGE(AT8,AO8)</f>
        <v>157056.471305363</v>
      </c>
      <c r="AU50" s="6">
        <f>AU52*(AU$36/(AU$5*7))</f>
        <v>133397.421916731</v>
      </c>
      <c r="AV50" s="6">
        <f>AV52*(AV36/(AV5*7))</f>
        <v>129426.731211429</v>
      </c>
      <c r="AW50" s="6">
        <f>AW52*(AW$36/(AW$5*7))</f>
        <v>168938.013616971</v>
      </c>
      <c r="AX50" s="6">
        <f>AX52*(AX36/(AX5*7))</f>
        <v>159070.150030813</v>
      </c>
      <c r="AY50" s="79">
        <f>AVERAGE(AY8,AT8)</f>
        <v>159070.150030813</v>
      </c>
    </row>
    <row r="51" spans="1:51">
      <c r="A51" s="3" t="s">
        <v>251</v>
      </c>
      <c r="C51" s="120">
        <f>C38/C50</f>
        <v>44.2821393392434</v>
      </c>
      <c r="D51" s="120">
        <f>D38/D50</f>
        <v>40.3527277768792</v>
      </c>
      <c r="E51" s="120">
        <f>E38/E50</f>
        <v>46.9798869376325</v>
      </c>
      <c r="F51" s="120">
        <f>F38/F50</f>
        <v>47.2483323878641</v>
      </c>
      <c r="G51" s="1"/>
      <c r="H51" s="121"/>
      <c r="I51" s="121"/>
      <c r="J51" s="121"/>
      <c r="K51" s="120">
        <f t="shared" ref="K51:AJ51" si="134">K38/K50</f>
        <v>38.0893557900895</v>
      </c>
      <c r="L51" s="121">
        <f t="shared" si="134"/>
        <v>34.8308052529777</v>
      </c>
      <c r="M51" s="121">
        <f t="shared" si="134"/>
        <v>40.8944003100174</v>
      </c>
      <c r="N51" s="121">
        <f t="shared" si="134"/>
        <v>42.585644646159</v>
      </c>
      <c r="O51" s="121">
        <f t="shared" si="134"/>
        <v>48.5459240711563</v>
      </c>
      <c r="P51" s="120">
        <f t="shared" si="134"/>
        <v>48.5459240711563</v>
      </c>
      <c r="Q51" s="121">
        <f t="shared" si="134"/>
        <v>38.0833350285819</v>
      </c>
      <c r="R51" s="121">
        <f t="shared" si="134"/>
        <v>44.131807319834</v>
      </c>
      <c r="S51" s="121">
        <f t="shared" si="134"/>
        <v>38.1344866216815</v>
      </c>
      <c r="T51" s="121">
        <f t="shared" si="134"/>
        <v>42.5988548914797</v>
      </c>
      <c r="U51" s="120">
        <f t="shared" si="134"/>
        <v>42.5988548914797</v>
      </c>
      <c r="V51" s="121">
        <f t="shared" si="134"/>
        <v>38.1725414965428</v>
      </c>
      <c r="W51" s="121">
        <f t="shared" si="134"/>
        <v>40.0301116845185</v>
      </c>
      <c r="X51" s="121">
        <f t="shared" si="134"/>
        <v>39.2494664522731</v>
      </c>
      <c r="Y51" s="121">
        <f t="shared" si="134"/>
        <v>46.8212215343557</v>
      </c>
      <c r="Z51" s="120">
        <f t="shared" si="134"/>
        <v>46.8212215343557</v>
      </c>
      <c r="AA51" s="121">
        <f t="shared" si="134"/>
        <v>44.709122220331</v>
      </c>
      <c r="AB51" s="121">
        <f t="shared" si="134"/>
        <v>40.9712307949085</v>
      </c>
      <c r="AC51" s="121">
        <f t="shared" si="134"/>
        <v>46.2365499532026</v>
      </c>
      <c r="AD51" s="121">
        <f t="shared" si="134"/>
        <v>53.8856318397125</v>
      </c>
      <c r="AE51" s="120">
        <f t="shared" si="134"/>
        <v>53.8856318397125</v>
      </c>
      <c r="AF51" s="121">
        <f t="shared" si="134"/>
        <v>48.5720582265267</v>
      </c>
      <c r="AG51" s="121">
        <f t="shared" si="134"/>
        <v>35.2830145601345</v>
      </c>
      <c r="AH51" s="121">
        <f t="shared" si="134"/>
        <v>42.5885403823708</v>
      </c>
      <c r="AI51" s="121">
        <f t="shared" ref="AI51" si="135">AI38/AI50</f>
        <v>41.7825381524193</v>
      </c>
      <c r="AJ51" s="120">
        <f t="shared" si="134"/>
        <v>41.7825381524193</v>
      </c>
      <c r="AK51" s="121">
        <f t="shared" ref="AK51:AL51" si="136">AK38/AK50</f>
        <v>40.7383141895409</v>
      </c>
      <c r="AL51" s="121">
        <f t="shared" si="136"/>
        <v>29.3178261382693</v>
      </c>
      <c r="AM51" s="121">
        <f>AM$38/AM50</f>
        <v>43.1901868421584</v>
      </c>
      <c r="AN51" s="121">
        <f>AN38/AN50</f>
        <v>35.998191234983</v>
      </c>
      <c r="AO51" s="120">
        <f>AO38/AO50</f>
        <v>35.998191234983</v>
      </c>
      <c r="AP51" s="121">
        <f>AP$38/AP50</f>
        <v>43.8761997617826</v>
      </c>
      <c r="AQ51" s="121">
        <f>AQ38/AQ50</f>
        <v>36.3788067795971</v>
      </c>
      <c r="AR51" s="121">
        <f>AR$38/AR50</f>
        <v>40.3041309674436</v>
      </c>
      <c r="AS51" s="121">
        <f>AS38/AS50</f>
        <v>36.5786198470629</v>
      </c>
      <c r="AT51" s="120">
        <f>AT38/AT50</f>
        <v>36.5786198470629</v>
      </c>
      <c r="AU51" s="121">
        <f>AU$38/AU50</f>
        <v>43.3056706160036</v>
      </c>
      <c r="AV51" s="121">
        <f>AV38/AV50</f>
        <v>44.9156217988196</v>
      </c>
      <c r="AW51" s="121">
        <f>AW$38/AW50</f>
        <v>34.6627702124806</v>
      </c>
      <c r="AX51" s="121">
        <f>AX38/AX50</f>
        <v>37.1634585948582</v>
      </c>
      <c r="AY51" s="120">
        <f>AY38/AY50</f>
        <v>37.1634585948582</v>
      </c>
    </row>
    <row r="52" spans="1:51">
      <c r="A52" s="3" t="s">
        <v>252</v>
      </c>
      <c r="C52" s="122">
        <f t="shared" ref="C52:AH52" si="137">C50/(C36/(C$5*7))</f>
        <v>8.22001839638806</v>
      </c>
      <c r="D52" s="122">
        <f t="shared" si="137"/>
        <v>9.19392617151823</v>
      </c>
      <c r="E52" s="122">
        <f t="shared" si="137"/>
        <v>7.74799650929819</v>
      </c>
      <c r="F52" s="122">
        <f t="shared" si="137"/>
        <v>7.70397560303091</v>
      </c>
      <c r="G52" s="123"/>
      <c r="H52" s="123"/>
      <c r="I52" s="123"/>
      <c r="J52" s="123"/>
      <c r="K52" s="122">
        <f t="shared" si="137"/>
        <v>9.55647562027578</v>
      </c>
      <c r="L52" s="123">
        <f t="shared" si="137"/>
        <v>11.439560791139</v>
      </c>
      <c r="M52" s="123">
        <f t="shared" si="137"/>
        <v>9.23173613921489</v>
      </c>
      <c r="N52" s="123">
        <f t="shared" si="137"/>
        <v>8.67217453267931</v>
      </c>
      <c r="O52" s="123">
        <f t="shared" si="137"/>
        <v>5.99269515814744</v>
      </c>
      <c r="P52" s="122">
        <f t="shared" si="137"/>
        <v>7.49805482055437</v>
      </c>
      <c r="Q52" s="123">
        <f t="shared" si="137"/>
        <v>11.0076184664145</v>
      </c>
      <c r="R52" s="123">
        <f t="shared" si="137"/>
        <v>9.43642457809117</v>
      </c>
      <c r="S52" s="123">
        <f t="shared" si="137"/>
        <v>9.92193074751956</v>
      </c>
      <c r="T52" s="123">
        <f t="shared" si="137"/>
        <v>6.58365713352236</v>
      </c>
      <c r="U52" s="122">
        <f t="shared" si="137"/>
        <v>8.54483062813045</v>
      </c>
      <c r="V52" s="123">
        <f t="shared" si="137"/>
        <v>10.6107196941605</v>
      </c>
      <c r="W52" s="123">
        <f t="shared" si="137"/>
        <v>9.36015427462594</v>
      </c>
      <c r="X52" s="123">
        <f t="shared" si="137"/>
        <v>8.83916223586775</v>
      </c>
      <c r="Y52" s="123">
        <f t="shared" si="137"/>
        <v>6.16677323462548</v>
      </c>
      <c r="Z52" s="122">
        <f t="shared" si="137"/>
        <v>7.92375738697407</v>
      </c>
      <c r="AA52" s="123">
        <f t="shared" si="137"/>
        <v>8.90422246823352</v>
      </c>
      <c r="AB52" s="123">
        <f t="shared" si="137"/>
        <v>9.13527735203805</v>
      </c>
      <c r="AC52" s="123">
        <f t="shared" si="137"/>
        <v>7.84116137261097</v>
      </c>
      <c r="AD52" s="123">
        <f t="shared" si="137"/>
        <v>5.27282185754838</v>
      </c>
      <c r="AE52" s="122">
        <f t="shared" si="137"/>
        <v>6.75504745091882</v>
      </c>
      <c r="AF52" s="123">
        <f t="shared" si="137"/>
        <v>8.57977182403166</v>
      </c>
      <c r="AG52" s="123">
        <f t="shared" si="137"/>
        <v>10.8832027371417</v>
      </c>
      <c r="AH52" s="123">
        <f t="shared" si="137"/>
        <v>8.57824191337645</v>
      </c>
      <c r="AI52" s="123">
        <f t="shared" ref="AI52" si="138">AI50/(AI36/(AI$5*7))</f>
        <v>6.86888954498797</v>
      </c>
      <c r="AJ52" s="122">
        <f>AJ50/(AJ36/(AJ5*7))</f>
        <v>8.71177329323934</v>
      </c>
      <c r="AK52" s="123">
        <f t="shared" ref="AK52:AL52" si="139">AK50/(AK36/(AK$5*7))</f>
        <v>10.5946660190461</v>
      </c>
      <c r="AL52" s="123">
        <f t="shared" si="139"/>
        <v>13.0874970099211</v>
      </c>
      <c r="AM52" s="125">
        <v>8.35</v>
      </c>
      <c r="AN52" s="125">
        <v>7.83</v>
      </c>
      <c r="AO52" s="122">
        <f>AO50/(AO36/(AO5*7))</f>
        <v>10.111619153972</v>
      </c>
      <c r="AP52" s="125">
        <v>9.95</v>
      </c>
      <c r="AQ52" s="125">
        <v>10.7</v>
      </c>
      <c r="AR52" s="125">
        <v>9.07</v>
      </c>
      <c r="AS52" s="125">
        <v>7.73</v>
      </c>
      <c r="AT52" s="122">
        <f>AT50/(AT36/(AT5*7))</f>
        <v>9.9511682376728</v>
      </c>
      <c r="AU52" s="125">
        <v>10.15</v>
      </c>
      <c r="AV52" s="125">
        <v>8.7</v>
      </c>
      <c r="AW52" s="125">
        <v>10.55</v>
      </c>
      <c r="AX52" s="125">
        <v>7.6</v>
      </c>
      <c r="AY52" s="122">
        <f>AY50/(AY36/(AY5*7))</f>
        <v>9.79456739934216</v>
      </c>
    </row>
    <row r="53" spans="1:51">
      <c r="G53" s="1"/>
      <c r="H53" s="1"/>
      <c r="I53" s="1"/>
      <c r="J53" s="1"/>
      <c r="K53" s="5"/>
      <c r="L53" s="1"/>
      <c r="M53" s="1"/>
      <c r="N53" s="1"/>
      <c r="O53" s="1"/>
      <c r="P53" s="5"/>
      <c r="Q53" s="1"/>
      <c r="R53" s="1"/>
      <c r="S53" s="1"/>
      <c r="T53" s="1"/>
      <c r="U53" s="5"/>
      <c r="V53" s="1"/>
      <c r="W53" s="1"/>
      <c r="X53" s="1"/>
      <c r="Y53" s="1"/>
      <c r="Z53" s="5"/>
    </row>
    <row r="54" spans="1:51">
      <c r="A54" s="116" t="s">
        <v>253</v>
      </c>
      <c r="B54" s="117"/>
      <c r="C54" s="117"/>
      <c r="D54" s="117"/>
      <c r="E54" s="117"/>
      <c r="F54" s="117"/>
      <c r="G54" s="1"/>
      <c r="H54" s="1"/>
      <c r="I54" s="1"/>
      <c r="J54" s="1"/>
      <c r="K54" s="5"/>
      <c r="L54" s="1"/>
      <c r="M54" s="1"/>
      <c r="N54" s="1"/>
      <c r="O54" s="1"/>
      <c r="P54" s="5"/>
      <c r="Q54" s="1"/>
      <c r="R54" s="1"/>
      <c r="S54" s="1"/>
      <c r="T54" s="1"/>
      <c r="U54" s="5"/>
      <c r="V54" s="1"/>
      <c r="W54" s="1"/>
      <c r="X54" s="1"/>
      <c r="Y54" s="1"/>
      <c r="Z54" s="5"/>
    </row>
    <row r="55" spans="1:51">
      <c r="A55" s="3" t="s">
        <v>254</v>
      </c>
      <c r="C55" s="118">
        <f>C17/B17-1</f>
        <v>0.0154309759739377</v>
      </c>
      <c r="D55" s="118">
        <f>D17/C17-1</f>
        <v>-0.0970446536945839</v>
      </c>
      <c r="E55" s="118">
        <f>E17/D17-1</f>
        <v>0.343522751498212</v>
      </c>
      <c r="F55" s="118">
        <f>F17/E17-1</f>
        <v>-0.0306728726452102</v>
      </c>
      <c r="G55" s="1"/>
      <c r="H55" s="119"/>
      <c r="I55" s="119"/>
      <c r="J55" s="119"/>
      <c r="K55" s="83">
        <f t="shared" ref="K55:AT55" si="140">K17/F17-1</f>
        <v>0.315920861771834</v>
      </c>
      <c r="L55" s="119">
        <f t="shared" si="140"/>
        <v>0.454201920772733</v>
      </c>
      <c r="M55" s="119">
        <f t="shared" si="140"/>
        <v>0.0184856150671484</v>
      </c>
      <c r="N55" s="119">
        <f t="shared" si="140"/>
        <v>0.268195056381151</v>
      </c>
      <c r="O55" s="119">
        <f t="shared" si="140"/>
        <v>0.295211405824545</v>
      </c>
      <c r="P55" s="83">
        <f t="shared" si="140"/>
        <v>0.295211405824545</v>
      </c>
      <c r="Q55" s="119">
        <f t="shared" si="140"/>
        <v>0.315569978070454</v>
      </c>
      <c r="R55" s="119">
        <f t="shared" si="140"/>
        <v>0.410474134208481</v>
      </c>
      <c r="S55" s="119">
        <f t="shared" si="140"/>
        <v>-0.241266252119842</v>
      </c>
      <c r="T55" s="119">
        <f t="shared" si="140"/>
        <v>-0.3092983733916</v>
      </c>
      <c r="U55" s="83">
        <f t="shared" si="140"/>
        <v>-0.3092983733916</v>
      </c>
      <c r="V55" s="119">
        <f t="shared" si="140"/>
        <v>-0.288307125054601</v>
      </c>
      <c r="W55" s="119">
        <f t="shared" si="140"/>
        <v>-0.2084267089888</v>
      </c>
      <c r="X55" s="119">
        <f t="shared" si="140"/>
        <v>0.160811851189589</v>
      </c>
      <c r="Y55" s="119">
        <f t="shared" si="140"/>
        <v>0.147090519322505</v>
      </c>
      <c r="Z55" s="83">
        <f t="shared" si="140"/>
        <v>0.147090519322505</v>
      </c>
      <c r="AA55" s="119">
        <f t="shared" si="140"/>
        <v>0.204605865867582</v>
      </c>
      <c r="AB55" s="119">
        <f t="shared" si="140"/>
        <v>0.258538909705226</v>
      </c>
      <c r="AC55" s="119">
        <f t="shared" si="140"/>
        <v>0.247032867114166</v>
      </c>
      <c r="AD55" s="119">
        <f t="shared" si="140"/>
        <v>0.227479661656161</v>
      </c>
      <c r="AE55" s="83">
        <f t="shared" si="140"/>
        <v>0.227479661656161</v>
      </c>
      <c r="AF55" s="119">
        <f t="shared" si="140"/>
        <v>0.111690549779901</v>
      </c>
      <c r="AG55" s="119">
        <f t="shared" si="140"/>
        <v>-0.0951553265348267</v>
      </c>
      <c r="AH55" s="119">
        <f t="shared" si="140"/>
        <v>-0.0102401228385834</v>
      </c>
      <c r="AI55" s="119">
        <f t="shared" si="140"/>
        <v>0.0354783667826144</v>
      </c>
      <c r="AJ55" s="83">
        <f t="shared" si="140"/>
        <v>0.0354783667826144</v>
      </c>
      <c r="AK55" s="119">
        <f t="shared" si="140"/>
        <v>-0.130731487035701</v>
      </c>
      <c r="AL55" s="119">
        <f t="shared" si="140"/>
        <v>-0.0376089183292533</v>
      </c>
      <c r="AM55" s="119">
        <f t="shared" si="140"/>
        <v>0.0251444779196943</v>
      </c>
      <c r="AN55" s="119">
        <f t="shared" si="140"/>
        <v>0.0754093012491222</v>
      </c>
      <c r="AO55" s="83">
        <f t="shared" si="140"/>
        <v>0.0754093012491222</v>
      </c>
      <c r="AP55" s="119">
        <f t="shared" si="140"/>
        <v>0.322650716028027</v>
      </c>
      <c r="AQ55" s="119">
        <f t="shared" si="140"/>
        <v>0.597681458128635</v>
      </c>
      <c r="AR55" s="119">
        <f t="shared" si="140"/>
        <v>0.13591553312157</v>
      </c>
      <c r="AS55" s="119">
        <f t="shared" si="140"/>
        <v>-0.0061116660523961</v>
      </c>
      <c r="AT55" s="83">
        <f t="shared" si="140"/>
        <v>-0.0061116660523961</v>
      </c>
      <c r="AU55" s="119">
        <f t="shared" ref="AU55" si="141">AU17/AP17-1</f>
        <v>-0.219669052882702</v>
      </c>
      <c r="AV55" s="119">
        <f t="shared" ref="AV55" si="142">AV17/AQ17-1</f>
        <v>-0.180582849434216</v>
      </c>
      <c r="AW55" s="119">
        <f t="shared" ref="AW55" si="143">AW17/AR17-1</f>
        <v>0.0401313263190073</v>
      </c>
      <c r="AX55" s="119">
        <f t="shared" ref="AX55" si="144">AX17/AS17-1</f>
        <v>0.0179877777640436</v>
      </c>
      <c r="AY55" s="83">
        <f t="shared" ref="AY55" si="145">AY17/AT17-1</f>
        <v>0.0179877777640436</v>
      </c>
    </row>
    <row r="56" spans="1:51">
      <c r="A56" s="3" t="s">
        <v>255</v>
      </c>
      <c r="C56" s="79">
        <f t="shared" ref="C56:F56" si="146">AVERAGE(B17:C17)</f>
        <v>185596</v>
      </c>
      <c r="D56" s="79">
        <f t="shared" si="146"/>
        <v>177942.5</v>
      </c>
      <c r="E56" s="79">
        <f t="shared" si="146"/>
        <v>197873</v>
      </c>
      <c r="F56" s="79">
        <f t="shared" si="146"/>
        <v>223398.5</v>
      </c>
      <c r="G56" s="6"/>
      <c r="H56" s="6"/>
      <c r="I56" s="6"/>
      <c r="J56" s="6"/>
      <c r="K56" s="79">
        <f>AVERAGE(K17,F17)</f>
        <v>254657.5</v>
      </c>
      <c r="L56" s="6">
        <f t="shared" ref="L56:AL56" si="147">AVERAGE(L17,G17)</f>
        <v>199707</v>
      </c>
      <c r="M56" s="6">
        <f t="shared" si="147"/>
        <v>286848</v>
      </c>
      <c r="N56" s="6">
        <f t="shared" si="147"/>
        <v>379667.5</v>
      </c>
      <c r="O56" s="6">
        <f t="shared" si="147"/>
        <v>332112.5</v>
      </c>
      <c r="P56" s="79">
        <f t="shared" si="147"/>
        <v>332112.5</v>
      </c>
      <c r="Q56" s="6">
        <f t="shared" si="147"/>
        <v>274009.5</v>
      </c>
      <c r="R56" s="6">
        <f t="shared" si="147"/>
        <v>348886</v>
      </c>
      <c r="S56" s="6">
        <f t="shared" si="147"/>
        <v>373344</v>
      </c>
      <c r="T56" s="6">
        <f t="shared" si="147"/>
        <v>316862</v>
      </c>
      <c r="U56" s="79">
        <f t="shared" si="147"/>
        <v>316862</v>
      </c>
      <c r="V56" s="6">
        <f t="shared" si="147"/>
        <v>266469.5</v>
      </c>
      <c r="W56" s="6">
        <f t="shared" si="147"/>
        <v>365747</v>
      </c>
      <c r="X56" s="6">
        <f t="shared" si="147"/>
        <v>348029</v>
      </c>
      <c r="Y56" s="6">
        <f t="shared" si="147"/>
        <v>277935.5</v>
      </c>
      <c r="Z56" s="79">
        <f t="shared" si="147"/>
        <v>277935.5</v>
      </c>
      <c r="AA56" s="6">
        <f t="shared" si="147"/>
        <v>244256</v>
      </c>
      <c r="AB56" s="6">
        <f t="shared" si="147"/>
        <v>364976.5</v>
      </c>
      <c r="AC56" s="6">
        <f t="shared" si="147"/>
        <v>420116.5</v>
      </c>
      <c r="AD56" s="6">
        <f t="shared" si="147"/>
        <v>330754</v>
      </c>
      <c r="AE56" s="79">
        <f t="shared" si="147"/>
        <v>330754</v>
      </c>
      <c r="AF56" s="6">
        <f t="shared" si="147"/>
        <v>281831.5</v>
      </c>
      <c r="AG56" s="6">
        <f t="shared" si="147"/>
        <v>387403.5</v>
      </c>
      <c r="AH56" s="6">
        <f t="shared" si="147"/>
        <v>463915.5</v>
      </c>
      <c r="AI56" s="6">
        <f t="shared" si="147"/>
        <v>370998.5</v>
      </c>
      <c r="AJ56" s="79">
        <f t="shared" si="147"/>
        <v>370998.5</v>
      </c>
      <c r="AK56" s="6">
        <f t="shared" si="147"/>
        <v>277341.5</v>
      </c>
      <c r="AL56" s="6">
        <f t="shared" si="147"/>
        <v>361130</v>
      </c>
      <c r="AM56" s="6">
        <f>AM58*(AM$37/(AM$5*7))</f>
        <v>467330.44030266</v>
      </c>
      <c r="AN56" s="6">
        <f>AN58*(AN$37/(AN$5*7))</f>
        <v>391697.185948</v>
      </c>
      <c r="AO56" s="79">
        <f>AVERAGE(AO17,AJ17)</f>
        <v>391697.185948</v>
      </c>
      <c r="AP56" s="6">
        <f>AP58*(AP$37/(AP$5*7))</f>
        <v>299558.069472925</v>
      </c>
      <c r="AQ56" s="6">
        <f>AQ58*(AQ$37/(AQ$5*7))</f>
        <v>460061.075801143</v>
      </c>
      <c r="AR56" s="6">
        <f>AR58*(AR$37/(AR$5*7))</f>
        <v>505285.934457729</v>
      </c>
      <c r="AS56" s="6">
        <f>AS58*(AS$37/(AS$5*7))</f>
        <v>404688.919515056</v>
      </c>
      <c r="AT56" s="79">
        <f>AVERAGE(AT17,AO17)</f>
        <v>404688.919515056</v>
      </c>
      <c r="AU56" s="6">
        <f>AU58*(AU$37/(AU$5*7))</f>
        <v>303698.768464276</v>
      </c>
      <c r="AV56" s="6">
        <f>AV58*(AV$37/(AV$5*7))</f>
        <v>514816.046877967</v>
      </c>
      <c r="AW56" s="6">
        <f>AW58*(AW$37/(AW$5*7))</f>
        <v>548223.058018353</v>
      </c>
      <c r="AX56" s="6">
        <f>AX58*(AX$37/(AX$5*7))</f>
        <v>407077.037817139</v>
      </c>
      <c r="AY56" s="79">
        <f>AVERAGE(AY17,AT17)</f>
        <v>407077.037817139</v>
      </c>
    </row>
    <row r="57" spans="1:51">
      <c r="A57" s="3" t="s">
        <v>256</v>
      </c>
      <c r="C57" s="120">
        <f t="shared" ref="C57:F57" si="148">C39/C56</f>
        <v>6.99461195284381</v>
      </c>
      <c r="D57" s="120">
        <f t="shared" si="148"/>
        <v>7.91743400255701</v>
      </c>
      <c r="E57" s="120">
        <f t="shared" si="148"/>
        <v>7.22783300399751</v>
      </c>
      <c r="F57" s="120">
        <f t="shared" si="148"/>
        <v>6.58981595668727</v>
      </c>
      <c r="G57" s="1"/>
      <c r="H57" s="121"/>
      <c r="I57" s="121"/>
      <c r="J57" s="121"/>
      <c r="K57" s="120">
        <f t="shared" ref="K57:AT57" si="149">K39/K56</f>
        <v>4.84642706380138</v>
      </c>
      <c r="L57" s="121">
        <f t="shared" si="149"/>
        <v>6.5057108664193</v>
      </c>
      <c r="M57" s="121">
        <f t="shared" si="149"/>
        <v>4.62224244199018</v>
      </c>
      <c r="N57" s="121">
        <f t="shared" si="149"/>
        <v>3.58096755713881</v>
      </c>
      <c r="O57" s="121">
        <f t="shared" si="149"/>
        <v>4.21776657006285</v>
      </c>
      <c r="P57" s="120">
        <f t="shared" si="149"/>
        <v>4.21776657006285</v>
      </c>
      <c r="Q57" s="121">
        <f t="shared" si="149"/>
        <v>5.39294440521223</v>
      </c>
      <c r="R57" s="121">
        <f t="shared" si="149"/>
        <v>4.34397768898723</v>
      </c>
      <c r="S57" s="121">
        <f t="shared" si="149"/>
        <v>4.14069865860975</v>
      </c>
      <c r="T57" s="121">
        <f t="shared" si="149"/>
        <v>5.02809740517954</v>
      </c>
      <c r="U57" s="120">
        <f t="shared" si="149"/>
        <v>5.02809740517954</v>
      </c>
      <c r="V57" s="121">
        <f t="shared" si="149"/>
        <v>5.84005674195358</v>
      </c>
      <c r="W57" s="121">
        <f t="shared" si="149"/>
        <v>4.28701260707538</v>
      </c>
      <c r="X57" s="121">
        <f t="shared" si="149"/>
        <v>4.53828847596034</v>
      </c>
      <c r="Y57" s="121">
        <f t="shared" si="149"/>
        <v>5.71091134453857</v>
      </c>
      <c r="Z57" s="120">
        <f t="shared" si="149"/>
        <v>5.71091134453857</v>
      </c>
      <c r="AA57" s="121">
        <f t="shared" si="149"/>
        <v>6.56826444386218</v>
      </c>
      <c r="AB57" s="121">
        <f t="shared" si="149"/>
        <v>4.52381180706155</v>
      </c>
      <c r="AC57" s="121">
        <f t="shared" si="149"/>
        <v>4.05210697508905</v>
      </c>
      <c r="AD57" s="121">
        <f t="shared" si="149"/>
        <v>5.36327905331455</v>
      </c>
      <c r="AE57" s="120">
        <f t="shared" si="149"/>
        <v>5.36327905331455</v>
      </c>
      <c r="AF57" s="121">
        <f t="shared" si="149"/>
        <v>6.55635015958117</v>
      </c>
      <c r="AG57" s="121">
        <f t="shared" si="149"/>
        <v>4.9087424352129</v>
      </c>
      <c r="AH57" s="121">
        <f t="shared" ref="AH57:AI57" si="150">AH39/AH56</f>
        <v>4.23202070204595</v>
      </c>
      <c r="AI57" s="121">
        <f t="shared" si="150"/>
        <v>5.46871213765015</v>
      </c>
      <c r="AJ57" s="120">
        <f t="shared" si="149"/>
        <v>5.46871213765015</v>
      </c>
      <c r="AK57" s="121">
        <f t="shared" ref="AK57:AL57" si="151">AK39/AK56</f>
        <v>7.30359142068533</v>
      </c>
      <c r="AL57" s="121">
        <f t="shared" si="151"/>
        <v>5.64923434774181</v>
      </c>
      <c r="AM57" s="121">
        <f t="shared" si="149"/>
        <v>4.38862662875245</v>
      </c>
      <c r="AN57" s="121">
        <f t="shared" si="149"/>
        <v>5.27938305544373</v>
      </c>
      <c r="AO57" s="120">
        <f t="shared" si="149"/>
        <v>5.27938305544373</v>
      </c>
      <c r="AP57" s="121">
        <f t="shared" si="149"/>
        <v>6.96161245572919</v>
      </c>
      <c r="AQ57" s="121">
        <f t="shared" si="149"/>
        <v>4.57055443657179</v>
      </c>
      <c r="AR57" s="121">
        <f t="shared" si="149"/>
        <v>4.19280731488597</v>
      </c>
      <c r="AS57" s="121">
        <f t="shared" si="149"/>
        <v>5.29016513048962</v>
      </c>
      <c r="AT57" s="120">
        <f t="shared" si="149"/>
        <v>5.29016513048962</v>
      </c>
      <c r="AU57" s="121">
        <f t="shared" ref="AU57:AY57" si="152">AU39/AU56</f>
        <v>7.08043844697443</v>
      </c>
      <c r="AV57" s="121">
        <f t="shared" si="152"/>
        <v>4.20283062488702</v>
      </c>
      <c r="AW57" s="121">
        <f t="shared" si="152"/>
        <v>3.97474125484337</v>
      </c>
      <c r="AX57" s="121">
        <f t="shared" si="152"/>
        <v>5.39655407321965</v>
      </c>
      <c r="AY57" s="120">
        <f t="shared" si="152"/>
        <v>5.39655407321965</v>
      </c>
    </row>
    <row r="58" spans="1:51">
      <c r="A58" s="3" t="s">
        <v>257</v>
      </c>
      <c r="C58" s="122">
        <f t="shared" ref="C58:AH58" si="153">C56/(C37/(C$5*7))</f>
        <v>52.040056325356</v>
      </c>
      <c r="D58" s="122">
        <f t="shared" si="153"/>
        <v>46.8586160465856</v>
      </c>
      <c r="E58" s="122">
        <f t="shared" si="153"/>
        <v>50.3608757699136</v>
      </c>
      <c r="F58" s="122">
        <f t="shared" si="153"/>
        <v>55.236747489225</v>
      </c>
      <c r="G58" s="123"/>
      <c r="H58" s="123"/>
      <c r="I58" s="123"/>
      <c r="J58" s="123"/>
      <c r="K58" s="122">
        <f t="shared" si="153"/>
        <v>75.1068767172347</v>
      </c>
      <c r="L58" s="123">
        <f t="shared" si="153"/>
        <v>63.4829829078041</v>
      </c>
      <c r="M58" s="123">
        <f t="shared" si="153"/>
        <v>86.6164551291623</v>
      </c>
      <c r="N58" s="123">
        <f t="shared" si="153"/>
        <v>105.041233932068</v>
      </c>
      <c r="O58" s="123">
        <f t="shared" si="153"/>
        <v>62.414140444136</v>
      </c>
      <c r="P58" s="122">
        <f t="shared" si="153"/>
        <v>86.3015991884481</v>
      </c>
      <c r="Q58" s="123">
        <f t="shared" si="153"/>
        <v>68.6502370490287</v>
      </c>
      <c r="R58" s="123">
        <f t="shared" si="153"/>
        <v>93.5985436320755</v>
      </c>
      <c r="S58" s="123">
        <f t="shared" si="153"/>
        <v>94.5653495440729</v>
      </c>
      <c r="T58" s="123">
        <f t="shared" si="153"/>
        <v>54.2481068765768</v>
      </c>
      <c r="U58" s="122">
        <f t="shared" si="153"/>
        <v>72.393187853727</v>
      </c>
      <c r="V58" s="123">
        <f t="shared" si="153"/>
        <v>74.3369849785408</v>
      </c>
      <c r="W58" s="123">
        <f t="shared" si="153"/>
        <v>94.8327525536734</v>
      </c>
      <c r="X58" s="123">
        <f t="shared" si="153"/>
        <v>85.4204017671714</v>
      </c>
      <c r="Y58" s="123">
        <f t="shared" si="153"/>
        <v>50.5020580786075</v>
      </c>
      <c r="Z58" s="122">
        <f t="shared" si="153"/>
        <v>64.96336182049</v>
      </c>
      <c r="AA58" s="123">
        <f t="shared" si="153"/>
        <v>64.7510756744632</v>
      </c>
      <c r="AB58" s="123">
        <f t="shared" si="153"/>
        <v>83.5098299774711</v>
      </c>
      <c r="AC58" s="123">
        <f t="shared" si="153"/>
        <v>90.58654397513</v>
      </c>
      <c r="AD58" s="123">
        <f t="shared" si="153"/>
        <v>49.2687332114381</v>
      </c>
      <c r="AE58" s="122">
        <f t="shared" si="153"/>
        <v>67.868928016163</v>
      </c>
      <c r="AF58" s="123">
        <f t="shared" si="153"/>
        <v>61.4831876164197</v>
      </c>
      <c r="AG58" s="123">
        <f t="shared" si="153"/>
        <v>78.0657642994752</v>
      </c>
      <c r="AH58" s="123">
        <f t="shared" si="153"/>
        <v>87.283293361176</v>
      </c>
      <c r="AI58" s="123">
        <f t="shared" ref="AI58:AJ58" si="154">AI56/(AI37/(AI$5*7))</f>
        <v>49.9058575797756</v>
      </c>
      <c r="AJ58" s="122">
        <f t="shared" si="154"/>
        <v>66.5604608247687</v>
      </c>
      <c r="AK58" s="123">
        <f t="shared" ref="AK58:AL58" si="155">AK56/(AK37/(AK$5*7))</f>
        <v>60.9854012922931</v>
      </c>
      <c r="AL58" s="123">
        <f t="shared" si="155"/>
        <v>70.5046030005857</v>
      </c>
      <c r="AM58" s="125">
        <v>86</v>
      </c>
      <c r="AN58" s="125">
        <v>51.4</v>
      </c>
      <c r="AO58" s="122">
        <f>AO56/(AO37/(AO$5*7))</f>
        <v>68.9474501428096</v>
      </c>
      <c r="AP58" s="125">
        <v>63.2</v>
      </c>
      <c r="AQ58" s="125">
        <v>86.6</v>
      </c>
      <c r="AR58" s="125">
        <v>90.1</v>
      </c>
      <c r="AS58" s="125">
        <v>51.45</v>
      </c>
      <c r="AT58" s="122">
        <f>AT56/(AT37/(AT$5*7))</f>
        <v>68.8069258749794</v>
      </c>
      <c r="AU58" s="125">
        <v>62.7</v>
      </c>
      <c r="AV58" s="125">
        <v>94.3</v>
      </c>
      <c r="AW58" s="125">
        <v>94.9</v>
      </c>
      <c r="AX58" s="125">
        <v>50.5</v>
      </c>
      <c r="AY58" s="122">
        <f>AY56/(AY37/(AY$5*7))</f>
        <v>67.4504498725115</v>
      </c>
    </row>
    <row r="59" spans="1:51">
      <c r="G59" s="1"/>
      <c r="H59" s="1"/>
      <c r="I59" s="1"/>
      <c r="J59" s="1"/>
      <c r="K59" s="5"/>
      <c r="L59" s="1"/>
      <c r="M59" s="1"/>
      <c r="N59" s="1"/>
      <c r="O59" s="1"/>
      <c r="P59" s="5"/>
      <c r="Q59" s="1"/>
      <c r="R59" s="1"/>
      <c r="S59" s="1"/>
      <c r="T59" s="1"/>
      <c r="U59" s="5"/>
      <c r="V59" s="1"/>
      <c r="W59" s="1"/>
      <c r="X59" s="1"/>
      <c r="Y59" s="1"/>
      <c r="Z59" s="5"/>
    </row>
    <row r="60" s="2" customFormat="1" spans="1:51">
      <c r="A60" s="126" t="s">
        <v>258</v>
      </c>
      <c r="B60" s="127">
        <f>SCF!B18</f>
        <v>309941</v>
      </c>
      <c r="C60" s="127">
        <f>SCF!C18</f>
        <v>184591</v>
      </c>
      <c r="D60" s="127">
        <f>SCF!D18</f>
        <v>287658</v>
      </c>
      <c r="E60" s="127">
        <f>SCF!E18</f>
        <v>352933</v>
      </c>
      <c r="F60" s="127">
        <f>SCF!F18</f>
        <v>300685</v>
      </c>
      <c r="G60" s="128">
        <f>SCF!G18</f>
        <v>-90776</v>
      </c>
      <c r="H60" s="128">
        <f>SCF!H18</f>
        <v>187009</v>
      </c>
      <c r="I60" s="128">
        <f>SCF!I18</f>
        <v>62661</v>
      </c>
      <c r="J60" s="128">
        <f>SCF!J18</f>
        <v>296024</v>
      </c>
      <c r="K60" s="127">
        <f>SCF!K18</f>
        <v>454918</v>
      </c>
      <c r="L60" s="128">
        <f>SCF!L18</f>
        <v>-131350</v>
      </c>
      <c r="M60" s="128">
        <f>SCF!M18</f>
        <v>181295</v>
      </c>
      <c r="N60" s="128">
        <f>SCF!N18</f>
        <v>81342</v>
      </c>
      <c r="O60" s="128">
        <f>SCF!O18</f>
        <v>146495</v>
      </c>
      <c r="P60" s="127">
        <f>SCF!P18</f>
        <v>277782</v>
      </c>
      <c r="Q60" s="128">
        <f>SCF!Q18</f>
        <v>-217787</v>
      </c>
      <c r="R60" s="128">
        <f>SCF!R18</f>
        <v>-41946</v>
      </c>
      <c r="S60" s="128">
        <f>SCF!S18</f>
        <v>-29461</v>
      </c>
      <c r="T60" s="128">
        <f>SCF!T18</f>
        <v>298851</v>
      </c>
      <c r="U60" s="127">
        <f>SCF!U18</f>
        <v>9657</v>
      </c>
      <c r="V60" s="128">
        <f>SCF!V18</f>
        <v>-560</v>
      </c>
      <c r="W60" s="128">
        <f>SCF!W18</f>
        <v>216888</v>
      </c>
      <c r="X60" s="128">
        <f>SCF!X18</f>
        <v>133814</v>
      </c>
      <c r="Y60" s="128">
        <f>SCF!Y18</f>
        <v>303280</v>
      </c>
      <c r="Z60" s="127">
        <f>SCF!Z18</f>
        <v>653422</v>
      </c>
      <c r="AA60" s="128">
        <f>SCF!AA18</f>
        <v>95010</v>
      </c>
      <c r="AB60" s="128">
        <f>SCF!AB18</f>
        <v>165109</v>
      </c>
      <c r="AC60" s="128">
        <f>SCF!AC18</f>
        <v>142637</v>
      </c>
      <c r="AD60" s="128">
        <f>SCF!AD18</f>
        <v>307620</v>
      </c>
      <c r="AE60" s="127">
        <f>SCF!AE18</f>
        <v>710376</v>
      </c>
      <c r="AF60" s="128">
        <f>SCF!AF18</f>
        <v>-4000</v>
      </c>
      <c r="AG60" s="128">
        <f>SCF!AG18</f>
        <v>116893</v>
      </c>
      <c r="AH60" s="128">
        <f>SCF!AH18</f>
        <v>200107</v>
      </c>
      <c r="AI60" s="128">
        <f>SCF!AI18</f>
        <v>306142</v>
      </c>
      <c r="AJ60" s="127">
        <f>SCF!AJ18</f>
        <v>619142</v>
      </c>
      <c r="AK60" s="128">
        <f>SCF!AK18</f>
        <v>44256</v>
      </c>
      <c r="AL60" s="128">
        <f>SCF!AL18</f>
        <v>269145</v>
      </c>
      <c r="AM60" s="128">
        <f>SCF!AM18</f>
        <v>233640.133831715</v>
      </c>
      <c r="AN60" s="128">
        <f>SCF!AN18</f>
        <v>267586.963651639</v>
      </c>
      <c r="AO60" s="127">
        <f>SCF!AO18</f>
        <v>814628.097483354</v>
      </c>
      <c r="AP60" s="128">
        <f>SCF!AP18</f>
        <v>206056.449116578</v>
      </c>
      <c r="AQ60" s="128">
        <f>SCF!AQ18</f>
        <v>273819.734584944</v>
      </c>
      <c r="AR60" s="128">
        <f>SCF!AR18</f>
        <v>41315.2909532812</v>
      </c>
      <c r="AS60" s="128">
        <f>SCF!AS18</f>
        <v>225768.185265592</v>
      </c>
      <c r="AT60" s="127">
        <f>SCF!AT18</f>
        <v>746959.659920396</v>
      </c>
      <c r="AU60" s="128">
        <f>SCF!AU18</f>
        <v>178214.036580947</v>
      </c>
      <c r="AV60" s="128">
        <f>SCF!AV18</f>
        <v>229422.245918396</v>
      </c>
      <c r="AW60" s="128">
        <f>SCF!AW18</f>
        <v>193661.997044698</v>
      </c>
      <c r="AX60" s="128">
        <f>SCF!AX18</f>
        <v>150567.744138405</v>
      </c>
      <c r="AY60" s="127">
        <f>SCF!AY18</f>
        <v>751866.023682445</v>
      </c>
    </row>
    <row r="61" s="2" customFormat="1" spans="1:51">
      <c r="A61" s="129" t="s">
        <v>259</v>
      </c>
      <c r="B61" s="130">
        <f>SCF!B56</f>
        <v>166742</v>
      </c>
      <c r="C61" s="130">
        <f>SCF!C56</f>
        <v>43747</v>
      </c>
      <c r="D61" s="130">
        <f>SCF!D56</f>
        <v>180657</v>
      </c>
      <c r="E61" s="130">
        <f>SCF!E56</f>
        <v>200540</v>
      </c>
      <c r="F61" s="130">
        <f>SCF!F56</f>
        <v>97901</v>
      </c>
      <c r="G61" s="131">
        <f>SCF!G56</f>
        <v>-137766</v>
      </c>
      <c r="H61" s="131">
        <f>SCF!H56</f>
        <v>158378</v>
      </c>
      <c r="I61" s="131">
        <f>SCF!I56</f>
        <v>46534</v>
      </c>
      <c r="J61" s="131">
        <f>SCF!J56</f>
        <v>285862</v>
      </c>
      <c r="K61" s="130">
        <f>SCF!K56</f>
        <v>353008</v>
      </c>
      <c r="L61" s="131">
        <f>SCF!L56</f>
        <v>-145754</v>
      </c>
      <c r="M61" s="131">
        <f>SCF!M56</f>
        <v>160430</v>
      </c>
      <c r="N61" s="131">
        <f>SCF!N56</f>
        <v>54388</v>
      </c>
      <c r="O61" s="131">
        <f>SCF!O56</f>
        <v>111739</v>
      </c>
      <c r="P61" s="130">
        <f>SCF!P56</f>
        <v>180803</v>
      </c>
      <c r="Q61" s="131">
        <f>SCF!Q56</f>
        <v>-244079</v>
      </c>
      <c r="R61" s="131">
        <f>SCF!R56</f>
        <v>-75236</v>
      </c>
      <c r="S61" s="131">
        <f>SCF!S56</f>
        <v>-90161</v>
      </c>
      <c r="T61" s="131">
        <f>SCF!T56</f>
        <v>254567</v>
      </c>
      <c r="U61" s="130">
        <f>SCF!U56</f>
        <v>-154909</v>
      </c>
      <c r="V61" s="131">
        <f>SCF!V56</f>
        <v>-46951</v>
      </c>
      <c r="W61" s="131">
        <f>SCF!W56</f>
        <v>173499</v>
      </c>
      <c r="X61" s="131">
        <f>SCF!X56</f>
        <v>94993</v>
      </c>
      <c r="Y61" s="131">
        <f>SCF!Y56</f>
        <v>274084</v>
      </c>
      <c r="Z61" s="130">
        <f>SCF!Z56</f>
        <v>495625</v>
      </c>
      <c r="AA61" s="131">
        <f>SCF!AA56</f>
        <v>56124</v>
      </c>
      <c r="AB61" s="131">
        <f>SCF!AB56</f>
        <v>122346</v>
      </c>
      <c r="AC61" s="131">
        <f>SCF!AC56</f>
        <v>92246</v>
      </c>
      <c r="AD61" s="131">
        <f>SCF!AD56</f>
        <v>256757</v>
      </c>
      <c r="AE61" s="130">
        <f>SCF!AE56</f>
        <v>527473</v>
      </c>
      <c r="AF61" s="131">
        <f>SCF!AF56</f>
        <v>-54764</v>
      </c>
      <c r="AG61" s="131">
        <f>SCF!AG56</f>
        <v>50714</v>
      </c>
      <c r="AH61" s="131">
        <f>SCF!AH56</f>
        <v>131838</v>
      </c>
      <c r="AI61" s="131">
        <f>SCF!AI56</f>
        <v>250580</v>
      </c>
      <c r="AJ61" s="130">
        <f>SCF!AJ56</f>
        <v>378368</v>
      </c>
      <c r="AK61" s="131">
        <f>SCF!AK56</f>
        <v>-17085</v>
      </c>
      <c r="AL61" s="131">
        <f>SCF!AL56</f>
        <v>201129</v>
      </c>
      <c r="AM61" s="131">
        <f>SCF!AM56</f>
        <v>168633.139111715</v>
      </c>
      <c r="AN61" s="131">
        <f>SCF!AN56</f>
        <v>212245.606651639</v>
      </c>
      <c r="AO61" s="130">
        <f>SCF!AO56</f>
        <v>564922.745763354</v>
      </c>
      <c r="AP61" s="131">
        <f>SCF!AP56</f>
        <v>150213.091816578</v>
      </c>
      <c r="AQ61" s="131">
        <f>SCF!AQ56</f>
        <v>217469.701684944</v>
      </c>
      <c r="AR61" s="131">
        <f>SCF!AR56</f>
        <v>-15511.4964747188</v>
      </c>
      <c r="AS61" s="131">
        <f>SCF!AS56</f>
        <v>168319.095681592</v>
      </c>
      <c r="AT61" s="130">
        <f>SCF!AT56</f>
        <v>520490.392708396</v>
      </c>
      <c r="AU61" s="131">
        <f>SCF!AU56</f>
        <v>120445.388435447</v>
      </c>
      <c r="AV61" s="131">
        <f>SCF!AV56</f>
        <v>171289.424820896</v>
      </c>
      <c r="AW61" s="131">
        <f>SCF!AW56</f>
        <v>135103.401583118</v>
      </c>
      <c r="AX61" s="131">
        <f>SCF!AX56</f>
        <v>91451.7747949246</v>
      </c>
      <c r="AY61" s="130">
        <f>SCF!AY56</f>
        <v>518289.989634385</v>
      </c>
    </row>
    <row r="62" spans="1:51">
      <c r="A62" s="104" t="s">
        <v>260</v>
      </c>
      <c r="B62" s="132"/>
      <c r="C62" s="132">
        <f t="shared" ref="C62:G62" si="156">C46+C52-C58</f>
        <v>73.4543078433951</v>
      </c>
      <c r="D62" s="132">
        <f t="shared" si="156"/>
        <v>70.8543796058135</v>
      </c>
      <c r="E62" s="132">
        <f t="shared" si="156"/>
        <v>67.1160202655325</v>
      </c>
      <c r="F62" s="132">
        <f t="shared" si="156"/>
        <v>60.2964376739406</v>
      </c>
      <c r="G62" s="133">
        <f t="shared" si="156"/>
        <v>0</v>
      </c>
      <c r="H62" s="133">
        <f t="shared" ref="H62:AT62" si="157">H46+H52-H58</f>
        <v>0</v>
      </c>
      <c r="I62" s="133">
        <f t="shared" si="157"/>
        <v>0</v>
      </c>
      <c r="J62" s="133">
        <f t="shared" si="157"/>
        <v>0</v>
      </c>
      <c r="K62" s="132">
        <f t="shared" si="157"/>
        <v>58.0823766443574</v>
      </c>
      <c r="L62" s="133">
        <f t="shared" si="157"/>
        <v>77.5290057576218</v>
      </c>
      <c r="M62" s="133">
        <f t="shared" si="157"/>
        <v>53.7929443087103</v>
      </c>
      <c r="N62" s="133">
        <f t="shared" si="157"/>
        <v>54.311891056047</v>
      </c>
      <c r="O62" s="133">
        <f t="shared" si="157"/>
        <v>30.9585392665194</v>
      </c>
      <c r="P62" s="132">
        <f t="shared" si="157"/>
        <v>42.0189543524557</v>
      </c>
      <c r="Q62" s="133">
        <f t="shared" si="157"/>
        <v>61.5068861198219</v>
      </c>
      <c r="R62" s="133">
        <f t="shared" si="157"/>
        <v>66.5603868422421</v>
      </c>
      <c r="S62" s="133">
        <f t="shared" si="157"/>
        <v>78.1828223381984</v>
      </c>
      <c r="T62" s="133">
        <f t="shared" si="157"/>
        <v>40.6328350711325</v>
      </c>
      <c r="U62" s="132">
        <f t="shared" si="157"/>
        <v>53.9828869332196</v>
      </c>
      <c r="V62" s="133">
        <f t="shared" si="157"/>
        <v>77.1976402950188</v>
      </c>
      <c r="W62" s="133">
        <f t="shared" si="157"/>
        <v>70.2933228241964</v>
      </c>
      <c r="X62" s="133">
        <f t="shared" si="157"/>
        <v>87.4993971035187</v>
      </c>
      <c r="Y62" s="133">
        <f t="shared" si="157"/>
        <v>44.2534350311241</v>
      </c>
      <c r="Z62" s="132">
        <f t="shared" si="157"/>
        <v>56.9165645111783</v>
      </c>
      <c r="AA62" s="133">
        <f t="shared" si="157"/>
        <v>63.057987838653</v>
      </c>
      <c r="AB62" s="133">
        <f t="shared" si="157"/>
        <v>43.8324137220747</v>
      </c>
      <c r="AC62" s="133">
        <f t="shared" si="157"/>
        <v>56.0791350903683</v>
      </c>
      <c r="AD62" s="133">
        <f t="shared" si="157"/>
        <v>33.7956845846083</v>
      </c>
      <c r="AE62" s="132">
        <f t="shared" si="157"/>
        <v>46.0460133649423</v>
      </c>
      <c r="AF62" s="133">
        <f t="shared" si="157"/>
        <v>55.2283623215468</v>
      </c>
      <c r="AG62" s="133">
        <f t="shared" si="157"/>
        <v>46.9452700991294</v>
      </c>
      <c r="AH62" s="133">
        <f t="shared" ref="AH62" si="158">AH46+AH52-AH58</f>
        <v>55.1645900432997</v>
      </c>
      <c r="AI62" s="133">
        <f t="shared" si="157"/>
        <v>36.0744266474771</v>
      </c>
      <c r="AJ62" s="132">
        <f t="shared" si="157"/>
        <v>47.6637942071999</v>
      </c>
      <c r="AK62" s="133">
        <f t="shared" si="157"/>
        <v>67.7741625853354</v>
      </c>
      <c r="AL62" s="133">
        <f t="shared" si="157"/>
        <v>58.2223131151669</v>
      </c>
      <c r="AM62" s="133">
        <f t="shared" si="157"/>
        <v>58.45</v>
      </c>
      <c r="AN62" s="133">
        <f t="shared" si="157"/>
        <v>38.28</v>
      </c>
      <c r="AO62" s="132">
        <f t="shared" si="157"/>
        <v>50.9569471082239</v>
      </c>
      <c r="AP62" s="133">
        <f t="shared" si="157"/>
        <v>62.85</v>
      </c>
      <c r="AQ62" s="133">
        <f t="shared" si="157"/>
        <v>44.55</v>
      </c>
      <c r="AR62" s="133">
        <f t="shared" si="157"/>
        <v>53.97</v>
      </c>
      <c r="AS62" s="133">
        <f t="shared" si="157"/>
        <v>41.38</v>
      </c>
      <c r="AT62" s="132">
        <f t="shared" si="157"/>
        <v>54.9531712637769</v>
      </c>
      <c r="AU62" s="133">
        <f t="shared" ref="AU62:AY62" si="159">AU46+AU52-AU58</f>
        <v>59.75</v>
      </c>
      <c r="AV62" s="133">
        <f t="shared" si="159"/>
        <v>41</v>
      </c>
      <c r="AW62" s="133">
        <f t="shared" si="159"/>
        <v>47.55</v>
      </c>
      <c r="AX62" s="133">
        <f t="shared" si="159"/>
        <v>47.2</v>
      </c>
      <c r="AY62" s="132">
        <f t="shared" si="159"/>
        <v>62.686405319173</v>
      </c>
    </row>
    <row r="63" spans="1:51">
      <c r="G63" s="1"/>
      <c r="H63" s="1"/>
      <c r="I63" s="1"/>
      <c r="J63" s="1"/>
      <c r="K63" s="5"/>
      <c r="L63" s="1"/>
      <c r="M63" s="1"/>
      <c r="N63" s="1"/>
      <c r="O63" s="1"/>
      <c r="P63" s="5"/>
      <c r="Q63" s="1"/>
      <c r="R63" s="1"/>
      <c r="S63" s="1"/>
      <c r="T63" s="1"/>
      <c r="U63" s="5"/>
      <c r="V63" s="1"/>
      <c r="W63" s="1"/>
      <c r="X63" s="1"/>
      <c r="Y63" s="1"/>
      <c r="Z63" s="5"/>
    </row>
    <row r="64" spans="1:51">
      <c r="A64" s="14" t="s">
        <v>261</v>
      </c>
      <c r="B64" s="15"/>
      <c r="C64" s="15"/>
      <c r="D64" s="15"/>
      <c r="E64" s="15"/>
      <c r="F64" s="15"/>
      <c r="G64" s="113"/>
      <c r="H64" s="113"/>
      <c r="I64" s="113"/>
      <c r="J64" s="113"/>
      <c r="K64" s="114"/>
      <c r="L64" s="113"/>
      <c r="M64" s="113"/>
      <c r="N64" s="113"/>
      <c r="O64" s="113"/>
      <c r="P64" s="114"/>
      <c r="Q64" s="113"/>
      <c r="R64" s="113"/>
      <c r="S64" s="113"/>
      <c r="T64" s="113"/>
      <c r="U64" s="114"/>
      <c r="V64" s="113"/>
      <c r="W64" s="113"/>
      <c r="X64" s="113"/>
      <c r="Y64" s="113"/>
      <c r="Z64" s="114"/>
      <c r="AA64" s="113"/>
      <c r="AB64" s="113"/>
      <c r="AC64" s="113"/>
      <c r="AD64" s="113"/>
      <c r="AE64" s="114"/>
      <c r="AF64" s="113"/>
      <c r="AG64" s="113"/>
      <c r="AH64" s="115"/>
      <c r="AI64" s="113"/>
      <c r="AJ64" s="114"/>
      <c r="AK64" s="113"/>
      <c r="AL64" s="113"/>
      <c r="AM64" s="113"/>
      <c r="AN64" s="115"/>
      <c r="AO64" s="114"/>
      <c r="AP64" s="113"/>
      <c r="AQ64" s="115"/>
      <c r="AR64" s="113"/>
      <c r="AS64" s="115"/>
      <c r="AT64" s="114"/>
      <c r="AU64" s="113"/>
      <c r="AV64" s="115"/>
      <c r="AW64" s="113"/>
      <c r="AX64" s="115"/>
      <c r="AY64" s="114"/>
    </row>
    <row r="65" spans="1:51">
      <c r="A65" s="3" t="s">
        <v>262</v>
      </c>
      <c r="G65" s="119"/>
      <c r="H65" s="119">
        <f>H13/G13-1</f>
        <v>-0.0530637304629955</v>
      </c>
      <c r="I65" s="119">
        <f>I13/H13-1</f>
        <v>-0.109629200420322</v>
      </c>
      <c r="J65" s="119">
        <f>J13/I13-1</f>
        <v>-0.0646507934348978</v>
      </c>
      <c r="K65" s="83"/>
      <c r="L65" s="119">
        <f>L13/K13-1</f>
        <v>-0.0615063496307001</v>
      </c>
      <c r="M65" s="119">
        <f>M13/L13-1</f>
        <v>-0.0571714284692665</v>
      </c>
      <c r="N65" s="119">
        <f>N13/M13-1</f>
        <v>-0.0358959642797546</v>
      </c>
      <c r="O65" s="119">
        <f>O13/N13-1</f>
        <v>-0.0844565136151872</v>
      </c>
      <c r="P65" s="83">
        <f>P13/K13-1</f>
        <v>-0.218971374368141</v>
      </c>
      <c r="Q65" s="119">
        <f>Q13/P13-1</f>
        <v>-0.0375806860480271</v>
      </c>
      <c r="R65" s="119">
        <f>R13/Q13-1</f>
        <v>0.1021382726852</v>
      </c>
      <c r="S65" s="119">
        <f>S13/R13-1</f>
        <v>-0.0370780433335539</v>
      </c>
      <c r="T65" s="119">
        <f>T13/S13-1</f>
        <v>0.0145604249221079</v>
      </c>
      <c r="U65" s="83">
        <f>U13/P13-1</f>
        <v>0.03626163834032</v>
      </c>
      <c r="V65" s="119">
        <f>V13/U13-1</f>
        <v>-0.0426383802086933</v>
      </c>
      <c r="W65" s="119">
        <f>W13/V13-1</f>
        <v>0.0321611551337595</v>
      </c>
      <c r="X65" s="119">
        <f>X13/W13-1</f>
        <v>-0.0453413186717895</v>
      </c>
      <c r="Y65" s="119">
        <f>Y13/X13-1</f>
        <v>-0.00630421692483729</v>
      </c>
      <c r="Z65" s="83">
        <f>Z13/U13-1</f>
        <v>-0.0625996821228664</v>
      </c>
      <c r="AA65" s="119">
        <f>AA13/Z13-1</f>
        <v>0.0312787502064118</v>
      </c>
      <c r="AB65" s="119">
        <f>AB13/AA13-1</f>
        <v>0.0676468359660372</v>
      </c>
      <c r="AC65" s="119">
        <f>AC13/AB13-1</f>
        <v>0.0689646860956523</v>
      </c>
      <c r="AD65" s="119">
        <f>AD13/AC13-1</f>
        <v>0.00605168547770862</v>
      </c>
      <c r="AE65" s="83">
        <f>AE13/Z13-1</f>
        <v>0.184097155056498</v>
      </c>
      <c r="AF65" s="119">
        <f>AF13/AE13-1</f>
        <v>0.0809454615182519</v>
      </c>
      <c r="AG65" s="119">
        <f>AG13/AF13-1</f>
        <v>0.0753677444622349</v>
      </c>
      <c r="AH65" s="119">
        <f>AH13/AG13-1</f>
        <v>0.0346630475417193</v>
      </c>
      <c r="AI65" s="119">
        <f>AI13/AH13-1</f>
        <v>0.0325907244810382</v>
      </c>
      <c r="AJ65" s="83">
        <f>AJ13/AE13-1</f>
        <v>0.241903772905951</v>
      </c>
      <c r="AK65" s="119">
        <f>AK13/AJ13-1</f>
        <v>0.118741847545466</v>
      </c>
      <c r="AL65" s="119">
        <f>AL13/AK13-1</f>
        <v>-0.00753787308483711</v>
      </c>
      <c r="AM65" s="134">
        <v>0.05</v>
      </c>
      <c r="AN65" s="134">
        <v>0.05</v>
      </c>
      <c r="AO65" s="83">
        <f>AO13/AJ13-1</f>
        <v>0.224115577116079</v>
      </c>
      <c r="AP65" s="134">
        <v>0.05</v>
      </c>
      <c r="AQ65" s="134">
        <v>0.05</v>
      </c>
      <c r="AR65" s="134">
        <v>0.05</v>
      </c>
      <c r="AS65" s="134">
        <v>0.05</v>
      </c>
      <c r="AT65" s="83">
        <f>AT13/AO13-1</f>
        <v>0.21550625</v>
      </c>
      <c r="AU65" s="134">
        <v>0.05</v>
      </c>
      <c r="AV65" s="134">
        <v>0.05</v>
      </c>
      <c r="AW65" s="134">
        <v>0.05</v>
      </c>
      <c r="AX65" s="134">
        <v>0.05</v>
      </c>
      <c r="AY65" s="83">
        <f>AY13/AT13-1</f>
        <v>0.21550625</v>
      </c>
    </row>
    <row r="66" spans="1:51">
      <c r="A66" s="3" t="s">
        <v>263</v>
      </c>
      <c r="G66" s="119"/>
      <c r="H66" s="119">
        <f>SUM(H19,H24)/SUM(G19,G24)-1</f>
        <v>-0.0605200650835568</v>
      </c>
      <c r="I66" s="119">
        <f>SUM(I19,I24)/SUM(H19,H24)-1</f>
        <v>-0.096708312282174</v>
      </c>
      <c r="J66" s="119">
        <f>SUM(J19,J24)/SUM(I19,I24)-1</f>
        <v>-0.0469195608243155</v>
      </c>
      <c r="K66" s="83"/>
      <c r="L66" s="119">
        <f>SUM(L19,L24)/SUM(K19,K24)-1</f>
        <v>-0.107990159428531</v>
      </c>
      <c r="M66" s="119">
        <f>SUM(M19,M24)/SUM(L19,L24)-1</f>
        <v>-0.0603121680879356</v>
      </c>
      <c r="N66" s="119">
        <f>SUM(N19,N24)/SUM(M19,M24)-1</f>
        <v>-0.0366755468006795</v>
      </c>
      <c r="O66" s="119">
        <f>SUM(O19,O24)/SUM(N19,N24)-1</f>
        <v>-0.0555053697654795</v>
      </c>
      <c r="P66" s="83">
        <f>SUM(P19,P24)/SUM(K19,K24)-1</f>
        <v>-0.237349908905087</v>
      </c>
      <c r="Q66" s="119">
        <f>SUM(Q19,Q24)/SUM(P19,P24)-1</f>
        <v>-0.067565349798443</v>
      </c>
      <c r="R66" s="119">
        <f>SUM(R19,R24)/SUM(Q19,Q24)-1</f>
        <v>0.0688210219822105</v>
      </c>
      <c r="S66" s="119">
        <f>SUM(S19,S24)/SUM(R19,R24)-1</f>
        <v>0.00311026387077362</v>
      </c>
      <c r="T66" s="119">
        <f>SUM(T19,T24)/SUM(S19,S24)-1</f>
        <v>0.00817989684893505</v>
      </c>
      <c r="U66" s="83">
        <f>SUM(U19,U24)/SUM(P19,P24)-1</f>
        <v>0.00788295019927454</v>
      </c>
      <c r="V66" s="119">
        <f>SUM(V19,V24)/SUM(U19,U24)-1</f>
        <v>-0.0601979856363362</v>
      </c>
      <c r="W66" s="119">
        <f>SUM(W19,W24)/SUM(V19,V24)-1</f>
        <v>0.0140330183266859</v>
      </c>
      <c r="X66" s="119">
        <f>SUM(X19,X24)/SUM(W19,W24)-1</f>
        <v>-0.033717832952002</v>
      </c>
      <c r="Y66" s="119">
        <f>SUM(Y19,Y24)/SUM(X19,X24)-1</f>
        <v>-0.0324364012797033</v>
      </c>
      <c r="Z66" s="83">
        <f>SUM(Z19,Z24)/SUM(U19,U24)-1</f>
        <v>-0.109011797183342</v>
      </c>
      <c r="AA66" s="119">
        <f>SUM(AA19,AA24)/SUM(Z19,Z24)-1</f>
        <v>0.0235570633065818</v>
      </c>
      <c r="AB66" s="119">
        <f>SUM(AB19,AB24)/SUM(AA19,AA24)-1</f>
        <v>0.0533668041049387</v>
      </c>
      <c r="AC66" s="119">
        <f>SUM(AC19,AC24)/SUM(AB19,AB24)-1</f>
        <v>0.0610734066269591</v>
      </c>
      <c r="AD66" s="119">
        <f>SUM(AD19,AD24)/SUM(AC19,AC24)-1</f>
        <v>0.00672835738156885</v>
      </c>
      <c r="AE66" s="83">
        <f>SUM(AE19,AE24)/SUM(Z19,Z24)-1</f>
        <v>0.151726658670691</v>
      </c>
      <c r="AF66" s="119">
        <f>SUM(AF19,AF24)/SUM(AE19,AE24)-1</f>
        <v>0.0780663988407051</v>
      </c>
      <c r="AG66" s="119">
        <f>SUM(AG19,AG24)/SUM(AF19,AF24)-1</f>
        <v>0.0717212755214436</v>
      </c>
      <c r="AH66" s="119">
        <f>SUM(AH19,AH24)/SUM(AG19,AG24)-1</f>
        <v>0.0285652958077494</v>
      </c>
      <c r="AI66" s="119">
        <f>SUM(AI19,AI24)/SUM(AH19,AH24)-1</f>
        <v>0.0329006939679262</v>
      </c>
      <c r="AJ66" s="83">
        <f>SUM(AJ19,AJ24)/SUM(AE19,AE24)-1</f>
        <v>0.227489536187505</v>
      </c>
      <c r="AK66" s="119">
        <f>SUM(AK19,AK24)/SUM(AJ19,AJ24)-1</f>
        <v>0.106482777513815</v>
      </c>
      <c r="AL66" s="119">
        <f>SUM(AL19,AL24)/SUM(AK19,AK24)-1</f>
        <v>-0.00389716799602624</v>
      </c>
      <c r="AM66" s="134">
        <v>0.05</v>
      </c>
      <c r="AN66" s="134">
        <v>0.05</v>
      </c>
      <c r="AO66" s="83">
        <f>SUM(AO19,AO24)/SUM(AJ19,AJ24)-1</f>
        <v>0.215143117640261</v>
      </c>
      <c r="AP66" s="134">
        <v>0.05</v>
      </c>
      <c r="AQ66" s="134">
        <v>0.05</v>
      </c>
      <c r="AR66" s="134">
        <v>0.05</v>
      </c>
      <c r="AS66" s="134">
        <v>0.05</v>
      </c>
      <c r="AT66" s="83">
        <f>SUM(AT19,AT24)/SUM(AO19,AO24)-1</f>
        <v>0.215506250000001</v>
      </c>
      <c r="AU66" s="134">
        <v>0.05</v>
      </c>
      <c r="AV66" s="134">
        <v>0.05</v>
      </c>
      <c r="AW66" s="134">
        <v>0.05</v>
      </c>
      <c r="AX66" s="134">
        <v>0.05</v>
      </c>
      <c r="AY66" s="83">
        <f>SUM(AY19,AY24)/SUM(AT19,AT24)-1</f>
        <v>0.21550625</v>
      </c>
    </row>
    <row r="67" spans="1:51">
      <c r="A67" s="29" t="s">
        <v>264</v>
      </c>
      <c r="B67" s="135"/>
      <c r="C67" s="135"/>
      <c r="D67" s="135"/>
      <c r="E67" s="135"/>
      <c r="F67" s="135"/>
      <c r="G67" s="119">
        <f t="shared" ref="G67:AH67" si="160">G19/SUM(G19,G24)</f>
        <v>0.205932338040293</v>
      </c>
      <c r="H67" s="119">
        <f t="shared" si="160"/>
        <v>0.198733647887605</v>
      </c>
      <c r="I67" s="119">
        <f t="shared" si="160"/>
        <v>0.202061736763189</v>
      </c>
      <c r="J67" s="119">
        <f t="shared" si="160"/>
        <v>0.206265738531905</v>
      </c>
      <c r="K67" s="83">
        <f t="shared" si="160"/>
        <v>0.206265738531905</v>
      </c>
      <c r="L67" s="119">
        <f t="shared" si="160"/>
        <v>0.215350819726971</v>
      </c>
      <c r="M67" s="119">
        <f t="shared" si="160"/>
        <v>0.217012477676055</v>
      </c>
      <c r="N67" s="119">
        <f t="shared" si="160"/>
        <v>0.215377792924762</v>
      </c>
      <c r="O67" s="119">
        <f t="shared" si="160"/>
        <v>0.242176011616293</v>
      </c>
      <c r="P67" s="83">
        <f t="shared" si="160"/>
        <v>0.242176011616293</v>
      </c>
      <c r="Q67" s="119">
        <f t="shared" si="160"/>
        <v>0.227991854727883</v>
      </c>
      <c r="R67" s="119">
        <f t="shared" si="160"/>
        <v>0.221054479783285</v>
      </c>
      <c r="S67" s="119">
        <f t="shared" si="160"/>
        <v>0.229724205710707</v>
      </c>
      <c r="T67" s="119">
        <f t="shared" si="160"/>
        <v>0.230744926348481</v>
      </c>
      <c r="U67" s="83">
        <f t="shared" si="160"/>
        <v>0.230744926348481</v>
      </c>
      <c r="V67" s="119">
        <f t="shared" si="160"/>
        <v>0.2163127240349</v>
      </c>
      <c r="W67" s="119">
        <f t="shared" si="160"/>
        <v>0.216917530602684</v>
      </c>
      <c r="X67" s="119">
        <f t="shared" si="160"/>
        <v>0.228380416606163</v>
      </c>
      <c r="Y67" s="119">
        <f t="shared" si="160"/>
        <v>0.217398145111219</v>
      </c>
      <c r="Z67" s="83">
        <f t="shared" si="160"/>
        <v>0.217398145111219</v>
      </c>
      <c r="AA67" s="119">
        <f t="shared" si="160"/>
        <v>0.223303886779558</v>
      </c>
      <c r="AB67" s="119">
        <f t="shared" si="160"/>
        <v>0.227693675450078</v>
      </c>
      <c r="AC67" s="119">
        <f t="shared" si="160"/>
        <v>0.222517146203186</v>
      </c>
      <c r="AD67" s="119">
        <f t="shared" si="160"/>
        <v>0.222359299421088</v>
      </c>
      <c r="AE67" s="83">
        <f t="shared" si="160"/>
        <v>0.222359299421088</v>
      </c>
      <c r="AF67" s="119">
        <f t="shared" si="160"/>
        <v>0.210069772746325</v>
      </c>
      <c r="AG67" s="119">
        <f t="shared" si="160"/>
        <v>0.202841158692147</v>
      </c>
      <c r="AH67" s="119">
        <f t="shared" si="160"/>
        <v>0.199707663358352</v>
      </c>
      <c r="AI67" s="136">
        <f t="shared" ref="AI67" si="161">AH67</f>
        <v>0.199707663358352</v>
      </c>
      <c r="AJ67" s="83">
        <f>AJ19/SUM(AJ19,AJ24)</f>
        <v>0.206545700478129</v>
      </c>
      <c r="AK67" s="119">
        <f t="shared" ref="AK67:AL67" si="162">AK19/SUM(AK19,AK24)</f>
        <v>0.202956029391626</v>
      </c>
      <c r="AL67" s="119">
        <f t="shared" si="162"/>
        <v>0.203779593612129</v>
      </c>
      <c r="AM67" s="136">
        <f>AL67</f>
        <v>0.203779593612129</v>
      </c>
      <c r="AN67" s="136">
        <f t="shared" ref="AN67" si="163">AM67</f>
        <v>0.203779593612129</v>
      </c>
      <c r="AO67" s="83">
        <f>AO19/SUM(AO19,AO24)</f>
        <v>0.203779593612129</v>
      </c>
      <c r="AP67" s="136">
        <f>AO67</f>
        <v>0.203779593612129</v>
      </c>
      <c r="AQ67" s="136">
        <f t="shared" ref="AQ67:AR67" si="164">AP67</f>
        <v>0.203779593612129</v>
      </c>
      <c r="AR67" s="136">
        <f t="shared" si="164"/>
        <v>0.203779593612129</v>
      </c>
      <c r="AS67" s="136">
        <f t="shared" ref="AS67" si="165">AR67</f>
        <v>0.203779593612129</v>
      </c>
      <c r="AT67" s="83">
        <f>AT19/SUM(AT19,AT24)</f>
        <v>0.203779593612129</v>
      </c>
      <c r="AU67" s="136">
        <f>AT67</f>
        <v>0.203779593612129</v>
      </c>
      <c r="AV67" s="136">
        <f t="shared" ref="AV67:AW67" si="166">AU67</f>
        <v>0.203779593612129</v>
      </c>
      <c r="AW67" s="136">
        <f t="shared" si="166"/>
        <v>0.203779593612129</v>
      </c>
      <c r="AX67" s="136">
        <f t="shared" ref="AX67" si="167">AW67</f>
        <v>0.203779593612129</v>
      </c>
      <c r="AY67" s="83">
        <f>AY19/SUM(AY19,AY24)</f>
        <v>0.203779593612129</v>
      </c>
    </row>
    <row r="68" spans="1:51">
      <c r="G68" s="1"/>
      <c r="H68" s="1"/>
      <c r="I68" s="1"/>
      <c r="J68" s="1"/>
      <c r="K68" s="5"/>
      <c r="L68" s="1"/>
      <c r="M68" s="1"/>
      <c r="N68" s="1"/>
      <c r="O68" s="1"/>
      <c r="P68" s="5"/>
      <c r="Q68" s="1"/>
      <c r="R68" s="1"/>
      <c r="S68" s="1"/>
      <c r="T68" s="1"/>
      <c r="U68" s="5"/>
      <c r="V68" s="1"/>
      <c r="W68" s="1"/>
      <c r="X68" s="1"/>
      <c r="Y68" s="1"/>
      <c r="Z68" s="5"/>
    </row>
    <row r="69" spans="1:51">
      <c r="A69" s="14" t="s">
        <v>265</v>
      </c>
      <c r="B69" s="15"/>
      <c r="C69" s="15"/>
      <c r="D69" s="15"/>
      <c r="E69" s="15"/>
      <c r="F69" s="15"/>
      <c r="G69" s="113"/>
      <c r="H69" s="113"/>
      <c r="I69" s="113"/>
      <c r="J69" s="113"/>
      <c r="K69" s="114"/>
      <c r="L69" s="113"/>
      <c r="M69" s="113"/>
      <c r="N69" s="113"/>
      <c r="O69" s="113"/>
      <c r="P69" s="114"/>
      <c r="Q69" s="113"/>
      <c r="R69" s="113"/>
      <c r="S69" s="113"/>
      <c r="T69" s="113"/>
      <c r="U69" s="114"/>
      <c r="V69" s="113"/>
      <c r="W69" s="113"/>
      <c r="X69" s="113"/>
      <c r="Y69" s="113"/>
      <c r="Z69" s="114"/>
      <c r="AA69" s="113"/>
      <c r="AB69" s="113"/>
      <c r="AC69" s="113"/>
      <c r="AD69" s="113"/>
      <c r="AE69" s="114"/>
      <c r="AF69" s="113"/>
      <c r="AG69" s="113"/>
      <c r="AH69" s="115"/>
      <c r="AI69" s="113"/>
      <c r="AJ69" s="114"/>
      <c r="AK69" s="113"/>
      <c r="AL69" s="113"/>
      <c r="AM69" s="115"/>
      <c r="AN69" s="113"/>
      <c r="AO69" s="114"/>
      <c r="AP69" s="113"/>
      <c r="AQ69" s="113"/>
      <c r="AR69" s="115"/>
      <c r="AS69" s="113"/>
      <c r="AT69" s="114"/>
      <c r="AU69" s="113"/>
      <c r="AV69" s="113"/>
      <c r="AW69" s="115"/>
      <c r="AX69" s="113"/>
      <c r="AY69" s="114"/>
    </row>
    <row r="70" spans="1:51">
      <c r="A70" s="3" t="s">
        <v>266</v>
      </c>
      <c r="B70" s="79">
        <f t="shared" ref="B70:AT70" si="168">B6</f>
        <v>588578</v>
      </c>
      <c r="C70" s="79">
        <f t="shared" si="168"/>
        <v>547189</v>
      </c>
      <c r="D70" s="79">
        <f t="shared" si="168"/>
        <v>675558</v>
      </c>
      <c r="E70" s="79">
        <f t="shared" si="168"/>
        <v>723135</v>
      </c>
      <c r="F70" s="79">
        <f t="shared" si="168"/>
        <v>671267</v>
      </c>
      <c r="G70" s="6">
        <f t="shared" si="168"/>
        <v>703989</v>
      </c>
      <c r="H70" s="6">
        <f t="shared" si="168"/>
        <v>766721</v>
      </c>
      <c r="I70" s="6">
        <f t="shared" si="168"/>
        <v>812881</v>
      </c>
      <c r="J70" s="6">
        <f t="shared" si="168"/>
        <v>1104862</v>
      </c>
      <c r="K70" s="79">
        <f t="shared" si="168"/>
        <v>1104862</v>
      </c>
      <c r="L70" s="6">
        <f t="shared" si="168"/>
        <v>909008</v>
      </c>
      <c r="M70" s="6">
        <f t="shared" si="168"/>
        <v>921504</v>
      </c>
      <c r="N70" s="6">
        <f t="shared" si="168"/>
        <v>865622</v>
      </c>
      <c r="O70" s="6">
        <f t="shared" si="168"/>
        <v>823139</v>
      </c>
      <c r="P70" s="79">
        <f t="shared" si="168"/>
        <v>823139</v>
      </c>
      <c r="Q70" s="6">
        <f t="shared" si="168"/>
        <v>468378</v>
      </c>
      <c r="R70" s="6">
        <f t="shared" si="168"/>
        <v>369957</v>
      </c>
      <c r="S70" s="6">
        <f t="shared" si="168"/>
        <v>257332</v>
      </c>
      <c r="T70" s="6">
        <f t="shared" si="168"/>
        <v>517602</v>
      </c>
      <c r="U70" s="79">
        <f t="shared" si="168"/>
        <v>517602</v>
      </c>
      <c r="V70" s="6">
        <f t="shared" si="168"/>
        <v>446952</v>
      </c>
      <c r="W70" s="6">
        <f t="shared" si="168"/>
        <v>617339</v>
      </c>
      <c r="X70" s="6">
        <f t="shared" si="168"/>
        <v>649489</v>
      </c>
      <c r="Y70" s="6">
        <f t="shared" si="168"/>
        <v>900884</v>
      </c>
      <c r="Z70" s="79">
        <f t="shared" si="168"/>
        <v>900884</v>
      </c>
      <c r="AA70" s="6">
        <f t="shared" si="168"/>
        <v>864195</v>
      </c>
      <c r="AB70" s="6">
        <f t="shared" si="168"/>
        <v>738402</v>
      </c>
      <c r="AC70" s="6">
        <f t="shared" si="168"/>
        <v>683089</v>
      </c>
      <c r="AD70" s="6">
        <f t="shared" si="168"/>
        <v>772727</v>
      </c>
      <c r="AE70" s="79">
        <f t="shared" si="168"/>
        <v>772727</v>
      </c>
      <c r="AF70" s="6">
        <f t="shared" si="168"/>
        <v>510563</v>
      </c>
      <c r="AG70" s="6">
        <f t="shared" si="168"/>
        <v>572730</v>
      </c>
      <c r="AH70" s="6">
        <f t="shared" si="168"/>
        <v>605783</v>
      </c>
      <c r="AI70" s="6">
        <f t="shared" si="168"/>
        <v>759540</v>
      </c>
      <c r="AJ70" s="79">
        <f t="shared" si="168"/>
        <v>759540</v>
      </c>
      <c r="AK70" s="6">
        <f t="shared" si="168"/>
        <v>594080</v>
      </c>
      <c r="AL70" s="6">
        <f t="shared" si="168"/>
        <v>627716</v>
      </c>
      <c r="AM70" s="6">
        <f t="shared" si="168"/>
        <v>676349.139111715</v>
      </c>
      <c r="AN70" s="6">
        <f t="shared" si="168"/>
        <v>768594.745763354</v>
      </c>
      <c r="AO70" s="79">
        <f t="shared" si="168"/>
        <v>768594.745763354</v>
      </c>
      <c r="AP70" s="6">
        <f t="shared" si="168"/>
        <v>828807.837579932</v>
      </c>
      <c r="AQ70" s="6">
        <f t="shared" si="168"/>
        <v>956277.539264876</v>
      </c>
      <c r="AR70" s="6">
        <f t="shared" si="168"/>
        <v>850766.042790157</v>
      </c>
      <c r="AS70" s="6">
        <f t="shared" si="168"/>
        <v>929085.138471749</v>
      </c>
      <c r="AT70" s="79">
        <f t="shared" si="168"/>
        <v>929085.138471749</v>
      </c>
      <c r="AU70" s="6">
        <f t="shared" ref="AU70:AY70" si="169">AU6</f>
        <v>964530.526907196</v>
      </c>
      <c r="AV70" s="6">
        <f t="shared" si="169"/>
        <v>1050819.95172809</v>
      </c>
      <c r="AW70" s="6">
        <f t="shared" si="169"/>
        <v>1100923.35331121</v>
      </c>
      <c r="AX70" s="6">
        <f t="shared" si="169"/>
        <v>1107375.12810613</v>
      </c>
      <c r="AY70" s="79">
        <f t="shared" si="169"/>
        <v>1107375.12810613</v>
      </c>
    </row>
    <row r="71" spans="1:51">
      <c r="A71" s="3" t="s">
        <v>267</v>
      </c>
      <c r="B71" s="137">
        <f>B70/B38</f>
        <v>0.167272386235747</v>
      </c>
      <c r="C71" s="137">
        <f>C70/C38</f>
        <v>0.164482045485971</v>
      </c>
      <c r="D71" s="137">
        <f>D70/D38</f>
        <v>0.193420544050574</v>
      </c>
      <c r="E71" s="137">
        <f>E70/E38</f>
        <v>0.201424246450456</v>
      </c>
      <c r="F71" s="137">
        <f>F70/F38</f>
        <v>0.185275593398201</v>
      </c>
      <c r="G71" s="138"/>
      <c r="H71" s="138"/>
      <c r="I71" s="138"/>
      <c r="J71" s="138">
        <f t="shared" ref="J71:AT71" si="170">J70/J38</f>
        <v>0.353512400396239</v>
      </c>
      <c r="K71" s="137">
        <f t="shared" si="170"/>
        <v>0.353512400396239</v>
      </c>
      <c r="L71" s="138">
        <f t="shared" si="170"/>
        <v>0.26568072414166</v>
      </c>
      <c r="M71" s="138">
        <f t="shared" si="170"/>
        <v>0.256832867329329</v>
      </c>
      <c r="N71" s="138">
        <f t="shared" si="170"/>
        <v>0.235642210788252</v>
      </c>
      <c r="O71" s="138">
        <f t="shared" si="170"/>
        <v>0.221704938202441</v>
      </c>
      <c r="P71" s="137">
        <f t="shared" si="170"/>
        <v>0.221704938202441</v>
      </c>
      <c r="Q71" s="138">
        <f t="shared" si="170"/>
        <v>0.125096784963109</v>
      </c>
      <c r="R71" s="138">
        <f t="shared" si="170"/>
        <v>0.100412662585639</v>
      </c>
      <c r="S71" s="138">
        <f t="shared" si="170"/>
        <v>0.0703229314976403</v>
      </c>
      <c r="T71" s="138">
        <f t="shared" si="170"/>
        <v>0.139977516063142</v>
      </c>
      <c r="U71" s="137">
        <f t="shared" si="170"/>
        <v>0.139977516063142</v>
      </c>
      <c r="V71" s="138">
        <f t="shared" si="170"/>
        <v>0.120116646595805</v>
      </c>
      <c r="W71" s="138">
        <f t="shared" si="170"/>
        <v>0.160296289218243</v>
      </c>
      <c r="X71" s="138">
        <f t="shared" si="170"/>
        <v>0.161260199663123</v>
      </c>
      <c r="Y71" s="138">
        <f t="shared" si="170"/>
        <v>0.210453626844539</v>
      </c>
      <c r="Z71" s="137">
        <f t="shared" si="170"/>
        <v>0.210453626844539</v>
      </c>
      <c r="AA71" s="138">
        <f t="shared" si="170"/>
        <v>0.193530811147815</v>
      </c>
      <c r="AB71" s="138">
        <f t="shared" si="170"/>
        <v>0.158318042590526</v>
      </c>
      <c r="AC71" s="138">
        <f t="shared" si="170"/>
        <v>0.141820425584393</v>
      </c>
      <c r="AD71" s="138">
        <f t="shared" si="170"/>
        <v>0.156151038670231</v>
      </c>
      <c r="AE71" s="137">
        <f t="shared" si="170"/>
        <v>0.156151038670231</v>
      </c>
      <c r="AF71" s="138">
        <f t="shared" si="170"/>
        <v>0.101601180298848</v>
      </c>
      <c r="AG71" s="138">
        <f t="shared" si="170"/>
        <v>0.112305417084824</v>
      </c>
      <c r="AH71" s="138">
        <f t="shared" si="170"/>
        <v>0.116914768517509</v>
      </c>
      <c r="AI71" s="138">
        <f t="shared" si="170"/>
        <v>0.144226715875231</v>
      </c>
      <c r="AJ71" s="137">
        <f t="shared" si="170"/>
        <v>0.144226715875231</v>
      </c>
      <c r="AK71" s="138">
        <f t="shared" si="170"/>
        <v>0.112455473440042</v>
      </c>
      <c r="AL71" s="138">
        <f t="shared" si="170"/>
        <v>0.117529322135036</v>
      </c>
      <c r="AM71" s="138">
        <f t="shared" si="170"/>
        <v>0.124851021098558</v>
      </c>
      <c r="AN71" s="138">
        <f t="shared" si="170"/>
        <v>0.138882526094066</v>
      </c>
      <c r="AO71" s="137">
        <f t="shared" si="170"/>
        <v>0.138882526094066</v>
      </c>
      <c r="AP71" s="138">
        <f t="shared" si="170"/>
        <v>0.148416549013598</v>
      </c>
      <c r="AQ71" s="138">
        <f t="shared" si="170"/>
        <v>0.169703102207927</v>
      </c>
      <c r="AR71" s="138">
        <f t="shared" si="170"/>
        <v>0.149712148318798</v>
      </c>
      <c r="AS71" s="138">
        <f t="shared" si="170"/>
        <v>0.16172321357909</v>
      </c>
      <c r="AT71" s="137">
        <f t="shared" si="170"/>
        <v>0.16172321357909</v>
      </c>
      <c r="AU71" s="138">
        <f t="shared" ref="AU71:AY71" si="171">AU70/AU38</f>
        <v>0.166964358327698</v>
      </c>
      <c r="AV71" s="138">
        <f t="shared" si="171"/>
        <v>0.180761905562034</v>
      </c>
      <c r="AW71" s="138">
        <f t="shared" si="171"/>
        <v>0.188003715702765</v>
      </c>
      <c r="AX71" s="138">
        <f t="shared" si="171"/>
        <v>0.187322501923631</v>
      </c>
      <c r="AY71" s="137">
        <f t="shared" si="171"/>
        <v>0.187322501923631</v>
      </c>
    </row>
    <row r="72" spans="1:51">
      <c r="A72" s="3" t="s">
        <v>268</v>
      </c>
      <c r="B72" s="139">
        <f>B70/IS!B19</f>
        <v>8.47887405102496</v>
      </c>
      <c r="C72" s="139">
        <f>C70/IS!C19</f>
        <v>8.0613600872153</v>
      </c>
      <c r="D72" s="139">
        <f>D70/IS!D19</f>
        <v>9.73384435831304</v>
      </c>
      <c r="E72" s="139">
        <f>E70/IS!E19</f>
        <v>10.4594500773826</v>
      </c>
      <c r="F72" s="139">
        <f>F70/IS!F19</f>
        <v>10.2050381586549</v>
      </c>
      <c r="G72" s="81">
        <f>G70/IS!G19</f>
        <v>11.2564397755073</v>
      </c>
      <c r="H72" s="81">
        <f>H70/IS!H19</f>
        <v>12.1151755522548</v>
      </c>
      <c r="I72" s="81">
        <f>I70/IS!I19</f>
        <v>12.7257228736478</v>
      </c>
      <c r="J72" s="81">
        <f>J70/IS!J19</f>
        <v>17.0534975612768</v>
      </c>
      <c r="K72" s="139">
        <f>K70/IS!K19</f>
        <v>17.6394086467846</v>
      </c>
      <c r="L72" s="81">
        <f>L70/IS!L19</f>
        <v>13.9194242401041</v>
      </c>
      <c r="M72" s="81">
        <f>M70/IS!M19</f>
        <v>14.3679680678558</v>
      </c>
      <c r="N72" s="81">
        <f>N70/IS!N19</f>
        <v>14.083169283332</v>
      </c>
      <c r="O72" s="81">
        <f>O70/IS!O19</f>
        <v>14.0228109028961</v>
      </c>
      <c r="P72" s="139">
        <f>P70/IS!P19</f>
        <v>13.1416278178683</v>
      </c>
      <c r="Q72" s="81">
        <f>Q70/IS!Q19</f>
        <v>8.99395126447376</v>
      </c>
      <c r="R72" s="81">
        <f>R70/IS!R19</f>
        <v>7.33445014967982</v>
      </c>
      <c r="S72" s="81">
        <f>S70/IS!S19</f>
        <v>5.2000969971305</v>
      </c>
      <c r="T72" s="81">
        <f>T70/IS!T19</f>
        <v>10.106058535252</v>
      </c>
      <c r="U72" s="139">
        <f>U70/IS!U19</f>
        <v>9.89168115886636</v>
      </c>
      <c r="V72" s="81">
        <f>V70/IS!V19</f>
        <v>8.68424427302932</v>
      </c>
      <c r="W72" s="81">
        <f>W70/IS!W19</f>
        <v>11.976002948708</v>
      </c>
      <c r="X72" s="81">
        <f>X70/IS!X19</f>
        <v>12.3420682578291</v>
      </c>
      <c r="Y72" s="81">
        <f>Y70/IS!Y19</f>
        <v>16.8708028240229</v>
      </c>
      <c r="Z72" s="139">
        <f>Z70/IS!Z19</f>
        <v>17.0861434586352</v>
      </c>
      <c r="AA72" s="81">
        <f>AA70/IS!AA19</f>
        <v>16.2210939259704</v>
      </c>
      <c r="AB72" s="81">
        <f>AB70/IS!AB19</f>
        <v>13.8591565157004</v>
      </c>
      <c r="AC72" s="81">
        <f>AC70/IS!AC19</f>
        <v>12.9204070438253</v>
      </c>
      <c r="AD72" s="81">
        <f>AD70/IS!AD19</f>
        <v>14.7295514763348</v>
      </c>
      <c r="AE72" s="139">
        <f>AE70/IS!AE19</f>
        <v>14.5877366861113</v>
      </c>
      <c r="AF72" s="81">
        <f>AF70/IS!AF19</f>
        <v>10.0834024568472</v>
      </c>
      <c r="AG72" s="81">
        <f>AG70/IS!AG19</f>
        <v>11.7964614529052</v>
      </c>
      <c r="AH72" s="81">
        <f>AH70/IS!AH19</f>
        <v>12.6518451995572</v>
      </c>
      <c r="AI72" s="81">
        <f>AI70/IS!AI19</f>
        <v>16.2166663108226</v>
      </c>
      <c r="AJ72" s="139">
        <f>AJ70/IS!AJ19</f>
        <v>15.668371977886</v>
      </c>
      <c r="AK72" s="81">
        <f>AK70/IS!AK19</f>
        <v>13.0061081069247</v>
      </c>
      <c r="AL72" s="81">
        <f>AL70/IS!AL19</f>
        <v>14.2497559646773</v>
      </c>
      <c r="AM72" s="81">
        <f>AM70/IS!AM19</f>
        <v>15.5717628706564</v>
      </c>
      <c r="AN72" s="81">
        <f>AN70/IS!AN19</f>
        <v>17.9466076466284</v>
      </c>
      <c r="AO72" s="139">
        <f>AO70/IS!AO19</f>
        <v>17.4691466910578</v>
      </c>
      <c r="AP72" s="81">
        <f>AP70/IS!AP19</f>
        <v>19.548179060717</v>
      </c>
      <c r="AQ72" s="81">
        <f>AQ70/IS!AQ19</f>
        <v>22.781448484538</v>
      </c>
      <c r="AR72" s="81">
        <f>AR70/IS!AR19</f>
        <v>20.4705448531678</v>
      </c>
      <c r="AS72" s="81">
        <f>AS70/IS!AS19</f>
        <v>22.5773589819886</v>
      </c>
      <c r="AT72" s="139">
        <f>AT70/IS!AT19</f>
        <v>22.2420756393196</v>
      </c>
      <c r="AU72" s="81">
        <f>AU70/IS!AU19</f>
        <v>23.6913152320117</v>
      </c>
      <c r="AV72" s="81">
        <f>AV70/IS!AV19</f>
        <v>26.088232898546</v>
      </c>
      <c r="AW72" s="81">
        <f>AW70/IS!AW19</f>
        <v>27.6251007854577</v>
      </c>
      <c r="AX72" s="81">
        <f>AX70/IS!AX19</f>
        <v>28.0839985513724</v>
      </c>
      <c r="AY72" s="139">
        <f>AY70/IS!AY19</f>
        <v>27.6368816030928</v>
      </c>
    </row>
    <row r="73" spans="1:51">
      <c r="A73" s="3" t="s">
        <v>269</v>
      </c>
      <c r="B73" s="139">
        <f>B29/IS!B19</f>
        <v>18.6657735136926</v>
      </c>
      <c r="C73" s="139">
        <f>C29/IS!C19</f>
        <v>18.4454315094729</v>
      </c>
      <c r="D73" s="139">
        <f>D29/IS!D19</f>
        <v>18.04635246315</v>
      </c>
      <c r="E73" s="139">
        <f>E29/IS!E19</f>
        <v>17.6261770108625</v>
      </c>
      <c r="F73" s="139">
        <f>F29/IS!F19</f>
        <v>16.284745659643</v>
      </c>
      <c r="G73" s="81">
        <f>G29/IS!G19</f>
        <v>12.7606849906461</v>
      </c>
      <c r="H73" s="81">
        <f>H29/IS!H19</f>
        <v>12.8560819138514</v>
      </c>
      <c r="I73" s="81">
        <f>I29/IS!I19</f>
        <v>13.4446514394853</v>
      </c>
      <c r="J73" s="81">
        <f>J29/IS!J19</f>
        <v>14.6525899857998</v>
      </c>
      <c r="K73" s="139">
        <f>K29/IS!K19</f>
        <v>15.1560125167635</v>
      </c>
      <c r="L73" s="81">
        <f>L29/IS!L19</f>
        <v>14.546359390552</v>
      </c>
      <c r="M73" s="81">
        <f>M29/IS!M19</f>
        <v>15.076291006611</v>
      </c>
      <c r="N73" s="81">
        <f>N29/IS!N19</f>
        <v>14.940681688766</v>
      </c>
      <c r="O73" s="81">
        <f>O29/IS!O19</f>
        <v>14.2644633730835</v>
      </c>
      <c r="P73" s="139">
        <f>P29/IS!P19</f>
        <v>13.3680950252251</v>
      </c>
      <c r="Q73" s="81">
        <f>Q29/IS!Q19</f>
        <v>13.5339017224494</v>
      </c>
      <c r="R73" s="81">
        <f>R29/IS!R19</f>
        <v>13.3408734957673</v>
      </c>
      <c r="S73" s="81">
        <f>S29/IS!S19</f>
        <v>13.2575880046882</v>
      </c>
      <c r="T73" s="81">
        <f>T29/IS!T19</f>
        <v>13.7955952125271</v>
      </c>
      <c r="U73" s="139">
        <f>U29/IS!U19</f>
        <v>13.5029525866188</v>
      </c>
      <c r="V73" s="81">
        <f>V29/IS!V19</f>
        <v>13.814152758078</v>
      </c>
      <c r="W73" s="81">
        <f>W29/IS!W19</f>
        <v>15.1079382323272</v>
      </c>
      <c r="X73" s="81">
        <f>X29/IS!X19</f>
        <v>16.6485443903922</v>
      </c>
      <c r="Y73" s="81">
        <f>Y29/IS!Y19</f>
        <v>19.6630461244593</v>
      </c>
      <c r="Z73" s="139">
        <f>Z29/IS!Z19</f>
        <v>19.9140272351402</v>
      </c>
      <c r="AA73" s="81">
        <f>AA29/IS!AA19</f>
        <v>20.481455064194</v>
      </c>
      <c r="AB73" s="81">
        <f>AB29/IS!AB19</f>
        <v>22.9199121605135</v>
      </c>
      <c r="AC73" s="81">
        <f>AC29/IS!AC19</f>
        <v>23.8411923811686</v>
      </c>
      <c r="AD73" s="81">
        <f>AD29/IS!AD19</f>
        <v>25.7586206896552</v>
      </c>
      <c r="AE73" s="139">
        <f>AE29/IS!AE19</f>
        <v>25.5106190179532</v>
      </c>
      <c r="AF73" s="81">
        <f>AF29/IS!AF19</f>
        <v>23.7507208595015</v>
      </c>
      <c r="AG73" s="81">
        <f>AG29/IS!AG19</f>
        <v>26.9243475932525</v>
      </c>
      <c r="AH73" s="81">
        <f>AH29/IS!AH19</f>
        <v>27.8066456423216</v>
      </c>
      <c r="AI73" s="81">
        <f>AI29/IS!AI19</f>
        <v>30.3266861669193</v>
      </c>
      <c r="AJ73" s="139">
        <f>AJ29/IS!AJ19</f>
        <v>29.3013243666969</v>
      </c>
      <c r="AK73" s="81">
        <f>AK29/IS!AK19</f>
        <v>29.640650655691</v>
      </c>
      <c r="AL73" s="81">
        <f>AL29/IS!AL19</f>
        <v>31.0926426187828</v>
      </c>
      <c r="AM73" s="81">
        <f>AM29/IS!AM19</f>
        <v>32.1829980564758</v>
      </c>
      <c r="AN73" s="81">
        <f>AN29/IS!AN19</f>
        <v>34.9799211814597</v>
      </c>
      <c r="AO73" s="139">
        <f>AO29/IS!AO19</f>
        <v>34.0492970255223</v>
      </c>
      <c r="AP73" s="81">
        <f>AP29/IS!AP19</f>
        <v>35.2307620384808</v>
      </c>
      <c r="AQ73" s="81">
        <f>AQ29/IS!AQ19</f>
        <v>36.4124694038683</v>
      </c>
      <c r="AR73" s="81">
        <f>AR29/IS!AR19</f>
        <v>37.839463315395</v>
      </c>
      <c r="AS73" s="81">
        <f>AS29/IS!AS19</f>
        <v>41.3708925098311</v>
      </c>
      <c r="AT73" s="139">
        <f>AT29/IS!AT19</f>
        <v>40.7565172349835</v>
      </c>
      <c r="AU73" s="81">
        <f>AU29/IS!AU19</f>
        <v>41.9288986310215</v>
      </c>
      <c r="AV73" s="81">
        <f>AV29/IS!AV19</f>
        <v>43.4489994018086</v>
      </c>
      <c r="AW73" s="81">
        <f>AW29/IS!AW19</f>
        <v>45.2470011793483</v>
      </c>
      <c r="AX73" s="81">
        <f>AX29/IS!AX19</f>
        <v>49.3826327148636</v>
      </c>
      <c r="AY73" s="139">
        <f>AY29/IS!AY19</f>
        <v>48.5964265769771</v>
      </c>
    </row>
    <row r="74" spans="1:51">
      <c r="A74" s="3" t="s">
        <v>270</v>
      </c>
      <c r="B74" s="79">
        <f t="shared" ref="B74:AT74" si="172">B11-B23</f>
        <v>644277</v>
      </c>
      <c r="C74" s="79">
        <f t="shared" si="172"/>
        <v>653300</v>
      </c>
      <c r="D74" s="79">
        <f t="shared" si="172"/>
        <v>756992</v>
      </c>
      <c r="E74" s="79">
        <f t="shared" si="172"/>
        <v>777033</v>
      </c>
      <c r="F74" s="79">
        <f t="shared" si="172"/>
        <v>449395</v>
      </c>
      <c r="G74" s="6">
        <f t="shared" si="172"/>
        <v>312683</v>
      </c>
      <c r="H74" s="6">
        <f t="shared" si="172"/>
        <v>462453</v>
      </c>
      <c r="I74" s="6">
        <f t="shared" si="172"/>
        <v>567696</v>
      </c>
      <c r="J74" s="6">
        <f t="shared" si="172"/>
        <v>702230</v>
      </c>
      <c r="K74" s="79">
        <f t="shared" si="172"/>
        <v>702230</v>
      </c>
      <c r="L74" s="6">
        <f t="shared" si="172"/>
        <v>667194</v>
      </c>
      <c r="M74" s="6">
        <f t="shared" si="172"/>
        <v>614472</v>
      </c>
      <c r="N74" s="6">
        <f t="shared" si="172"/>
        <v>574784</v>
      </c>
      <c r="O74" s="6">
        <f t="shared" si="172"/>
        <v>492519</v>
      </c>
      <c r="P74" s="79">
        <f t="shared" si="172"/>
        <v>492519</v>
      </c>
      <c r="Q74" s="6">
        <f t="shared" si="172"/>
        <v>359842</v>
      </c>
      <c r="R74" s="6">
        <f t="shared" si="172"/>
        <v>303420</v>
      </c>
      <c r="S74" s="6">
        <f t="shared" si="172"/>
        <v>284873</v>
      </c>
      <c r="T74" s="6">
        <f t="shared" si="172"/>
        <v>325818</v>
      </c>
      <c r="U74" s="79">
        <f t="shared" si="172"/>
        <v>325818</v>
      </c>
      <c r="V74" s="6">
        <f t="shared" si="172"/>
        <v>339130</v>
      </c>
      <c r="W74" s="6">
        <f t="shared" si="172"/>
        <v>374785</v>
      </c>
      <c r="X74" s="6">
        <f t="shared" si="172"/>
        <v>414261</v>
      </c>
      <c r="Y74" s="6">
        <f t="shared" si="172"/>
        <v>570445</v>
      </c>
      <c r="Z74" s="79">
        <f t="shared" si="172"/>
        <v>570445</v>
      </c>
      <c r="AA74" s="6">
        <f t="shared" si="172"/>
        <v>589884</v>
      </c>
      <c r="AB74" s="6">
        <f t="shared" si="172"/>
        <v>464997</v>
      </c>
      <c r="AC74" s="6">
        <f t="shared" si="172"/>
        <v>473678</v>
      </c>
      <c r="AD74" s="6">
        <f t="shared" si="172"/>
        <v>546487</v>
      </c>
      <c r="AE74" s="79">
        <f t="shared" si="172"/>
        <v>546487</v>
      </c>
      <c r="AF74" s="6">
        <f t="shared" si="172"/>
        <v>375300</v>
      </c>
      <c r="AG74" s="6">
        <f t="shared" si="172"/>
        <v>451074</v>
      </c>
      <c r="AH74" s="6">
        <f t="shared" si="172"/>
        <v>446528</v>
      </c>
      <c r="AI74" s="6">
        <f t="shared" si="172"/>
        <v>544464</v>
      </c>
      <c r="AJ74" s="79">
        <f t="shared" si="172"/>
        <v>544464</v>
      </c>
      <c r="AK74" s="6">
        <f t="shared" si="172"/>
        <v>438041</v>
      </c>
      <c r="AL74" s="6">
        <f t="shared" si="172"/>
        <v>446880</v>
      </c>
      <c r="AM74" s="6">
        <f t="shared" si="172"/>
        <v>449279.317010988</v>
      </c>
      <c r="AN74" s="6">
        <f t="shared" si="172"/>
        <v>534117.472566189</v>
      </c>
      <c r="AO74" s="79">
        <f t="shared" si="172"/>
        <v>534117.472566189</v>
      </c>
      <c r="AP74" s="6">
        <f t="shared" si="172"/>
        <v>514055.317937983</v>
      </c>
      <c r="AQ74" s="6">
        <f t="shared" si="172"/>
        <v>532753.687463233</v>
      </c>
      <c r="AR74" s="6">
        <f t="shared" si="172"/>
        <v>560555.999888052</v>
      </c>
      <c r="AS74" s="6">
        <f t="shared" si="172"/>
        <v>673646.467595887</v>
      </c>
      <c r="AT74" s="79">
        <f t="shared" si="172"/>
        <v>673646.467595887</v>
      </c>
      <c r="AU74" s="6">
        <f t="shared" ref="AU74:AY74" si="173">AU11-AU23</f>
        <v>661141.024209985</v>
      </c>
      <c r="AV74" s="6">
        <f t="shared" si="173"/>
        <v>686797.552895257</v>
      </c>
      <c r="AW74" s="6">
        <f t="shared" si="173"/>
        <v>722097.582180238</v>
      </c>
      <c r="AX74" s="6">
        <f t="shared" si="173"/>
        <v>847889.396629867</v>
      </c>
      <c r="AY74" s="79">
        <f t="shared" si="173"/>
        <v>847889.396629867</v>
      </c>
    </row>
    <row r="75" spans="1:51">
      <c r="A75" s="3" t="s">
        <v>271</v>
      </c>
      <c r="B75" s="137"/>
      <c r="C75" s="137">
        <f>IS!C17/AVERAGE(BS!C15,B15)</f>
        <v>-0.00172136839905972</v>
      </c>
      <c r="D75" s="137">
        <f>IS!D17/AVERAGE(BS!D15,C15)</f>
        <v>0.019476575420393</v>
      </c>
      <c r="E75" s="137">
        <f>IS!E17/AVERAGE(BS!E15,D15)</f>
        <v>0.0338714384716696</v>
      </c>
      <c r="F75" s="137">
        <f>IS!F17/AVERAGE(BS!F15,E15)</f>
        <v>0.0162072145810679</v>
      </c>
      <c r="G75" s="138"/>
      <c r="H75" s="138"/>
      <c r="I75" s="138"/>
      <c r="J75" s="138"/>
      <c r="K75" s="137">
        <f>IS!K17/AVERAGE(BS!K15,BS!F15)</f>
        <v>-0.0132223926141299</v>
      </c>
      <c r="L75" s="138"/>
      <c r="M75" s="138"/>
      <c r="N75" s="138"/>
      <c r="O75" s="138"/>
      <c r="P75" s="137">
        <f>IS!P17/AVERAGE(BS!P15,BS!K15)</f>
        <v>0.0871991894337308</v>
      </c>
      <c r="Q75" s="138"/>
      <c r="R75" s="138"/>
      <c r="S75" s="138"/>
      <c r="T75" s="138"/>
      <c r="U75" s="137">
        <f>IS!U17/AVERAGE(BS!U15,BS!P15)</f>
        <v>0.00461558248244035</v>
      </c>
      <c r="V75" s="138"/>
      <c r="W75" s="138"/>
      <c r="X75" s="138"/>
      <c r="Y75" s="138"/>
      <c r="Z75" s="137">
        <f>IS!Z17/AVERAGE(BS!Z15,BS!U15)</f>
        <v>0.116514366224028</v>
      </c>
      <c r="AA75" s="138"/>
      <c r="AB75" s="138"/>
      <c r="AC75" s="138"/>
      <c r="AD75" s="138"/>
      <c r="AE75" s="137">
        <f>IS!AE17/AVERAGE(BS!AE15,BS!Z15)</f>
        <v>0.180494794489108</v>
      </c>
      <c r="AF75" s="138"/>
      <c r="AG75" s="138"/>
      <c r="AH75" s="138"/>
      <c r="AI75" s="138"/>
      <c r="AJ75" s="137">
        <f>IS!AJ17/AVERAGE(BS!AJ15,BS!AE15)</f>
        <v>0.139741508070802</v>
      </c>
      <c r="AK75" s="138"/>
      <c r="AL75" s="138"/>
      <c r="AM75" s="138"/>
      <c r="AN75" s="138"/>
      <c r="AO75" s="137">
        <f>IS!AO17/AVERAGE(BS!AO15,BS!AJ15)</f>
        <v>0.135270133939303</v>
      </c>
      <c r="AP75" s="138"/>
      <c r="AQ75" s="138"/>
      <c r="AR75" s="138"/>
      <c r="AS75" s="138"/>
      <c r="AT75" s="137">
        <f>IS!AT17/AVERAGE(BS!AT15,BS!AO15)</f>
        <v>0.124968005438647</v>
      </c>
      <c r="AU75" s="138"/>
      <c r="AV75" s="138"/>
      <c r="AW75" s="138"/>
      <c r="AX75" s="138"/>
      <c r="AY75" s="137">
        <f>IS!AY17/AVERAGE(BS!AY15,BS!AT15)</f>
        <v>0.114007358805035</v>
      </c>
    </row>
    <row r="76" spans="1:51">
      <c r="A76" s="3" t="s">
        <v>272</v>
      </c>
      <c r="B76" s="137"/>
      <c r="C76" s="137">
        <f>IS!C17/AVERAGE(BS!C29,B29)</f>
        <v>-0.00319496216481844</v>
      </c>
      <c r="D76" s="137">
        <f>IS!D17/AVERAGE(BS!D29,C29)</f>
        <v>0.035939165744996</v>
      </c>
      <c r="E76" s="137">
        <f>IS!E17/AVERAGE(BS!E29,D29)</f>
        <v>0.0645779274911659</v>
      </c>
      <c r="F76" s="137">
        <f>IS!F17/AVERAGE(BS!F29,E29)</f>
        <v>0.0420098008602502</v>
      </c>
      <c r="G76" s="138"/>
      <c r="H76" s="138"/>
      <c r="I76" s="138"/>
      <c r="J76" s="138"/>
      <c r="K76" s="137">
        <f>IS!K17/AVERAGE(BS!K29,BS!F29)</f>
        <v>-0.0449227662596697</v>
      </c>
      <c r="L76" s="138"/>
      <c r="M76" s="138"/>
      <c r="N76" s="138"/>
      <c r="O76" s="138"/>
      <c r="P76" s="137">
        <f>IS!P17/AVERAGE(BS!P29,BS!K29)</f>
        <v>0.305254120033404</v>
      </c>
      <c r="Q76" s="138"/>
      <c r="R76" s="138"/>
      <c r="S76" s="138"/>
      <c r="T76" s="138"/>
      <c r="U76" s="137">
        <f>IS!U17/AVERAGE(BS!U29,BS!P29)</f>
        <v>0.0168988394921151</v>
      </c>
      <c r="V76" s="138"/>
      <c r="W76" s="138"/>
      <c r="X76" s="138"/>
      <c r="Y76" s="138"/>
      <c r="Z76" s="137">
        <f>IS!Z17/AVERAGE(BS!Z29,BS!U29)</f>
        <v>0.377247295275528</v>
      </c>
      <c r="AA76" s="138"/>
      <c r="AB76" s="138"/>
      <c r="AC76" s="138"/>
      <c r="AD76" s="138"/>
      <c r="AE76" s="137">
        <f>IS!AE17/AVERAGE(BS!AE29,BS!Z29)</f>
        <v>0.471595087681307</v>
      </c>
      <c r="AJ76" s="137">
        <f>IS!AJ17/AVERAGE(BS!AJ29,BS!AE29)</f>
        <v>0.344938583572594</v>
      </c>
      <c r="AO76" s="137">
        <f>IS!AO17/AVERAGE(BS!AO29,BS!AJ29)</f>
        <v>0.345248687228169</v>
      </c>
      <c r="AT76" s="137">
        <f>IS!AT17/AVERAGE(BS!AT29,BS!AO29)</f>
        <v>0.324928655161404</v>
      </c>
      <c r="AY76" s="137">
        <f>IS!AY17/AVERAGE(BS!AY29,BS!AT29)</f>
        <v>0.295300391212599</v>
      </c>
    </row>
    <row r="77" spans="1:51">
      <c r="A77" s="3" t="s">
        <v>273</v>
      </c>
      <c r="B77" s="137">
        <f>(IS!B12*(1-IS!B45))/(BS!B85+BS!B29)</f>
        <v>0.059125901563464</v>
      </c>
      <c r="C77" s="137">
        <f>(IS!C12*(1-IS!C45))/(BS!C85+BS!C29)</f>
        <v>4.3050643152337e-5</v>
      </c>
      <c r="D77" s="137">
        <f>(IS!D12*(1-IS!D45))/(BS!D85+BS!D29)</f>
        <v>0.0387356688864436</v>
      </c>
      <c r="E77" s="137">
        <f>(IS!E12*(1-IS!E45))/(BS!E85+BS!E29)</f>
        <v>0.0621483634339655</v>
      </c>
      <c r="F77" s="137">
        <f>(IS!F12*(1-IS!F45))/(BS!F85+BS!F29)</f>
        <v>0.0454536118030052</v>
      </c>
      <c r="G77" s="1"/>
      <c r="H77" s="1"/>
      <c r="I77" s="1"/>
      <c r="J77" s="1"/>
      <c r="K77" s="137">
        <f>(IS!K12*(1-IS!K45))/(BS!K85+BS!K29)</f>
        <v>-0.06760692543875</v>
      </c>
      <c r="L77" s="1"/>
      <c r="M77" s="1"/>
      <c r="N77" s="1"/>
      <c r="O77" s="1"/>
      <c r="P77" s="137">
        <f>(IS!P12*(1-IS!P45))/(BS!P85+BS!P29)</f>
        <v>0.271246266638686</v>
      </c>
      <c r="Q77" s="1"/>
      <c r="R77" s="1"/>
      <c r="S77" s="1"/>
      <c r="T77" s="1"/>
      <c r="U77" s="137">
        <f>(IS!U12*(1-IS!U45))/(BS!U85+BS!U29)</f>
        <v>0.0270408960091112</v>
      </c>
      <c r="V77" s="1"/>
      <c r="W77" s="1"/>
      <c r="X77" s="1"/>
      <c r="Y77" s="1"/>
      <c r="Z77" s="137">
        <f>(IS!Z12*(1-IS!Z45))/(BS!Z85+BS!Z29)</f>
        <v>0.266389545087942</v>
      </c>
      <c r="AE77" s="137">
        <f>(IS!AE12*(1-IS!AE45))/(BS!AE85+BS!AE29)</f>
        <v>0.409386617035097</v>
      </c>
      <c r="AJ77" s="137">
        <f>(IS!AJ12*(1-IS!AJ45))/(BS!AJ85+BS!AJ29)</f>
        <v>0.331383557117553</v>
      </c>
      <c r="AO77" s="137">
        <f>(IS!AO12*(1-IS!AO45))/(BS!AO85+BS!AO29)</f>
        <v>0.331889107075918</v>
      </c>
      <c r="AT77" s="137">
        <f>(IS!AT12*(1-IS!AT45))/(BS!AT85+BS!AT29)</f>
        <v>0.302449445824882</v>
      </c>
      <c r="AY77" s="137">
        <f>(IS!AY12*(1-IS!AY45))/(BS!AY85+BS!AY29)</f>
        <v>0.27434654595441</v>
      </c>
    </row>
    <row r="78" spans="1:51">
      <c r="A78" s="3" t="s">
        <v>274</v>
      </c>
      <c r="B78" s="120">
        <f t="shared" ref="B78:AT78" si="174">B11/B23</f>
        <v>2.20492497704333</v>
      </c>
      <c r="C78" s="120">
        <f t="shared" si="174"/>
        <v>2.34423868312757</v>
      </c>
      <c r="D78" s="120">
        <f t="shared" si="174"/>
        <v>2.4914746643654</v>
      </c>
      <c r="E78" s="120">
        <f t="shared" si="174"/>
        <v>2.39024756806467</v>
      </c>
      <c r="F78" s="120">
        <f t="shared" si="174"/>
        <v>1.5511655060256</v>
      </c>
      <c r="G78" s="121">
        <f t="shared" si="174"/>
        <v>1.32104592530836</v>
      </c>
      <c r="H78" s="121">
        <f t="shared" si="174"/>
        <v>1.5021259731376</v>
      </c>
      <c r="I78" s="121">
        <f t="shared" si="174"/>
        <v>1.59532940499149</v>
      </c>
      <c r="J78" s="121">
        <f t="shared" si="174"/>
        <v>1.7319478131622</v>
      </c>
      <c r="K78" s="120">
        <f t="shared" si="174"/>
        <v>1.7319478131622</v>
      </c>
      <c r="L78" s="121">
        <f t="shared" si="174"/>
        <v>1.81664392070943</v>
      </c>
      <c r="M78" s="121">
        <f t="shared" si="174"/>
        <v>1.69261332831368</v>
      </c>
      <c r="N78" s="121">
        <f t="shared" si="174"/>
        <v>1.55835659074373</v>
      </c>
      <c r="O78" s="121">
        <f t="shared" si="174"/>
        <v>1.4851256845672</v>
      </c>
      <c r="P78" s="120">
        <f t="shared" si="174"/>
        <v>1.4851256845672</v>
      </c>
      <c r="Q78" s="121">
        <f t="shared" si="174"/>
        <v>1.42183880557822</v>
      </c>
      <c r="R78" s="121">
        <f t="shared" si="174"/>
        <v>1.31630368155719</v>
      </c>
      <c r="S78" s="121">
        <f t="shared" si="174"/>
        <v>1.3045167676474</v>
      </c>
      <c r="T78" s="121">
        <f t="shared" si="174"/>
        <v>1.36113722012857</v>
      </c>
      <c r="U78" s="120">
        <f t="shared" si="174"/>
        <v>1.36113722012857</v>
      </c>
      <c r="V78" s="121">
        <f t="shared" si="174"/>
        <v>1.44073708738974</v>
      </c>
      <c r="W78" s="121">
        <f t="shared" si="174"/>
        <v>1.40020609089356</v>
      </c>
      <c r="X78" s="121">
        <f t="shared" si="174"/>
        <v>1.40331424476849</v>
      </c>
      <c r="Y78" s="121">
        <f t="shared" si="174"/>
        <v>1.59002192755632</v>
      </c>
      <c r="Z78" s="120">
        <f t="shared" si="174"/>
        <v>1.59002192755632</v>
      </c>
      <c r="AA78" s="121">
        <f t="shared" si="174"/>
        <v>1.64138810632609</v>
      </c>
      <c r="AB78" s="121">
        <f t="shared" si="174"/>
        <v>1.44215694105297</v>
      </c>
      <c r="AC78" s="121">
        <f t="shared" si="174"/>
        <v>1.40071263669656</v>
      </c>
      <c r="AD78" s="121">
        <f t="shared" si="174"/>
        <v>1.48492826617827</v>
      </c>
      <c r="AE78" s="120">
        <f t="shared" si="174"/>
        <v>1.48492826617827</v>
      </c>
      <c r="AF78" s="121">
        <f t="shared" si="174"/>
        <v>1.3757245687627</v>
      </c>
      <c r="AG78" s="121">
        <f t="shared" si="174"/>
        <v>1.43454352959084</v>
      </c>
      <c r="AH78" s="121">
        <f t="shared" si="174"/>
        <v>1.38394265898658</v>
      </c>
      <c r="AI78" s="121">
        <f t="shared" si="174"/>
        <v>1.49228209764919</v>
      </c>
      <c r="AJ78" s="120">
        <f t="shared" si="174"/>
        <v>1.49228209764919</v>
      </c>
      <c r="AK78" s="121">
        <f t="shared" si="174"/>
        <v>1.4482989771962</v>
      </c>
      <c r="AL78" s="121">
        <f t="shared" si="174"/>
        <v>1.4066989564961</v>
      </c>
      <c r="AM78" s="121">
        <f t="shared" si="174"/>
        <v>1.36501858088609</v>
      </c>
      <c r="AN78" s="121">
        <f t="shared" si="174"/>
        <v>1.45363775423269</v>
      </c>
      <c r="AO78" s="120">
        <f t="shared" si="174"/>
        <v>1.45363775423269</v>
      </c>
      <c r="AP78" s="121">
        <f t="shared" si="174"/>
        <v>1.45608115962181</v>
      </c>
      <c r="AQ78" s="121">
        <f t="shared" si="174"/>
        <v>1.38971300563988</v>
      </c>
      <c r="AR78" s="121">
        <f t="shared" si="174"/>
        <v>1.41384364362748</v>
      </c>
      <c r="AS78" s="121">
        <f t="shared" si="174"/>
        <v>1.54446509092052</v>
      </c>
      <c r="AT78" s="120">
        <f t="shared" si="174"/>
        <v>1.54446509092052</v>
      </c>
      <c r="AU78" s="121">
        <f t="shared" ref="AU78:AY78" si="175">AU11/AU23</f>
        <v>1.59156164827872</v>
      </c>
      <c r="AV78" s="121">
        <f t="shared" si="175"/>
        <v>1.51500663988527</v>
      </c>
      <c r="AW78" s="121">
        <f t="shared" si="175"/>
        <v>1.4986037783371</v>
      </c>
      <c r="AX78" s="121">
        <f t="shared" si="175"/>
        <v>1.64220051581212</v>
      </c>
      <c r="AY78" s="120">
        <f t="shared" si="175"/>
        <v>1.64220051581212</v>
      </c>
    </row>
    <row r="79" spans="1:51">
      <c r="A79" s="3" t="s">
        <v>275</v>
      </c>
      <c r="B79" s="120">
        <f t="shared" ref="B79:AT79" si="176">(B11-B9-B10)/B23</f>
        <v>1.20711123745332</v>
      </c>
      <c r="C79" s="120">
        <f t="shared" si="176"/>
        <v>1.31805144032922</v>
      </c>
      <c r="D79" s="120">
        <f t="shared" si="176"/>
        <v>1.48810551161865</v>
      </c>
      <c r="E79" s="120">
        <f t="shared" si="176"/>
        <v>1.4246247653945</v>
      </c>
      <c r="F79" s="120">
        <f t="shared" si="176"/>
        <v>0.921707626380689</v>
      </c>
      <c r="G79" s="121">
        <f t="shared" si="176"/>
        <v>0.813827389673608</v>
      </c>
      <c r="H79" s="121">
        <f t="shared" si="176"/>
        <v>0.92839661668422</v>
      </c>
      <c r="I79" s="121">
        <f t="shared" si="176"/>
        <v>0.945858934146267</v>
      </c>
      <c r="J79" s="121">
        <f t="shared" si="176"/>
        <v>1.23902463938361</v>
      </c>
      <c r="K79" s="120">
        <f t="shared" si="176"/>
        <v>1.23902463938361</v>
      </c>
      <c r="L79" s="121">
        <f t="shared" si="176"/>
        <v>1.24459635615885</v>
      </c>
      <c r="M79" s="121">
        <f t="shared" si="176"/>
        <v>1.13692389021832</v>
      </c>
      <c r="N79" s="121">
        <f t="shared" si="176"/>
        <v>0.921944471698168</v>
      </c>
      <c r="O79" s="121">
        <f t="shared" si="176"/>
        <v>0.878847366140026</v>
      </c>
      <c r="P79" s="120">
        <f t="shared" si="176"/>
        <v>0.878847366140026</v>
      </c>
      <c r="Q79" s="121">
        <f t="shared" si="176"/>
        <v>0.653181826707556</v>
      </c>
      <c r="R79" s="121">
        <f t="shared" si="176"/>
        <v>0.468875225692924</v>
      </c>
      <c r="S79" s="121">
        <f t="shared" si="176"/>
        <v>0.391024188341536</v>
      </c>
      <c r="T79" s="121">
        <f t="shared" si="176"/>
        <v>0.689545555309244</v>
      </c>
      <c r="U79" s="120">
        <f t="shared" si="176"/>
        <v>0.689545555309244</v>
      </c>
      <c r="V79" s="121">
        <f t="shared" si="176"/>
        <v>0.718816158323814</v>
      </c>
      <c r="W79" s="121">
        <f t="shared" si="176"/>
        <v>0.779446437724244</v>
      </c>
      <c r="X79" s="121">
        <f t="shared" si="176"/>
        <v>0.726531482501933</v>
      </c>
      <c r="Y79" s="121">
        <f t="shared" si="176"/>
        <v>1.01283589499597</v>
      </c>
      <c r="Z79" s="120">
        <f t="shared" si="176"/>
        <v>1.01283589499597</v>
      </c>
      <c r="AA79" s="121">
        <f t="shared" si="176"/>
        <v>1.04142768449243</v>
      </c>
      <c r="AB79" s="121">
        <f t="shared" si="176"/>
        <v>0.811557201214085</v>
      </c>
      <c r="AC79" s="121">
        <f t="shared" si="176"/>
        <v>0.672260718101598</v>
      </c>
      <c r="AD79" s="121">
        <f t="shared" si="176"/>
        <v>0.882272765993696</v>
      </c>
      <c r="AE79" s="120">
        <f t="shared" si="176"/>
        <v>0.882272765993696</v>
      </c>
      <c r="AF79" s="121">
        <f t="shared" si="176"/>
        <v>0.721695515933004</v>
      </c>
      <c r="AG79" s="121">
        <f t="shared" si="176"/>
        <v>0.749031107634477</v>
      </c>
      <c r="AH79" s="121">
        <f t="shared" si="176"/>
        <v>0.655867935446648</v>
      </c>
      <c r="AI79" s="121">
        <f t="shared" si="176"/>
        <v>0.842073236889693</v>
      </c>
      <c r="AJ79" s="120">
        <f t="shared" si="176"/>
        <v>0.842073236889693</v>
      </c>
      <c r="AK79" s="121">
        <f t="shared" si="176"/>
        <v>0.783186882239402</v>
      </c>
      <c r="AL79" s="121">
        <f t="shared" si="176"/>
        <v>0.753865587669435</v>
      </c>
      <c r="AM79" s="121">
        <f t="shared" si="176"/>
        <v>0.654631786307404</v>
      </c>
      <c r="AN79" s="121">
        <f t="shared" si="176"/>
        <v>0.798012970103559</v>
      </c>
      <c r="AO79" s="120">
        <f t="shared" si="176"/>
        <v>0.798012970103559</v>
      </c>
      <c r="AP79" s="121">
        <f t="shared" si="176"/>
        <v>0.840730177724948</v>
      </c>
      <c r="AQ79" s="121">
        <f t="shared" si="176"/>
        <v>0.7944234410932</v>
      </c>
      <c r="AR79" s="121">
        <f t="shared" si="176"/>
        <v>0.75593622711424</v>
      </c>
      <c r="AS79" s="121">
        <f t="shared" si="176"/>
        <v>0.88321619672147</v>
      </c>
      <c r="AT79" s="120">
        <f t="shared" si="176"/>
        <v>0.88321619672147</v>
      </c>
      <c r="AU79" s="121">
        <f t="shared" ref="AU79:AY79" si="177">(AU11-AU9-AU10)/AU23</f>
        <v>1.01385166435917</v>
      </c>
      <c r="AV79" s="121">
        <f t="shared" si="177"/>
        <v>0.900220623524552</v>
      </c>
      <c r="AW79" s="121">
        <f t="shared" si="177"/>
        <v>0.888117780324982</v>
      </c>
      <c r="AX79" s="121">
        <f t="shared" si="177"/>
        <v>0.971300411025824</v>
      </c>
      <c r="AY79" s="120">
        <f t="shared" si="177"/>
        <v>0.971300411025824</v>
      </c>
    </row>
    <row r="80" spans="1:51">
      <c r="A80" s="3" t="s">
        <v>276</v>
      </c>
      <c r="B80" s="120">
        <f>IS!B12/IS!B13</f>
        <v>7.47999780797896</v>
      </c>
      <c r="C80" s="120">
        <f>IS!C12/IS!C13</f>
        <v>0.174756241294332</v>
      </c>
      <c r="D80" s="120">
        <f>IS!D12/IS!D13</f>
        <v>5.96725679436319</v>
      </c>
      <c r="E80" s="120">
        <f>IS!E12/IS!E13</f>
        <v>12.6040549140831</v>
      </c>
      <c r="F80" s="120">
        <f>IS!F12/IS!F13</f>
        <v>10.7044073930464</v>
      </c>
      <c r="G80" s="121">
        <f>IS!G12/IS!G13</f>
        <v>-49.302580836547</v>
      </c>
      <c r="H80" s="121">
        <f>IS!H12/IS!H13</f>
        <v>3.13130459284305</v>
      </c>
      <c r="I80" s="121">
        <f>IS!I12/IS!I13</f>
        <v>7.37341053587648</v>
      </c>
      <c r="J80" s="121">
        <f>IS!J12/IS!J13</f>
        <v>14.6155385128376</v>
      </c>
      <c r="K80" s="120">
        <f>IS!K12/IS!K13</f>
        <v>1.8556978142463</v>
      </c>
      <c r="L80" s="121">
        <f>IS!L12/IS!L13</f>
        <v>6.98315128979782</v>
      </c>
      <c r="M80" s="121">
        <f>IS!M12/IS!M13</f>
        <v>10.250376940133</v>
      </c>
      <c r="N80" s="121">
        <f>IS!N12/IS!N13</f>
        <v>10.9325997248968</v>
      </c>
      <c r="O80" s="121">
        <f>IS!O12/IS!O13</f>
        <v>14.3747664894381</v>
      </c>
      <c r="P80" s="120">
        <f>IS!P12/IS!P13</f>
        <v>10.4128994429786</v>
      </c>
      <c r="Q80" s="121">
        <f>IS!Q12/IS!Q13</f>
        <v>-0.862734364308198</v>
      </c>
      <c r="R80" s="121">
        <f>IS!R12/IS!R13</f>
        <v>-0.00303599826514385</v>
      </c>
      <c r="S80" s="121">
        <f>IS!S12/IS!S13</f>
        <v>2.91802604523646</v>
      </c>
      <c r="T80" s="121">
        <f>IS!T12/IS!T13</f>
        <v>22.2992949185509</v>
      </c>
      <c r="U80" s="120">
        <f>IS!U12/IS!U13</f>
        <v>4.16194600499376</v>
      </c>
      <c r="V80" s="121">
        <f>IS!V12/IS!V13</f>
        <v>11.1658437409236</v>
      </c>
      <c r="W80" s="121">
        <f>IS!W12/IS!W13</f>
        <v>81.897903372835</v>
      </c>
      <c r="X80" s="121">
        <f>IS!X12/IS!X13</f>
        <v>205.692995529061</v>
      </c>
      <c r="Y80" s="121">
        <f>IS!Y12/IS!Y13</f>
        <v>-46.042777433354</v>
      </c>
      <c r="Z80" s="120">
        <f>IS!Z12/IS!Z13</f>
        <v>1314.80376344086</v>
      </c>
      <c r="AA80" s="121">
        <f>IS!AA12/IS!AA13</f>
        <v>-25.8508859247462</v>
      </c>
      <c r="AB80" s="121">
        <f>IS!AB12/IS!AB13</f>
        <v>-33.7545646742264</v>
      </c>
      <c r="AC80" s="121">
        <f>IS!AC12/IS!AC13</f>
        <v>-20.5292568418642</v>
      </c>
      <c r="AD80" s="121">
        <f>IS!AD12/IS!AD13</f>
        <v>-28.7777028545741</v>
      </c>
      <c r="AE80" s="120">
        <f>IS!AE12/IS!AE13</f>
        <v>-26.5936748393582</v>
      </c>
      <c r="AF80" s="121">
        <f>IS!AF12/IS!AF13</f>
        <v>-14.968745392894</v>
      </c>
      <c r="AG80" s="121">
        <f>IS!AG12/IS!AG13</f>
        <v>-67.9401778496362</v>
      </c>
      <c r="AH80" s="121">
        <f>IS!AH12/IS!AH13</f>
        <v>-26.0934186163945</v>
      </c>
      <c r="AI80" s="121">
        <f>IS!AI12/IS!AI13</f>
        <v>-36.6865184263723</v>
      </c>
      <c r="AJ80" s="120">
        <f>IS!AJ12/IS!AJ13</f>
        <v>-30.5408941698645</v>
      </c>
      <c r="AK80" s="121">
        <f>IS!AK12/IS!AK13</f>
        <v>-16.7953470777378</v>
      </c>
      <c r="AL80" s="121">
        <f>IS!AL12/IS!AL13</f>
        <v>-33.8806301309075</v>
      </c>
      <c r="AM80" s="121">
        <f>IS!AM12/IS!AM13</f>
        <v>-37.6273820545608</v>
      </c>
      <c r="AN80" s="121">
        <f>IS!AN12/IS!AN13</f>
        <v>-52.35746812</v>
      </c>
      <c r="AO80" s="120">
        <f>IS!AO12/IS!AO13</f>
        <v>-35.3029349250037</v>
      </c>
      <c r="AP80" s="121">
        <f>IS!AP12/IS!AP13</f>
        <v>-23.0479539529505</v>
      </c>
      <c r="AQ80" s="121">
        <f>IS!AQ12/IS!AQ13</f>
        <v>-35.8797495822222</v>
      </c>
      <c r="AR80" s="121">
        <f>IS!AR12/IS!AR13</f>
        <v>-38.6751176767957</v>
      </c>
      <c r="AS80" s="121">
        <f>IS!AS12/IS!AS13</f>
        <v>-59.2741741829075</v>
      </c>
      <c r="AT80" s="120">
        <f>IS!AT12/IS!AT13</f>
        <v>-39.7612738577511</v>
      </c>
      <c r="AU80" s="121">
        <f>IS!AU12/IS!AU13</f>
        <v>-24.2061337903067</v>
      </c>
      <c r="AV80" s="121">
        <f>IS!AV12/IS!AV13</f>
        <v>-36.8654741304578</v>
      </c>
      <c r="AW80" s="121">
        <f>IS!AW12/IS!AW13</f>
        <v>-39.8324841764011</v>
      </c>
      <c r="AX80" s="121">
        <f>IS!AX12/IS!AX13</f>
        <v>-61.8168831946463</v>
      </c>
      <c r="AY80" s="120">
        <f>IS!AY12/IS!AY13</f>
        <v>-41.2515043465122</v>
      </c>
    </row>
    <row r="81" spans="1:51">
      <c r="A81" s="3" t="s">
        <v>277</v>
      </c>
      <c r="B81" s="137">
        <f t="shared" ref="B81:AT81" si="178">B85/B29</f>
        <v>0.220907725576937</v>
      </c>
      <c r="C81" s="137">
        <f t="shared" si="178"/>
        <v>0.21005096486611</v>
      </c>
      <c r="D81" s="137">
        <f t="shared" si="178"/>
        <v>0.199354715598205</v>
      </c>
      <c r="E81" s="137">
        <f t="shared" si="178"/>
        <v>0.20551016271671</v>
      </c>
      <c r="F81" s="137">
        <f t="shared" si="178"/>
        <v>0.216549443696566</v>
      </c>
      <c r="G81" s="140">
        <f t="shared" si="178"/>
        <v>0.290925813153298</v>
      </c>
      <c r="H81" s="140">
        <f t="shared" si="178"/>
        <v>0.421885178402429</v>
      </c>
      <c r="I81" s="140">
        <f t="shared" si="178"/>
        <v>0.400043548935496</v>
      </c>
      <c r="J81" s="140">
        <f t="shared" si="178"/>
        <v>0.36227288815479</v>
      </c>
      <c r="K81" s="137">
        <f t="shared" si="178"/>
        <v>0.36227288815479</v>
      </c>
      <c r="L81" s="140">
        <f t="shared" si="178"/>
        <v>0.362416969314174</v>
      </c>
      <c r="M81" s="140">
        <f t="shared" si="178"/>
        <v>0.313377452212304</v>
      </c>
      <c r="N81" s="140">
        <f t="shared" si="178"/>
        <v>0.330216077244648</v>
      </c>
      <c r="O81" s="140">
        <f t="shared" si="178"/>
        <v>0.362552608070472</v>
      </c>
      <c r="P81" s="137">
        <f t="shared" si="178"/>
        <v>0.362552608070472</v>
      </c>
      <c r="Q81" s="140">
        <f t="shared" si="178"/>
        <v>0.43118451202815</v>
      </c>
      <c r="R81" s="140">
        <f t="shared" si="178"/>
        <v>0.452083212592153</v>
      </c>
      <c r="S81" s="140">
        <f t="shared" si="178"/>
        <v>0.451985702636172</v>
      </c>
      <c r="T81" s="140">
        <f t="shared" si="178"/>
        <v>0.420131650270533</v>
      </c>
      <c r="U81" s="137">
        <f t="shared" si="178"/>
        <v>0.420131650270533</v>
      </c>
      <c r="V81" s="140">
        <f t="shared" si="178"/>
        <v>0.41797930441803</v>
      </c>
      <c r="W81" s="140">
        <f t="shared" si="178"/>
        <v>0.381858127542425</v>
      </c>
      <c r="X81" s="140">
        <f t="shared" si="178"/>
        <v>0.283106174660118</v>
      </c>
      <c r="Y81" s="140">
        <f t="shared" si="178"/>
        <v>0.211544523884581</v>
      </c>
      <c r="Z81" s="137">
        <f t="shared" si="178"/>
        <v>0.211544523884581</v>
      </c>
      <c r="AA81" s="140">
        <f t="shared" si="178"/>
        <v>0.195296791517362</v>
      </c>
      <c r="AB81" s="140">
        <f t="shared" si="178"/>
        <v>0</v>
      </c>
      <c r="AC81" s="140">
        <f t="shared" si="178"/>
        <v>0</v>
      </c>
      <c r="AD81" s="140">
        <f t="shared" si="178"/>
        <v>0</v>
      </c>
      <c r="AE81" s="137">
        <f t="shared" si="178"/>
        <v>0</v>
      </c>
      <c r="AF81" s="140">
        <f t="shared" si="178"/>
        <v>0</v>
      </c>
      <c r="AG81" s="140">
        <f t="shared" si="178"/>
        <v>0</v>
      </c>
      <c r="AH81" s="140">
        <f t="shared" si="178"/>
        <v>0</v>
      </c>
      <c r="AI81" s="140">
        <f t="shared" si="178"/>
        <v>0</v>
      </c>
      <c r="AJ81" s="137">
        <f t="shared" si="178"/>
        <v>0</v>
      </c>
      <c r="AK81" s="140">
        <f t="shared" si="178"/>
        <v>0</v>
      </c>
      <c r="AL81" s="140">
        <f t="shared" si="178"/>
        <v>0</v>
      </c>
      <c r="AM81" s="140">
        <f t="shared" si="178"/>
        <v>0</v>
      </c>
      <c r="AN81" s="140">
        <f t="shared" si="178"/>
        <v>0</v>
      </c>
      <c r="AO81" s="137">
        <f t="shared" si="178"/>
        <v>0</v>
      </c>
      <c r="AP81" s="140">
        <f t="shared" si="178"/>
        <v>0</v>
      </c>
      <c r="AQ81" s="140">
        <f t="shared" si="178"/>
        <v>0</v>
      </c>
      <c r="AR81" s="140">
        <f t="shared" si="178"/>
        <v>0</v>
      </c>
      <c r="AS81" s="140">
        <f t="shared" si="178"/>
        <v>0</v>
      </c>
      <c r="AT81" s="137">
        <f t="shared" si="178"/>
        <v>0</v>
      </c>
      <c r="AU81" s="140">
        <f t="shared" ref="AU81:AY81" si="179">AU85/AU29</f>
        <v>0</v>
      </c>
      <c r="AV81" s="140">
        <f t="shared" si="179"/>
        <v>0</v>
      </c>
      <c r="AW81" s="140">
        <f t="shared" si="179"/>
        <v>0</v>
      </c>
      <c r="AX81" s="140">
        <f t="shared" si="179"/>
        <v>0</v>
      </c>
      <c r="AY81" s="137">
        <f t="shared" si="179"/>
        <v>0</v>
      </c>
    </row>
    <row r="82" spans="1:51">
      <c r="A82" s="3" t="s">
        <v>278</v>
      </c>
      <c r="B82" s="137">
        <f t="shared" ref="B82:AT82" si="180">B85/(B85+B29)</f>
        <v>0.180937282113231</v>
      </c>
      <c r="C82" s="137">
        <f t="shared" si="180"/>
        <v>0.173588527231456</v>
      </c>
      <c r="D82" s="137">
        <f t="shared" si="180"/>
        <v>0.166218311401538</v>
      </c>
      <c r="E82" s="137">
        <f t="shared" si="180"/>
        <v>0.170475678324915</v>
      </c>
      <c r="F82" s="137">
        <f t="shared" si="180"/>
        <v>0.178002994303763</v>
      </c>
      <c r="G82" s="140">
        <f t="shared" si="180"/>
        <v>0.225362147219494</v>
      </c>
      <c r="H82" s="140">
        <f t="shared" si="180"/>
        <v>0.296708331172311</v>
      </c>
      <c r="I82" s="140">
        <f t="shared" si="180"/>
        <v>0.2857365038678</v>
      </c>
      <c r="J82" s="140">
        <f t="shared" si="180"/>
        <v>0.265932685958018</v>
      </c>
      <c r="K82" s="137">
        <f t="shared" si="180"/>
        <v>0.265932685958018</v>
      </c>
      <c r="L82" s="140">
        <f t="shared" si="180"/>
        <v>0.266010316574823</v>
      </c>
      <c r="M82" s="140">
        <f t="shared" si="180"/>
        <v>0.238604257812131</v>
      </c>
      <c r="N82" s="140">
        <f t="shared" si="180"/>
        <v>0.248242434363478</v>
      </c>
      <c r="O82" s="140">
        <f t="shared" si="180"/>
        <v>0.266083383440062</v>
      </c>
      <c r="P82" s="137">
        <f t="shared" si="180"/>
        <v>0.266083383440062</v>
      </c>
      <c r="Q82" s="140">
        <f t="shared" si="180"/>
        <v>0.301278073095629</v>
      </c>
      <c r="R82" s="140">
        <f t="shared" si="180"/>
        <v>0.311334232550714</v>
      </c>
      <c r="S82" s="140">
        <f t="shared" si="180"/>
        <v>0.311287984320757</v>
      </c>
      <c r="T82" s="140">
        <f t="shared" si="180"/>
        <v>0.295839931594017</v>
      </c>
      <c r="U82" s="137">
        <f t="shared" si="180"/>
        <v>0.295839931594017</v>
      </c>
      <c r="V82" s="140">
        <f t="shared" si="180"/>
        <v>0.294771089476216</v>
      </c>
      <c r="W82" s="140">
        <f t="shared" si="180"/>
        <v>0.276336709197161</v>
      </c>
      <c r="X82" s="140">
        <f t="shared" si="180"/>
        <v>0.220641269016658</v>
      </c>
      <c r="Y82" s="140">
        <f t="shared" si="180"/>
        <v>0.174607304737184</v>
      </c>
      <c r="Z82" s="137">
        <f t="shared" si="180"/>
        <v>0.174607304737184</v>
      </c>
      <c r="AA82" s="140">
        <f t="shared" si="180"/>
        <v>0.163387698271526</v>
      </c>
      <c r="AB82" s="140">
        <f t="shared" si="180"/>
        <v>0</v>
      </c>
      <c r="AC82" s="140">
        <f t="shared" si="180"/>
        <v>0</v>
      </c>
      <c r="AD82" s="140">
        <f t="shared" si="180"/>
        <v>0</v>
      </c>
      <c r="AE82" s="137">
        <f t="shared" si="180"/>
        <v>0</v>
      </c>
      <c r="AF82" s="140">
        <f t="shared" si="180"/>
        <v>0</v>
      </c>
      <c r="AG82" s="140">
        <f t="shared" si="180"/>
        <v>0</v>
      </c>
      <c r="AH82" s="140">
        <f t="shared" si="180"/>
        <v>0</v>
      </c>
      <c r="AI82" s="140">
        <f t="shared" si="180"/>
        <v>0</v>
      </c>
      <c r="AJ82" s="137">
        <f t="shared" si="180"/>
        <v>0</v>
      </c>
      <c r="AK82" s="140">
        <f t="shared" si="180"/>
        <v>0</v>
      </c>
      <c r="AL82" s="140">
        <f t="shared" si="180"/>
        <v>0</v>
      </c>
      <c r="AM82" s="140">
        <f t="shared" si="180"/>
        <v>0</v>
      </c>
      <c r="AN82" s="140">
        <f t="shared" si="180"/>
        <v>0</v>
      </c>
      <c r="AO82" s="137">
        <f t="shared" si="180"/>
        <v>0</v>
      </c>
      <c r="AP82" s="140">
        <f t="shared" si="180"/>
        <v>0</v>
      </c>
      <c r="AQ82" s="140">
        <f t="shared" si="180"/>
        <v>0</v>
      </c>
      <c r="AR82" s="140">
        <f t="shared" si="180"/>
        <v>0</v>
      </c>
      <c r="AS82" s="140">
        <f t="shared" si="180"/>
        <v>0</v>
      </c>
      <c r="AT82" s="137">
        <f t="shared" si="180"/>
        <v>0</v>
      </c>
      <c r="AU82" s="140">
        <f t="shared" ref="AU82:AY82" si="181">AU85/(AU85+AU29)</f>
        <v>0</v>
      </c>
      <c r="AV82" s="140">
        <f t="shared" si="181"/>
        <v>0</v>
      </c>
      <c r="AW82" s="140">
        <f t="shared" si="181"/>
        <v>0</v>
      </c>
      <c r="AX82" s="140">
        <f t="shared" si="181"/>
        <v>0</v>
      </c>
      <c r="AY82" s="137">
        <f t="shared" si="181"/>
        <v>0</v>
      </c>
    </row>
    <row r="83" spans="1:51">
      <c r="G83" s="1"/>
      <c r="H83" s="1"/>
      <c r="I83" s="1"/>
      <c r="J83" s="1"/>
      <c r="K83" s="5"/>
      <c r="L83" s="1"/>
      <c r="M83" s="1"/>
      <c r="N83" s="1"/>
      <c r="O83" s="1"/>
      <c r="P83" s="5"/>
      <c r="Q83" s="1"/>
      <c r="R83" s="1"/>
      <c r="S83" s="1"/>
      <c r="T83" s="1"/>
      <c r="U83" s="5"/>
      <c r="V83" s="1"/>
      <c r="W83" s="1"/>
      <c r="X83" s="1"/>
      <c r="Y83" s="1"/>
      <c r="Z83" s="5"/>
    </row>
    <row r="84" spans="1:51">
      <c r="A84" s="14" t="s">
        <v>279</v>
      </c>
      <c r="B84" s="15"/>
      <c r="C84" s="15"/>
      <c r="D84" s="15"/>
      <c r="E84" s="15"/>
      <c r="F84" s="15"/>
      <c r="G84" s="113"/>
      <c r="H84" s="113"/>
      <c r="I84" s="113"/>
      <c r="J84" s="113"/>
      <c r="K84" s="114"/>
      <c r="L84" s="113"/>
      <c r="M84" s="113"/>
      <c r="N84" s="113"/>
      <c r="O84" s="113"/>
      <c r="P84" s="114"/>
      <c r="Q84" s="113"/>
      <c r="R84" s="113"/>
      <c r="S84" s="113"/>
      <c r="T84" s="113"/>
      <c r="U84" s="114"/>
      <c r="V84" s="113"/>
      <c r="W84" s="113"/>
      <c r="X84" s="113"/>
      <c r="Y84" s="113"/>
      <c r="Z84" s="114"/>
      <c r="AA84" s="113"/>
      <c r="AB84" s="113"/>
      <c r="AC84" s="113"/>
      <c r="AD84" s="113"/>
      <c r="AE84" s="114"/>
      <c r="AF84" s="113"/>
      <c r="AG84" s="113"/>
      <c r="AH84" s="115"/>
      <c r="AI84" s="113"/>
      <c r="AJ84" s="114"/>
      <c r="AK84" s="113"/>
      <c r="AL84" s="113"/>
      <c r="AM84" s="115"/>
      <c r="AN84" s="113"/>
      <c r="AO84" s="114"/>
      <c r="AP84" s="113"/>
      <c r="AQ84" s="113"/>
      <c r="AR84" s="115"/>
      <c r="AS84" s="113"/>
      <c r="AT84" s="114"/>
      <c r="AU84" s="113"/>
      <c r="AV84" s="113"/>
      <c r="AW84" s="115"/>
      <c r="AX84" s="113"/>
      <c r="AY84" s="114"/>
    </row>
    <row r="85" spans="1:51">
      <c r="A85" s="141" t="s">
        <v>280</v>
      </c>
      <c r="B85" s="79">
        <f t="shared" ref="B85:AT85" si="182">B25</f>
        <v>286235</v>
      </c>
      <c r="C85" s="79">
        <f t="shared" si="182"/>
        <v>262992</v>
      </c>
      <c r="D85" s="79">
        <f t="shared" si="182"/>
        <v>249686</v>
      </c>
      <c r="E85" s="79">
        <f t="shared" si="182"/>
        <v>250439</v>
      </c>
      <c r="F85" s="79">
        <f t="shared" si="182"/>
        <v>231963</v>
      </c>
      <c r="G85" s="6">
        <f t="shared" si="182"/>
        <v>232178</v>
      </c>
      <c r="H85" s="6">
        <f t="shared" si="182"/>
        <v>343250</v>
      </c>
      <c r="I85" s="6">
        <f t="shared" si="182"/>
        <v>343559</v>
      </c>
      <c r="J85" s="6">
        <f t="shared" si="182"/>
        <v>343910</v>
      </c>
      <c r="K85" s="79">
        <f t="shared" si="182"/>
        <v>343910</v>
      </c>
      <c r="L85" s="6">
        <f t="shared" si="182"/>
        <v>344278</v>
      </c>
      <c r="M85" s="6">
        <f t="shared" si="182"/>
        <v>303015</v>
      </c>
      <c r="N85" s="6">
        <f t="shared" si="182"/>
        <v>303247</v>
      </c>
      <c r="O85" s="6">
        <f t="shared" si="182"/>
        <v>303574</v>
      </c>
      <c r="P85" s="79">
        <f t="shared" si="182"/>
        <v>303574</v>
      </c>
      <c r="Q85" s="6">
        <f t="shared" si="182"/>
        <v>303901</v>
      </c>
      <c r="R85" s="6">
        <f t="shared" si="182"/>
        <v>304219</v>
      </c>
      <c r="S85" s="6">
        <f t="shared" si="182"/>
        <v>296532</v>
      </c>
      <c r="T85" s="6">
        <f t="shared" si="182"/>
        <v>296852</v>
      </c>
      <c r="U85" s="79">
        <f t="shared" si="182"/>
        <v>296852</v>
      </c>
      <c r="V85" s="6">
        <f t="shared" si="182"/>
        <v>297172</v>
      </c>
      <c r="W85" s="6">
        <f t="shared" si="182"/>
        <v>297385</v>
      </c>
      <c r="X85" s="6">
        <f t="shared" si="182"/>
        <v>248033</v>
      </c>
      <c r="Y85" s="6">
        <f t="shared" si="182"/>
        <v>222119</v>
      </c>
      <c r="Z85" s="79">
        <f t="shared" si="182"/>
        <v>222119</v>
      </c>
      <c r="AA85" s="6">
        <f t="shared" si="182"/>
        <v>213102</v>
      </c>
      <c r="AB85" s="6">
        <f t="shared" si="182"/>
        <v>0</v>
      </c>
      <c r="AC85" s="6">
        <f t="shared" si="182"/>
        <v>0</v>
      </c>
      <c r="AD85" s="6">
        <f t="shared" si="182"/>
        <v>0</v>
      </c>
      <c r="AE85" s="79">
        <f t="shared" si="182"/>
        <v>0</v>
      </c>
      <c r="AF85" s="6">
        <f t="shared" si="182"/>
        <v>0</v>
      </c>
      <c r="AG85" s="6">
        <f t="shared" si="182"/>
        <v>0</v>
      </c>
      <c r="AH85" s="6">
        <f t="shared" si="182"/>
        <v>0</v>
      </c>
      <c r="AI85" s="6">
        <f t="shared" ref="AI85" si="183">AI25</f>
        <v>0</v>
      </c>
      <c r="AJ85" s="79">
        <f t="shared" si="182"/>
        <v>0</v>
      </c>
      <c r="AK85" s="6">
        <f t="shared" si="182"/>
        <v>0</v>
      </c>
      <c r="AL85" s="6">
        <f t="shared" si="182"/>
        <v>0</v>
      </c>
      <c r="AM85" s="6">
        <f t="shared" si="182"/>
        <v>0</v>
      </c>
      <c r="AN85" s="6">
        <f t="shared" si="182"/>
        <v>0</v>
      </c>
      <c r="AO85" s="79">
        <f t="shared" si="182"/>
        <v>0</v>
      </c>
      <c r="AP85" s="6">
        <f t="shared" si="182"/>
        <v>0</v>
      </c>
      <c r="AQ85" s="6">
        <f t="shared" si="182"/>
        <v>0</v>
      </c>
      <c r="AR85" s="6">
        <f t="shared" si="182"/>
        <v>0</v>
      </c>
      <c r="AS85" s="6">
        <f t="shared" si="182"/>
        <v>0</v>
      </c>
      <c r="AT85" s="79">
        <f t="shared" si="182"/>
        <v>0</v>
      </c>
      <c r="AU85" s="6">
        <f t="shared" ref="AU85:AY85" si="184">AU25</f>
        <v>0</v>
      </c>
      <c r="AV85" s="6">
        <f t="shared" si="184"/>
        <v>0</v>
      </c>
      <c r="AW85" s="6">
        <f t="shared" si="184"/>
        <v>0</v>
      </c>
      <c r="AX85" s="6">
        <f t="shared" si="184"/>
        <v>0</v>
      </c>
      <c r="AY85" s="79">
        <f t="shared" si="184"/>
        <v>0</v>
      </c>
    </row>
    <row r="86" spans="1:51">
      <c r="A86" s="141" t="s">
        <v>281</v>
      </c>
      <c r="B86" s="79">
        <f t="shared" ref="B86:AT86" si="185">B6</f>
        <v>588578</v>
      </c>
      <c r="C86" s="79">
        <f t="shared" si="185"/>
        <v>547189</v>
      </c>
      <c r="D86" s="79">
        <f t="shared" si="185"/>
        <v>675558</v>
      </c>
      <c r="E86" s="79">
        <f t="shared" si="185"/>
        <v>723135</v>
      </c>
      <c r="F86" s="79">
        <f t="shared" si="185"/>
        <v>671267</v>
      </c>
      <c r="G86" s="6">
        <f t="shared" si="185"/>
        <v>703989</v>
      </c>
      <c r="H86" s="6">
        <f t="shared" si="185"/>
        <v>766721</v>
      </c>
      <c r="I86" s="6">
        <f t="shared" si="185"/>
        <v>812881</v>
      </c>
      <c r="J86" s="6">
        <f t="shared" si="185"/>
        <v>1104862</v>
      </c>
      <c r="K86" s="79">
        <f t="shared" si="185"/>
        <v>1104862</v>
      </c>
      <c r="L86" s="6">
        <f t="shared" si="185"/>
        <v>909008</v>
      </c>
      <c r="M86" s="6">
        <f t="shared" si="185"/>
        <v>921504</v>
      </c>
      <c r="N86" s="6">
        <f t="shared" si="185"/>
        <v>865622</v>
      </c>
      <c r="O86" s="6">
        <f t="shared" si="185"/>
        <v>823139</v>
      </c>
      <c r="P86" s="79">
        <f t="shared" si="185"/>
        <v>823139</v>
      </c>
      <c r="Q86" s="6">
        <f t="shared" si="185"/>
        <v>468378</v>
      </c>
      <c r="R86" s="6">
        <f t="shared" si="185"/>
        <v>369957</v>
      </c>
      <c r="S86" s="6">
        <f t="shared" si="185"/>
        <v>257332</v>
      </c>
      <c r="T86" s="6">
        <f t="shared" si="185"/>
        <v>517602</v>
      </c>
      <c r="U86" s="79">
        <f t="shared" si="185"/>
        <v>517602</v>
      </c>
      <c r="V86" s="6">
        <f t="shared" si="185"/>
        <v>446952</v>
      </c>
      <c r="W86" s="6">
        <f t="shared" si="185"/>
        <v>617339</v>
      </c>
      <c r="X86" s="6">
        <f t="shared" si="185"/>
        <v>649489</v>
      </c>
      <c r="Y86" s="6">
        <f t="shared" si="185"/>
        <v>900884</v>
      </c>
      <c r="Z86" s="79">
        <f t="shared" si="185"/>
        <v>900884</v>
      </c>
      <c r="AA86" s="6">
        <f t="shared" si="185"/>
        <v>864195</v>
      </c>
      <c r="AB86" s="6">
        <f t="shared" si="185"/>
        <v>738402</v>
      </c>
      <c r="AC86" s="6">
        <f t="shared" si="185"/>
        <v>683089</v>
      </c>
      <c r="AD86" s="6">
        <f t="shared" si="185"/>
        <v>772727</v>
      </c>
      <c r="AE86" s="79">
        <f t="shared" si="185"/>
        <v>772727</v>
      </c>
      <c r="AF86" s="6">
        <f t="shared" si="185"/>
        <v>510563</v>
      </c>
      <c r="AG86" s="6">
        <f t="shared" si="185"/>
        <v>572730</v>
      </c>
      <c r="AH86" s="6">
        <f t="shared" si="185"/>
        <v>605783</v>
      </c>
      <c r="AI86" s="6">
        <f t="shared" ref="AI86" si="186">AI6</f>
        <v>759540</v>
      </c>
      <c r="AJ86" s="79">
        <f t="shared" si="185"/>
        <v>759540</v>
      </c>
      <c r="AK86" s="6">
        <f t="shared" si="185"/>
        <v>594080</v>
      </c>
      <c r="AL86" s="6">
        <f t="shared" si="185"/>
        <v>627716</v>
      </c>
      <c r="AM86" s="6">
        <f t="shared" si="185"/>
        <v>676349.139111715</v>
      </c>
      <c r="AN86" s="6">
        <f t="shared" si="185"/>
        <v>768594.745763354</v>
      </c>
      <c r="AO86" s="79">
        <f t="shared" si="185"/>
        <v>768594.745763354</v>
      </c>
      <c r="AP86" s="6">
        <f t="shared" si="185"/>
        <v>828807.837579932</v>
      </c>
      <c r="AQ86" s="6">
        <f t="shared" si="185"/>
        <v>956277.539264876</v>
      </c>
      <c r="AR86" s="6">
        <f t="shared" si="185"/>
        <v>850766.042790157</v>
      </c>
      <c r="AS86" s="6">
        <f t="shared" si="185"/>
        <v>929085.138471749</v>
      </c>
      <c r="AT86" s="79">
        <f t="shared" si="185"/>
        <v>929085.138471749</v>
      </c>
      <c r="AU86" s="6">
        <f t="shared" ref="AU86:AY86" si="187">AU6</f>
        <v>964530.526907196</v>
      </c>
      <c r="AV86" s="6">
        <f t="shared" si="187"/>
        <v>1050819.95172809</v>
      </c>
      <c r="AW86" s="6">
        <f t="shared" si="187"/>
        <v>1100923.35331121</v>
      </c>
      <c r="AX86" s="6">
        <f t="shared" si="187"/>
        <v>1107375.12810613</v>
      </c>
      <c r="AY86" s="79">
        <f t="shared" si="187"/>
        <v>1107375.12810613</v>
      </c>
    </row>
    <row r="87" spans="1:51">
      <c r="A87" s="142" t="s">
        <v>282</v>
      </c>
      <c r="B87" s="105">
        <f t="shared" ref="B87:F87" si="188">B85-B86</f>
        <v>-302343</v>
      </c>
      <c r="C87" s="105">
        <f t="shared" si="188"/>
        <v>-284197</v>
      </c>
      <c r="D87" s="105">
        <f t="shared" si="188"/>
        <v>-425872</v>
      </c>
      <c r="E87" s="105">
        <f t="shared" si="188"/>
        <v>-472696</v>
      </c>
      <c r="F87" s="105">
        <f t="shared" si="188"/>
        <v>-439304</v>
      </c>
      <c r="G87" s="106">
        <f t="shared" ref="G87" si="189">G85-G86</f>
        <v>-471811</v>
      </c>
      <c r="H87" s="106">
        <f t="shared" ref="H87:AT87" si="190">H85-H86</f>
        <v>-423471</v>
      </c>
      <c r="I87" s="106">
        <f t="shared" si="190"/>
        <v>-469322</v>
      </c>
      <c r="J87" s="106">
        <f t="shared" si="190"/>
        <v>-760952</v>
      </c>
      <c r="K87" s="105">
        <f t="shared" si="190"/>
        <v>-760952</v>
      </c>
      <c r="L87" s="106">
        <f t="shared" si="190"/>
        <v>-564730</v>
      </c>
      <c r="M87" s="106">
        <f t="shared" si="190"/>
        <v>-618489</v>
      </c>
      <c r="N87" s="106">
        <f t="shared" si="190"/>
        <v>-562375</v>
      </c>
      <c r="O87" s="106">
        <f t="shared" si="190"/>
        <v>-519565</v>
      </c>
      <c r="P87" s="105">
        <f t="shared" si="190"/>
        <v>-519565</v>
      </c>
      <c r="Q87" s="106">
        <f t="shared" si="190"/>
        <v>-164477</v>
      </c>
      <c r="R87" s="106">
        <f t="shared" si="190"/>
        <v>-65738</v>
      </c>
      <c r="S87" s="106">
        <f t="shared" si="190"/>
        <v>39200</v>
      </c>
      <c r="T87" s="106">
        <f t="shared" si="190"/>
        <v>-220750</v>
      </c>
      <c r="U87" s="105">
        <f t="shared" si="190"/>
        <v>-220750</v>
      </c>
      <c r="V87" s="106">
        <f t="shared" si="190"/>
        <v>-149780</v>
      </c>
      <c r="W87" s="106">
        <f t="shared" si="190"/>
        <v>-319954</v>
      </c>
      <c r="X87" s="106">
        <f t="shared" si="190"/>
        <v>-401456</v>
      </c>
      <c r="Y87" s="106">
        <f t="shared" si="190"/>
        <v>-678765</v>
      </c>
      <c r="Z87" s="105">
        <f t="shared" si="190"/>
        <v>-678765</v>
      </c>
      <c r="AA87" s="106">
        <f t="shared" si="190"/>
        <v>-651093</v>
      </c>
      <c r="AB87" s="106">
        <f t="shared" si="190"/>
        <v>-738402</v>
      </c>
      <c r="AC87" s="106">
        <f t="shared" si="190"/>
        <v>-683089</v>
      </c>
      <c r="AD87" s="106">
        <f t="shared" si="190"/>
        <v>-772727</v>
      </c>
      <c r="AE87" s="105">
        <f t="shared" si="190"/>
        <v>-772727</v>
      </c>
      <c r="AF87" s="106">
        <f t="shared" si="190"/>
        <v>-510563</v>
      </c>
      <c r="AG87" s="106">
        <f t="shared" si="190"/>
        <v>-572730</v>
      </c>
      <c r="AH87" s="106">
        <f t="shared" si="190"/>
        <v>-605783</v>
      </c>
      <c r="AI87" s="106">
        <f t="shared" ref="AI87" si="191">AI85-AI86</f>
        <v>-759540</v>
      </c>
      <c r="AJ87" s="105">
        <f t="shared" si="190"/>
        <v>-759540</v>
      </c>
      <c r="AK87" s="106">
        <f t="shared" si="190"/>
        <v>-594080</v>
      </c>
      <c r="AL87" s="106">
        <f t="shared" si="190"/>
        <v>-627716</v>
      </c>
      <c r="AM87" s="106">
        <f t="shared" si="190"/>
        <v>-676349.139111715</v>
      </c>
      <c r="AN87" s="106">
        <f t="shared" si="190"/>
        <v>-768594.745763354</v>
      </c>
      <c r="AO87" s="105">
        <f t="shared" si="190"/>
        <v>-768594.745763354</v>
      </c>
      <c r="AP87" s="106">
        <f t="shared" si="190"/>
        <v>-828807.837579932</v>
      </c>
      <c r="AQ87" s="106">
        <f t="shared" si="190"/>
        <v>-956277.539264876</v>
      </c>
      <c r="AR87" s="106">
        <f t="shared" si="190"/>
        <v>-850766.042790157</v>
      </c>
      <c r="AS87" s="106">
        <f t="shared" si="190"/>
        <v>-929085.138471749</v>
      </c>
      <c r="AT87" s="105">
        <f t="shared" si="190"/>
        <v>-929085.138471749</v>
      </c>
      <c r="AU87" s="106">
        <f t="shared" ref="AU87:AY87" si="192">AU85-AU86</f>
        <v>-964530.526907196</v>
      </c>
      <c r="AV87" s="106">
        <f t="shared" si="192"/>
        <v>-1050819.95172809</v>
      </c>
      <c r="AW87" s="106">
        <f t="shared" si="192"/>
        <v>-1100923.35331121</v>
      </c>
      <c r="AX87" s="106">
        <f t="shared" si="192"/>
        <v>-1107375.12810613</v>
      </c>
      <c r="AY87" s="105">
        <f t="shared" si="192"/>
        <v>-1107375.12810613</v>
      </c>
    </row>
    <row r="88" spans="1:51">
      <c r="A88" s="3" t="s">
        <v>283</v>
      </c>
      <c r="B88" s="79">
        <f>IS!B13</f>
        <v>18248</v>
      </c>
      <c r="C88" s="79">
        <f>IS!C13</f>
        <v>18666</v>
      </c>
      <c r="D88" s="79">
        <f>IS!D13</f>
        <v>16889</v>
      </c>
      <c r="E88" s="79">
        <f>IS!E13</f>
        <v>10999</v>
      </c>
      <c r="F88" s="79">
        <f>IS!F13</f>
        <v>7737</v>
      </c>
      <c r="G88" s="6">
        <f>IS!G13</f>
        <v>3371</v>
      </c>
      <c r="H88" s="6">
        <f>IS!H13</f>
        <v>7098</v>
      </c>
      <c r="I88" s="6">
        <f>IS!I13</f>
        <v>8808</v>
      </c>
      <c r="J88" s="6">
        <f>IS!J13</f>
        <v>8997</v>
      </c>
      <c r="K88" s="79">
        <f>IS!K13</f>
        <v>28274</v>
      </c>
      <c r="L88" s="6">
        <f>IS!L13</f>
        <v>8606</v>
      </c>
      <c r="M88" s="6">
        <f>IS!M13</f>
        <v>11275</v>
      </c>
      <c r="N88" s="6">
        <f>IS!N13</f>
        <v>7270</v>
      </c>
      <c r="O88" s="6">
        <f>IS!O13</f>
        <v>6959</v>
      </c>
      <c r="P88" s="79">
        <f>IS!P13</f>
        <v>34110</v>
      </c>
      <c r="Q88" s="6">
        <f>IS!Q13</f>
        <v>7307</v>
      </c>
      <c r="R88" s="6">
        <f>IS!R13</f>
        <v>6917</v>
      </c>
      <c r="S88" s="6">
        <f>IS!S13</f>
        <v>7295</v>
      </c>
      <c r="T88" s="6">
        <f>IS!T13</f>
        <v>4113</v>
      </c>
      <c r="U88" s="79">
        <f>IS!U13</f>
        <v>25632</v>
      </c>
      <c r="V88" s="6">
        <f>IS!V13</f>
        <v>3443</v>
      </c>
      <c r="W88" s="6">
        <f>IS!W13</f>
        <v>1097</v>
      </c>
      <c r="X88" s="6">
        <f>IS!X13</f>
        <v>671</v>
      </c>
      <c r="Y88" s="6">
        <f>IS!Y13</f>
        <v>-4839</v>
      </c>
      <c r="Z88" s="79">
        <f>IS!Z13</f>
        <v>372</v>
      </c>
      <c r="AA88" s="6">
        <f>IS!AA13</f>
        <v>-5023</v>
      </c>
      <c r="AB88" s="6">
        <f>IS!AB13</f>
        <v>-5203</v>
      </c>
      <c r="AC88" s="6">
        <f>IS!AC13</f>
        <v>-8733</v>
      </c>
      <c r="AD88" s="6">
        <f>IS!AD13</f>
        <v>-8898</v>
      </c>
      <c r="AE88" s="79">
        <f>IS!AE13</f>
        <v>-27857</v>
      </c>
      <c r="AF88" s="6">
        <f>IS!AF13</f>
        <v>-6783</v>
      </c>
      <c r="AG88" s="6">
        <f>IS!AG13</f>
        <v>-2474</v>
      </c>
      <c r="AH88" s="6">
        <f>IS!AH13</f>
        <v>-5941</v>
      </c>
      <c r="AI88" s="6">
        <f>IS!AI13</f>
        <v>-6431</v>
      </c>
      <c r="AJ88" s="79">
        <f>IS!AJ13</f>
        <v>-21629</v>
      </c>
      <c r="AK88" s="6">
        <f>IS!AK13</f>
        <v>-5287</v>
      </c>
      <c r="AL88" s="6">
        <f>IS!AL13</f>
        <v>-4507</v>
      </c>
      <c r="AM88" s="6">
        <f>IS!AM13</f>
        <v>-4500</v>
      </c>
      <c r="AN88" s="6">
        <f>IS!AN13</f>
        <v>-5500</v>
      </c>
      <c r="AO88" s="79">
        <f>IS!AO13</f>
        <v>-19794</v>
      </c>
      <c r="AP88" s="6">
        <f>IS!AP13</f>
        <v>-4500</v>
      </c>
      <c r="AQ88" s="6">
        <f>IS!AQ13</f>
        <v>-4500</v>
      </c>
      <c r="AR88" s="6">
        <f>IS!AR13</f>
        <v>-4500</v>
      </c>
      <c r="AS88" s="6">
        <f>IS!AS13</f>
        <v>-5000</v>
      </c>
      <c r="AT88" s="79">
        <f>IS!AT13</f>
        <v>-18500</v>
      </c>
      <c r="AU88" s="6">
        <f>IS!AU13</f>
        <v>-4500</v>
      </c>
      <c r="AV88" s="6">
        <f>IS!AV13</f>
        <v>-4500</v>
      </c>
      <c r="AW88" s="6">
        <f>IS!AW13</f>
        <v>-4500</v>
      </c>
      <c r="AX88" s="6">
        <f>IS!AX13</f>
        <v>-5000</v>
      </c>
      <c r="AY88" s="79">
        <f>IS!AY13</f>
        <v>-18500</v>
      </c>
    </row>
    <row r="89" spans="1:51">
      <c r="A89" s="3" t="s">
        <v>284</v>
      </c>
      <c r="B89" s="83">
        <f t="shared" ref="B89:J89" si="193">B88/B87</f>
        <v>-0.0603552918374164</v>
      </c>
      <c r="C89" s="83">
        <f t="shared" si="193"/>
        <v>-0.0656797925382745</v>
      </c>
      <c r="D89" s="83">
        <f t="shared" si="193"/>
        <v>-0.0396574557613555</v>
      </c>
      <c r="E89" s="83">
        <f t="shared" si="193"/>
        <v>-0.0232686546956183</v>
      </c>
      <c r="F89" s="83">
        <f t="shared" si="193"/>
        <v>-0.01761194981152</v>
      </c>
      <c r="G89" s="119">
        <f t="shared" si="193"/>
        <v>-0.0071448101040459</v>
      </c>
      <c r="H89" s="119">
        <f t="shared" si="193"/>
        <v>-0.0167614783538896</v>
      </c>
      <c r="I89" s="119">
        <f t="shared" si="193"/>
        <v>-0.0187674986469844</v>
      </c>
      <c r="J89" s="119">
        <f t="shared" si="193"/>
        <v>-0.011823347596169</v>
      </c>
      <c r="K89" s="83">
        <f t="shared" ref="K89:AH89" si="194">K88/K87</f>
        <v>-0.0371560886889055</v>
      </c>
      <c r="L89" s="119">
        <f t="shared" si="194"/>
        <v>-0.0152391408283605</v>
      </c>
      <c r="M89" s="119">
        <f t="shared" si="194"/>
        <v>-0.0182299119305275</v>
      </c>
      <c r="N89" s="119">
        <f t="shared" si="194"/>
        <v>-0.0129273171815959</v>
      </c>
      <c r="O89" s="119">
        <f t="shared" si="194"/>
        <v>-0.01339389681753</v>
      </c>
      <c r="P89" s="83">
        <f t="shared" si="194"/>
        <v>-0.065651073494173</v>
      </c>
      <c r="Q89" s="119">
        <f t="shared" si="194"/>
        <v>-0.0444256643786061</v>
      </c>
      <c r="R89" s="119">
        <f t="shared" si="194"/>
        <v>-0.105220724695001</v>
      </c>
      <c r="S89" s="119">
        <f t="shared" si="194"/>
        <v>0.18609693877551</v>
      </c>
      <c r="T89" s="119">
        <f t="shared" si="194"/>
        <v>-0.0186319365798415</v>
      </c>
      <c r="U89" s="83">
        <f t="shared" si="194"/>
        <v>-0.116113250283126</v>
      </c>
      <c r="V89" s="119">
        <f t="shared" si="194"/>
        <v>-0.0229870476699159</v>
      </c>
      <c r="W89" s="119">
        <f t="shared" si="194"/>
        <v>-0.00342861786381792</v>
      </c>
      <c r="X89" s="119">
        <f t="shared" si="194"/>
        <v>-0.00167141604559404</v>
      </c>
      <c r="Y89" s="119">
        <f t="shared" si="194"/>
        <v>0.00712912421824932</v>
      </c>
      <c r="Z89" s="83">
        <f t="shared" si="194"/>
        <v>-0.000548054186647809</v>
      </c>
      <c r="AA89" s="119">
        <f t="shared" si="194"/>
        <v>0.00771471970978032</v>
      </c>
      <c r="AB89" s="119">
        <f t="shared" si="194"/>
        <v>0.00704629727438441</v>
      </c>
      <c r="AC89" s="119">
        <f t="shared" si="194"/>
        <v>0.0127845712637738</v>
      </c>
      <c r="AD89" s="119">
        <f t="shared" si="194"/>
        <v>0.0115150628876693</v>
      </c>
      <c r="AE89" s="83">
        <f t="shared" si="194"/>
        <v>0.0360502480177346</v>
      </c>
      <c r="AF89" s="119">
        <f t="shared" si="194"/>
        <v>0.0132853340332143</v>
      </c>
      <c r="AG89" s="119">
        <f t="shared" si="194"/>
        <v>0.00431966196986364</v>
      </c>
      <c r="AH89" s="119">
        <f t="shared" si="194"/>
        <v>0.00980714216146706</v>
      </c>
      <c r="AI89" s="119">
        <f t="shared" ref="AI89" si="195">AI88/AI87</f>
        <v>0.00846696684835558</v>
      </c>
      <c r="AJ89" s="83">
        <f t="shared" ref="AJ89:AN89" si="196">AJ88/AJ87</f>
        <v>0.0284764462701109</v>
      </c>
      <c r="AK89" s="119">
        <f t="shared" si="196"/>
        <v>0.0088994748182063</v>
      </c>
      <c r="AL89" s="119">
        <f t="shared" si="196"/>
        <v>0.00717999859809213</v>
      </c>
      <c r="AM89" s="119">
        <f t="shared" si="196"/>
        <v>0.00665336841547561</v>
      </c>
      <c r="AN89" s="119">
        <f t="shared" si="196"/>
        <v>0.00715591673026272</v>
      </c>
      <c r="AO89" s="83">
        <f t="shared" ref="AO89:AS89" si="197">AO88/AO87</f>
        <v>0.0257534937743309</v>
      </c>
      <c r="AP89" s="119">
        <f t="shared" si="197"/>
        <v>0.00542948533539418</v>
      </c>
      <c r="AQ89" s="119">
        <f t="shared" si="197"/>
        <v>0.00470574683105002</v>
      </c>
      <c r="AR89" s="119">
        <f t="shared" si="197"/>
        <v>0.00528935074235201</v>
      </c>
      <c r="AS89" s="119">
        <f t="shared" si="197"/>
        <v>0.00538163812223333</v>
      </c>
      <c r="AT89" s="83">
        <f t="shared" ref="AT89:AX89" si="198">AT88/AT87</f>
        <v>0.0199120610522633</v>
      </c>
      <c r="AU89" s="119">
        <f t="shared" si="198"/>
        <v>0.00466548219518715</v>
      </c>
      <c r="AV89" s="119">
        <f t="shared" si="198"/>
        <v>0.00428237015541975</v>
      </c>
      <c r="AW89" s="119">
        <f t="shared" si="198"/>
        <v>0.0040874780124025</v>
      </c>
      <c r="AX89" s="119">
        <f t="shared" si="198"/>
        <v>0.00451518177814879</v>
      </c>
      <c r="AY89" s="83">
        <f t="shared" ref="AY89" si="199">AY88/AY87</f>
        <v>0.0167061725791505</v>
      </c>
    </row>
    <row r="90" spans="1:51">
      <c r="B90" s="83"/>
      <c r="C90" s="83"/>
      <c r="D90" s="83"/>
      <c r="E90" s="83"/>
      <c r="F90" s="83"/>
      <c r="G90" s="119"/>
      <c r="H90" s="119"/>
      <c r="I90" s="119"/>
      <c r="J90" s="119"/>
      <c r="K90" s="5"/>
      <c r="L90" s="119"/>
      <c r="M90" s="119"/>
      <c r="N90" s="119"/>
      <c r="O90" s="119"/>
      <c r="P90" s="5"/>
      <c r="Q90" s="119"/>
      <c r="R90" s="119"/>
      <c r="S90" s="119"/>
      <c r="T90" s="119"/>
      <c r="U90" s="5"/>
      <c r="V90" s="119"/>
      <c r="W90" s="119"/>
      <c r="X90" s="119"/>
      <c r="Y90" s="119"/>
      <c r="Z90" s="5"/>
      <c r="AA90" s="119"/>
      <c r="AB90" s="119"/>
      <c r="AC90" s="119"/>
      <c r="AD90" s="119"/>
      <c r="AF90" s="119"/>
      <c r="AG90" s="119"/>
      <c r="AH90" s="134"/>
      <c r="AI90" s="134"/>
      <c r="AK90" s="119"/>
      <c r="AL90" s="119"/>
      <c r="AM90" s="119"/>
      <c r="AN90" s="119"/>
      <c r="AP90" s="119"/>
      <c r="AQ90" s="119"/>
      <c r="AR90" s="119"/>
      <c r="AS90" s="119"/>
      <c r="AU90" s="119"/>
      <c r="AV90" s="119"/>
      <c r="AW90" s="119"/>
      <c r="AX90" s="119"/>
    </row>
    <row r="91" spans="1:51">
      <c r="A91" s="3" t="s">
        <v>285</v>
      </c>
      <c r="B91" s="79">
        <f t="shared" ref="B91:AT91" si="200">B85+B19+B24</f>
        <v>286235</v>
      </c>
      <c r="C91" s="79">
        <f t="shared" si="200"/>
        <v>262992</v>
      </c>
      <c r="D91" s="79">
        <f t="shared" si="200"/>
        <v>249686</v>
      </c>
      <c r="E91" s="79">
        <f t="shared" si="200"/>
        <v>250439</v>
      </c>
      <c r="F91" s="79">
        <f t="shared" si="200"/>
        <v>1767426</v>
      </c>
      <c r="G91" s="6">
        <f t="shared" si="200"/>
        <v>1723799</v>
      </c>
      <c r="H91" s="6">
        <f t="shared" si="200"/>
        <v>1744598</v>
      </c>
      <c r="I91" s="6">
        <f t="shared" si="200"/>
        <v>1609385</v>
      </c>
      <c r="J91" s="6">
        <f t="shared" si="200"/>
        <v>1550344</v>
      </c>
      <c r="K91" s="79">
        <f t="shared" si="200"/>
        <v>1550344</v>
      </c>
      <c r="L91" s="6">
        <f t="shared" si="200"/>
        <v>1420429</v>
      </c>
      <c r="M91" s="6">
        <f t="shared" si="200"/>
        <v>1314261</v>
      </c>
      <c r="N91" s="6">
        <f t="shared" si="200"/>
        <v>1277405</v>
      </c>
      <c r="O91" s="6">
        <f t="shared" si="200"/>
        <v>1223661</v>
      </c>
      <c r="P91" s="79">
        <f t="shared" si="200"/>
        <v>1223661</v>
      </c>
      <c r="Q91" s="6">
        <f t="shared" si="200"/>
        <v>1161822</v>
      </c>
      <c r="R91" s="6">
        <f t="shared" si="200"/>
        <v>1221183</v>
      </c>
      <c r="S91" s="6">
        <f t="shared" si="200"/>
        <v>1216348</v>
      </c>
      <c r="T91" s="6">
        <f t="shared" si="200"/>
        <v>1224192</v>
      </c>
      <c r="U91" s="79">
        <f t="shared" si="200"/>
        <v>1224192</v>
      </c>
      <c r="V91" s="6">
        <f t="shared" si="200"/>
        <v>1168688</v>
      </c>
      <c r="W91" s="6">
        <f t="shared" si="200"/>
        <v>1181131</v>
      </c>
      <c r="X91" s="6">
        <f t="shared" si="200"/>
        <v>1101981</v>
      </c>
      <c r="Y91" s="6">
        <f t="shared" si="200"/>
        <v>1048368</v>
      </c>
      <c r="Z91" s="79">
        <f t="shared" si="200"/>
        <v>1048368</v>
      </c>
      <c r="AA91" s="6">
        <f t="shared" si="200"/>
        <v>1058815</v>
      </c>
      <c r="AB91" s="6">
        <f t="shared" si="200"/>
        <v>890846</v>
      </c>
      <c r="AC91" s="6">
        <f t="shared" si="200"/>
        <v>945253</v>
      </c>
      <c r="AD91" s="6">
        <f t="shared" si="200"/>
        <v>951613</v>
      </c>
      <c r="AE91" s="79">
        <f t="shared" si="200"/>
        <v>951613</v>
      </c>
      <c r="AF91" s="6">
        <f t="shared" si="200"/>
        <v>1025902</v>
      </c>
      <c r="AG91" s="6">
        <f t="shared" si="200"/>
        <v>1099481</v>
      </c>
      <c r="AH91" s="6">
        <f t="shared" si="200"/>
        <v>1130888</v>
      </c>
      <c r="AI91" s="6">
        <f t="shared" si="200"/>
        <v>1168095</v>
      </c>
      <c r="AJ91" s="79">
        <f t="shared" si="200"/>
        <v>1168095</v>
      </c>
      <c r="AK91" s="6">
        <f t="shared" si="200"/>
        <v>1292477</v>
      </c>
      <c r="AL91" s="6">
        <f t="shared" si="200"/>
        <v>1287440</v>
      </c>
      <c r="AM91" s="6">
        <f t="shared" si="200"/>
        <v>1351812</v>
      </c>
      <c r="AN91" s="6">
        <f t="shared" si="200"/>
        <v>1419402.6</v>
      </c>
      <c r="AO91" s="79">
        <f t="shared" si="200"/>
        <v>1419402.6</v>
      </c>
      <c r="AP91" s="6">
        <f t="shared" si="200"/>
        <v>1490372.73</v>
      </c>
      <c r="AQ91" s="6">
        <f t="shared" si="200"/>
        <v>1564891.3665</v>
      </c>
      <c r="AR91" s="6">
        <f t="shared" si="200"/>
        <v>1643135.934825</v>
      </c>
      <c r="AS91" s="6">
        <f t="shared" si="200"/>
        <v>1725292.73156625</v>
      </c>
      <c r="AT91" s="79">
        <f t="shared" si="200"/>
        <v>1725292.73156625</v>
      </c>
      <c r="AU91" s="6">
        <f t="shared" ref="AU91:AY91" si="201">AU85+AU19+AU24</f>
        <v>1811557.36814456</v>
      </c>
      <c r="AV91" s="6">
        <f t="shared" si="201"/>
        <v>1902135.23655179</v>
      </c>
      <c r="AW91" s="6">
        <f t="shared" si="201"/>
        <v>1997241.99837938</v>
      </c>
      <c r="AX91" s="6">
        <f t="shared" si="201"/>
        <v>2097104.09829835</v>
      </c>
      <c r="AY91" s="79">
        <f t="shared" si="201"/>
        <v>2097104.09829835</v>
      </c>
    </row>
    <row r="92" spans="1:51">
      <c r="A92" s="143" t="s">
        <v>286</v>
      </c>
      <c r="B92" s="105">
        <f t="shared" ref="B92:G92" si="202">B91-B86</f>
        <v>-302343</v>
      </c>
      <c r="C92" s="105">
        <f t="shared" si="202"/>
        <v>-284197</v>
      </c>
      <c r="D92" s="105">
        <f t="shared" si="202"/>
        <v>-425872</v>
      </c>
      <c r="E92" s="105">
        <f t="shared" si="202"/>
        <v>-472696</v>
      </c>
      <c r="F92" s="105">
        <f t="shared" si="202"/>
        <v>1096159</v>
      </c>
      <c r="G92" s="106">
        <f t="shared" si="202"/>
        <v>1019810</v>
      </c>
      <c r="H92" s="106">
        <f t="shared" ref="H92:AT92" si="203">H91-H86</f>
        <v>977877</v>
      </c>
      <c r="I92" s="106">
        <f t="shared" si="203"/>
        <v>796504</v>
      </c>
      <c r="J92" s="106">
        <f t="shared" si="203"/>
        <v>445482</v>
      </c>
      <c r="K92" s="105">
        <f t="shared" si="203"/>
        <v>445482</v>
      </c>
      <c r="L92" s="106">
        <f t="shared" si="203"/>
        <v>511421</v>
      </c>
      <c r="M92" s="106">
        <f t="shared" si="203"/>
        <v>392757</v>
      </c>
      <c r="N92" s="106">
        <f t="shared" si="203"/>
        <v>411783</v>
      </c>
      <c r="O92" s="106">
        <f t="shared" si="203"/>
        <v>400522</v>
      </c>
      <c r="P92" s="105">
        <f t="shared" si="203"/>
        <v>400522</v>
      </c>
      <c r="Q92" s="106">
        <f t="shared" si="203"/>
        <v>693444</v>
      </c>
      <c r="R92" s="106">
        <f t="shared" si="203"/>
        <v>851226</v>
      </c>
      <c r="S92" s="106">
        <f t="shared" si="203"/>
        <v>959016</v>
      </c>
      <c r="T92" s="106">
        <f t="shared" si="203"/>
        <v>706590</v>
      </c>
      <c r="U92" s="105">
        <f t="shared" si="203"/>
        <v>706590</v>
      </c>
      <c r="V92" s="106">
        <f t="shared" si="203"/>
        <v>721736</v>
      </c>
      <c r="W92" s="106">
        <f t="shared" si="203"/>
        <v>563792</v>
      </c>
      <c r="X92" s="106">
        <f t="shared" si="203"/>
        <v>452492</v>
      </c>
      <c r="Y92" s="106">
        <f t="shared" si="203"/>
        <v>147484</v>
      </c>
      <c r="Z92" s="105">
        <f t="shared" si="203"/>
        <v>147484</v>
      </c>
      <c r="AA92" s="106">
        <f t="shared" si="203"/>
        <v>194620</v>
      </c>
      <c r="AB92" s="106">
        <f t="shared" si="203"/>
        <v>152444</v>
      </c>
      <c r="AC92" s="106">
        <f t="shared" si="203"/>
        <v>262164</v>
      </c>
      <c r="AD92" s="106">
        <f t="shared" si="203"/>
        <v>178886</v>
      </c>
      <c r="AE92" s="105">
        <f t="shared" si="203"/>
        <v>178886</v>
      </c>
      <c r="AF92" s="106">
        <f t="shared" si="203"/>
        <v>515339</v>
      </c>
      <c r="AG92" s="106">
        <f t="shared" si="203"/>
        <v>526751</v>
      </c>
      <c r="AH92" s="106">
        <f t="shared" si="203"/>
        <v>525105</v>
      </c>
      <c r="AI92" s="106">
        <f t="shared" si="203"/>
        <v>408555</v>
      </c>
      <c r="AJ92" s="105">
        <f t="shared" si="203"/>
        <v>408555</v>
      </c>
      <c r="AK92" s="106">
        <f t="shared" si="203"/>
        <v>698397</v>
      </c>
      <c r="AL92" s="106">
        <f t="shared" si="203"/>
        <v>659724</v>
      </c>
      <c r="AM92" s="106">
        <f t="shared" si="203"/>
        <v>675462.860888285</v>
      </c>
      <c r="AN92" s="106">
        <f t="shared" si="203"/>
        <v>650807.854236647</v>
      </c>
      <c r="AO92" s="105">
        <f t="shared" si="203"/>
        <v>650807.854236646</v>
      </c>
      <c r="AP92" s="106">
        <f t="shared" si="203"/>
        <v>661564.892420068</v>
      </c>
      <c r="AQ92" s="106">
        <f t="shared" si="203"/>
        <v>608613.827235125</v>
      </c>
      <c r="AR92" s="106">
        <f t="shared" si="203"/>
        <v>792369.892034844</v>
      </c>
      <c r="AS92" s="106">
        <f t="shared" si="203"/>
        <v>796207.593094502</v>
      </c>
      <c r="AT92" s="105">
        <f t="shared" si="203"/>
        <v>796207.593094502</v>
      </c>
      <c r="AU92" s="106">
        <f t="shared" ref="AU92:AY92" si="204">AU91-AU86</f>
        <v>847026.841237368</v>
      </c>
      <c r="AV92" s="106">
        <f t="shared" si="204"/>
        <v>851315.2848237</v>
      </c>
      <c r="AW92" s="106">
        <f t="shared" si="204"/>
        <v>896318.645068172</v>
      </c>
      <c r="AX92" s="106">
        <f t="shared" si="204"/>
        <v>989728.970192217</v>
      </c>
      <c r="AY92" s="105">
        <f t="shared" si="204"/>
        <v>989728.970192217</v>
      </c>
    </row>
    <row r="93" spans="1:51">
      <c r="A93" s="141" t="s">
        <v>287</v>
      </c>
      <c r="B93" s="79">
        <f>IS!B61</f>
        <v>350175</v>
      </c>
      <c r="C93" s="79">
        <f>IS!C61</f>
        <v>198676</v>
      </c>
      <c r="D93" s="79">
        <f>IS!D61</f>
        <v>295330</v>
      </c>
      <c r="E93" s="79">
        <f>IS!E61</f>
        <v>316662</v>
      </c>
      <c r="F93" s="79">
        <f>IS!F61</f>
        <v>256445</v>
      </c>
      <c r="G93" s="6"/>
      <c r="H93" s="6"/>
      <c r="I93" s="6"/>
      <c r="J93" s="6">
        <f>IS!J61+IS!I61+IS!H61+IS!G61</f>
        <v>218749</v>
      </c>
      <c r="K93" s="79">
        <f>IS!K61</f>
        <v>218749</v>
      </c>
      <c r="L93" s="6">
        <f>IS!L61+IS!J61+IS!I61+IS!H61</f>
        <v>438864</v>
      </c>
      <c r="M93" s="6">
        <f>IS!M61+IS!L61+IS!J61+IS!I61</f>
        <v>527888</v>
      </c>
      <c r="N93" s="6">
        <f>IS!N61+IS!M61+IS!L61+IS!J61</f>
        <v>533466</v>
      </c>
      <c r="O93" s="6">
        <f>IS!O61+IS!N61+IS!M61+IS!L61</f>
        <v>499219</v>
      </c>
      <c r="P93" s="79">
        <f>IS!P61</f>
        <v>499219</v>
      </c>
      <c r="Q93" s="6">
        <f>IS!Q61+IS!O61+IS!N61+IS!M61</f>
        <v>428850</v>
      </c>
      <c r="R93" s="6">
        <f>IS!R61+IS!Q61+IS!O61+IS!N61</f>
        <v>310518</v>
      </c>
      <c r="S93" s="6">
        <f>IS!S61+IS!R61+IS!Q61+IS!O61</f>
        <v>249637</v>
      </c>
      <c r="T93" s="6">
        <f>IS!T61+IS!S61+IS!R61+IS!Q61</f>
        <v>238922</v>
      </c>
      <c r="U93" s="79">
        <f>IS!U61</f>
        <v>238922</v>
      </c>
      <c r="V93" s="6">
        <f>IS!V61+IS!T61+IS!S61+IS!R61</f>
        <v>285810</v>
      </c>
      <c r="W93" s="6">
        <f>IS!W61+IS!V61+IS!T61+IS!S61</f>
        <v>380401</v>
      </c>
      <c r="X93" s="6">
        <f>IS!X61+IS!W61+IS!V61+IS!T61</f>
        <v>497420</v>
      </c>
      <c r="Y93" s="6">
        <f>IS!Y61+IS!X61+IS!W61+IS!V61</f>
        <v>630211</v>
      </c>
      <c r="Z93" s="79">
        <f>IS!Z61</f>
        <v>630211</v>
      </c>
      <c r="AA93" s="6">
        <f>IS!AA61+IS!Y61+IS!X61+IS!W61</f>
        <v>723277</v>
      </c>
      <c r="AB93" s="6">
        <f>IS!AB61+IS!AA61+IS!Y61+IS!X61</f>
        <v>812032</v>
      </c>
      <c r="AC93" s="6">
        <f>IS!AC61+IS!AB61+IS!AA61+IS!Y61</f>
        <v>859724</v>
      </c>
      <c r="AD93" s="6">
        <f>IS!AD61+IS!AC61+IS!AB61+IS!AA61</f>
        <v>894593</v>
      </c>
      <c r="AE93" s="79">
        <f>IS!AE61</f>
        <v>894593</v>
      </c>
      <c r="AF93" s="6">
        <f>IS!AF61+IS!AD61+IS!AC61+IS!AB61</f>
        <v>867164</v>
      </c>
      <c r="AG93" s="6">
        <f>IS!AG61+IS!AF61+IS!AD61+IS!AC61</f>
        <v>857692</v>
      </c>
      <c r="AH93" s="6">
        <f>IS!AH61+IS!AG61+IS!AF61+IS!AD61</f>
        <v>832431</v>
      </c>
      <c r="AI93" s="6">
        <f>IS!AI61+IS!AH61+IS!AG61+IS!AF61</f>
        <v>815590</v>
      </c>
      <c r="AJ93" s="79">
        <f>IS!AJ61</f>
        <v>815590</v>
      </c>
      <c r="AK93" s="6">
        <f>IS!AK61+IS!AI61+IS!AH61+IS!AG61</f>
        <v>806582</v>
      </c>
      <c r="AL93" s="6">
        <f>IS!AL61+IS!AK61+IS!AI61+IS!AH61</f>
        <v>797053</v>
      </c>
      <c r="AM93" s="6">
        <f>IS!AM61+IS!AL61+IS!AK61+IS!AI61</f>
        <v>816127.215725524</v>
      </c>
      <c r="AN93" s="6">
        <f>IS!AN61+IS!AM61+IS!AL61+IS!AK61</f>
        <v>871980.375985524</v>
      </c>
      <c r="AO93" s="79">
        <f>IS!AO61</f>
        <v>871980.375985524</v>
      </c>
      <c r="AP93" s="6">
        <f>IS!AP61+IS!AN61+IS!AM61+IS!AL61</f>
        <v>889269.854613801</v>
      </c>
      <c r="AQ93" s="6">
        <f>IS!AQ61+IS!AP61+IS!AN61+IS!AM61</f>
        <v>899829.754053801</v>
      </c>
      <c r="AR93" s="6">
        <f>IS!AR61+IS!AQ61+IS!AP61+IS!AN61</f>
        <v>906667.997816258</v>
      </c>
      <c r="AS93" s="6">
        <f>IS!AS61+IS!AR61+IS!AQ61+IS!AP61</f>
        <v>916758.980137996</v>
      </c>
      <c r="AT93" s="79">
        <f>IS!AT61</f>
        <v>916758.980137996</v>
      </c>
      <c r="AU93" s="6">
        <f>IS!AU61+IS!AS61+IS!AR61+IS!AQ61</f>
        <v>923511.022082499</v>
      </c>
      <c r="AV93" s="6">
        <f>IS!AV61+IS!AU61+IS!AS61+IS!AR61</f>
        <v>929373.013107559</v>
      </c>
      <c r="AW93" s="6">
        <f>IS!AW61+IS!AV61+IS!AU61+IS!AS61</f>
        <v>935966.608782647</v>
      </c>
      <c r="AX93" s="6">
        <f>IS!AX61+IS!AW61+IS!AV61+IS!AU61</f>
        <v>950013.657648925</v>
      </c>
      <c r="AY93" s="79">
        <f>IS!AY61</f>
        <v>950013.657648925</v>
      </c>
    </row>
    <row r="94" spans="1:51">
      <c r="A94" s="144" t="s">
        <v>288</v>
      </c>
      <c r="B94" s="145">
        <f t="shared" ref="B94:F94" si="205">B85/B93</f>
        <v>0.817405582922824</v>
      </c>
      <c r="C94" s="145">
        <f t="shared" si="205"/>
        <v>1.32372304656828</v>
      </c>
      <c r="D94" s="145">
        <f t="shared" si="205"/>
        <v>0.845447465547015</v>
      </c>
      <c r="E94" s="145">
        <f t="shared" si="205"/>
        <v>0.790871654950705</v>
      </c>
      <c r="F94" s="145">
        <f t="shared" si="205"/>
        <v>0.904533135760105</v>
      </c>
      <c r="G94" s="81"/>
      <c r="H94" s="81"/>
      <c r="I94" s="81"/>
      <c r="J94" s="146">
        <f t="shared" ref="J94:AT94" si="206">J85/J93</f>
        <v>1.57216718705</v>
      </c>
      <c r="K94" s="145">
        <f t="shared" si="206"/>
        <v>1.57216718705</v>
      </c>
      <c r="L94" s="146">
        <f t="shared" si="206"/>
        <v>0.784475372780634</v>
      </c>
      <c r="M94" s="146">
        <f t="shared" si="206"/>
        <v>0.57401380595884</v>
      </c>
      <c r="N94" s="146">
        <f t="shared" si="206"/>
        <v>0.568446723877435</v>
      </c>
      <c r="O94" s="146">
        <f t="shared" si="206"/>
        <v>0.608097848839888</v>
      </c>
      <c r="P94" s="145">
        <f t="shared" si="206"/>
        <v>0.608097848839888</v>
      </c>
      <c r="Q94" s="146">
        <f t="shared" si="206"/>
        <v>0.708641716217792</v>
      </c>
      <c r="R94" s="146">
        <f t="shared" si="206"/>
        <v>0.979714541508061</v>
      </c>
      <c r="S94" s="146">
        <f t="shared" si="206"/>
        <v>1.18785276221073</v>
      </c>
      <c r="T94" s="146">
        <f t="shared" si="206"/>
        <v>1.24246406777107</v>
      </c>
      <c r="U94" s="145">
        <f t="shared" si="206"/>
        <v>1.24246406777107</v>
      </c>
      <c r="V94" s="146">
        <f t="shared" si="206"/>
        <v>1.03975368251636</v>
      </c>
      <c r="W94" s="146">
        <f t="shared" si="206"/>
        <v>0.781767135207321</v>
      </c>
      <c r="X94" s="146">
        <f t="shared" si="206"/>
        <v>0.498638977121949</v>
      </c>
      <c r="Y94" s="146">
        <f t="shared" si="206"/>
        <v>0.352451797889913</v>
      </c>
      <c r="Z94" s="145">
        <f t="shared" si="206"/>
        <v>0.352451797889913</v>
      </c>
      <c r="AA94" s="146">
        <f t="shared" si="206"/>
        <v>0.294634006058536</v>
      </c>
      <c r="AB94" s="146">
        <f t="shared" si="206"/>
        <v>0</v>
      </c>
      <c r="AC94" s="146">
        <f t="shared" si="206"/>
        <v>0</v>
      </c>
      <c r="AD94" s="146">
        <f t="shared" si="206"/>
        <v>0</v>
      </c>
      <c r="AE94" s="145">
        <f t="shared" si="206"/>
        <v>0</v>
      </c>
      <c r="AF94" s="146">
        <f t="shared" si="206"/>
        <v>0</v>
      </c>
      <c r="AG94" s="146">
        <f t="shared" si="206"/>
        <v>0</v>
      </c>
      <c r="AH94" s="146">
        <f t="shared" si="206"/>
        <v>0</v>
      </c>
      <c r="AI94" s="146">
        <f t="shared" si="206"/>
        <v>0</v>
      </c>
      <c r="AJ94" s="145">
        <f t="shared" si="206"/>
        <v>0</v>
      </c>
      <c r="AK94" s="146">
        <f t="shared" si="206"/>
        <v>0</v>
      </c>
      <c r="AL94" s="146">
        <f t="shared" si="206"/>
        <v>0</v>
      </c>
      <c r="AM94" s="146">
        <f t="shared" si="206"/>
        <v>0</v>
      </c>
      <c r="AN94" s="146">
        <f t="shared" si="206"/>
        <v>0</v>
      </c>
      <c r="AO94" s="145">
        <f t="shared" si="206"/>
        <v>0</v>
      </c>
      <c r="AP94" s="146">
        <f t="shared" si="206"/>
        <v>0</v>
      </c>
      <c r="AQ94" s="146">
        <f t="shared" si="206"/>
        <v>0</v>
      </c>
      <c r="AR94" s="146">
        <f t="shared" si="206"/>
        <v>0</v>
      </c>
      <c r="AS94" s="146">
        <f t="shared" si="206"/>
        <v>0</v>
      </c>
      <c r="AT94" s="145">
        <f t="shared" si="206"/>
        <v>0</v>
      </c>
      <c r="AU94" s="146">
        <f t="shared" ref="AU94:AY94" si="207">AU85/AU93</f>
        <v>0</v>
      </c>
      <c r="AV94" s="146">
        <f t="shared" si="207"/>
        <v>0</v>
      </c>
      <c r="AW94" s="146">
        <f t="shared" si="207"/>
        <v>0</v>
      </c>
      <c r="AX94" s="146">
        <f t="shared" si="207"/>
        <v>0</v>
      </c>
      <c r="AY94" s="145">
        <f t="shared" si="207"/>
        <v>0</v>
      </c>
    </row>
    <row r="95" spans="1:51">
      <c r="A95" s="141" t="s">
        <v>289</v>
      </c>
      <c r="B95" s="145">
        <f t="shared" ref="B95:F95" si="208">B92/B93</f>
        <v>-0.863405440137074</v>
      </c>
      <c r="C95" s="145">
        <f t="shared" si="208"/>
        <v>-1.43045460951499</v>
      </c>
      <c r="D95" s="145">
        <f t="shared" si="208"/>
        <v>-1.44202079030237</v>
      </c>
      <c r="E95" s="145">
        <f t="shared" si="208"/>
        <v>-1.4927462088915</v>
      </c>
      <c r="F95" s="145">
        <f t="shared" si="208"/>
        <v>4.27444091325625</v>
      </c>
      <c r="G95" s="81"/>
      <c r="H95" s="81"/>
      <c r="I95" s="81"/>
      <c r="J95" s="146">
        <f t="shared" ref="J95:AT95" si="209">J92/J93</f>
        <v>2.03649845256435</v>
      </c>
      <c r="K95" s="145">
        <f t="shared" si="209"/>
        <v>2.03649845256435</v>
      </c>
      <c r="L95" s="146">
        <f t="shared" si="209"/>
        <v>1.16532912246163</v>
      </c>
      <c r="M95" s="146">
        <f t="shared" si="209"/>
        <v>0.744015776073713</v>
      </c>
      <c r="N95" s="146">
        <f t="shared" si="209"/>
        <v>0.771901114597744</v>
      </c>
      <c r="O95" s="146">
        <f t="shared" si="209"/>
        <v>0.802297188207981</v>
      </c>
      <c r="P95" s="145">
        <f t="shared" si="209"/>
        <v>0.802297188207981</v>
      </c>
      <c r="Q95" s="146">
        <f t="shared" si="209"/>
        <v>1.61698495977615</v>
      </c>
      <c r="R95" s="146">
        <f t="shared" si="209"/>
        <v>2.74130968253048</v>
      </c>
      <c r="S95" s="146">
        <f t="shared" si="209"/>
        <v>3.84164206427733</v>
      </c>
      <c r="T95" s="146">
        <f t="shared" si="209"/>
        <v>2.95740869405078</v>
      </c>
      <c r="U95" s="145">
        <f t="shared" si="209"/>
        <v>2.95740869405078</v>
      </c>
      <c r="V95" s="146">
        <f t="shared" si="209"/>
        <v>2.52523004793394</v>
      </c>
      <c r="W95" s="146">
        <f t="shared" si="209"/>
        <v>1.48209915326195</v>
      </c>
      <c r="X95" s="146">
        <f t="shared" si="209"/>
        <v>0.90967793816091</v>
      </c>
      <c r="Y95" s="146">
        <f t="shared" si="209"/>
        <v>0.234023208100144</v>
      </c>
      <c r="Z95" s="145">
        <f t="shared" si="209"/>
        <v>0.234023208100144</v>
      </c>
      <c r="AA95" s="146">
        <f t="shared" si="209"/>
        <v>0.269080863901382</v>
      </c>
      <c r="AB95" s="146">
        <f t="shared" si="209"/>
        <v>0.187731517969735</v>
      </c>
      <c r="AC95" s="146">
        <f t="shared" si="209"/>
        <v>0.304939724841926</v>
      </c>
      <c r="AD95" s="146">
        <f t="shared" si="209"/>
        <v>0.199963558847431</v>
      </c>
      <c r="AE95" s="145">
        <f t="shared" si="209"/>
        <v>0.199963558847431</v>
      </c>
      <c r="AF95" s="146">
        <f t="shared" si="209"/>
        <v>0.594280897269721</v>
      </c>
      <c r="AG95" s="146">
        <f t="shared" si="209"/>
        <v>0.614149368304706</v>
      </c>
      <c r="AH95" s="146">
        <f t="shared" si="209"/>
        <v>0.630809040028543</v>
      </c>
      <c r="AI95" s="146">
        <f t="shared" si="209"/>
        <v>0.50093184075332</v>
      </c>
      <c r="AJ95" s="145">
        <f t="shared" si="209"/>
        <v>0.50093184075332</v>
      </c>
      <c r="AK95" s="146">
        <f t="shared" si="209"/>
        <v>0.865872285768837</v>
      </c>
      <c r="AL95" s="146">
        <f t="shared" si="209"/>
        <v>0.827704054811913</v>
      </c>
      <c r="AM95" s="146">
        <f t="shared" si="209"/>
        <v>0.82764408277674</v>
      </c>
      <c r="AN95" s="146">
        <f t="shared" si="209"/>
        <v>0.746356078829291</v>
      </c>
      <c r="AO95" s="145">
        <f t="shared" si="209"/>
        <v>0.746356078829291</v>
      </c>
      <c r="AP95" s="146">
        <f t="shared" si="209"/>
        <v>0.743941660664274</v>
      </c>
      <c r="AQ95" s="146">
        <f t="shared" si="209"/>
        <v>0.676365528582794</v>
      </c>
      <c r="AR95" s="146">
        <f t="shared" si="209"/>
        <v>0.873936097825549</v>
      </c>
      <c r="AS95" s="146">
        <f t="shared" si="209"/>
        <v>0.868502638473912</v>
      </c>
      <c r="AT95" s="145">
        <f t="shared" si="209"/>
        <v>0.868502638473912</v>
      </c>
      <c r="AU95" s="146">
        <f t="shared" ref="AU95:AY95" si="210">AU92/AU93</f>
        <v>0.917181084993809</v>
      </c>
      <c r="AV95" s="146">
        <f t="shared" si="210"/>
        <v>0.916010334727866</v>
      </c>
      <c r="AW95" s="146">
        <f t="shared" si="210"/>
        <v>0.957639553225042</v>
      </c>
      <c r="AX95" s="146">
        <f t="shared" si="210"/>
        <v>1.04180499114253</v>
      </c>
      <c r="AY95" s="145">
        <f t="shared" si="210"/>
        <v>1.04180499114253</v>
      </c>
    </row>
    <row r="96" spans="1:51">
      <c r="AE96" s="89"/>
      <c r="AJ96" s="89"/>
      <c r="AO96" s="89"/>
      <c r="AT96" s="89"/>
      <c r="AY96" s="89"/>
    </row>
    <row r="97" spans="1:51">
      <c r="G97" s="3"/>
      <c r="H97" s="3"/>
      <c r="I97" s="3"/>
      <c r="J97" s="3"/>
      <c r="K97" s="4"/>
      <c r="L97" s="3"/>
      <c r="M97" s="3"/>
      <c r="N97" s="3"/>
      <c r="O97" s="3"/>
      <c r="P97" s="4"/>
      <c r="Q97" s="3"/>
      <c r="R97" s="3"/>
      <c r="S97" s="3"/>
      <c r="T97" s="3"/>
      <c r="U97" s="4"/>
      <c r="V97" s="3"/>
      <c r="W97" s="3"/>
      <c r="X97" s="3"/>
      <c r="Y97" s="3"/>
      <c r="Z97" s="4"/>
      <c r="AA97" s="3"/>
      <c r="AB97" s="3"/>
      <c r="AC97" s="3"/>
      <c r="AD97" s="3"/>
      <c r="AE97" s="4"/>
      <c r="AF97" s="3"/>
      <c r="AG97" s="3"/>
      <c r="AH97" s="3"/>
      <c r="AI97" s="3"/>
      <c r="AJ97" s="4"/>
      <c r="AK97" s="3"/>
      <c r="AL97" s="3"/>
      <c r="AM97" s="3"/>
      <c r="AN97" s="3"/>
      <c r="AO97" s="4"/>
      <c r="AP97" s="3"/>
      <c r="AQ97" s="3"/>
      <c r="AR97" s="3"/>
      <c r="AS97" s="3"/>
      <c r="AT97" s="4"/>
      <c r="AU97" s="3"/>
      <c r="AV97" s="3"/>
      <c r="AW97" s="3"/>
      <c r="AX97" s="3"/>
      <c r="AY97" s="4"/>
    </row>
    <row r="98" spans="1:51">
      <c r="G98" s="3"/>
      <c r="H98" s="3"/>
      <c r="I98" s="3"/>
      <c r="J98" s="3"/>
      <c r="K98" s="4"/>
      <c r="L98" s="3"/>
      <c r="M98" s="3"/>
      <c r="N98" s="3"/>
      <c r="O98" s="3"/>
      <c r="P98" s="4"/>
      <c r="Q98" s="3"/>
      <c r="R98" s="3"/>
      <c r="S98" s="3"/>
      <c r="T98" s="3"/>
      <c r="U98" s="4"/>
      <c r="V98" s="3"/>
      <c r="W98" s="3"/>
      <c r="X98" s="3"/>
      <c r="Y98" s="3"/>
      <c r="Z98" s="4"/>
      <c r="AA98" s="3"/>
      <c r="AB98" s="3"/>
      <c r="AC98" s="3"/>
      <c r="AD98" s="3"/>
      <c r="AE98" s="4"/>
      <c r="AF98" s="3"/>
      <c r="AG98" s="3"/>
      <c r="AH98" s="3"/>
      <c r="AI98" s="3"/>
      <c r="AJ98" s="4"/>
      <c r="AK98" s="3"/>
      <c r="AL98" s="3"/>
      <c r="AM98" s="3"/>
      <c r="AN98" s="3"/>
      <c r="AO98" s="4"/>
      <c r="AP98" s="3"/>
      <c r="AQ98" s="3"/>
      <c r="AR98" s="3"/>
      <c r="AS98" s="3"/>
      <c r="AT98" s="4"/>
      <c r="AU98" s="3"/>
      <c r="AV98" s="3"/>
      <c r="AW98" s="3"/>
      <c r="AX98" s="3"/>
      <c r="AY98" s="4"/>
    </row>
    <row r="99" spans="1:51">
      <c r="AE99" s="89"/>
      <c r="AJ99" s="89"/>
      <c r="AO99" s="89"/>
      <c r="AT99" s="89"/>
      <c r="AY99" s="89"/>
    </row>
    <row r="100" spans="1:51">
      <c r="AE100" s="89"/>
      <c r="AJ100" s="89"/>
      <c r="AO100" s="89"/>
      <c r="AT100" s="89"/>
      <c r="AY100" s="89"/>
    </row>
    <row r="102" spans="1:51">
      <c r="A102" s="3" t="s">
        <v>290</v>
      </c>
      <c r="AB102" s="147">
        <f>AB9/W9-1</f>
        <v>0.0937831194437859</v>
      </c>
      <c r="AC102" s="147">
        <f>AC9/X9-1</f>
        <v>0.163895830217438</v>
      </c>
      <c r="AD102" s="147">
        <f>AD9/Y9-1</f>
        <v>0.224806482258566</v>
      </c>
      <c r="AF102" s="147">
        <f>AF9/AA9-1</f>
        <v>0.206540876583412</v>
      </c>
      <c r="AG102" s="147">
        <f>AG9/AB9-1</f>
        <v>0.0985754753510364</v>
      </c>
      <c r="AK102" s="147"/>
      <c r="AL102" s="147"/>
    </row>
    <row r="103" spans="1:51">
      <c r="A103" s="148" t="s">
        <v>291</v>
      </c>
      <c r="B103" s="149"/>
      <c r="C103" s="149"/>
      <c r="D103" s="149"/>
      <c r="E103" s="149"/>
      <c r="F103" s="149"/>
      <c r="G103" s="150"/>
      <c r="H103" s="150"/>
      <c r="I103" s="150"/>
      <c r="J103" s="150"/>
      <c r="K103" s="151"/>
      <c r="L103" s="150"/>
      <c r="M103" s="150"/>
      <c r="N103" s="150"/>
      <c r="O103" s="150"/>
      <c r="P103" s="151"/>
      <c r="Q103" s="150"/>
      <c r="R103" s="150"/>
      <c r="S103" s="150"/>
      <c r="T103" s="150"/>
      <c r="U103" s="151"/>
      <c r="V103" s="150"/>
      <c r="W103" s="150"/>
      <c r="X103" s="150"/>
      <c r="Y103" s="150"/>
      <c r="Z103" s="151"/>
      <c r="AA103" s="152"/>
      <c r="AB103" s="153"/>
      <c r="AC103" s="154">
        <v>0.08</v>
      </c>
      <c r="AD103" s="154">
        <v>0.06</v>
      </c>
      <c r="AE103" s="155"/>
      <c r="AF103" s="154">
        <v>0.06</v>
      </c>
      <c r="AG103" s="154">
        <v>0.07</v>
      </c>
      <c r="AK103" s="154"/>
      <c r="AL103" s="154"/>
    </row>
    <row r="104" spans="1:51">
      <c r="A104" s="3" t="s">
        <v>292</v>
      </c>
      <c r="AB104" s="156"/>
      <c r="AC104" s="119">
        <f>(1+AC102)/(1+AC103)-1</f>
        <v>0.0776813242754053</v>
      </c>
      <c r="AD104" s="119">
        <f>(1+AD102)/(1+AD103)-1</f>
        <v>0.155477813451477</v>
      </c>
      <c r="AF104" s="119">
        <f>(1+AF102)/(1+AF103)-1</f>
        <v>0.138246109984351</v>
      </c>
      <c r="AG104" s="119">
        <f>(1+AG102)/(1+AG103)-1</f>
        <v>0.0267060517299404</v>
      </c>
      <c r="AK104" s="119"/>
      <c r="AL104" s="119"/>
    </row>
  </sheetData>
  <pageMargins left="0.7" right="0.7" top="0.75" bottom="0.75" header="0.3" footer="0.3"/>
  <pageSetup paperSize="1" orientation="portrait"/>
  <headerFooter/>
  <customProperties>
    <customPr name="Qube.Worksheet.Visibility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76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B6" sqref="B6"/>
    </sheetView>
  </sheetViews>
  <sheetFormatPr defaultColWidth="12.625" defaultRowHeight="13.6"/>
  <cols>
    <col min="1" max="1" width="38.25" style="3" customWidth="1"/>
    <col min="2" max="6" width="12.875" style="4" customWidth="1"/>
    <col min="7" max="10" width="12.625" style="1" hidden="1" customWidth="1" outlineLevel="1"/>
    <col min="11" max="11" width="12.625" style="5" customWidth="1" collapsed="1"/>
    <col min="12" max="15" width="12.625" style="1" hidden="1" customWidth="1" outlineLevel="1"/>
    <col min="16" max="16" width="12.625" style="5" customWidth="1" collapsed="1"/>
    <col min="17" max="20" width="12.625" style="1" hidden="1" customWidth="1" outlineLevel="1"/>
    <col min="21" max="21" width="12.625" style="5" customWidth="1" collapsed="1"/>
    <col min="22" max="25" width="12.625" style="1" hidden="1" customWidth="1" outlineLevel="1"/>
    <col min="26" max="26" width="12.625" style="6" customWidth="1" collapsed="1"/>
    <col min="27" max="27" width="12.625" style="6" hidden="1" customWidth="1" outlineLevel="1"/>
    <col min="28" max="28" width="12.625" style="1" hidden="1" customWidth="1" outlineLevel="1"/>
    <col min="29" max="30" width="12.625" style="6" hidden="1" customWidth="1" outlineLevel="1"/>
    <col min="31" max="31" width="12.625" style="6" customWidth="1" collapsed="1"/>
    <col min="32" max="32" width="12.625" style="6" hidden="1" customWidth="1" outlineLevel="1"/>
    <col min="33" max="35" width="12.625" style="1" hidden="1" customWidth="1" outlineLevel="1"/>
    <col min="36" max="36" width="12.625" style="6" customWidth="1" collapsed="1"/>
    <col min="37" max="37" width="12.625" style="6" customWidth="1" outlineLevel="1"/>
    <col min="38" max="40" width="12.625" style="1" customWidth="1" outlineLevel="1"/>
    <col min="41" max="41" width="12.625" style="6"/>
    <col min="42" max="45" width="12.625" style="1" customWidth="1" outlineLevel="1"/>
    <col min="46" max="46" width="12.625" style="6"/>
    <col min="47" max="50" width="12.625" style="1" customWidth="1" outlineLevel="1"/>
    <col min="51" max="51" width="12.625" style="6"/>
    <col min="52" max="16384" width="12.625" style="3"/>
  </cols>
  <sheetData>
    <row r="1" s="1" customFormat="1" ht="28.8" spans="1:51">
      <c r="A1" s="7" t="s">
        <v>293</v>
      </c>
      <c r="B1" s="8"/>
      <c r="C1" s="8"/>
      <c r="D1" s="8"/>
      <c r="E1" s="8"/>
      <c r="F1" s="8"/>
      <c r="G1" s="9"/>
      <c r="H1" s="9"/>
      <c r="I1" s="9"/>
      <c r="J1" s="9"/>
      <c r="K1" s="10"/>
      <c r="L1" s="9"/>
      <c r="M1" s="9"/>
      <c r="N1" s="9"/>
      <c r="O1" s="9"/>
      <c r="P1" s="10"/>
      <c r="Q1" s="9"/>
      <c r="R1" s="9"/>
      <c r="S1" s="9"/>
      <c r="T1" s="9"/>
      <c r="U1" s="10"/>
      <c r="V1" s="9"/>
      <c r="W1" s="9"/>
      <c r="X1" s="9"/>
      <c r="Y1" s="9"/>
      <c r="Z1" s="11"/>
      <c r="AA1" s="12"/>
      <c r="AB1" s="12"/>
      <c r="AC1" s="12"/>
      <c r="AD1" s="12"/>
      <c r="AE1" s="11"/>
      <c r="AF1" s="12"/>
      <c r="AG1" s="9"/>
      <c r="AH1" s="9"/>
      <c r="AI1" s="9"/>
      <c r="AJ1" s="13"/>
      <c r="AK1" s="12"/>
      <c r="AL1" s="9"/>
      <c r="AM1" s="9"/>
      <c r="AN1" s="9"/>
      <c r="AO1" s="10"/>
      <c r="AP1" s="9"/>
      <c r="AQ1" s="9"/>
      <c r="AR1" s="9"/>
      <c r="AS1" s="9"/>
      <c r="AT1" s="10"/>
      <c r="AU1" s="9"/>
      <c r="AV1" s="9"/>
      <c r="AW1" s="9"/>
      <c r="AX1" s="9"/>
      <c r="AY1" s="10"/>
    </row>
    <row r="2" s="1" customFormat="1" spans="1:51">
      <c r="A2" s="14"/>
      <c r="B2" s="15"/>
      <c r="C2" s="15"/>
      <c r="D2" s="15"/>
      <c r="E2" s="15"/>
      <c r="F2" s="15"/>
      <c r="G2" s="9"/>
      <c r="H2" s="9"/>
      <c r="I2" s="9"/>
      <c r="J2" s="9"/>
      <c r="K2" s="13"/>
      <c r="L2" s="9"/>
      <c r="M2" s="9"/>
      <c r="N2" s="9"/>
      <c r="O2" s="9"/>
      <c r="P2" s="13"/>
      <c r="Q2" s="9"/>
      <c r="R2" s="9"/>
      <c r="S2" s="9"/>
      <c r="T2" s="9"/>
      <c r="U2" s="13"/>
      <c r="V2" s="9"/>
      <c r="W2" s="9"/>
      <c r="X2" s="9"/>
      <c r="Y2" s="9"/>
      <c r="Z2" s="13"/>
      <c r="AA2" s="9"/>
      <c r="AB2" s="9"/>
      <c r="AC2" s="9"/>
      <c r="AD2" s="9"/>
      <c r="AE2" s="13"/>
      <c r="AF2" s="9"/>
      <c r="AG2" s="9"/>
      <c r="AH2" s="12"/>
      <c r="AI2" s="9"/>
      <c r="AJ2" s="13"/>
      <c r="AK2" s="9"/>
      <c r="AL2" s="9"/>
      <c r="AM2" s="9"/>
      <c r="AN2" s="9"/>
      <c r="AO2" s="10"/>
      <c r="AP2" s="9"/>
      <c r="AQ2" s="9"/>
      <c r="AR2" s="9"/>
      <c r="AS2" s="9"/>
      <c r="AT2" s="10"/>
      <c r="AU2" s="9"/>
      <c r="AV2" s="9"/>
      <c r="AW2" s="9"/>
      <c r="AX2" s="9"/>
      <c r="AY2" s="10"/>
    </row>
    <row r="3" s="1" customFormat="1" spans="1:51">
      <c r="A3" s="14" t="s">
        <v>13</v>
      </c>
      <c r="B3" s="13" t="str">
        <f>'Rev Driver'!B3</f>
        <v>FY15</v>
      </c>
      <c r="C3" s="13" t="str">
        <f>'Rev Driver'!C3</f>
        <v>FY16</v>
      </c>
      <c r="D3" s="13" t="str">
        <f>'Rev Driver'!D3</f>
        <v>FY17</v>
      </c>
      <c r="E3" s="13" t="str">
        <f>'Rev Driver'!E3</f>
        <v>FY18</v>
      </c>
      <c r="F3" s="13" t="str">
        <f>'Rev Driver'!F3</f>
        <v>FY19</v>
      </c>
      <c r="G3" s="9" t="str">
        <f>'Rev Driver'!G3</f>
        <v>1Q20</v>
      </c>
      <c r="H3" s="9" t="str">
        <f>'Rev Driver'!H3</f>
        <v>2Q20</v>
      </c>
      <c r="I3" s="9" t="str">
        <f>'Rev Driver'!I3</f>
        <v>3Q20</v>
      </c>
      <c r="J3" s="9" t="str">
        <f>'Rev Driver'!J3</f>
        <v>4Q20</v>
      </c>
      <c r="K3" s="13" t="str">
        <f>'Rev Driver'!K3</f>
        <v>FY20</v>
      </c>
      <c r="L3" s="9" t="str">
        <f>'Rev Driver'!L3</f>
        <v>1Q21</v>
      </c>
      <c r="M3" s="9" t="str">
        <f>'Rev Driver'!M3</f>
        <v>2Q21</v>
      </c>
      <c r="N3" s="9" t="str">
        <f>'Rev Driver'!N3</f>
        <v>3Q21</v>
      </c>
      <c r="O3" s="9" t="str">
        <f>'Rev Driver'!O3</f>
        <v>4Q21</v>
      </c>
      <c r="P3" s="13" t="str">
        <f>'Rev Driver'!P3</f>
        <v>FY21</v>
      </c>
      <c r="Q3" s="9" t="str">
        <f>'Rev Driver'!Q3</f>
        <v>1Q22</v>
      </c>
      <c r="R3" s="9" t="str">
        <f>'Rev Driver'!R3</f>
        <v>2Q22</v>
      </c>
      <c r="S3" s="9" t="str">
        <f>'Rev Driver'!S3</f>
        <v>3Q22</v>
      </c>
      <c r="T3" s="9" t="str">
        <f>'Rev Driver'!T3</f>
        <v>4Q22</v>
      </c>
      <c r="U3" s="13" t="str">
        <f>'Rev Driver'!U3</f>
        <v>FY22</v>
      </c>
      <c r="V3" s="9" t="str">
        <f>'Rev Driver'!V3</f>
        <v>1Q23</v>
      </c>
      <c r="W3" s="9" t="str">
        <f>'Rev Driver'!W3</f>
        <v>2Q23</v>
      </c>
      <c r="X3" s="9" t="str">
        <f>'Rev Driver'!X3</f>
        <v>3Q23</v>
      </c>
      <c r="Y3" s="9" t="str">
        <f>'Rev Driver'!Y3</f>
        <v>4Q23</v>
      </c>
      <c r="Z3" s="13" t="str">
        <f>'Rev Driver'!Z3</f>
        <v>FY23</v>
      </c>
      <c r="AA3" s="9" t="str">
        <f>'Rev Driver'!AA3</f>
        <v>1Q24</v>
      </c>
      <c r="AB3" s="9" t="str">
        <f>'Rev Driver'!AB3</f>
        <v>2Q24</v>
      </c>
      <c r="AC3" s="9" t="str">
        <f>'Rev Driver'!AC3</f>
        <v>3Q24</v>
      </c>
      <c r="AD3" s="9" t="str">
        <f>'Rev Driver'!AD3</f>
        <v>4Q24</v>
      </c>
      <c r="AE3" s="13" t="str">
        <f>'Rev Driver'!AE3</f>
        <v>FY24</v>
      </c>
      <c r="AF3" s="9" t="str">
        <f>'Rev Driver'!AF3</f>
        <v>1Q25</v>
      </c>
      <c r="AG3" s="9" t="str">
        <f>'Rev Driver'!AG3</f>
        <v>2Q25</v>
      </c>
      <c r="AH3" s="9" t="str">
        <f>'Rev Driver'!AH3</f>
        <v>3Q25</v>
      </c>
      <c r="AI3" s="9" t="str">
        <f>'Rev Driver'!AI3</f>
        <v>4Q25</v>
      </c>
      <c r="AJ3" s="13" t="str">
        <f>'Rev Driver'!AJ3</f>
        <v>FY25</v>
      </c>
      <c r="AK3" s="9" t="str">
        <f>'Rev Driver'!AK3</f>
        <v>1Q26</v>
      </c>
      <c r="AL3" s="9" t="str">
        <f>'Rev Driver'!AL3</f>
        <v>2Q26</v>
      </c>
      <c r="AM3" s="16" t="str">
        <f>'Rev Driver'!AM3</f>
        <v>3Q26E</v>
      </c>
      <c r="AN3" s="16" t="str">
        <f>'Rev Driver'!AN3</f>
        <v>4Q26E</v>
      </c>
      <c r="AO3" s="17" t="str">
        <f>'Rev Driver'!AO3</f>
        <v>FY26E</v>
      </c>
      <c r="AP3" s="16" t="str">
        <f>'Rev Driver'!AP3</f>
        <v>1Q27E</v>
      </c>
      <c r="AQ3" s="16" t="str">
        <f>'Rev Driver'!AQ3</f>
        <v>2Q27E</v>
      </c>
      <c r="AR3" s="16" t="str">
        <f>'Rev Driver'!AR3</f>
        <v>3Q27E</v>
      </c>
      <c r="AS3" s="16" t="str">
        <f>'Rev Driver'!AS3</f>
        <v>4Q27E</v>
      </c>
      <c r="AT3" s="17" t="str">
        <f>'Rev Driver'!AT3</f>
        <v>FY27E</v>
      </c>
      <c r="AU3" s="16" t="str">
        <f>'Rev Driver'!AU3</f>
        <v>1Q28E</v>
      </c>
      <c r="AV3" s="16" t="str">
        <f>'Rev Driver'!AV3</f>
        <v>2Q28E</v>
      </c>
      <c r="AW3" s="16" t="str">
        <f>'Rev Driver'!AW3</f>
        <v>3Q28E</v>
      </c>
      <c r="AX3" s="16" t="str">
        <f>'Rev Driver'!AX3</f>
        <v>4Q28E</v>
      </c>
      <c r="AY3" s="17" t="str">
        <f>'Rev Driver'!AY3</f>
        <v>FY28E</v>
      </c>
    </row>
    <row r="4" s="1" customFormat="1" outlineLevel="1" spans="1:51">
      <c r="A4" s="18" t="s">
        <v>151</v>
      </c>
      <c r="B4" s="19">
        <f>'Rev Driver'!B4</f>
        <v>42399</v>
      </c>
      <c r="C4" s="19">
        <f>'Rev Driver'!C4</f>
        <v>42763</v>
      </c>
      <c r="D4" s="19">
        <f>'Rev Driver'!D4</f>
        <v>43134</v>
      </c>
      <c r="E4" s="19">
        <f>'Rev Driver'!E4</f>
        <v>43498</v>
      </c>
      <c r="F4" s="19">
        <f>'Rev Driver'!F4</f>
        <v>43862</v>
      </c>
      <c r="G4" s="20">
        <f>'Rev Driver'!G4</f>
        <v>43953</v>
      </c>
      <c r="H4" s="20">
        <f>'Rev Driver'!H4</f>
        <v>44044</v>
      </c>
      <c r="I4" s="20">
        <f>'Rev Driver'!I4</f>
        <v>44135</v>
      </c>
      <c r="J4" s="20">
        <f>'Rev Driver'!J4</f>
        <v>44226</v>
      </c>
      <c r="K4" s="19">
        <f>'Rev Driver'!K4</f>
        <v>44226</v>
      </c>
      <c r="L4" s="20">
        <f>'Rev Driver'!L4</f>
        <v>44317</v>
      </c>
      <c r="M4" s="20">
        <f>'Rev Driver'!M4</f>
        <v>44408</v>
      </c>
      <c r="N4" s="20">
        <f>'Rev Driver'!N4</f>
        <v>44500</v>
      </c>
      <c r="O4" s="20">
        <f>'Rev Driver'!O4</f>
        <v>44590</v>
      </c>
      <c r="P4" s="19">
        <f>'Rev Driver'!P4</f>
        <v>44590</v>
      </c>
      <c r="Q4" s="20">
        <f>'Rev Driver'!Q4</f>
        <v>44681</v>
      </c>
      <c r="R4" s="20">
        <f>'Rev Driver'!R4</f>
        <v>44772</v>
      </c>
      <c r="S4" s="20">
        <f>'Rev Driver'!S4</f>
        <v>44863</v>
      </c>
      <c r="T4" s="20">
        <f>'Rev Driver'!T4</f>
        <v>44954</v>
      </c>
      <c r="U4" s="19">
        <f>'Rev Driver'!U4</f>
        <v>44954</v>
      </c>
      <c r="V4" s="20">
        <f>'Rev Driver'!V4</f>
        <v>45045</v>
      </c>
      <c r="W4" s="20">
        <f>'Rev Driver'!W4</f>
        <v>45136</v>
      </c>
      <c r="X4" s="20">
        <f>'Rev Driver'!X4</f>
        <v>45227</v>
      </c>
      <c r="Y4" s="20">
        <f>'Rev Driver'!Y4</f>
        <v>45325</v>
      </c>
      <c r="Z4" s="19">
        <f>'Rev Driver'!Z4</f>
        <v>45325</v>
      </c>
      <c r="AA4" s="20">
        <f>'Rev Driver'!AA4</f>
        <v>45416</v>
      </c>
      <c r="AB4" s="20">
        <f>'Rev Driver'!AB4</f>
        <v>45507</v>
      </c>
      <c r="AC4" s="20">
        <f>'Rev Driver'!AC4</f>
        <v>45598</v>
      </c>
      <c r="AD4" s="20">
        <f>'Rev Driver'!AD4</f>
        <v>45689</v>
      </c>
      <c r="AE4" s="19">
        <f>'Rev Driver'!AE4</f>
        <v>45689</v>
      </c>
      <c r="AF4" s="20">
        <f>'Rev Driver'!AF4</f>
        <v>45780</v>
      </c>
      <c r="AG4" s="20">
        <f>'Rev Driver'!AG4</f>
        <v>45871</v>
      </c>
      <c r="AH4" s="20">
        <f>'Rev Driver'!AH4</f>
        <v>45962</v>
      </c>
      <c r="AI4" s="20">
        <f>'Rev Driver'!AI4</f>
        <v>46053</v>
      </c>
      <c r="AJ4" s="19">
        <f>'Rev Driver'!AJ4</f>
        <v>46053</v>
      </c>
      <c r="AK4" s="20">
        <f>'Rev Driver'!AK4</f>
        <v>46144</v>
      </c>
      <c r="AL4" s="20">
        <f>'Rev Driver'!AL4</f>
        <v>46235</v>
      </c>
      <c r="AM4" s="21">
        <f>'Rev Driver'!AM4</f>
        <v>46326</v>
      </c>
      <c r="AN4" s="21">
        <f>'Rev Driver'!AN4</f>
        <v>46417</v>
      </c>
      <c r="AO4" s="22">
        <f>'Rev Driver'!AO4</f>
        <v>46417</v>
      </c>
      <c r="AP4" s="21">
        <f>'Rev Driver'!AP4</f>
        <v>46508</v>
      </c>
      <c r="AQ4" s="21">
        <f>'Rev Driver'!AQ4</f>
        <v>46599</v>
      </c>
      <c r="AR4" s="21">
        <f>'Rev Driver'!AR4</f>
        <v>46690</v>
      </c>
      <c r="AS4" s="21">
        <f>'Rev Driver'!AS4</f>
        <v>46781</v>
      </c>
      <c r="AT4" s="22">
        <f>'Rev Driver'!AT4</f>
        <v>46781</v>
      </c>
      <c r="AU4" s="21">
        <f>'Rev Driver'!AU4</f>
        <v>46872</v>
      </c>
      <c r="AV4" s="21">
        <f>'Rev Driver'!AV4</f>
        <v>46963</v>
      </c>
      <c r="AW4" s="21">
        <f>'Rev Driver'!AW4</f>
        <v>47054</v>
      </c>
      <c r="AX4" s="21">
        <f>'Rev Driver'!AX4</f>
        <v>47145</v>
      </c>
      <c r="AY4" s="22">
        <f>'Rev Driver'!AY4</f>
        <v>47145</v>
      </c>
    </row>
    <row r="5" s="1" customFormat="1" outlineLevel="1" spans="1:51">
      <c r="A5" s="18" t="s">
        <v>152</v>
      </c>
      <c r="B5" s="23">
        <f>'Rev Driver'!B5</f>
        <v>52</v>
      </c>
      <c r="C5" s="23">
        <f>'Rev Driver'!C5</f>
        <v>52</v>
      </c>
      <c r="D5" s="23">
        <f>'Rev Driver'!D5</f>
        <v>53</v>
      </c>
      <c r="E5" s="23">
        <f>'Rev Driver'!E5</f>
        <v>52</v>
      </c>
      <c r="F5" s="23">
        <f>'Rev Driver'!F5</f>
        <v>52</v>
      </c>
      <c r="G5" s="24">
        <f>'Rev Driver'!G5</f>
        <v>13</v>
      </c>
      <c r="H5" s="24">
        <f>'Rev Driver'!H5</f>
        <v>13</v>
      </c>
      <c r="I5" s="24">
        <f>'Rev Driver'!I5</f>
        <v>13</v>
      </c>
      <c r="J5" s="24">
        <f>'Rev Driver'!J5</f>
        <v>13</v>
      </c>
      <c r="K5" s="23">
        <f>'Rev Driver'!K5</f>
        <v>52</v>
      </c>
      <c r="L5" s="24">
        <f>'Rev Driver'!L5</f>
        <v>13</v>
      </c>
      <c r="M5" s="24">
        <f>'Rev Driver'!M5</f>
        <v>13</v>
      </c>
      <c r="N5" s="24">
        <f>'Rev Driver'!N5</f>
        <v>13</v>
      </c>
      <c r="O5" s="24">
        <f>'Rev Driver'!O5</f>
        <v>13</v>
      </c>
      <c r="P5" s="23">
        <f>'Rev Driver'!P5</f>
        <v>52</v>
      </c>
      <c r="Q5" s="24">
        <f>'Rev Driver'!Q5</f>
        <v>13</v>
      </c>
      <c r="R5" s="24">
        <f>'Rev Driver'!R5</f>
        <v>13</v>
      </c>
      <c r="S5" s="24">
        <f>'Rev Driver'!S5</f>
        <v>13</v>
      </c>
      <c r="T5" s="24">
        <f>'Rev Driver'!T5</f>
        <v>13</v>
      </c>
      <c r="U5" s="23">
        <f>'Rev Driver'!U5</f>
        <v>52</v>
      </c>
      <c r="V5" s="24">
        <f>'Rev Driver'!V5</f>
        <v>13</v>
      </c>
      <c r="W5" s="24">
        <f>'Rev Driver'!W5</f>
        <v>13</v>
      </c>
      <c r="X5" s="24">
        <f>'Rev Driver'!X5</f>
        <v>13</v>
      </c>
      <c r="Y5" s="24">
        <f>'Rev Driver'!Y5</f>
        <v>14</v>
      </c>
      <c r="Z5" s="23">
        <f>'Rev Driver'!Z5</f>
        <v>53</v>
      </c>
      <c r="AA5" s="24">
        <f>'Rev Driver'!AA5</f>
        <v>13</v>
      </c>
      <c r="AB5" s="24">
        <f>'Rev Driver'!AB5</f>
        <v>13</v>
      </c>
      <c r="AC5" s="24">
        <f>'Rev Driver'!AC5</f>
        <v>13</v>
      </c>
      <c r="AD5" s="24">
        <f>'Rev Driver'!AD5</f>
        <v>13</v>
      </c>
      <c r="AE5" s="23">
        <f>'Rev Driver'!AE5</f>
        <v>52</v>
      </c>
      <c r="AF5" s="24">
        <f>'Rev Driver'!AF5</f>
        <v>13</v>
      </c>
      <c r="AG5" s="24">
        <f>'Rev Driver'!AG5</f>
        <v>13</v>
      </c>
      <c r="AH5" s="24">
        <f>'Rev Driver'!AH5</f>
        <v>13</v>
      </c>
      <c r="AI5" s="24">
        <f>'Rev Driver'!AI5</f>
        <v>13</v>
      </c>
      <c r="AJ5" s="23">
        <f>'Rev Driver'!AJ5</f>
        <v>52</v>
      </c>
      <c r="AK5" s="24">
        <f>'Rev Driver'!AK5</f>
        <v>13</v>
      </c>
      <c r="AL5" s="24">
        <f>'Rev Driver'!AL5</f>
        <v>13</v>
      </c>
      <c r="AM5" s="25">
        <f>'Rev Driver'!AM5</f>
        <v>13</v>
      </c>
      <c r="AN5" s="25">
        <f>'Rev Driver'!AN5</f>
        <v>13</v>
      </c>
      <c r="AO5" s="26">
        <f>'Rev Driver'!AO5</f>
        <v>52</v>
      </c>
      <c r="AP5" s="25">
        <f>'Rev Driver'!AP5</f>
        <v>13</v>
      </c>
      <c r="AQ5" s="25">
        <f>'Rev Driver'!AQ5</f>
        <v>13</v>
      </c>
      <c r="AR5" s="25">
        <f>'Rev Driver'!AR5</f>
        <v>13</v>
      </c>
      <c r="AS5" s="25">
        <f>'Rev Driver'!AS5</f>
        <v>13</v>
      </c>
      <c r="AT5" s="26">
        <f>'Rev Driver'!AT5</f>
        <v>52</v>
      </c>
      <c r="AU5" s="25">
        <f>'Rev Driver'!AU5</f>
        <v>13</v>
      </c>
      <c r="AV5" s="25">
        <f>'Rev Driver'!AV5</f>
        <v>13</v>
      </c>
      <c r="AW5" s="25">
        <f>'Rev Driver'!AW5</f>
        <v>13</v>
      </c>
      <c r="AX5" s="25">
        <f>'Rev Driver'!AX5</f>
        <v>13</v>
      </c>
      <c r="AY5" s="26">
        <f>'Rev Driver'!AY5</f>
        <v>52</v>
      </c>
    </row>
    <row r="6" spans="1:51">
      <c r="A6" s="3" t="s">
        <v>185</v>
      </c>
      <c r="B6" s="27">
        <f>IS!B22+IS!B16</f>
        <v>38559</v>
      </c>
      <c r="C6" s="27">
        <f>IS!C22+IS!C16</f>
        <v>7718</v>
      </c>
      <c r="D6" s="27">
        <f>IS!D22+IS!D16</f>
        <v>10525</v>
      </c>
      <c r="E6" s="27">
        <f>IS!E22+IS!E16</f>
        <v>78808</v>
      </c>
      <c r="F6" s="27">
        <f>IS!F22+IS!F16</f>
        <v>44960</v>
      </c>
      <c r="G6" s="28">
        <f>IS!G22+IS!G16</f>
        <v>-244031</v>
      </c>
      <c r="H6" s="28">
        <f>IS!H22+IS!H16</f>
        <v>5792</v>
      </c>
      <c r="I6" s="28">
        <f>IS!I22+IS!I16</f>
        <v>44029</v>
      </c>
      <c r="J6" s="28">
        <f t="shared" ref="J6" si="0">K6-SUM(G6:I6)</f>
        <v>85256</v>
      </c>
      <c r="K6" s="27">
        <f>IS!K22+IS!K16</f>
        <v>-108954</v>
      </c>
      <c r="L6" s="28">
        <f>IS!L22+IS!L16</f>
        <v>42706</v>
      </c>
      <c r="M6" s="28">
        <f>IS!M22+IS!M16</f>
        <v>110456</v>
      </c>
      <c r="N6" s="28">
        <f>IS!N22+IS!N16</f>
        <v>49078</v>
      </c>
      <c r="O6" s="28">
        <f t="shared" ref="O6" si="1">P6-SUM(L6:N6)</f>
        <v>67826</v>
      </c>
      <c r="P6" s="27">
        <f>IS!P22+IS!P16</f>
        <v>270066</v>
      </c>
      <c r="Q6" s="28">
        <f>IS!Q22+IS!Q16</f>
        <v>-14846</v>
      </c>
      <c r="R6" s="28">
        <f>IS!R22+IS!R16</f>
        <v>-14742</v>
      </c>
      <c r="S6" s="28">
        <f>IS!S22+IS!S16</f>
        <v>-718</v>
      </c>
      <c r="T6" s="28">
        <f t="shared" ref="T6" si="2">U6-SUM(Q6:S6)</f>
        <v>40691</v>
      </c>
      <c r="U6" s="27">
        <f>IS!U22+IS!U16</f>
        <v>10385</v>
      </c>
      <c r="V6" s="28">
        <f>IS!V22+IS!V16</f>
        <v>17847</v>
      </c>
      <c r="W6" s="28">
        <f>IS!W22+IS!W16</f>
        <v>58731</v>
      </c>
      <c r="X6" s="28">
        <f>IS!X22+IS!X16</f>
        <v>97732</v>
      </c>
      <c r="Y6" s="28">
        <f t="shared" ref="Y6" si="3">Z6-SUM(V6:X6)</f>
        <v>161103</v>
      </c>
      <c r="Z6" s="27">
        <f>IS!Z22+IS!Z16</f>
        <v>335413</v>
      </c>
      <c r="AA6" s="28">
        <f>IS!AA22+IS!AA16</f>
        <v>115078</v>
      </c>
      <c r="AB6" s="28">
        <f>IS!AB22+IS!AB16</f>
        <v>135379</v>
      </c>
      <c r="AC6" s="28">
        <f>IS!AC22+IS!AC16</f>
        <v>133864</v>
      </c>
      <c r="AD6" s="28">
        <f>AE6-SUM(AA6:AC6)</f>
        <v>189695</v>
      </c>
      <c r="AE6" s="27">
        <f>IS!AE22+IS!AE16</f>
        <v>574016</v>
      </c>
      <c r="AF6" s="28">
        <f>IS!AF22+IS!AF16</f>
        <v>81739</v>
      </c>
      <c r="AG6" s="28">
        <f>IS!AG22+IS!AG16</f>
        <v>143388</v>
      </c>
      <c r="AH6" s="28">
        <f>IS!AH22+IS!AH16</f>
        <v>115100</v>
      </c>
      <c r="AI6" s="28">
        <f>AJ6-SUM(AF6:AH6)</f>
        <v>174768</v>
      </c>
      <c r="AJ6" s="27">
        <f>IS!AJ22+IS!AJ16</f>
        <v>514995</v>
      </c>
      <c r="AK6" s="28">
        <f>IS!AK22+IS!AK16</f>
        <v>68119</v>
      </c>
      <c r="AL6" s="28">
        <f>IS!AL22+IS!AL16</f>
        <v>185539</v>
      </c>
      <c r="AM6" s="28">
        <f>IS!AM22+IS!AM16</f>
        <v>138616.502330988</v>
      </c>
      <c r="AN6" s="28">
        <f>IS!AN22+IS!AN16</f>
        <v>211295.5737552</v>
      </c>
      <c r="AO6" s="27">
        <f>SUM(AK6:AN6)</f>
        <v>603570.076086189</v>
      </c>
      <c r="AP6" s="28">
        <f>IS!AP22+IS!AP16</f>
        <v>75751.0549517942</v>
      </c>
      <c r="AQ6" s="28">
        <f>IS!AQ22+IS!AQ16</f>
        <v>116171.211184</v>
      </c>
      <c r="AR6" s="28">
        <f>IS!AR22+IS!AR16</f>
        <v>124976.620681907</v>
      </c>
      <c r="AS6" s="28">
        <f>IS!AS22+IS!AS16</f>
        <v>210959.609640176</v>
      </c>
      <c r="AT6" s="27">
        <f>SUM(AP6:AS6)</f>
        <v>527858.496457877</v>
      </c>
      <c r="AU6" s="28">
        <f>IS!AU22+IS!AU16</f>
        <v>79399.3214394661</v>
      </c>
      <c r="AV6" s="28">
        <f>IS!AV22+IS!AV16</f>
        <v>119276.243510942</v>
      </c>
      <c r="AW6" s="28">
        <f>IS!AW22+IS!AW16</f>
        <v>128622.325155664</v>
      </c>
      <c r="AX6" s="28">
        <f>IS!AX22+IS!AX16</f>
        <v>219859.091181262</v>
      </c>
      <c r="AY6" s="27">
        <f>SUM(AU6:AX6)</f>
        <v>547156.981287334</v>
      </c>
    </row>
    <row r="7" spans="1:51">
      <c r="A7" s="29" t="s">
        <v>188</v>
      </c>
      <c r="B7" s="30">
        <v>213680</v>
      </c>
      <c r="C7" s="30">
        <v>195414</v>
      </c>
      <c r="D7" s="30">
        <v>194549</v>
      </c>
      <c r="E7" s="30">
        <v>178030</v>
      </c>
      <c r="F7" s="30">
        <v>173625</v>
      </c>
      <c r="G7" s="28">
        <f>IS!G60</f>
        <v>44037</v>
      </c>
      <c r="H7" s="28">
        <f>IS!H60</f>
        <v>38716</v>
      </c>
      <c r="I7" s="28">
        <f>IS!I60</f>
        <v>44495</v>
      </c>
      <c r="J7" s="28">
        <f t="shared" ref="J7:J17" si="4">K7-SUM(G7:I7)</f>
        <v>39033</v>
      </c>
      <c r="K7" s="27">
        <f>IS!K60</f>
        <v>166281</v>
      </c>
      <c r="L7" s="28">
        <f>IS!L60</f>
        <v>37856</v>
      </c>
      <c r="M7" s="28">
        <f>IS!M60</f>
        <v>34393</v>
      </c>
      <c r="N7" s="28">
        <f>IS!N60</f>
        <v>35538</v>
      </c>
      <c r="O7" s="28">
        <f t="shared" ref="O7:O17" si="5">P7-SUM(L7:N7)</f>
        <v>36248</v>
      </c>
      <c r="P7" s="27">
        <f>IS!P60</f>
        <v>144035</v>
      </c>
      <c r="Q7" s="28">
        <f>IS!Q60</f>
        <v>33888</v>
      </c>
      <c r="R7" s="28">
        <f>IS!R60</f>
        <v>31655</v>
      </c>
      <c r="S7" s="28">
        <f>IS!S60</f>
        <v>32850</v>
      </c>
      <c r="T7" s="28">
        <f t="shared" ref="T7:T17" si="6">U7-SUM(Q7:S7)</f>
        <v>33850</v>
      </c>
      <c r="U7" s="27">
        <f>IS!U60</f>
        <v>132243</v>
      </c>
      <c r="V7" s="28">
        <f>IS!V60</f>
        <v>36028</v>
      </c>
      <c r="W7" s="28">
        <f>IS!W60</f>
        <v>36383</v>
      </c>
      <c r="X7" s="28">
        <f>IS!X60</f>
        <v>33136</v>
      </c>
      <c r="Y7" s="28">
        <f t="shared" ref="Y7:Y17" si="7">Z7-SUM(V7:X7)</f>
        <v>35557</v>
      </c>
      <c r="Z7" s="27">
        <f>IS!Z60</f>
        <v>141104</v>
      </c>
      <c r="AA7" s="28">
        <f>IS!AA60</f>
        <v>37689</v>
      </c>
      <c r="AB7" s="28">
        <f>IS!AB60</f>
        <v>39355</v>
      </c>
      <c r="AC7" s="28">
        <f>IS!AC60</f>
        <v>39566</v>
      </c>
      <c r="AD7" s="28">
        <f>AE7-SUM(AA7:AC7)</f>
        <v>37163</v>
      </c>
      <c r="AE7" s="27">
        <f>IS!AE60</f>
        <v>153773</v>
      </c>
      <c r="AF7" s="28">
        <f>IS!AF60</f>
        <v>38576</v>
      </c>
      <c r="AG7" s="28">
        <f>IS!AG60</f>
        <v>37424</v>
      </c>
      <c r="AH7" s="28">
        <f>IS!AH60</f>
        <v>38566</v>
      </c>
      <c r="AI7" s="28">
        <f>AJ7-SUM(AF7:AH7)</f>
        <v>40455</v>
      </c>
      <c r="AJ7" s="30">
        <f>IS!AJ60</f>
        <v>155021</v>
      </c>
      <c r="AK7" s="28">
        <f>IS!AK60</f>
        <v>42304</v>
      </c>
      <c r="AL7" s="28">
        <f>IS!AL60</f>
        <v>43279</v>
      </c>
      <c r="AM7" s="28">
        <f t="shared" ref="AM7:AN7" si="8">AM52*AM48</f>
        <v>43337.99648</v>
      </c>
      <c r="AN7" s="28">
        <f t="shared" si="8"/>
        <v>44273.0856</v>
      </c>
      <c r="AO7" s="27">
        <f t="shared" ref="AO7:AO17" si="9">SUM(AK7:AN7)</f>
        <v>173194.08208</v>
      </c>
      <c r="AP7" s="28">
        <f t="shared" ref="AP7:AS7" si="10">AP52*AP48</f>
        <v>44674.68584</v>
      </c>
      <c r="AQ7" s="28">
        <f t="shared" si="10"/>
        <v>45080.02632</v>
      </c>
      <c r="AR7" s="28">
        <f t="shared" si="10"/>
        <v>45461.4299424</v>
      </c>
      <c r="AS7" s="28">
        <f t="shared" si="10"/>
        <v>45959.2716672</v>
      </c>
      <c r="AT7" s="27">
        <f t="shared" ref="AT7:AT17" si="11">SUM(AP7:AS7)</f>
        <v>181175.4137696</v>
      </c>
      <c r="AU7" s="28">
        <f t="shared" ref="AU7:AX7" si="12">AU52*AU48</f>
        <v>46214.9185164</v>
      </c>
      <c r="AV7" s="28">
        <f t="shared" si="12"/>
        <v>46506.256878</v>
      </c>
      <c r="AW7" s="28">
        <f t="shared" si="12"/>
        <v>46846.876369264</v>
      </c>
      <c r="AX7" s="28">
        <f t="shared" si="12"/>
        <v>47292.775474784</v>
      </c>
      <c r="AY7" s="27">
        <f t="shared" ref="AY7:AY17" si="13">SUM(AU7:AX7)</f>
        <v>186860.827238448</v>
      </c>
    </row>
    <row r="8" spans="1:51">
      <c r="A8" s="29" t="s">
        <v>294</v>
      </c>
      <c r="B8" s="30">
        <f>18209+11082-28619</f>
        <v>672</v>
      </c>
      <c r="C8" s="30">
        <f>7930+3836-24557</f>
        <v>-12791</v>
      </c>
      <c r="D8" s="30">
        <f>14391+7460-22149</f>
        <v>-298</v>
      </c>
      <c r="E8" s="30">
        <f>11580+6020-21320</f>
        <v>-3720</v>
      </c>
      <c r="F8" s="30">
        <f>22364+6298</f>
        <v>28662</v>
      </c>
      <c r="G8" s="31">
        <f>42928+6283</f>
        <v>49211</v>
      </c>
      <c r="H8" s="31">
        <f>-G8+51011+7617</f>
        <v>9417</v>
      </c>
      <c r="I8" s="31">
        <f>-SUM(G8:H8)+57340+7586</f>
        <v>6298</v>
      </c>
      <c r="J8" s="28">
        <f t="shared" si="4"/>
        <v>24364</v>
      </c>
      <c r="K8" s="30">
        <f>72937+16353</f>
        <v>89290</v>
      </c>
      <c r="L8" s="31">
        <f>2664+189</f>
        <v>2853</v>
      </c>
      <c r="M8" s="31">
        <f>-L8+3450+2188</f>
        <v>2785</v>
      </c>
      <c r="N8" s="31">
        <f>-SUM(L8:M8)+10199+3500</f>
        <v>8061</v>
      </c>
      <c r="O8" s="28">
        <f t="shared" si="5"/>
        <v>3421</v>
      </c>
      <c r="P8" s="30">
        <f>12100+5020</f>
        <v>17120</v>
      </c>
      <c r="Q8" s="31">
        <f>3422-2798</f>
        <v>624</v>
      </c>
      <c r="R8" s="31">
        <f>-Q8+5592-1083</f>
        <v>3885</v>
      </c>
      <c r="S8" s="31">
        <f>-SUM(Q8:R8)+9336-198</f>
        <v>4629</v>
      </c>
      <c r="T8" s="28">
        <f t="shared" si="6"/>
        <v>5445</v>
      </c>
      <c r="U8" s="30">
        <f>14031+552</f>
        <v>14583</v>
      </c>
      <c r="V8" s="31">
        <f>4436+489</f>
        <v>4925</v>
      </c>
      <c r="W8" s="31">
        <f>-V8+4436+1622</f>
        <v>1133</v>
      </c>
      <c r="X8" s="31">
        <f>-SUM(V8:W8)+4436+5164</f>
        <v>3542</v>
      </c>
      <c r="Y8" s="28">
        <f t="shared" si="7"/>
        <v>5097</v>
      </c>
      <c r="Z8" s="30">
        <f>8289+6408</f>
        <v>14697</v>
      </c>
      <c r="AA8" s="31">
        <f>5418+866+811</f>
        <v>7095</v>
      </c>
      <c r="AB8" s="31">
        <f>-AA8+1567+2170</f>
        <v>-3358</v>
      </c>
      <c r="AC8" s="31">
        <f>-SUM(AA8:AB8)+7066+2585</f>
        <v>5914</v>
      </c>
      <c r="AD8" s="28">
        <f>AE8-SUM(AA8:AC8)</f>
        <v>20957</v>
      </c>
      <c r="AE8" s="30">
        <f>15572+11596+3440</f>
        <v>30608</v>
      </c>
      <c r="AF8" s="31">
        <f>4724+679+629</f>
        <v>6032</v>
      </c>
      <c r="AG8" s="31">
        <f>-AF8+3452+1380+9660</f>
        <v>8460</v>
      </c>
      <c r="AH8" s="31">
        <f>-SUM(AF8:AG8)+15126+5724+2414</f>
        <v>8772</v>
      </c>
      <c r="AI8" s="28">
        <f>AJ8-SUM(AF8:AH8)</f>
        <v>10776</v>
      </c>
      <c r="AJ8" s="30">
        <f>19338+11484+3218</f>
        <v>34040</v>
      </c>
      <c r="AK8" s="31">
        <f>3118+2185+677</f>
        <v>5980</v>
      </c>
      <c r="AL8" s="31">
        <f>-AK8+7546+3639+1196</f>
        <v>6401</v>
      </c>
      <c r="AM8" s="32">
        <v>0</v>
      </c>
      <c r="AN8" s="32">
        <v>0</v>
      </c>
      <c r="AO8" s="27">
        <f t="shared" si="9"/>
        <v>12381</v>
      </c>
      <c r="AP8" s="32">
        <v>0</v>
      </c>
      <c r="AQ8" s="32">
        <v>0</v>
      </c>
      <c r="AR8" s="32">
        <v>0</v>
      </c>
      <c r="AS8" s="32">
        <v>0</v>
      </c>
      <c r="AT8" s="27">
        <f t="shared" si="11"/>
        <v>0</v>
      </c>
      <c r="AU8" s="32">
        <v>0</v>
      </c>
      <c r="AV8" s="32">
        <v>0</v>
      </c>
      <c r="AW8" s="32">
        <v>0</v>
      </c>
      <c r="AX8" s="32">
        <v>0</v>
      </c>
      <c r="AY8" s="27">
        <f t="shared" si="13"/>
        <v>0</v>
      </c>
    </row>
    <row r="9" spans="1:51">
      <c r="A9" s="29" t="s">
        <v>295</v>
      </c>
      <c r="B9" s="30">
        <v>7469</v>
      </c>
      <c r="C9" s="30">
        <v>-7866</v>
      </c>
      <c r="D9" s="30">
        <v>37485</v>
      </c>
      <c r="E9" s="30">
        <v>5946</v>
      </c>
      <c r="F9" s="30">
        <v>9150</v>
      </c>
      <c r="G9" s="31">
        <v>23353</v>
      </c>
      <c r="H9" s="31">
        <f>-G9+23037</f>
        <v>-316</v>
      </c>
      <c r="I9" s="31">
        <f>-SUM(G9:H9)+27432</f>
        <v>4395</v>
      </c>
      <c r="J9" s="28">
        <f t="shared" si="4"/>
        <v>-3446</v>
      </c>
      <c r="K9" s="30">
        <v>23986</v>
      </c>
      <c r="L9" s="31">
        <v>4231</v>
      </c>
      <c r="M9" s="31">
        <f>-L9-21187</f>
        <v>-25418</v>
      </c>
      <c r="N9" s="31">
        <f>-SUM(L9:M9)-32931</f>
        <v>-11744</v>
      </c>
      <c r="O9" s="28">
        <f t="shared" si="5"/>
        <v>1009</v>
      </c>
      <c r="P9" s="30">
        <v>-31922</v>
      </c>
      <c r="Q9" s="31">
        <v>-5853</v>
      </c>
      <c r="R9" s="31">
        <f>-Q9-1629</f>
        <v>4224</v>
      </c>
      <c r="S9" s="31">
        <f>-SUM(Q9:R9)-9585</f>
        <v>-7956</v>
      </c>
      <c r="T9" s="28">
        <f t="shared" si="6"/>
        <v>21085</v>
      </c>
      <c r="U9" s="30">
        <v>11500</v>
      </c>
      <c r="V9" s="31">
        <v>9689</v>
      </c>
      <c r="W9" s="31">
        <f>-V9-822</f>
        <v>-10511</v>
      </c>
      <c r="X9" s="31">
        <f>-SUM(V9:W9)-13620</f>
        <v>-12798</v>
      </c>
      <c r="Y9" s="28">
        <f t="shared" si="7"/>
        <v>8877</v>
      </c>
      <c r="Z9" s="30">
        <v>-4743</v>
      </c>
      <c r="AA9" s="31">
        <v>3064</v>
      </c>
      <c r="AB9" s="31">
        <f>-AA9-4882</f>
        <v>-7946</v>
      </c>
      <c r="AC9" s="31">
        <f>-SUM(AA9:AB9)-9881</f>
        <v>-4999</v>
      </c>
      <c r="AD9" s="28">
        <f>AE9-SUM(AA9:AC9)</f>
        <v>-2397</v>
      </c>
      <c r="AE9" s="30">
        <f>-12278</f>
        <v>-12278</v>
      </c>
      <c r="AF9" s="31">
        <v>9549</v>
      </c>
      <c r="AG9" s="31">
        <f>-AF9+19675</f>
        <v>10126</v>
      </c>
      <c r="AH9" s="31">
        <f>-SUM(AF9:AG9)+17245</f>
        <v>-2430</v>
      </c>
      <c r="AI9" s="28">
        <f>AJ9-SUM(AF9:AH9)</f>
        <v>24133</v>
      </c>
      <c r="AJ9" s="30">
        <v>41378</v>
      </c>
      <c r="AK9" s="31">
        <v>5116</v>
      </c>
      <c r="AL9" s="31">
        <f>-AK9+12850</f>
        <v>7734</v>
      </c>
      <c r="AM9" s="32">
        <v>0</v>
      </c>
      <c r="AN9" s="32">
        <v>0</v>
      </c>
      <c r="AO9" s="27">
        <f t="shared" si="9"/>
        <v>12850</v>
      </c>
      <c r="AP9" s="32">
        <v>0</v>
      </c>
      <c r="AQ9" s="32">
        <v>0</v>
      </c>
      <c r="AR9" s="32">
        <v>0</v>
      </c>
      <c r="AS9" s="32">
        <v>0</v>
      </c>
      <c r="AT9" s="27">
        <f t="shared" si="11"/>
        <v>0</v>
      </c>
      <c r="AU9" s="32">
        <v>0</v>
      </c>
      <c r="AV9" s="32">
        <v>0</v>
      </c>
      <c r="AW9" s="32">
        <v>0</v>
      </c>
      <c r="AX9" s="32">
        <v>0</v>
      </c>
      <c r="AY9" s="27">
        <f t="shared" si="13"/>
        <v>0</v>
      </c>
    </row>
    <row r="10" spans="1:51">
      <c r="A10" s="29" t="s">
        <v>296</v>
      </c>
      <c r="B10" s="30">
        <v>28359</v>
      </c>
      <c r="C10" s="30">
        <v>22120</v>
      </c>
      <c r="D10" s="30">
        <v>22108</v>
      </c>
      <c r="E10" s="30">
        <v>21755</v>
      </c>
      <c r="F10" s="30">
        <v>14007</v>
      </c>
      <c r="G10" s="31">
        <v>5162</v>
      </c>
      <c r="H10" s="31">
        <f>-G10+8906</f>
        <v>3744</v>
      </c>
      <c r="I10" s="31">
        <f>-SUM(G10:H10)+13575</f>
        <v>4669</v>
      </c>
      <c r="J10" s="28">
        <f t="shared" si="4"/>
        <v>5107</v>
      </c>
      <c r="K10" s="30">
        <v>18682</v>
      </c>
      <c r="L10" s="31">
        <v>8450</v>
      </c>
      <c r="M10" s="31">
        <f>-L10+14937</f>
        <v>6487</v>
      </c>
      <c r="N10" s="31">
        <f>-SUM(L10:M10)+22269</f>
        <v>7332</v>
      </c>
      <c r="O10" s="28">
        <f t="shared" si="5"/>
        <v>7035</v>
      </c>
      <c r="P10" s="30">
        <v>29304</v>
      </c>
      <c r="Q10" s="31">
        <v>8356</v>
      </c>
      <c r="R10" s="31">
        <f>-Q10+16116</f>
        <v>7760</v>
      </c>
      <c r="S10" s="31">
        <f>-SUM(Q10:R10)+23426</f>
        <v>7310</v>
      </c>
      <c r="T10" s="28">
        <f t="shared" si="6"/>
        <v>5569</v>
      </c>
      <c r="U10" s="30">
        <v>28995</v>
      </c>
      <c r="V10" s="31">
        <v>8088</v>
      </c>
      <c r="W10" s="31">
        <f>-V10+19647</f>
        <v>11559</v>
      </c>
      <c r="X10" s="31">
        <f>-SUM(V10:W10)+29331</f>
        <v>9684</v>
      </c>
      <c r="Y10" s="28">
        <f t="shared" si="7"/>
        <v>10791</v>
      </c>
      <c r="Z10" s="30">
        <v>40122</v>
      </c>
      <c r="AA10" s="31">
        <v>11363</v>
      </c>
      <c r="AB10" s="31">
        <f>-AA10+20596</f>
        <v>9233</v>
      </c>
      <c r="AC10" s="31">
        <f>-SUM(AA10:AB10)+30123</f>
        <v>9527</v>
      </c>
      <c r="AD10" s="28">
        <f t="shared" ref="AD10:AD17" si="14">AE10-SUM(AA10:AC10)</f>
        <v>8544</v>
      </c>
      <c r="AE10" s="30">
        <v>38667</v>
      </c>
      <c r="AF10" s="31">
        <v>10591</v>
      </c>
      <c r="AG10" s="31">
        <f>-AF10+20384</f>
        <v>9793</v>
      </c>
      <c r="AH10" s="33">
        <f>-SUM(AF10:AG10)+29491</f>
        <v>9107</v>
      </c>
      <c r="AI10" s="28">
        <f t="shared" ref="AI10:AI17" si="15">AJ10-SUM(AF10:AH10)</f>
        <v>9557</v>
      </c>
      <c r="AJ10" s="30">
        <v>39048</v>
      </c>
      <c r="AK10" s="31">
        <v>12075</v>
      </c>
      <c r="AL10" s="31">
        <f>-AK10+20575</f>
        <v>8500</v>
      </c>
      <c r="AM10" s="28">
        <f t="shared" ref="AM10:AS10" si="16">AM54*AM46</f>
        <v>9568.56292</v>
      </c>
      <c r="AN10" s="28">
        <f t="shared" si="16"/>
        <v>8933.4407</v>
      </c>
      <c r="AO10" s="27">
        <f t="shared" si="9"/>
        <v>39077.00362</v>
      </c>
      <c r="AP10" s="28">
        <f t="shared" si="16"/>
        <v>9894.178755</v>
      </c>
      <c r="AQ10" s="28">
        <f t="shared" si="16"/>
        <v>8562.81764</v>
      </c>
      <c r="AR10" s="28">
        <f t="shared" si="16"/>
        <v>9194.9845832</v>
      </c>
      <c r="AS10" s="28">
        <f t="shared" si="16"/>
        <v>8874.80810688</v>
      </c>
      <c r="AT10" s="27">
        <f t="shared" si="11"/>
        <v>36526.78908508</v>
      </c>
      <c r="AU10" s="28">
        <f t="shared" ref="AU10:AX10" si="17">AU54*AU46</f>
        <v>10165.803532275</v>
      </c>
      <c r="AV10" s="28">
        <f t="shared" si="17"/>
        <v>8799.5300588</v>
      </c>
      <c r="AW10" s="28">
        <f t="shared" si="17"/>
        <v>9471.737919852</v>
      </c>
      <c r="AX10" s="28">
        <f t="shared" si="17"/>
        <v>9142.347570192</v>
      </c>
      <c r="AY10" s="27">
        <f t="shared" si="13"/>
        <v>37579.419081119</v>
      </c>
    </row>
    <row r="11" spans="1:51">
      <c r="A11" s="29" t="s">
        <v>297</v>
      </c>
      <c r="B11" s="30"/>
      <c r="C11" s="30"/>
      <c r="D11" s="30"/>
      <c r="E11" s="30"/>
      <c r="F11" s="30"/>
      <c r="G11" s="31">
        <v>0</v>
      </c>
      <c r="H11" s="31">
        <v>0</v>
      </c>
      <c r="I11" s="31">
        <v>0</v>
      </c>
      <c r="J11" s="28">
        <f t="shared" si="4"/>
        <v>0</v>
      </c>
      <c r="K11" s="30">
        <v>0</v>
      </c>
      <c r="L11" s="31">
        <v>0</v>
      </c>
      <c r="M11" s="31">
        <f>-L11+5347</f>
        <v>5347</v>
      </c>
      <c r="N11" s="31">
        <f>-SUM(L11:M11)+5347</f>
        <v>0</v>
      </c>
      <c r="O11" s="28">
        <f t="shared" si="5"/>
        <v>0</v>
      </c>
      <c r="P11" s="30">
        <v>5347</v>
      </c>
      <c r="Q11" s="31">
        <v>0</v>
      </c>
      <c r="R11" s="31">
        <v>0</v>
      </c>
      <c r="S11" s="31">
        <f>-SUM(Q11:R11)-52</f>
        <v>-52</v>
      </c>
      <c r="T11" s="28">
        <f t="shared" si="6"/>
        <v>0</v>
      </c>
      <c r="U11" s="30">
        <v>-52</v>
      </c>
      <c r="V11" s="31">
        <v>0</v>
      </c>
      <c r="W11" s="31">
        <v>0</v>
      </c>
      <c r="X11" s="31">
        <v>1276</v>
      </c>
      <c r="Y11" s="28">
        <f t="shared" si="7"/>
        <v>699</v>
      </c>
      <c r="Z11" s="30">
        <v>1975</v>
      </c>
      <c r="AA11" s="31">
        <v>168</v>
      </c>
      <c r="AB11" s="31">
        <f>-AA11+1114</f>
        <v>946</v>
      </c>
      <c r="AC11" s="31">
        <f>-SUM(AA11:AB11)+1114</f>
        <v>0</v>
      </c>
      <c r="AD11" s="28">
        <f t="shared" si="14"/>
        <v>0</v>
      </c>
      <c r="AE11" s="30">
        <v>1114</v>
      </c>
      <c r="AF11" s="31">
        <v>0</v>
      </c>
      <c r="AG11" s="31">
        <v>0</v>
      </c>
      <c r="AH11" s="33">
        <v>0</v>
      </c>
      <c r="AI11" s="28">
        <f t="shared" si="15"/>
        <v>0</v>
      </c>
      <c r="AJ11" s="30">
        <v>0</v>
      </c>
      <c r="AK11" s="31">
        <v>0</v>
      </c>
      <c r="AL11" s="31">
        <v>0</v>
      </c>
      <c r="AM11" s="32">
        <v>0</v>
      </c>
      <c r="AN11" s="32">
        <v>0</v>
      </c>
      <c r="AO11" s="27">
        <f t="shared" si="9"/>
        <v>0</v>
      </c>
      <c r="AP11" s="32">
        <v>0</v>
      </c>
      <c r="AQ11" s="32">
        <v>0</v>
      </c>
      <c r="AR11" s="32">
        <v>0</v>
      </c>
      <c r="AS11" s="32">
        <v>0</v>
      </c>
      <c r="AT11" s="27">
        <f t="shared" si="11"/>
        <v>0</v>
      </c>
      <c r="AU11" s="32">
        <v>0</v>
      </c>
      <c r="AV11" s="32">
        <v>0</v>
      </c>
      <c r="AW11" s="32">
        <v>0</v>
      </c>
      <c r="AX11" s="32">
        <v>0</v>
      </c>
      <c r="AY11" s="27">
        <f t="shared" si="13"/>
        <v>0</v>
      </c>
    </row>
    <row r="12" s="2" customFormat="1" spans="1:51">
      <c r="A12" s="2" t="s">
        <v>270</v>
      </c>
      <c r="B12" s="34">
        <f>SUM(B13:B16)</f>
        <v>27276</v>
      </c>
      <c r="C12" s="34">
        <f t="shared" ref="C12:G12" si="18">SUM(C13:C16)</f>
        <v>-16723</v>
      </c>
      <c r="D12" s="34">
        <f t="shared" si="18"/>
        <v>9022</v>
      </c>
      <c r="E12" s="34">
        <f t="shared" si="18"/>
        <v>44744</v>
      </c>
      <c r="F12" s="34">
        <f t="shared" si="18"/>
        <v>7618</v>
      </c>
      <c r="G12" s="35">
        <f t="shared" si="18"/>
        <v>-50166</v>
      </c>
      <c r="H12" s="35">
        <f t="shared" ref="H12:Z12" si="19">SUM(H13:H16)</f>
        <v>126147</v>
      </c>
      <c r="I12" s="35">
        <f t="shared" si="19"/>
        <v>-47984</v>
      </c>
      <c r="J12" s="35">
        <f t="shared" si="19"/>
        <v>147115</v>
      </c>
      <c r="K12" s="34">
        <f t="shared" si="19"/>
        <v>175112</v>
      </c>
      <c r="L12" s="35">
        <f t="shared" si="19"/>
        <v>-192948</v>
      </c>
      <c r="M12" s="35">
        <f t="shared" si="19"/>
        <v>25876</v>
      </c>
      <c r="N12" s="35">
        <f t="shared" si="19"/>
        <v>18487</v>
      </c>
      <c r="O12" s="35">
        <f t="shared" ref="O12" si="20">SUM(O13:O16)</f>
        <v>6361</v>
      </c>
      <c r="P12" s="34">
        <f t="shared" si="19"/>
        <v>-142224</v>
      </c>
      <c r="Q12" s="35">
        <f t="shared" si="19"/>
        <v>-206712</v>
      </c>
      <c r="R12" s="35">
        <f t="shared" si="19"/>
        <v>-70234</v>
      </c>
      <c r="S12" s="35">
        <f t="shared" si="19"/>
        <v>-40014</v>
      </c>
      <c r="T12" s="35">
        <f t="shared" si="19"/>
        <v>194428</v>
      </c>
      <c r="U12" s="34">
        <f t="shared" si="19"/>
        <v>-122532</v>
      </c>
      <c r="V12" s="35">
        <f t="shared" si="19"/>
        <v>-66292</v>
      </c>
      <c r="W12" s="35">
        <f t="shared" si="19"/>
        <v>111147</v>
      </c>
      <c r="X12" s="35">
        <f t="shared" si="19"/>
        <v>-2929</v>
      </c>
      <c r="Y12" s="35">
        <f t="shared" si="19"/>
        <v>56202</v>
      </c>
      <c r="Z12" s="34">
        <f t="shared" si="19"/>
        <v>98128</v>
      </c>
      <c r="AA12" s="35">
        <f t="shared" ref="AA12:AG12" si="21">SUM(AA13:AA16)</f>
        <v>-39948</v>
      </c>
      <c r="AB12" s="35">
        <f t="shared" si="21"/>
        <v>14591</v>
      </c>
      <c r="AC12" s="35">
        <f t="shared" si="21"/>
        <v>-34591</v>
      </c>
      <c r="AD12" s="35">
        <f t="shared" si="21"/>
        <v>69203</v>
      </c>
      <c r="AE12" s="34">
        <f t="shared" si="21"/>
        <v>9255</v>
      </c>
      <c r="AF12" s="35">
        <f t="shared" si="21"/>
        <v>-121331</v>
      </c>
      <c r="AG12" s="35">
        <f t="shared" si="21"/>
        <v>-12840</v>
      </c>
      <c r="AH12" s="36">
        <f t="shared" ref="AH12:AK12" si="22">SUM(AH13:AH16)</f>
        <v>-7878</v>
      </c>
      <c r="AI12" s="35">
        <f t="shared" si="22"/>
        <v>62934</v>
      </c>
      <c r="AJ12" s="34">
        <f t="shared" si="22"/>
        <v>-79115</v>
      </c>
      <c r="AK12" s="35">
        <f t="shared" si="22"/>
        <v>-75692</v>
      </c>
      <c r="AL12" s="35">
        <f t="shared" ref="AL12:AN12" si="23">SUM(AL13:AL16)</f>
        <v>71600</v>
      </c>
      <c r="AM12" s="35">
        <f t="shared" si="23"/>
        <v>42117.0721007263</v>
      </c>
      <c r="AN12" s="35">
        <f t="shared" si="23"/>
        <v>3084.8635964386</v>
      </c>
      <c r="AO12" s="27">
        <f t="shared" si="9"/>
        <v>41109.9356971649</v>
      </c>
      <c r="AP12" s="35">
        <f t="shared" ref="AP12:AS12" si="24">SUM(AP13:AP16)</f>
        <v>75736.5295697841</v>
      </c>
      <c r="AQ12" s="35">
        <f t="shared" si="24"/>
        <v>104005.679440944</v>
      </c>
      <c r="AR12" s="35">
        <f t="shared" si="24"/>
        <v>-138317.744254225</v>
      </c>
      <c r="AS12" s="35">
        <f t="shared" si="24"/>
        <v>-40025.5041486641</v>
      </c>
      <c r="AT12" s="27">
        <f t="shared" si="11"/>
        <v>1398.96060783853</v>
      </c>
      <c r="AU12" s="35">
        <f t="shared" ref="AU12:AX12" si="25">SUM(AU13:AU16)</f>
        <v>42433.9930928055</v>
      </c>
      <c r="AV12" s="35">
        <f t="shared" si="25"/>
        <v>54840.2154706539</v>
      </c>
      <c r="AW12" s="35">
        <f t="shared" si="25"/>
        <v>8721.05759991836</v>
      </c>
      <c r="AX12" s="35">
        <f t="shared" si="25"/>
        <v>-125726.470087833</v>
      </c>
      <c r="AY12" s="27">
        <f t="shared" si="13"/>
        <v>-19731.2039244557</v>
      </c>
    </row>
    <row r="13" spans="1:51">
      <c r="A13" s="37" t="s">
        <v>218</v>
      </c>
      <c r="B13" s="30">
        <v>21253</v>
      </c>
      <c r="C13" s="30">
        <v>24452</v>
      </c>
      <c r="D13" s="30">
        <v>-18298</v>
      </c>
      <c r="E13" s="30">
        <v>-23820</v>
      </c>
      <c r="F13" s="30">
        <v>2270</v>
      </c>
      <c r="G13" s="31">
        <v>6320</v>
      </c>
      <c r="H13" s="31">
        <f>-G13-18378</f>
        <v>-24698</v>
      </c>
      <c r="I13" s="31">
        <f>-SUM(G13:H13)-109665</f>
        <v>-91287</v>
      </c>
      <c r="J13" s="28">
        <f t="shared" si="4"/>
        <v>142977</v>
      </c>
      <c r="K13" s="30">
        <v>33312</v>
      </c>
      <c r="L13" s="31">
        <v>15186</v>
      </c>
      <c r="M13" s="31">
        <f>-L13-11849</f>
        <v>-27035</v>
      </c>
      <c r="N13" s="31">
        <f>-SUM(L13:M13)-140393</f>
        <v>-128544</v>
      </c>
      <c r="O13" s="28">
        <f t="shared" si="5"/>
        <v>17172</v>
      </c>
      <c r="P13" s="30">
        <v>-123221</v>
      </c>
      <c r="Q13" s="31">
        <v>-38475</v>
      </c>
      <c r="R13" s="31">
        <f>-Q13-184657</f>
        <v>-146182</v>
      </c>
      <c r="S13" s="31">
        <f>-SUM(Q13:R13)-221414</f>
        <v>-36757</v>
      </c>
      <c r="T13" s="28">
        <f t="shared" si="6"/>
        <v>239919</v>
      </c>
      <c r="U13" s="30">
        <v>18505</v>
      </c>
      <c r="V13" s="31">
        <v>57662</v>
      </c>
      <c r="W13" s="31">
        <f>-V13+11909</f>
        <v>-45753</v>
      </c>
      <c r="X13" s="31">
        <f>-SUM(V13:W13)-91817</f>
        <v>-103726</v>
      </c>
      <c r="Y13" s="28">
        <f t="shared" si="7"/>
        <v>126860</v>
      </c>
      <c r="Z13" s="30">
        <v>35043</v>
      </c>
      <c r="AA13" s="31">
        <v>19854</v>
      </c>
      <c r="AB13" s="31">
        <f>-AA13-70053</f>
        <v>-89907</v>
      </c>
      <c r="AC13" s="31">
        <f>-SUM(AA13:AB13)-222929</f>
        <v>-152876</v>
      </c>
      <c r="AD13" s="28">
        <f t="shared" si="14"/>
        <v>116055</v>
      </c>
      <c r="AE13" s="30">
        <v>-106874</v>
      </c>
      <c r="AF13" s="31">
        <v>35511</v>
      </c>
      <c r="AG13" s="31">
        <f>-AF13-15164</f>
        <v>-50675</v>
      </c>
      <c r="AH13" s="33">
        <f>-SUM(AF13:AG13)-153051</f>
        <v>-137887</v>
      </c>
      <c r="AI13" s="28">
        <f t="shared" si="15"/>
        <v>130993</v>
      </c>
      <c r="AJ13" s="30">
        <v>-22058</v>
      </c>
      <c r="AK13" s="31">
        <v>68300</v>
      </c>
      <c r="AL13" s="31">
        <f>-AK13+8881</f>
        <v>-59419</v>
      </c>
      <c r="AM13" s="28">
        <f>BS!AL9-BS!AM9</f>
        <v>-157040.184306792</v>
      </c>
      <c r="AN13" s="28">
        <f>BS!AM9-BS!AN9</f>
        <v>102433.232172792</v>
      </c>
      <c r="AO13" s="27">
        <f t="shared" si="9"/>
        <v>-45725.9521339999</v>
      </c>
      <c r="AP13" s="28">
        <f>BS!AO9-BS!AP9</f>
        <v>78368.437393286</v>
      </c>
      <c r="AQ13" s="28">
        <f>BS!AP9-BS!AQ9</f>
        <v>-120214.773486715</v>
      </c>
      <c r="AR13" s="28">
        <f>BS!AQ9-BS!AR9</f>
        <v>-77357.9137431025</v>
      </c>
      <c r="AS13" s="28">
        <f>BS!AR9-BS!AS9</f>
        <v>73004.4650576394</v>
      </c>
      <c r="AT13" s="27">
        <f t="shared" si="11"/>
        <v>-46199.7847788918</v>
      </c>
      <c r="AU13" s="28">
        <f>BS!AT9-BS!AU9</f>
        <v>172478.607362117</v>
      </c>
      <c r="AV13" s="28">
        <f>BS!AU9-BS!AV9</f>
        <v>-174200.235132731</v>
      </c>
      <c r="AW13" s="28">
        <f>BS!AV9-BS!AW9</f>
        <v>-64269.4439386022</v>
      </c>
      <c r="AX13" s="28">
        <f>BS!AW9-BS!AX9</f>
        <v>-1651.30029962212</v>
      </c>
      <c r="AY13" s="27">
        <f t="shared" si="13"/>
        <v>-67642.3720088387</v>
      </c>
    </row>
    <row r="14" spans="1:51">
      <c r="A14" s="37" t="s">
        <v>298</v>
      </c>
      <c r="B14" s="30">
        <v>51050</v>
      </c>
      <c r="C14" s="30">
        <v>-32647</v>
      </c>
      <c r="D14" s="30">
        <v>13622</v>
      </c>
      <c r="E14" s="30">
        <v>63155</v>
      </c>
      <c r="F14" s="30">
        <v>10821</v>
      </c>
      <c r="G14" s="31">
        <v>-72533</v>
      </c>
      <c r="H14" s="31">
        <f>-G14+122004</f>
        <v>194537</v>
      </c>
      <c r="I14" s="31">
        <f>-SUM(G14:H14)+186806</f>
        <v>64802</v>
      </c>
      <c r="J14" s="28">
        <f t="shared" si="4"/>
        <v>-59</v>
      </c>
      <c r="K14" s="30">
        <v>186747</v>
      </c>
      <c r="L14" s="31">
        <v>-133506</v>
      </c>
      <c r="M14" s="31">
        <f>-L14-63562</f>
        <v>69944</v>
      </c>
      <c r="N14" s="31">
        <f>-SUM(L14:M14)+81793</f>
        <v>145355</v>
      </c>
      <c r="O14" s="28">
        <f t="shared" si="5"/>
        <v>-3883</v>
      </c>
      <c r="P14" s="30">
        <v>77910</v>
      </c>
      <c r="Q14" s="31">
        <v>-138774</v>
      </c>
      <c r="R14" s="31">
        <f>-Q14-34013</f>
        <v>104761</v>
      </c>
      <c r="S14" s="31">
        <f>-SUM(Q14:R14)-87463</f>
        <v>-53450</v>
      </c>
      <c r="T14" s="28">
        <f t="shared" si="6"/>
        <v>-27689</v>
      </c>
      <c r="U14" s="30">
        <v>-115152</v>
      </c>
      <c r="V14" s="31">
        <v>-100802</v>
      </c>
      <c r="W14" s="31">
        <f>-V14+40954</f>
        <v>141756</v>
      </c>
      <c r="X14" s="31">
        <f>-SUM(V14:W14)+126842</f>
        <v>85888</v>
      </c>
      <c r="Y14" s="28">
        <f t="shared" si="7"/>
        <v>-43917</v>
      </c>
      <c r="Z14" s="30">
        <v>82925</v>
      </c>
      <c r="AA14" s="31">
        <v>-65715</v>
      </c>
      <c r="AB14" s="31">
        <f>-AA14+86000</f>
        <v>151715</v>
      </c>
      <c r="AC14" s="31">
        <f>-SUM(AA14:AB14)+184604</f>
        <v>98604</v>
      </c>
      <c r="AD14" s="28">
        <f t="shared" si="14"/>
        <v>-55342</v>
      </c>
      <c r="AE14" s="30">
        <v>129262</v>
      </c>
      <c r="AF14" s="31">
        <v>-168939</v>
      </c>
      <c r="AG14" s="31">
        <f>-AF14-102681</f>
        <v>66258</v>
      </c>
      <c r="AH14" s="33">
        <f>-SUM(AF14:AG14)+28717</f>
        <v>131398</v>
      </c>
      <c r="AI14" s="28">
        <f t="shared" si="15"/>
        <v>-73845</v>
      </c>
      <c r="AJ14" s="30">
        <v>-45128</v>
      </c>
      <c r="AK14" s="31">
        <v>-159339</v>
      </c>
      <c r="AL14" s="31">
        <f>-AK14-38526</f>
        <v>120813</v>
      </c>
      <c r="AM14" s="28">
        <f>(BS!AM17-BS!AL17)+(BS!AM18-BS!AL18)+(BS!AL8-BS!AM8)</f>
        <v>190156.306407519</v>
      </c>
      <c r="AN14" s="28">
        <f>(BS!AN17-BS!AM17)+(BS!AN18-BS!AM18)+(BS!AM8-BS!AN8)</f>
        <v>-108799.366076354</v>
      </c>
      <c r="AO14" s="27">
        <f t="shared" si="9"/>
        <v>42830.9403311647</v>
      </c>
      <c r="AP14" s="28">
        <f>(BS!AP17-BS!AO17)+(BS!AP18-BS!AO18)+(BS!AO8-BS!AP8)</f>
        <v>-12555.455198502</v>
      </c>
      <c r="AQ14" s="28">
        <f>(BS!AQ17-BS!AP17)+(BS!AQ18-BS!AP18)+(BS!AP8-BS!AQ8)</f>
        <v>213800.728183909</v>
      </c>
      <c r="AR14" s="28">
        <f>(BS!AR17-BS!AQ17)+(BS!AR18-BS!AQ18)+(BS!AQ8-BS!AR8)</f>
        <v>-71900.5414920606</v>
      </c>
      <c r="AS14" s="28">
        <f>(BS!AS17-BS!AR17)+(BS!AS18-BS!AR18)+(BS!AR8-BS!AS8)</f>
        <v>-124517.715736288</v>
      </c>
      <c r="AT14" s="27">
        <f t="shared" si="11"/>
        <v>4827.01575705782</v>
      </c>
      <c r="AU14" s="28">
        <f>(BS!AU17-BS!AT17)+(BS!AU18-BS!AT18)+(BS!AT8-BS!AU8)</f>
        <v>-142106.748125795</v>
      </c>
      <c r="AV14" s="28">
        <f>(BS!AV17-BS!AU17)+(BS!AV18-BS!AU18)+(BS!AU8-BS!AV8)</f>
        <v>216375.210054078</v>
      </c>
      <c r="AW14" s="28">
        <f>(BS!AW17-BS!AV17)+(BS!AW18-BS!AV18)+(BS!AV8-BS!AW8)</f>
        <v>59691.9989617474</v>
      </c>
      <c r="AX14" s="28">
        <f>(BS!AX17-BS!AW17)+(BS!AX18-BS!AW18)+(BS!AW8-BS!AX8)</f>
        <v>-138038.597493823</v>
      </c>
      <c r="AY14" s="27">
        <f t="shared" si="13"/>
        <v>-4078.13660379371</v>
      </c>
    </row>
    <row r="15" spans="1:51">
      <c r="A15" s="29" t="s">
        <v>299</v>
      </c>
      <c r="B15" s="30"/>
      <c r="C15" s="30"/>
      <c r="D15" s="30"/>
      <c r="E15" s="30"/>
      <c r="F15" s="30"/>
      <c r="G15" s="31">
        <v>20029</v>
      </c>
      <c r="H15" s="31">
        <f>-G15-20266</f>
        <v>-40295</v>
      </c>
      <c r="I15" s="31">
        <f>-SUM(G15:H15)-41976</f>
        <v>-21710</v>
      </c>
      <c r="J15" s="28">
        <f t="shared" si="4"/>
        <v>-13724</v>
      </c>
      <c r="K15" s="30">
        <v>-55700</v>
      </c>
      <c r="L15" s="31">
        <v>-76379</v>
      </c>
      <c r="M15" s="31">
        <f>-L15-93040</f>
        <v>-16661</v>
      </c>
      <c r="N15" s="31">
        <f>-SUM(L15:M15)-105046</f>
        <v>-12006</v>
      </c>
      <c r="O15" s="28">
        <f t="shared" si="5"/>
        <v>11219</v>
      </c>
      <c r="P15" s="30">
        <v>-93827</v>
      </c>
      <c r="Q15" s="31">
        <v>-32127</v>
      </c>
      <c r="R15" s="31">
        <f>-Q15-41122</f>
        <v>-8995</v>
      </c>
      <c r="S15" s="31">
        <f>-SUM(Q15:R15)-8364</f>
        <v>32758</v>
      </c>
      <c r="T15" s="28">
        <f t="shared" si="6"/>
        <v>-10131</v>
      </c>
      <c r="U15" s="30">
        <v>-18495</v>
      </c>
      <c r="V15" s="31">
        <v>-26152</v>
      </c>
      <c r="W15" s="31">
        <f>-V15-36289</f>
        <v>-10137</v>
      </c>
      <c r="X15" s="31">
        <f>-SUM(V15:W15)-30956</f>
        <v>5333</v>
      </c>
      <c r="Y15" s="28">
        <f t="shared" si="7"/>
        <v>-24690</v>
      </c>
      <c r="Z15" s="30">
        <v>-55646</v>
      </c>
      <c r="AA15" s="31">
        <v>-1660</v>
      </c>
      <c r="AB15" s="31">
        <f>-AA15-5147</f>
        <v>-3487</v>
      </c>
      <c r="AC15" s="31">
        <f>-SUM(AA15:AB15)-2194</f>
        <v>2953</v>
      </c>
      <c r="AD15" s="28">
        <f t="shared" si="14"/>
        <v>-1094</v>
      </c>
      <c r="AE15" s="30">
        <v>-3288</v>
      </c>
      <c r="AF15" s="31">
        <v>5048</v>
      </c>
      <c r="AG15" s="31">
        <f>-AF15+12210</f>
        <v>7162</v>
      </c>
      <c r="AH15" s="33">
        <f>-SUM(AF15:AG15)+10618</f>
        <v>-1592</v>
      </c>
      <c r="AI15" s="28">
        <f t="shared" si="15"/>
        <v>1622</v>
      </c>
      <c r="AJ15" s="30">
        <v>12240</v>
      </c>
      <c r="AK15" s="31">
        <v>5360</v>
      </c>
      <c r="AL15" s="31">
        <f>-AK15+8403</f>
        <v>3043</v>
      </c>
      <c r="AM15" s="28">
        <f>(BS!AM24-BS!AL24)+(BS!AM19-BS!AL19)-(BS!AM13-BS!AL13)</f>
        <v>9000.95000000001</v>
      </c>
      <c r="AN15" s="28">
        <f>(BS!AN24-BS!AM24)+(BS!AN19-BS!AM19)-(BS!AN13-BS!AM13)</f>
        <v>9450.99750000011</v>
      </c>
      <c r="AO15" s="27">
        <f t="shared" si="9"/>
        <v>26854.9475000001</v>
      </c>
      <c r="AP15" s="28">
        <f>(BS!AP24-BS!AO24)+(BS!AP19-BS!AO19)-(BS!AP13-BS!AO13)</f>
        <v>9923.54737500008</v>
      </c>
      <c r="AQ15" s="28">
        <f>(BS!AQ24-BS!AP24)+(BS!AQ19-BS!AP19)-(BS!AQ13-BS!AP13)</f>
        <v>10419.72474375</v>
      </c>
      <c r="AR15" s="28">
        <f>(BS!AR24-BS!AQ24)+(BS!AR19-BS!AQ19)-(BS!AR13-BS!AQ13)</f>
        <v>10940.7109809378</v>
      </c>
      <c r="AS15" s="28">
        <f>(BS!AS24-BS!AR24)+(BS!AS19-BS!AR19)-(BS!AS13-BS!AR13)</f>
        <v>11487.7465299847</v>
      </c>
      <c r="AT15" s="27">
        <f t="shared" si="11"/>
        <v>42771.7296296725</v>
      </c>
      <c r="AU15" s="28">
        <f>(BS!AU24-BS!AT24)+(BS!AU19-BS!AT19)-(BS!AU13-BS!AT13)</f>
        <v>12062.1338564837</v>
      </c>
      <c r="AV15" s="28">
        <f>(BS!AV24-BS!AU24)+(BS!AV19-BS!AU19)-(BS!AV13-BS!AU13)</f>
        <v>12665.2405493078</v>
      </c>
      <c r="AW15" s="28">
        <f>(BS!AW24-BS!AV24)+(BS!AW19-BS!AV19)-(BS!AW13-BS!AV13)</f>
        <v>13298.5025767732</v>
      </c>
      <c r="AX15" s="28">
        <f>(BS!AX24-BS!AW24)+(BS!AX19-BS!AW19)-(BS!AX13-BS!AW13)</f>
        <v>13963.427705612</v>
      </c>
      <c r="AY15" s="27">
        <f t="shared" si="13"/>
        <v>51989.3046881767</v>
      </c>
    </row>
    <row r="16" spans="1:51">
      <c r="A16" s="29" t="s">
        <v>300</v>
      </c>
      <c r="B16" s="30">
        <v>-45027</v>
      </c>
      <c r="C16" s="30">
        <v>-8528</v>
      </c>
      <c r="D16" s="30">
        <v>13698</v>
      </c>
      <c r="E16" s="30">
        <v>5409</v>
      </c>
      <c r="F16" s="30">
        <v>-5473</v>
      </c>
      <c r="G16" s="31">
        <v>-3982</v>
      </c>
      <c r="H16" s="31">
        <f>-G16-7379</f>
        <v>-3397</v>
      </c>
      <c r="I16" s="31">
        <f>-SUM(G16:H16)-7168</f>
        <v>211</v>
      </c>
      <c r="J16" s="28">
        <f t="shared" si="4"/>
        <v>17921</v>
      </c>
      <c r="K16" s="30">
        <v>10753</v>
      </c>
      <c r="L16" s="31">
        <v>1751</v>
      </c>
      <c r="M16" s="31">
        <f>-L16+1379</f>
        <v>-372</v>
      </c>
      <c r="N16" s="31">
        <f>-SUM(L16:M16)+15061</f>
        <v>13682</v>
      </c>
      <c r="O16" s="28">
        <f t="shared" si="5"/>
        <v>-18147</v>
      </c>
      <c r="P16" s="30">
        <v>-3086</v>
      </c>
      <c r="Q16" s="31">
        <v>2664</v>
      </c>
      <c r="R16" s="31">
        <f>-Q16-17154</f>
        <v>-19818</v>
      </c>
      <c r="S16" s="31">
        <f>-SUM(Q16:R16)+281</f>
        <v>17435</v>
      </c>
      <c r="T16" s="28">
        <f t="shared" si="6"/>
        <v>-7671</v>
      </c>
      <c r="U16" s="30">
        <v>-7390</v>
      </c>
      <c r="V16" s="31">
        <v>3000</v>
      </c>
      <c r="W16" s="31">
        <f>-V16+28281</f>
        <v>25281</v>
      </c>
      <c r="X16" s="31">
        <f>-SUM(V16:W16)+37857</f>
        <v>9576</v>
      </c>
      <c r="Y16" s="28">
        <f t="shared" si="7"/>
        <v>-2051</v>
      </c>
      <c r="Z16" s="30">
        <v>35806</v>
      </c>
      <c r="AA16" s="31">
        <v>7573</v>
      </c>
      <c r="AB16" s="31">
        <f>-AA16-36157</f>
        <v>-43730</v>
      </c>
      <c r="AC16" s="31">
        <f>-SUM(AA16:AB16)-19429</f>
        <v>16728</v>
      </c>
      <c r="AD16" s="28">
        <f t="shared" si="14"/>
        <v>9584</v>
      </c>
      <c r="AE16" s="30">
        <v>-9845</v>
      </c>
      <c r="AF16" s="31">
        <v>7049</v>
      </c>
      <c r="AG16" s="31">
        <f>-AF16-28536</f>
        <v>-35585</v>
      </c>
      <c r="AH16" s="33">
        <f>-SUM(AF16:AG16)-28333</f>
        <v>203</v>
      </c>
      <c r="AI16" s="28">
        <f t="shared" si="15"/>
        <v>4164</v>
      </c>
      <c r="AJ16" s="30">
        <v>-24169</v>
      </c>
      <c r="AK16" s="31">
        <v>9987</v>
      </c>
      <c r="AL16" s="31">
        <f>-AK16+17150</f>
        <v>7163</v>
      </c>
      <c r="AM16" s="32">
        <v>0</v>
      </c>
      <c r="AN16" s="32">
        <v>0</v>
      </c>
      <c r="AO16" s="27">
        <f t="shared" si="9"/>
        <v>17150</v>
      </c>
      <c r="AP16" s="32">
        <v>0</v>
      </c>
      <c r="AQ16" s="32">
        <v>0</v>
      </c>
      <c r="AR16" s="32">
        <v>0</v>
      </c>
      <c r="AS16" s="32">
        <v>0</v>
      </c>
      <c r="AT16" s="27">
        <f t="shared" si="11"/>
        <v>0</v>
      </c>
      <c r="AU16" s="32">
        <v>0</v>
      </c>
      <c r="AV16" s="32">
        <v>0</v>
      </c>
      <c r="AW16" s="32">
        <v>0</v>
      </c>
      <c r="AX16" s="32">
        <v>0</v>
      </c>
      <c r="AY16" s="27">
        <f t="shared" si="13"/>
        <v>0</v>
      </c>
    </row>
    <row r="17" spans="1:51">
      <c r="A17" s="38" t="s">
        <v>301</v>
      </c>
      <c r="B17" s="39">
        <f>11082-1237+9204-25123</f>
        <v>-6074</v>
      </c>
      <c r="C17" s="39">
        <f>10288+26649-32291-7927</f>
        <v>-3281</v>
      </c>
      <c r="D17" s="39">
        <f>17934-810+8061-10918</f>
        <v>14267</v>
      </c>
      <c r="E17" s="39">
        <f>21776+1292+10234-5932</f>
        <v>27370</v>
      </c>
      <c r="F17" s="39">
        <f>46442-20137-3642</f>
        <v>22663</v>
      </c>
      <c r="G17" s="40">
        <f>32213+50000-555</f>
        <v>81658</v>
      </c>
      <c r="H17" s="40">
        <f>-G17+29940+50000+5227</f>
        <v>3509</v>
      </c>
      <c r="I17" s="40">
        <f>-SUM(G17:H17)+30403+50000+11523</f>
        <v>6759</v>
      </c>
      <c r="J17" s="41">
        <f t="shared" si="4"/>
        <v>-1405</v>
      </c>
      <c r="K17" s="39">
        <f>38632+1889+50000</f>
        <v>90521</v>
      </c>
      <c r="L17" s="40">
        <f>-34162-336</f>
        <v>-34498</v>
      </c>
      <c r="M17" s="40">
        <f>-L17-11575-1554</f>
        <v>21369</v>
      </c>
      <c r="N17" s="40">
        <f>-SUM(L17:M17)-34884-3655</f>
        <v>-25410</v>
      </c>
      <c r="O17" s="41">
        <f t="shared" si="5"/>
        <v>24595</v>
      </c>
      <c r="P17" s="39">
        <f>396-14340</f>
        <v>-13944</v>
      </c>
      <c r="Q17" s="40">
        <f>-33475+231</f>
        <v>-33244</v>
      </c>
      <c r="R17" s="40">
        <f>-Q17-38436+698</f>
        <v>-4494</v>
      </c>
      <c r="S17" s="40">
        <f>-SUM(Q17:R17)-91432+16184+12000</f>
        <v>-25510</v>
      </c>
      <c r="T17" s="41">
        <f t="shared" si="6"/>
        <v>-2217</v>
      </c>
      <c r="U17" s="39">
        <f>-86923+9458+12000</f>
        <v>-65465</v>
      </c>
      <c r="V17" s="40">
        <f>-10957+112</f>
        <v>-10845</v>
      </c>
      <c r="W17" s="40">
        <f>-V17+1115-3514</f>
        <v>8446</v>
      </c>
      <c r="X17" s="40">
        <f>-SUM(V17:W17)+8519-6747</f>
        <v>4171</v>
      </c>
      <c r="Y17" s="41">
        <f t="shared" si="7"/>
        <v>24954</v>
      </c>
      <c r="Z17" s="39">
        <f>33623-6897</f>
        <v>26726</v>
      </c>
      <c r="AA17" s="40">
        <f>-40052+553</f>
        <v>-39499</v>
      </c>
      <c r="AB17" s="40">
        <f>-AA17-63060+470</f>
        <v>-23091</v>
      </c>
      <c r="AC17" s="40">
        <f>-SUM(AA17:AB17)-70423+1189</f>
        <v>-6644</v>
      </c>
      <c r="AD17" s="41">
        <f t="shared" si="14"/>
        <v>-15545</v>
      </c>
      <c r="AE17" s="39">
        <f>-71361-13418</f>
        <v>-84779</v>
      </c>
      <c r="AF17" s="40">
        <f>-27872-1284</f>
        <v>-29156</v>
      </c>
      <c r="AG17" s="40">
        <f>-AF17-103606-5008</f>
        <v>-79458</v>
      </c>
      <c r="AH17" s="40">
        <f>-SUM(AF17:AG17)-63940-5804</f>
        <v>38870</v>
      </c>
      <c r="AI17" s="41">
        <f t="shared" si="15"/>
        <v>-16481</v>
      </c>
      <c r="AJ17" s="42">
        <f>-82349-3876</f>
        <v>-86225</v>
      </c>
      <c r="AK17" s="40">
        <f>-8723-4923</f>
        <v>-13646</v>
      </c>
      <c r="AL17" s="40">
        <f>-AK17-19607-4197-43750</f>
        <v>-53908</v>
      </c>
      <c r="AM17" s="43">
        <v>0</v>
      </c>
      <c r="AN17" s="43">
        <v>0</v>
      </c>
      <c r="AO17" s="44">
        <f t="shared" si="9"/>
        <v>-67554</v>
      </c>
      <c r="AP17" s="43">
        <v>0</v>
      </c>
      <c r="AQ17" s="43">
        <v>0</v>
      </c>
      <c r="AR17" s="43">
        <v>0</v>
      </c>
      <c r="AS17" s="43">
        <v>0</v>
      </c>
      <c r="AT17" s="44">
        <f t="shared" si="11"/>
        <v>0</v>
      </c>
      <c r="AU17" s="43">
        <v>0</v>
      </c>
      <c r="AV17" s="43">
        <v>0</v>
      </c>
      <c r="AW17" s="43">
        <v>0</v>
      </c>
      <c r="AX17" s="43">
        <v>0</v>
      </c>
      <c r="AY17" s="44">
        <f t="shared" si="13"/>
        <v>0</v>
      </c>
    </row>
    <row r="18" spans="1:51">
      <c r="A18" s="2" t="s">
        <v>302</v>
      </c>
      <c r="B18" s="34">
        <f t="shared" ref="B18:AT18" si="26">SUM(B6:B12,B17)</f>
        <v>309941</v>
      </c>
      <c r="C18" s="34">
        <f t="shared" si="26"/>
        <v>184591</v>
      </c>
      <c r="D18" s="34">
        <f t="shared" si="26"/>
        <v>287658</v>
      </c>
      <c r="E18" s="34">
        <f t="shared" si="26"/>
        <v>352933</v>
      </c>
      <c r="F18" s="34">
        <f t="shared" si="26"/>
        <v>300685</v>
      </c>
      <c r="G18" s="35">
        <f t="shared" si="26"/>
        <v>-90776</v>
      </c>
      <c r="H18" s="35">
        <f t="shared" si="26"/>
        <v>187009</v>
      </c>
      <c r="I18" s="35">
        <f t="shared" si="26"/>
        <v>62661</v>
      </c>
      <c r="J18" s="35">
        <f t="shared" si="26"/>
        <v>296024</v>
      </c>
      <c r="K18" s="34">
        <f t="shared" si="26"/>
        <v>454918</v>
      </c>
      <c r="L18" s="35">
        <f t="shared" si="26"/>
        <v>-131350</v>
      </c>
      <c r="M18" s="35">
        <f t="shared" si="26"/>
        <v>181295</v>
      </c>
      <c r="N18" s="35">
        <f t="shared" si="26"/>
        <v>81342</v>
      </c>
      <c r="O18" s="35">
        <f t="shared" si="26"/>
        <v>146495</v>
      </c>
      <c r="P18" s="34">
        <f t="shared" si="26"/>
        <v>277782</v>
      </c>
      <c r="Q18" s="35">
        <f t="shared" si="26"/>
        <v>-217787</v>
      </c>
      <c r="R18" s="35">
        <f t="shared" si="26"/>
        <v>-41946</v>
      </c>
      <c r="S18" s="35">
        <f t="shared" si="26"/>
        <v>-29461</v>
      </c>
      <c r="T18" s="35">
        <f t="shared" si="26"/>
        <v>298851</v>
      </c>
      <c r="U18" s="34">
        <f t="shared" si="26"/>
        <v>9657</v>
      </c>
      <c r="V18" s="35">
        <f t="shared" si="26"/>
        <v>-560</v>
      </c>
      <c r="W18" s="35">
        <f t="shared" si="26"/>
        <v>216888</v>
      </c>
      <c r="X18" s="35">
        <f t="shared" si="26"/>
        <v>133814</v>
      </c>
      <c r="Y18" s="35">
        <f t="shared" si="26"/>
        <v>303280</v>
      </c>
      <c r="Z18" s="34">
        <f t="shared" si="26"/>
        <v>653422</v>
      </c>
      <c r="AA18" s="35">
        <f t="shared" si="26"/>
        <v>95010</v>
      </c>
      <c r="AB18" s="35">
        <f t="shared" si="26"/>
        <v>165109</v>
      </c>
      <c r="AC18" s="35">
        <f t="shared" si="26"/>
        <v>142637</v>
      </c>
      <c r="AD18" s="35">
        <f t="shared" si="26"/>
        <v>307620</v>
      </c>
      <c r="AE18" s="34">
        <f t="shared" si="26"/>
        <v>710376</v>
      </c>
      <c r="AF18" s="35">
        <f t="shared" si="26"/>
        <v>-4000</v>
      </c>
      <c r="AG18" s="35">
        <f t="shared" si="26"/>
        <v>116893</v>
      </c>
      <c r="AH18" s="36">
        <f t="shared" si="26"/>
        <v>200107</v>
      </c>
      <c r="AI18" s="35">
        <f t="shared" ref="AI18" si="27">SUM(AI6:AI12,AI17)</f>
        <v>306142</v>
      </c>
      <c r="AJ18" s="34">
        <f t="shared" si="26"/>
        <v>619142</v>
      </c>
      <c r="AK18" s="35">
        <f t="shared" si="26"/>
        <v>44256</v>
      </c>
      <c r="AL18" s="35">
        <f t="shared" si="26"/>
        <v>269145</v>
      </c>
      <c r="AM18" s="35">
        <f t="shared" si="26"/>
        <v>233640.133831715</v>
      </c>
      <c r="AN18" s="35">
        <f t="shared" si="26"/>
        <v>267586.963651639</v>
      </c>
      <c r="AO18" s="34">
        <f t="shared" si="26"/>
        <v>814628.097483354</v>
      </c>
      <c r="AP18" s="35">
        <f t="shared" si="26"/>
        <v>206056.449116578</v>
      </c>
      <c r="AQ18" s="35">
        <f t="shared" si="26"/>
        <v>273819.734584944</v>
      </c>
      <c r="AR18" s="35">
        <f t="shared" si="26"/>
        <v>41315.2909532812</v>
      </c>
      <c r="AS18" s="35">
        <f t="shared" si="26"/>
        <v>225768.185265592</v>
      </c>
      <c r="AT18" s="34">
        <f t="shared" si="26"/>
        <v>746959.659920396</v>
      </c>
      <c r="AU18" s="35">
        <f t="shared" ref="AU18:AY18" si="28">SUM(AU6:AU12,AU17)</f>
        <v>178214.036580947</v>
      </c>
      <c r="AV18" s="35">
        <f t="shared" si="28"/>
        <v>229422.245918396</v>
      </c>
      <c r="AW18" s="35">
        <f t="shared" si="28"/>
        <v>193661.997044698</v>
      </c>
      <c r="AX18" s="35">
        <f t="shared" si="28"/>
        <v>150567.744138405</v>
      </c>
      <c r="AY18" s="34">
        <f t="shared" si="28"/>
        <v>751866.023682445</v>
      </c>
    </row>
    <row r="19" spans="1:51">
      <c r="B19" s="27"/>
      <c r="C19" s="27"/>
      <c r="D19" s="27"/>
      <c r="E19" s="27"/>
      <c r="F19" s="27"/>
      <c r="G19" s="28"/>
      <c r="H19" s="28"/>
      <c r="I19" s="28"/>
      <c r="J19" s="28"/>
      <c r="K19" s="27"/>
      <c r="L19" s="28"/>
      <c r="M19" s="28"/>
      <c r="N19" s="28"/>
      <c r="O19" s="28"/>
      <c r="P19" s="27"/>
      <c r="Q19" s="28"/>
      <c r="R19" s="28"/>
      <c r="S19" s="28"/>
      <c r="T19" s="28"/>
      <c r="U19" s="27"/>
      <c r="V19" s="28"/>
      <c r="W19" s="28"/>
      <c r="X19" s="28"/>
      <c r="Y19" s="28"/>
      <c r="Z19" s="27"/>
      <c r="AA19" s="28"/>
      <c r="AB19" s="28"/>
      <c r="AC19" s="28"/>
      <c r="AD19" s="28"/>
      <c r="AE19" s="27"/>
      <c r="AF19" s="28"/>
      <c r="AG19" s="28"/>
      <c r="AH19" s="45"/>
      <c r="AI19" s="28"/>
      <c r="AJ19" s="27"/>
      <c r="AK19" s="28"/>
      <c r="AL19" s="28"/>
      <c r="AM19" s="28"/>
      <c r="AN19" s="28"/>
      <c r="AO19" s="27"/>
      <c r="AP19" s="28"/>
      <c r="AQ19" s="28"/>
      <c r="AR19" s="28"/>
      <c r="AS19" s="28"/>
      <c r="AT19" s="27"/>
      <c r="AU19" s="28"/>
      <c r="AV19" s="28"/>
      <c r="AW19" s="28"/>
      <c r="AX19" s="28"/>
      <c r="AY19" s="27"/>
    </row>
    <row r="20" spans="1:51">
      <c r="A20" s="3" t="s">
        <v>303</v>
      </c>
      <c r="B20" s="30"/>
      <c r="C20" s="30"/>
      <c r="D20" s="30"/>
      <c r="E20" s="30"/>
      <c r="F20" s="30"/>
      <c r="G20" s="31">
        <v>0</v>
      </c>
      <c r="H20" s="31">
        <v>0</v>
      </c>
      <c r="I20" s="31">
        <v>0</v>
      </c>
      <c r="J20" s="28">
        <f t="shared" ref="J20:J23" si="29">K20-SUM(G20:I20)</f>
        <v>0</v>
      </c>
      <c r="K20" s="30">
        <v>0</v>
      </c>
      <c r="L20" s="31">
        <v>0</v>
      </c>
      <c r="M20" s="31">
        <v>0</v>
      </c>
      <c r="N20" s="31">
        <v>0</v>
      </c>
      <c r="O20" s="28">
        <f t="shared" ref="O20:O23" si="30">P20-SUM(L20:N20)</f>
        <v>0</v>
      </c>
      <c r="P20" s="30">
        <v>0</v>
      </c>
      <c r="Q20" s="31">
        <v>0</v>
      </c>
      <c r="R20" s="31">
        <v>0</v>
      </c>
      <c r="S20" s="31">
        <v>0</v>
      </c>
      <c r="T20" s="28">
        <f t="shared" ref="T20:T23" si="31">U20-SUM(Q20:S20)</f>
        <v>0</v>
      </c>
      <c r="U20" s="30">
        <v>0</v>
      </c>
      <c r="V20" s="31">
        <v>0</v>
      </c>
      <c r="W20" s="31">
        <v>0</v>
      </c>
      <c r="X20" s="31">
        <v>0</v>
      </c>
      <c r="Y20" s="28">
        <f t="shared" ref="Y20:Y23" si="32">Z20-SUM(V20:X20)</f>
        <v>0</v>
      </c>
      <c r="Z20" s="30">
        <v>0</v>
      </c>
      <c r="AA20" s="31">
        <v>0</v>
      </c>
      <c r="AB20" s="31">
        <f>-AA20-15000</f>
        <v>-15000</v>
      </c>
      <c r="AC20" s="31">
        <f>-SUM(AA20:AB20)-55000</f>
        <v>-40000</v>
      </c>
      <c r="AD20" s="28">
        <f t="shared" ref="AD20:AD23" si="33">AE20-SUM(AA20:AC20)</f>
        <v>-59800</v>
      </c>
      <c r="AE20" s="30">
        <f>-139600+24800</f>
        <v>-114800</v>
      </c>
      <c r="AF20" s="31">
        <v>20000</v>
      </c>
      <c r="AG20" s="31">
        <f>-AF20+85000</f>
        <v>65000</v>
      </c>
      <c r="AH20" s="33">
        <f>-SUM(AF20:AG20)-15000+105000</f>
        <v>5000</v>
      </c>
      <c r="AI20" s="46">
        <f t="shared" ref="AI20:AI23" si="34">AJ20-SUM(AF20:AH20)</f>
        <v>0</v>
      </c>
      <c r="AJ20" s="30">
        <f>-24800+114800</f>
        <v>90000</v>
      </c>
      <c r="AK20" s="31">
        <f>-9800+9800</f>
        <v>0</v>
      </c>
      <c r="AL20" s="31">
        <f>-AK20-19600+34600</f>
        <v>15000</v>
      </c>
      <c r="AM20" s="28">
        <f>BS!AL7-BS!AM7</f>
        <v>0</v>
      </c>
      <c r="AN20" s="28">
        <f>BS!AM7-BS!AN7</f>
        <v>0</v>
      </c>
      <c r="AO20" s="27">
        <f t="shared" ref="AO20:AO23" si="35">SUM(AK20:AN20)</f>
        <v>15000</v>
      </c>
      <c r="AP20" s="28">
        <f>BS!AO7-BS!AP7</f>
        <v>0</v>
      </c>
      <c r="AQ20" s="28">
        <f>BS!AP7-BS!AQ7</f>
        <v>0</v>
      </c>
      <c r="AR20" s="28">
        <f>BS!AQ7-BS!AR7</f>
        <v>0</v>
      </c>
      <c r="AS20" s="28">
        <f>BS!AR7-BS!AS7</f>
        <v>0</v>
      </c>
      <c r="AT20" s="27">
        <f t="shared" ref="AT20:AT23" si="36">SUM(AP20:AS20)</f>
        <v>0</v>
      </c>
      <c r="AU20" s="28">
        <f>BS!AT7-BS!AU7</f>
        <v>0</v>
      </c>
      <c r="AV20" s="28">
        <f>BS!AU7-BS!AV7</f>
        <v>0</v>
      </c>
      <c r="AW20" s="28">
        <f>BS!AV7-BS!AW7</f>
        <v>0</v>
      </c>
      <c r="AX20" s="28">
        <f>BS!AW7-BS!AX7</f>
        <v>0</v>
      </c>
      <c r="AY20" s="27">
        <f t="shared" ref="AY20" si="37">SUM(AU20:AX20)</f>
        <v>0</v>
      </c>
    </row>
    <row r="21" spans="1:51">
      <c r="A21" s="3" t="s">
        <v>304</v>
      </c>
      <c r="B21" s="30">
        <v>11109</v>
      </c>
      <c r="C21" s="30">
        <v>4098</v>
      </c>
      <c r="D21" s="30">
        <v>203</v>
      </c>
      <c r="E21" s="30"/>
      <c r="F21" s="30"/>
      <c r="G21" s="31"/>
      <c r="H21" s="31"/>
      <c r="I21" s="31"/>
      <c r="J21" s="28"/>
      <c r="K21" s="30"/>
      <c r="L21" s="31"/>
      <c r="M21" s="31"/>
      <c r="N21" s="31"/>
      <c r="O21" s="28"/>
      <c r="P21" s="30"/>
      <c r="Q21" s="31">
        <v>7751</v>
      </c>
      <c r="R21" s="31">
        <f>-Q21+7972</f>
        <v>221</v>
      </c>
      <c r="S21" s="31">
        <f>-SUM(Q21:R21)+11891</f>
        <v>3919</v>
      </c>
      <c r="T21" s="28">
        <f t="shared" ref="T21" si="38">U21-SUM(Q21:S21)</f>
        <v>0</v>
      </c>
      <c r="U21" s="30">
        <v>11891</v>
      </c>
      <c r="V21" s="31">
        <v>0</v>
      </c>
      <c r="W21" s="31">
        <v>0</v>
      </c>
      <c r="X21" s="31">
        <v>615</v>
      </c>
      <c r="Y21" s="28">
        <f t="shared" si="32"/>
        <v>0</v>
      </c>
      <c r="Z21" s="30">
        <v>615</v>
      </c>
      <c r="AA21" s="31"/>
      <c r="AB21" s="31"/>
      <c r="AC21" s="31"/>
      <c r="AD21" s="28"/>
      <c r="AE21" s="30"/>
      <c r="AF21" s="31"/>
      <c r="AG21" s="31"/>
      <c r="AH21" s="33"/>
      <c r="AI21" s="46"/>
      <c r="AJ21" s="30"/>
      <c r="AK21" s="31"/>
      <c r="AL21" s="31"/>
      <c r="AM21" s="28"/>
      <c r="AN21" s="28"/>
      <c r="AO21" s="27"/>
      <c r="AP21" s="28"/>
      <c r="AQ21" s="28"/>
      <c r="AR21" s="28"/>
      <c r="AS21" s="28"/>
      <c r="AT21" s="27"/>
      <c r="AU21" s="28"/>
      <c r="AV21" s="28"/>
      <c r="AW21" s="28"/>
      <c r="AX21" s="28"/>
      <c r="AY21" s="27"/>
    </row>
    <row r="22" spans="1:51">
      <c r="A22" s="3" t="s">
        <v>305</v>
      </c>
      <c r="B22" s="30">
        <v>9523</v>
      </c>
      <c r="C22" s="30"/>
      <c r="D22" s="30"/>
      <c r="E22" s="30"/>
      <c r="F22" s="30"/>
      <c r="G22" s="31"/>
      <c r="H22" s="31"/>
      <c r="I22" s="31"/>
      <c r="J22" s="28"/>
      <c r="K22" s="30"/>
      <c r="L22" s="31"/>
      <c r="M22" s="31"/>
      <c r="N22" s="31"/>
      <c r="O22" s="28"/>
      <c r="P22" s="30"/>
      <c r="Q22" s="31"/>
      <c r="R22" s="31"/>
      <c r="S22" s="31"/>
      <c r="T22" s="28"/>
      <c r="U22" s="30"/>
      <c r="V22" s="31"/>
      <c r="W22" s="31"/>
      <c r="X22" s="31"/>
      <c r="Y22" s="28"/>
      <c r="Z22" s="30"/>
      <c r="AA22" s="31"/>
      <c r="AB22" s="31"/>
      <c r="AC22" s="31"/>
      <c r="AD22" s="28"/>
      <c r="AE22" s="30"/>
      <c r="AF22" s="31"/>
      <c r="AG22" s="31"/>
      <c r="AH22" s="33"/>
      <c r="AI22" s="46"/>
      <c r="AJ22" s="30"/>
      <c r="AK22" s="31"/>
      <c r="AL22" s="31"/>
      <c r="AM22" s="28"/>
      <c r="AN22" s="28"/>
      <c r="AO22" s="27"/>
      <c r="AP22" s="28"/>
      <c r="AQ22" s="28"/>
      <c r="AR22" s="28"/>
      <c r="AS22" s="28"/>
      <c r="AT22" s="27"/>
      <c r="AU22" s="28"/>
      <c r="AV22" s="28"/>
      <c r="AW22" s="28"/>
      <c r="AX22" s="28"/>
      <c r="AY22" s="27"/>
    </row>
    <row r="23" spans="1:51">
      <c r="A23" s="38" t="s">
        <v>306</v>
      </c>
      <c r="B23" s="39">
        <v>-143199</v>
      </c>
      <c r="C23" s="39">
        <v>-140844</v>
      </c>
      <c r="D23" s="39">
        <v>-107001</v>
      </c>
      <c r="E23" s="39">
        <v>-152393</v>
      </c>
      <c r="F23" s="39">
        <v>-202784</v>
      </c>
      <c r="G23" s="40">
        <v>-46990</v>
      </c>
      <c r="H23" s="40">
        <f>-G23-75621</f>
        <v>-28631</v>
      </c>
      <c r="I23" s="40">
        <f>-SUM(G23:H23)-91748</f>
        <v>-16127</v>
      </c>
      <c r="J23" s="41">
        <f t="shared" si="29"/>
        <v>-10162</v>
      </c>
      <c r="K23" s="39">
        <v>-101910</v>
      </c>
      <c r="L23" s="40">
        <v>-14404</v>
      </c>
      <c r="M23" s="40">
        <f>-L23-35269</f>
        <v>-20865</v>
      </c>
      <c r="N23" s="40">
        <f>-SUM(L23:M23)-62223</f>
        <v>-26954</v>
      </c>
      <c r="O23" s="41">
        <f t="shared" si="30"/>
        <v>-34756</v>
      </c>
      <c r="P23" s="39">
        <v>-96979</v>
      </c>
      <c r="Q23" s="40">
        <v>-26292</v>
      </c>
      <c r="R23" s="40">
        <f>-Q23-59582</f>
        <v>-33290</v>
      </c>
      <c r="S23" s="40">
        <f>-SUM(Q23:R23)-120282</f>
        <v>-60700</v>
      </c>
      <c r="T23" s="41">
        <f t="shared" si="31"/>
        <v>-44284</v>
      </c>
      <c r="U23" s="39">
        <v>-164566</v>
      </c>
      <c r="V23" s="40">
        <v>-46391</v>
      </c>
      <c r="W23" s="40">
        <f>-V23-89780</f>
        <v>-43389</v>
      </c>
      <c r="X23" s="40">
        <f>-SUM(V23:W23)-128601</f>
        <v>-38821</v>
      </c>
      <c r="Y23" s="41">
        <f t="shared" si="32"/>
        <v>-29196</v>
      </c>
      <c r="Z23" s="39">
        <v>-157797</v>
      </c>
      <c r="AA23" s="40">
        <v>-38886</v>
      </c>
      <c r="AB23" s="40">
        <f>-AA23-81649</f>
        <v>-42763</v>
      </c>
      <c r="AC23" s="40">
        <f>-SUM(AA23:AB23)-132040</f>
        <v>-50391</v>
      </c>
      <c r="AD23" s="41">
        <f t="shared" si="33"/>
        <v>-50863</v>
      </c>
      <c r="AE23" s="39">
        <v>-182903</v>
      </c>
      <c r="AF23" s="40">
        <v>-50764</v>
      </c>
      <c r="AG23" s="40">
        <f>-AF23-116943</f>
        <v>-66179</v>
      </c>
      <c r="AH23" s="47">
        <f>-SUM(AF23:AG23)-185212</f>
        <v>-68269</v>
      </c>
      <c r="AI23" s="48">
        <f t="shared" si="34"/>
        <v>-55562</v>
      </c>
      <c r="AJ23" s="39">
        <v>-240774</v>
      </c>
      <c r="AK23" s="40">
        <v>-61341</v>
      </c>
      <c r="AL23" s="40">
        <f>-AK23-129357</f>
        <v>-68016</v>
      </c>
      <c r="AM23" s="41">
        <f t="shared" ref="AM23:AN23" si="39">-AM53*AM48</f>
        <v>-65006.99472</v>
      </c>
      <c r="AN23" s="41">
        <f t="shared" si="39"/>
        <v>-55341.357</v>
      </c>
      <c r="AO23" s="44">
        <f t="shared" si="35"/>
        <v>-249705.35172</v>
      </c>
      <c r="AP23" s="41">
        <f t="shared" ref="AP23:AS23" si="40">-AP53*AP48</f>
        <v>-55843.3573</v>
      </c>
      <c r="AQ23" s="41">
        <f t="shared" si="40"/>
        <v>-56350.0329</v>
      </c>
      <c r="AR23" s="41">
        <f t="shared" si="40"/>
        <v>-56826.787428</v>
      </c>
      <c r="AS23" s="41">
        <f t="shared" si="40"/>
        <v>-57449.089584</v>
      </c>
      <c r="AT23" s="44">
        <f t="shared" si="36"/>
        <v>-226469.267212</v>
      </c>
      <c r="AU23" s="41">
        <f t="shared" ref="AU23:AX23" si="41">-AU53*AU48</f>
        <v>-57768.6481455</v>
      </c>
      <c r="AV23" s="41">
        <f t="shared" si="41"/>
        <v>-58132.8210975</v>
      </c>
      <c r="AW23" s="41">
        <f t="shared" si="41"/>
        <v>-58558.59546158</v>
      </c>
      <c r="AX23" s="41">
        <f t="shared" si="41"/>
        <v>-59115.96934348</v>
      </c>
      <c r="AY23" s="44">
        <f t="shared" ref="AY23" si="42">SUM(AU23:AX23)</f>
        <v>-233576.03404806</v>
      </c>
    </row>
    <row r="24" spans="1:51">
      <c r="A24" s="2" t="s">
        <v>307</v>
      </c>
      <c r="B24" s="34">
        <f t="shared" ref="B24:H24" si="43">SUM(B20:B23)</f>
        <v>-122567</v>
      </c>
      <c r="C24" s="34">
        <f t="shared" si="43"/>
        <v>-136746</v>
      </c>
      <c r="D24" s="34">
        <f t="shared" si="43"/>
        <v>-106798</v>
      </c>
      <c r="E24" s="34">
        <f t="shared" si="43"/>
        <v>-152393</v>
      </c>
      <c r="F24" s="34">
        <f t="shared" si="43"/>
        <v>-202784</v>
      </c>
      <c r="G24" s="35">
        <f t="shared" si="43"/>
        <v>-46990</v>
      </c>
      <c r="H24" s="35">
        <f t="shared" si="43"/>
        <v>-28631</v>
      </c>
      <c r="I24" s="35">
        <f t="shared" ref="I24:K24" si="44">SUM(I20:I23)</f>
        <v>-16127</v>
      </c>
      <c r="J24" s="35">
        <f t="shared" si="44"/>
        <v>-10162</v>
      </c>
      <c r="K24" s="34">
        <f t="shared" si="44"/>
        <v>-101910</v>
      </c>
      <c r="L24" s="35">
        <f t="shared" ref="L24:AB24" si="45">SUM(L20:L23)</f>
        <v>-14404</v>
      </c>
      <c r="M24" s="35">
        <f t="shared" si="45"/>
        <v>-20865</v>
      </c>
      <c r="N24" s="35">
        <f t="shared" si="45"/>
        <v>-26954</v>
      </c>
      <c r="O24" s="35">
        <f t="shared" si="45"/>
        <v>-34756</v>
      </c>
      <c r="P24" s="34">
        <f t="shared" si="45"/>
        <v>-96979</v>
      </c>
      <c r="Q24" s="35">
        <f t="shared" si="45"/>
        <v>-18541</v>
      </c>
      <c r="R24" s="35">
        <f t="shared" si="45"/>
        <v>-33069</v>
      </c>
      <c r="S24" s="35">
        <f t="shared" si="45"/>
        <v>-56781</v>
      </c>
      <c r="T24" s="35">
        <f t="shared" si="45"/>
        <v>-44284</v>
      </c>
      <c r="U24" s="34">
        <f t="shared" si="45"/>
        <v>-152675</v>
      </c>
      <c r="V24" s="35">
        <f t="shared" si="45"/>
        <v>-46391</v>
      </c>
      <c r="W24" s="35">
        <f t="shared" si="45"/>
        <v>-43389</v>
      </c>
      <c r="X24" s="35">
        <f t="shared" si="45"/>
        <v>-38206</v>
      </c>
      <c r="Y24" s="35">
        <f t="shared" si="45"/>
        <v>-29196</v>
      </c>
      <c r="Z24" s="34">
        <f t="shared" si="45"/>
        <v>-157182</v>
      </c>
      <c r="AA24" s="35">
        <f t="shared" si="45"/>
        <v>-38886</v>
      </c>
      <c r="AB24" s="35">
        <f t="shared" si="45"/>
        <v>-57763</v>
      </c>
      <c r="AC24" s="35">
        <f t="shared" ref="AC24:AF24" si="46">SUM(AC20:AC23)</f>
        <v>-90391</v>
      </c>
      <c r="AD24" s="35">
        <f t="shared" si="46"/>
        <v>-110663</v>
      </c>
      <c r="AE24" s="34">
        <f t="shared" si="46"/>
        <v>-297703</v>
      </c>
      <c r="AF24" s="35">
        <f t="shared" si="46"/>
        <v>-30764</v>
      </c>
      <c r="AG24" s="35">
        <f t="shared" ref="AG24" si="47">SUM(AG20:AG23)</f>
        <v>-1179</v>
      </c>
      <c r="AH24" s="36">
        <f t="shared" ref="AH24:AJ24" si="48">SUM(AH20:AH23)</f>
        <v>-63269</v>
      </c>
      <c r="AI24" s="36">
        <f t="shared" si="48"/>
        <v>-55562</v>
      </c>
      <c r="AJ24" s="34">
        <f t="shared" si="48"/>
        <v>-150774</v>
      </c>
      <c r="AK24" s="35">
        <f t="shared" ref="AK24:AO24" si="49">SUM(AK20:AK23)</f>
        <v>-61341</v>
      </c>
      <c r="AL24" s="35">
        <f t="shared" si="49"/>
        <v>-53016</v>
      </c>
      <c r="AM24" s="35">
        <f t="shared" si="49"/>
        <v>-65006.99472</v>
      </c>
      <c r="AN24" s="35">
        <f t="shared" si="49"/>
        <v>-55341.357</v>
      </c>
      <c r="AO24" s="34">
        <f t="shared" si="49"/>
        <v>-234705.35172</v>
      </c>
      <c r="AP24" s="35">
        <f t="shared" ref="AP24" si="50">SUM(AP20:AP23)</f>
        <v>-55843.3573</v>
      </c>
      <c r="AQ24" s="35">
        <f t="shared" ref="AQ24" si="51">SUM(AQ20:AQ23)</f>
        <v>-56350.0329</v>
      </c>
      <c r="AR24" s="35">
        <f t="shared" ref="AR24" si="52">SUM(AR20:AR23)</f>
        <v>-56826.787428</v>
      </c>
      <c r="AS24" s="35">
        <f t="shared" ref="AS24:AT24" si="53">SUM(AS20:AS23)</f>
        <v>-57449.089584</v>
      </c>
      <c r="AT24" s="34">
        <f t="shared" si="53"/>
        <v>-226469.267212</v>
      </c>
      <c r="AU24" s="35">
        <f t="shared" ref="AU24:AY24" si="54">SUM(AU20:AU23)</f>
        <v>-57768.6481455</v>
      </c>
      <c r="AV24" s="35">
        <f t="shared" si="54"/>
        <v>-58132.8210975</v>
      </c>
      <c r="AW24" s="35">
        <f t="shared" si="54"/>
        <v>-58558.59546158</v>
      </c>
      <c r="AX24" s="35">
        <f t="shared" si="54"/>
        <v>-59115.96934348</v>
      </c>
      <c r="AY24" s="34">
        <f t="shared" si="54"/>
        <v>-233576.03404806</v>
      </c>
    </row>
    <row r="25" spans="1:51">
      <c r="B25" s="27"/>
      <c r="C25" s="27"/>
      <c r="D25" s="27"/>
      <c r="E25" s="27"/>
      <c r="F25" s="27"/>
      <c r="G25" s="28"/>
      <c r="H25" s="28"/>
      <c r="I25" s="28"/>
      <c r="J25" s="28"/>
      <c r="K25" s="27"/>
      <c r="L25" s="28"/>
      <c r="M25" s="28"/>
      <c r="N25" s="28"/>
      <c r="O25" s="28"/>
      <c r="P25" s="27"/>
      <c r="Q25" s="28"/>
      <c r="R25" s="28"/>
      <c r="S25" s="28"/>
      <c r="T25" s="28"/>
      <c r="U25" s="27"/>
      <c r="V25" s="28"/>
      <c r="W25" s="28"/>
      <c r="X25" s="28"/>
      <c r="Y25" s="28"/>
      <c r="Z25" s="27"/>
      <c r="AA25" s="28"/>
      <c r="AB25" s="28"/>
      <c r="AC25" s="28"/>
      <c r="AD25" s="28"/>
      <c r="AE25" s="27"/>
      <c r="AF25" s="28"/>
      <c r="AG25" s="28"/>
      <c r="AH25" s="49"/>
      <c r="AI25" s="49"/>
      <c r="AJ25" s="27"/>
      <c r="AK25" s="28"/>
      <c r="AL25" s="28"/>
      <c r="AM25" s="28"/>
      <c r="AN25" s="28"/>
      <c r="AO25" s="27"/>
      <c r="AP25" s="28"/>
      <c r="AQ25" s="28"/>
      <c r="AR25" s="28"/>
      <c r="AS25" s="28"/>
      <c r="AT25" s="27"/>
      <c r="AU25" s="28"/>
      <c r="AV25" s="28"/>
      <c r="AW25" s="28"/>
      <c r="AX25" s="28"/>
      <c r="AY25" s="27"/>
    </row>
    <row r="26" spans="1:51">
      <c r="A26" s="3" t="s">
        <v>308</v>
      </c>
      <c r="B26" s="30">
        <v>-6000</v>
      </c>
      <c r="C26" s="30">
        <v>-25000</v>
      </c>
      <c r="D26" s="30">
        <v>-15000</v>
      </c>
      <c r="E26" s="30"/>
      <c r="F26" s="30">
        <v>-20000</v>
      </c>
      <c r="G26" s="31">
        <v>210000</v>
      </c>
      <c r="H26" s="31">
        <f>-G26+350000+210000-233250-210000-6558</f>
        <v>-99808</v>
      </c>
      <c r="I26" s="31">
        <f>-SUM(G26:H26)+350000+210000-233250-210000-7151</f>
        <v>-593</v>
      </c>
      <c r="J26" s="28">
        <f t="shared" ref="J26:J31" si="55">K26-SUM(G26:I26)</f>
        <v>-167</v>
      </c>
      <c r="K26" s="30">
        <f>350000+210000-233250-210000-7318</f>
        <v>109432</v>
      </c>
      <c r="L26" s="31">
        <v>-1490</v>
      </c>
      <c r="M26" s="31">
        <f>-L26-46969-1837</f>
        <v>-47316</v>
      </c>
      <c r="N26" s="31">
        <f>-SUM(L26:M26)-46969-2016</f>
        <v>-179</v>
      </c>
      <c r="O26" s="28">
        <f t="shared" ref="O26:O31" si="56">P26-SUM(L26:N26)</f>
        <v>0</v>
      </c>
      <c r="P26" s="30">
        <f>-46969-2016</f>
        <v>-48985</v>
      </c>
      <c r="Q26" s="31">
        <v>0</v>
      </c>
      <c r="R26" s="31">
        <v>0</v>
      </c>
      <c r="S26" s="31">
        <f>-SUM(Q26:R26)-7862-181</f>
        <v>-8043</v>
      </c>
      <c r="T26" s="28">
        <f t="shared" ref="T26:T31" si="57">U26-SUM(Q26:S26)</f>
        <v>0</v>
      </c>
      <c r="U26" s="30">
        <f>-7862-181</f>
        <v>-8043</v>
      </c>
      <c r="V26" s="31">
        <v>0</v>
      </c>
      <c r="W26" s="31">
        <v>-17</v>
      </c>
      <c r="X26" s="31">
        <f>-SUM(V26:W26)-50933-180</f>
        <v>-51096</v>
      </c>
      <c r="Y26" s="28">
        <f t="shared" ref="Y26:Y31" si="58">Z26-SUM(V26:X26)</f>
        <v>-27039</v>
      </c>
      <c r="Z26" s="30">
        <f>-77972-180</f>
        <v>-78152</v>
      </c>
      <c r="AA26" s="31">
        <v>-9425</v>
      </c>
      <c r="AB26" s="31">
        <f>-AA26-223331-2716</f>
        <v>-216622</v>
      </c>
      <c r="AC26" s="31">
        <f>-SUM(AA26:AB26)-223331-3273</f>
        <v>-557</v>
      </c>
      <c r="AD26" s="28">
        <f t="shared" ref="AD26:AD31" si="59">AE26-SUM(AA26:AC26)</f>
        <v>-18</v>
      </c>
      <c r="AE26" s="30">
        <f>-223331-3291</f>
        <v>-226622</v>
      </c>
      <c r="AF26" s="31">
        <v>0</v>
      </c>
      <c r="AG26" s="31">
        <f>-AF26</f>
        <v>0</v>
      </c>
      <c r="AH26" s="33">
        <f>BS!AH25-BS!AG25</f>
        <v>0</v>
      </c>
      <c r="AI26" s="46">
        <f t="shared" ref="AI26:AI31" si="60">AJ26-SUM(AF26:AH26)</f>
        <v>0</v>
      </c>
      <c r="AJ26" s="30">
        <v>0</v>
      </c>
      <c r="AK26" s="31">
        <f>BS!AK25-BS!AJ25</f>
        <v>0</v>
      </c>
      <c r="AL26" s="31">
        <f>BS!AL25-BS!AK25</f>
        <v>0</v>
      </c>
      <c r="AM26" s="28">
        <f>BS!AM25-BS!AL25</f>
        <v>0</v>
      </c>
      <c r="AN26" s="28">
        <f>BS!AN25-BS!AM25</f>
        <v>0</v>
      </c>
      <c r="AO26" s="27">
        <f t="shared" ref="AO26:AO28" si="61">SUM(AK26:AN26)</f>
        <v>0</v>
      </c>
      <c r="AP26" s="28">
        <f>BS!AP25-BS!AO25</f>
        <v>0</v>
      </c>
      <c r="AQ26" s="28">
        <f>BS!AQ25-BS!AP25</f>
        <v>0</v>
      </c>
      <c r="AR26" s="28">
        <f>BS!AR25-BS!AQ25</f>
        <v>0</v>
      </c>
      <c r="AS26" s="28">
        <f>BS!AS25-BS!AR25</f>
        <v>0</v>
      </c>
      <c r="AT26" s="27">
        <f t="shared" ref="AT26:AT28" si="62">SUM(AP26:AS26)</f>
        <v>0</v>
      </c>
      <c r="AU26" s="28">
        <f>BS!AU25-BS!AT25</f>
        <v>0</v>
      </c>
      <c r="AV26" s="28">
        <f>BS!AV25-BS!AU25</f>
        <v>0</v>
      </c>
      <c r="AW26" s="28">
        <f>BS!AW25-BS!AV25</f>
        <v>0</v>
      </c>
      <c r="AX26" s="28">
        <f>BS!AX25-BS!AW25</f>
        <v>0</v>
      </c>
      <c r="AY26" s="27">
        <f t="shared" ref="AY26:AY28" si="63">SUM(AU26:AX26)</f>
        <v>0</v>
      </c>
    </row>
    <row r="27" spans="1:51">
      <c r="A27" s="3" t="s">
        <v>309</v>
      </c>
      <c r="B27" s="30">
        <v>-50033</v>
      </c>
      <c r="C27" s="30"/>
      <c r="D27" s="30"/>
      <c r="E27" s="30">
        <v>-68670</v>
      </c>
      <c r="F27" s="30">
        <v>-63542</v>
      </c>
      <c r="G27" s="31">
        <v>-15172</v>
      </c>
      <c r="H27" s="31">
        <f>-G27-15172</f>
        <v>0</v>
      </c>
      <c r="I27" s="31">
        <f>-SUM(G27:H27)-15172</f>
        <v>0</v>
      </c>
      <c r="J27" s="28">
        <f t="shared" si="55"/>
        <v>0</v>
      </c>
      <c r="K27" s="30">
        <v>-15172</v>
      </c>
      <c r="L27" s="31">
        <v>-35249</v>
      </c>
      <c r="M27" s="31">
        <f>-L27-135249</f>
        <v>-100000</v>
      </c>
      <c r="N27" s="31">
        <f>-SUM(L27:M27)-235249</f>
        <v>-100000</v>
      </c>
      <c r="O27" s="28">
        <f t="shared" si="56"/>
        <v>-142041</v>
      </c>
      <c r="P27" s="30">
        <f>-377290</f>
        <v>-377290</v>
      </c>
      <c r="Q27" s="31">
        <v>-100000</v>
      </c>
      <c r="R27" s="31">
        <f>-Q27-117775</f>
        <v>-17775</v>
      </c>
      <c r="S27" s="31">
        <f>-SUM(Q27:R27)-125775</f>
        <v>-8000</v>
      </c>
      <c r="T27" s="28">
        <f t="shared" si="57"/>
        <v>0</v>
      </c>
      <c r="U27" s="30">
        <v>-125775</v>
      </c>
      <c r="V27" s="31">
        <v>0</v>
      </c>
      <c r="W27" s="31">
        <v>0</v>
      </c>
      <c r="X27" s="31">
        <v>0</v>
      </c>
      <c r="Y27" s="28">
        <f t="shared" si="58"/>
        <v>0</v>
      </c>
      <c r="Z27" s="30">
        <v>0</v>
      </c>
      <c r="AA27" s="31">
        <v>-15000</v>
      </c>
      <c r="AB27" s="31">
        <f>-AA27-30000</f>
        <v>-15000</v>
      </c>
      <c r="AC27" s="31">
        <f>-SUM(AA27:AB27)-129807</f>
        <v>-99807</v>
      </c>
      <c r="AD27" s="28">
        <f t="shared" si="59"/>
        <v>-100000</v>
      </c>
      <c r="AE27" s="30">
        <v>-229807</v>
      </c>
      <c r="AF27" s="31">
        <v>-200000</v>
      </c>
      <c r="AG27" s="31">
        <f>-AF27-251223</f>
        <v>-51223</v>
      </c>
      <c r="AH27" s="33">
        <f>-SUM(AF27:AG27)-351224</f>
        <v>-100001</v>
      </c>
      <c r="AI27" s="46">
        <f t="shared" si="60"/>
        <v>-100000</v>
      </c>
      <c r="AJ27" s="30">
        <v>-451224</v>
      </c>
      <c r="AK27" s="31">
        <v>-105018</v>
      </c>
      <c r="AL27" s="31">
        <f>-AK27-286446</f>
        <v>-181428</v>
      </c>
      <c r="AM27" s="32">
        <v>-110000</v>
      </c>
      <c r="AN27" s="32">
        <v>-110000</v>
      </c>
      <c r="AO27" s="50">
        <f t="shared" si="61"/>
        <v>-506446</v>
      </c>
      <c r="AP27" s="32">
        <v>-80000</v>
      </c>
      <c r="AQ27" s="32">
        <v>-80000</v>
      </c>
      <c r="AR27" s="32">
        <v>-80000</v>
      </c>
      <c r="AS27" s="32">
        <v>-80000</v>
      </c>
      <c r="AT27" s="50">
        <f t="shared" si="62"/>
        <v>-320000</v>
      </c>
      <c r="AU27" s="32">
        <v>-75000</v>
      </c>
      <c r="AV27" s="32">
        <v>-75000</v>
      </c>
      <c r="AW27" s="32">
        <v>-75000</v>
      </c>
      <c r="AX27" s="32">
        <v>-75000</v>
      </c>
      <c r="AY27" s="50">
        <f t="shared" si="63"/>
        <v>-300000</v>
      </c>
    </row>
    <row r="28" spans="1:51">
      <c r="A28" s="29" t="s">
        <v>310</v>
      </c>
      <c r="B28" s="30"/>
      <c r="C28" s="30"/>
      <c r="D28" s="30"/>
      <c r="E28" s="30"/>
      <c r="F28" s="30"/>
      <c r="G28" s="31">
        <v>0</v>
      </c>
      <c r="H28" s="31">
        <v>0</v>
      </c>
      <c r="I28" s="31">
        <v>0</v>
      </c>
      <c r="J28" s="28">
        <f t="shared" si="55"/>
        <v>0</v>
      </c>
      <c r="K28" s="30">
        <v>0</v>
      </c>
      <c r="L28" s="31">
        <v>0</v>
      </c>
      <c r="M28" s="31">
        <v>0</v>
      </c>
      <c r="N28" s="31">
        <v>0</v>
      </c>
      <c r="O28" s="28">
        <f t="shared" si="56"/>
        <v>0</v>
      </c>
      <c r="P28" s="30">
        <v>0</v>
      </c>
      <c r="Q28" s="31">
        <v>0</v>
      </c>
      <c r="R28" s="31">
        <v>0</v>
      </c>
      <c r="S28" s="31">
        <v>0</v>
      </c>
      <c r="T28" s="28">
        <f t="shared" si="57"/>
        <v>0</v>
      </c>
      <c r="U28" s="30">
        <v>0</v>
      </c>
      <c r="V28" s="31">
        <v>0</v>
      </c>
      <c r="W28" s="31">
        <v>0</v>
      </c>
      <c r="X28" s="31">
        <v>0</v>
      </c>
      <c r="Y28" s="28">
        <f t="shared" si="58"/>
        <v>0</v>
      </c>
      <c r="Z28" s="30">
        <v>0</v>
      </c>
      <c r="AA28" s="31">
        <v>-65173</v>
      </c>
      <c r="AB28" s="31">
        <f>-AA28-67225</f>
        <v>-2052</v>
      </c>
      <c r="AC28" s="31">
        <f>-SUM(AA28:AB28)-69613</f>
        <v>-2388</v>
      </c>
      <c r="AD28" s="28">
        <f t="shared" si="59"/>
        <v>-595</v>
      </c>
      <c r="AE28" s="30">
        <v>-70208</v>
      </c>
      <c r="AF28" s="31">
        <v>-34062</v>
      </c>
      <c r="AG28" s="31">
        <f>-AF28-34830</f>
        <v>-768</v>
      </c>
      <c r="AH28" s="33">
        <f>-SUM(AF28:AG28)-36181</f>
        <v>-1351</v>
      </c>
      <c r="AI28" s="46">
        <f t="shared" si="60"/>
        <v>-504</v>
      </c>
      <c r="AJ28" s="30">
        <v>-36685</v>
      </c>
      <c r="AK28" s="31">
        <v>-38433</v>
      </c>
      <c r="AL28" s="31">
        <f>-AK28-38573</f>
        <v>-140</v>
      </c>
      <c r="AM28" s="32">
        <v>-10000</v>
      </c>
      <c r="AN28" s="32">
        <v>-10000</v>
      </c>
      <c r="AO28" s="50">
        <f t="shared" si="61"/>
        <v>-58573</v>
      </c>
      <c r="AP28" s="32">
        <v>-10000</v>
      </c>
      <c r="AQ28" s="32">
        <v>-10000</v>
      </c>
      <c r="AR28" s="32">
        <v>-10000</v>
      </c>
      <c r="AS28" s="32">
        <v>-10000</v>
      </c>
      <c r="AT28" s="50">
        <f t="shared" si="62"/>
        <v>-40000</v>
      </c>
      <c r="AU28" s="32">
        <v>-10000</v>
      </c>
      <c r="AV28" s="32">
        <v>-10000</v>
      </c>
      <c r="AW28" s="32">
        <v>-10000</v>
      </c>
      <c r="AX28" s="32">
        <v>-10000</v>
      </c>
      <c r="AY28" s="50">
        <f t="shared" si="63"/>
        <v>-40000</v>
      </c>
    </row>
    <row r="29" spans="1:51">
      <c r="A29" s="38" t="s">
        <v>311</v>
      </c>
      <c r="B29" s="39">
        <f>-55145+4303</f>
        <v>-50842</v>
      </c>
      <c r="C29" s="39">
        <f>-54066-4727</f>
        <v>-58793</v>
      </c>
      <c r="D29" s="39">
        <f>-54392-5421</f>
        <v>-59813</v>
      </c>
      <c r="E29" s="39">
        <f>-53714-9307</f>
        <v>-63021</v>
      </c>
      <c r="F29" s="39">
        <f>-51510-12821</f>
        <v>-64331</v>
      </c>
      <c r="G29" s="40">
        <f>-12556-10604</f>
        <v>-23160</v>
      </c>
      <c r="H29" s="40">
        <f>-G29-12556-11135</f>
        <v>-531</v>
      </c>
      <c r="I29" s="40">
        <f>-SUM(G29:H29)-12556-11742</f>
        <v>-607</v>
      </c>
      <c r="J29" s="41">
        <f t="shared" si="55"/>
        <v>-245</v>
      </c>
      <c r="K29" s="39">
        <f>-12556+-11987</f>
        <v>-24543</v>
      </c>
      <c r="L29" s="40">
        <v>-16452</v>
      </c>
      <c r="M29" s="40">
        <f>-L29-16192</f>
        <v>260</v>
      </c>
      <c r="N29" s="40">
        <f>-SUM(L29:M29)-20124</f>
        <v>-3932</v>
      </c>
      <c r="O29" s="41">
        <f t="shared" si="56"/>
        <v>-499</v>
      </c>
      <c r="P29" s="39">
        <v>-20623</v>
      </c>
      <c r="Q29" s="40">
        <v>-16945</v>
      </c>
      <c r="R29" s="40">
        <f>-Q29-17649</f>
        <v>-704</v>
      </c>
      <c r="S29" s="40">
        <f>-SUM(Q29:R29)-21088</f>
        <v>-3439</v>
      </c>
      <c r="T29" s="41">
        <f t="shared" si="57"/>
        <v>-423</v>
      </c>
      <c r="U29" s="39">
        <v>-21511</v>
      </c>
      <c r="V29" s="40">
        <v>-21956</v>
      </c>
      <c r="W29" s="40">
        <f>-V29-23325</f>
        <v>-1369</v>
      </c>
      <c r="X29" s="40">
        <f>-SUM(V29:W29)-35993</f>
        <v>-12668</v>
      </c>
      <c r="Y29" s="41">
        <f t="shared" si="58"/>
        <v>2944</v>
      </c>
      <c r="Z29" s="39">
        <v>-33049</v>
      </c>
      <c r="AA29" s="40">
        <v>-3353</v>
      </c>
      <c r="AB29" s="40">
        <f>-AA29-3689</f>
        <v>-336</v>
      </c>
      <c r="AC29" s="40">
        <f>-SUM(AA29:AB29)-6546</f>
        <v>-2857</v>
      </c>
      <c r="AD29" s="41">
        <f t="shared" si="59"/>
        <v>-1694</v>
      </c>
      <c r="AE29" s="39">
        <v>-8240</v>
      </c>
      <c r="AF29" s="40">
        <v>-451</v>
      </c>
      <c r="AG29" s="40">
        <f>-AF29-4660</f>
        <v>-4209</v>
      </c>
      <c r="AH29" s="47">
        <f>-SUM(AF29:AG29)-7149</f>
        <v>-2489</v>
      </c>
      <c r="AI29" s="48">
        <f t="shared" si="60"/>
        <v>-329</v>
      </c>
      <c r="AJ29" s="39">
        <v>-7478</v>
      </c>
      <c r="AK29" s="40">
        <v>-4177</v>
      </c>
      <c r="AL29" s="40">
        <f>-AK29-4797</f>
        <v>-620</v>
      </c>
      <c r="AM29" s="43">
        <v>0</v>
      </c>
      <c r="AN29" s="43">
        <v>0</v>
      </c>
      <c r="AO29" s="44">
        <f t="shared" ref="AO29" si="64">SUM(AK29:AN29)</f>
        <v>-4797</v>
      </c>
      <c r="AP29" s="43">
        <v>0</v>
      </c>
      <c r="AQ29" s="43">
        <v>0</v>
      </c>
      <c r="AR29" s="43">
        <v>0</v>
      </c>
      <c r="AS29" s="43">
        <v>0</v>
      </c>
      <c r="AT29" s="44">
        <f t="shared" ref="AT29" si="65">SUM(AP29:AS29)</f>
        <v>0</v>
      </c>
      <c r="AU29" s="43">
        <v>0</v>
      </c>
      <c r="AV29" s="43">
        <v>0</v>
      </c>
      <c r="AW29" s="43">
        <v>0</v>
      </c>
      <c r="AX29" s="43">
        <v>0</v>
      </c>
      <c r="AY29" s="44">
        <f t="shared" ref="AY29" si="66">SUM(AU29:AX29)</f>
        <v>0</v>
      </c>
    </row>
    <row r="30" spans="1:51">
      <c r="A30" s="2" t="s">
        <v>312</v>
      </c>
      <c r="B30" s="34">
        <f t="shared" ref="B30:H30" si="67">SUM(B26:B29)</f>
        <v>-106875</v>
      </c>
      <c r="C30" s="34">
        <f t="shared" si="67"/>
        <v>-83793</v>
      </c>
      <c r="D30" s="34">
        <f t="shared" si="67"/>
        <v>-74813</v>
      </c>
      <c r="E30" s="34">
        <f t="shared" si="67"/>
        <v>-131691</v>
      </c>
      <c r="F30" s="34">
        <f t="shared" si="67"/>
        <v>-147873</v>
      </c>
      <c r="G30" s="35">
        <f t="shared" si="67"/>
        <v>171668</v>
      </c>
      <c r="H30" s="35">
        <f t="shared" si="67"/>
        <v>-100339</v>
      </c>
      <c r="I30" s="35">
        <f t="shared" ref="I30:M30" si="68">SUM(I26:I29)</f>
        <v>-1200</v>
      </c>
      <c r="J30" s="35">
        <f t="shared" si="68"/>
        <v>-412</v>
      </c>
      <c r="K30" s="34">
        <f t="shared" si="68"/>
        <v>69717</v>
      </c>
      <c r="L30" s="35">
        <f t="shared" si="68"/>
        <v>-53191</v>
      </c>
      <c r="M30" s="35">
        <f t="shared" si="68"/>
        <v>-147056</v>
      </c>
      <c r="N30" s="35">
        <f t="shared" ref="N30:R30" si="69">SUM(N26:N29)</f>
        <v>-104111</v>
      </c>
      <c r="O30" s="35">
        <f t="shared" si="69"/>
        <v>-142540</v>
      </c>
      <c r="P30" s="34">
        <f t="shared" si="69"/>
        <v>-446898</v>
      </c>
      <c r="Q30" s="35">
        <f t="shared" si="69"/>
        <v>-116945</v>
      </c>
      <c r="R30" s="35">
        <f t="shared" si="69"/>
        <v>-18479</v>
      </c>
      <c r="S30" s="35">
        <f t="shared" ref="S30:W30" si="70">SUM(S26:S29)</f>
        <v>-19482</v>
      </c>
      <c r="T30" s="35">
        <f t="shared" si="70"/>
        <v>-423</v>
      </c>
      <c r="U30" s="34">
        <f t="shared" si="70"/>
        <v>-155329</v>
      </c>
      <c r="V30" s="35">
        <f t="shared" si="70"/>
        <v>-21956</v>
      </c>
      <c r="W30" s="35">
        <f t="shared" si="70"/>
        <v>-1386</v>
      </c>
      <c r="X30" s="35">
        <f t="shared" ref="X30:AB30" si="71">SUM(X26:X29)</f>
        <v>-63764</v>
      </c>
      <c r="Y30" s="35">
        <f t="shared" si="71"/>
        <v>-24095</v>
      </c>
      <c r="Z30" s="34">
        <f t="shared" si="71"/>
        <v>-111201</v>
      </c>
      <c r="AA30" s="35">
        <f t="shared" si="71"/>
        <v>-92951</v>
      </c>
      <c r="AB30" s="35">
        <f t="shared" si="71"/>
        <v>-234010</v>
      </c>
      <c r="AC30" s="35">
        <f t="shared" ref="AC30:AG30" si="72">SUM(AC26:AC29)</f>
        <v>-105609</v>
      </c>
      <c r="AD30" s="35">
        <f t="shared" si="72"/>
        <v>-102307</v>
      </c>
      <c r="AE30" s="34">
        <f t="shared" si="72"/>
        <v>-534877</v>
      </c>
      <c r="AF30" s="35">
        <f t="shared" si="72"/>
        <v>-234513</v>
      </c>
      <c r="AG30" s="35">
        <f t="shared" si="72"/>
        <v>-56200</v>
      </c>
      <c r="AH30" s="36">
        <f t="shared" ref="AH30:AJ30" si="73">SUM(AH26:AH29)</f>
        <v>-103841</v>
      </c>
      <c r="AI30" s="36">
        <f t="shared" si="73"/>
        <v>-100833</v>
      </c>
      <c r="AJ30" s="34">
        <f t="shared" si="73"/>
        <v>-495387</v>
      </c>
      <c r="AK30" s="35">
        <f t="shared" ref="AK30:AO30" si="74">SUM(AK26:AK29)</f>
        <v>-147628</v>
      </c>
      <c r="AL30" s="35">
        <f t="shared" si="74"/>
        <v>-182188</v>
      </c>
      <c r="AM30" s="35">
        <f t="shared" si="74"/>
        <v>-120000</v>
      </c>
      <c r="AN30" s="35">
        <f t="shared" si="74"/>
        <v>-120000</v>
      </c>
      <c r="AO30" s="34">
        <f t="shared" si="74"/>
        <v>-569816</v>
      </c>
      <c r="AP30" s="35">
        <f t="shared" ref="AP30" si="75">SUM(AP26:AP29)</f>
        <v>-90000</v>
      </c>
      <c r="AQ30" s="35">
        <f t="shared" ref="AQ30" si="76">SUM(AQ26:AQ29)</f>
        <v>-90000</v>
      </c>
      <c r="AR30" s="35">
        <f t="shared" ref="AR30" si="77">SUM(AR26:AR29)</f>
        <v>-90000</v>
      </c>
      <c r="AS30" s="35">
        <f t="shared" ref="AS30:AT30" si="78">SUM(AS26:AS29)</f>
        <v>-90000</v>
      </c>
      <c r="AT30" s="34">
        <f t="shared" si="78"/>
        <v>-360000</v>
      </c>
      <c r="AU30" s="35">
        <f t="shared" ref="AU30:AY30" si="79">SUM(AU26:AU29)</f>
        <v>-85000</v>
      </c>
      <c r="AV30" s="35">
        <f t="shared" si="79"/>
        <v>-85000</v>
      </c>
      <c r="AW30" s="35">
        <f t="shared" si="79"/>
        <v>-85000</v>
      </c>
      <c r="AX30" s="35">
        <f t="shared" si="79"/>
        <v>-85000</v>
      </c>
      <c r="AY30" s="34">
        <f t="shared" si="79"/>
        <v>-340000</v>
      </c>
    </row>
    <row r="31" spans="1:51">
      <c r="A31" s="29" t="s">
        <v>313</v>
      </c>
      <c r="B31" s="30">
        <v>-12629</v>
      </c>
      <c r="C31" s="30">
        <v>-5441</v>
      </c>
      <c r="D31" s="30">
        <v>24276</v>
      </c>
      <c r="E31" s="30">
        <v>-20975</v>
      </c>
      <c r="F31" s="30">
        <v>-3593</v>
      </c>
      <c r="G31" s="31">
        <v>-3891</v>
      </c>
      <c r="H31" s="31">
        <f>-G31+1785</f>
        <v>5676</v>
      </c>
      <c r="I31" s="31">
        <f>-SUM(G31:H31)+2269</f>
        <v>484</v>
      </c>
      <c r="J31" s="28">
        <f t="shared" si="55"/>
        <v>6899</v>
      </c>
      <c r="K31" s="30">
        <v>9168</v>
      </c>
      <c r="L31" s="31">
        <v>-1021</v>
      </c>
      <c r="M31" s="31">
        <f>-L31-2547</f>
        <v>-1526</v>
      </c>
      <c r="N31" s="31">
        <f>-SUM(L31:M31)-8560</f>
        <v>-6013</v>
      </c>
      <c r="O31" s="28">
        <f t="shared" si="56"/>
        <v>-15134</v>
      </c>
      <c r="P31" s="30">
        <v>-23694</v>
      </c>
      <c r="Q31" s="31">
        <v>-2617</v>
      </c>
      <c r="R31" s="31">
        <f>-Q31-7567</f>
        <v>-4950</v>
      </c>
      <c r="S31" s="31">
        <f>-SUM(Q31:R31)-14871</f>
        <v>-7304</v>
      </c>
      <c r="T31" s="28">
        <f t="shared" si="57"/>
        <v>6419</v>
      </c>
      <c r="U31" s="30">
        <v>-8452</v>
      </c>
      <c r="V31" s="31">
        <v>-1998</v>
      </c>
      <c r="W31" s="31">
        <f>-V31-3672</f>
        <v>-1674</v>
      </c>
      <c r="X31" s="31">
        <f>-SUM(V31:W31)-4491</f>
        <v>-819</v>
      </c>
      <c r="Y31" s="28">
        <f t="shared" si="58"/>
        <v>1568</v>
      </c>
      <c r="Z31" s="30">
        <v>-2923</v>
      </c>
      <c r="AA31" s="31">
        <v>-857</v>
      </c>
      <c r="AB31" s="31">
        <f>-AA31+101</f>
        <v>958</v>
      </c>
      <c r="AC31" s="31">
        <f>-SUM(AA31:AB31)-1834</f>
        <v>-1935</v>
      </c>
      <c r="AD31" s="28">
        <f t="shared" si="59"/>
        <v>-5252</v>
      </c>
      <c r="AE31" s="30">
        <v>-7086</v>
      </c>
      <c r="AF31" s="31">
        <v>7407</v>
      </c>
      <c r="AG31" s="31">
        <f>-AF31+9700</f>
        <v>2293</v>
      </c>
      <c r="AH31" s="33">
        <f>-SUM(AF31:AG31)+8930</f>
        <v>-770</v>
      </c>
      <c r="AI31" s="46">
        <f t="shared" si="60"/>
        <v>4610</v>
      </c>
      <c r="AJ31" s="30">
        <v>13540</v>
      </c>
      <c r="AK31" s="31">
        <v>-787</v>
      </c>
      <c r="AL31" s="31">
        <f>-AK31-1159</f>
        <v>-372</v>
      </c>
      <c r="AM31" s="32">
        <v>0</v>
      </c>
      <c r="AN31" s="32">
        <v>0</v>
      </c>
      <c r="AO31" s="50">
        <f>SUM(AK31:AN31)</f>
        <v>-1159</v>
      </c>
      <c r="AP31" s="32">
        <v>0</v>
      </c>
      <c r="AQ31" s="32">
        <v>0</v>
      </c>
      <c r="AR31" s="32">
        <v>0</v>
      </c>
      <c r="AS31" s="32">
        <v>0</v>
      </c>
      <c r="AT31" s="50">
        <f>SUM(AP31:AS31)</f>
        <v>0</v>
      </c>
      <c r="AU31" s="32">
        <v>0</v>
      </c>
      <c r="AV31" s="32">
        <v>0</v>
      </c>
      <c r="AW31" s="32">
        <v>0</v>
      </c>
      <c r="AX31" s="32">
        <v>0</v>
      </c>
      <c r="AY31" s="50">
        <f>SUM(AU31:AX31)</f>
        <v>0</v>
      </c>
    </row>
    <row r="32" spans="1:51">
      <c r="A32" s="3" t="s">
        <v>314</v>
      </c>
      <c r="B32" s="27">
        <f t="shared" ref="B32:I32" si="80">B31+B30+B24+B18</f>
        <v>67870</v>
      </c>
      <c r="C32" s="27">
        <f t="shared" si="80"/>
        <v>-41389</v>
      </c>
      <c r="D32" s="27">
        <f t="shared" si="80"/>
        <v>130323</v>
      </c>
      <c r="E32" s="27">
        <f t="shared" si="80"/>
        <v>47874</v>
      </c>
      <c r="F32" s="27">
        <f t="shared" si="80"/>
        <v>-53565</v>
      </c>
      <c r="G32" s="28">
        <f t="shared" si="80"/>
        <v>30011</v>
      </c>
      <c r="H32" s="28">
        <f t="shared" si="80"/>
        <v>63715</v>
      </c>
      <c r="I32" s="28">
        <f t="shared" si="80"/>
        <v>45818</v>
      </c>
      <c r="J32" s="28">
        <f t="shared" ref="J32:N32" si="81">J31+J30+J24+J18</f>
        <v>292349</v>
      </c>
      <c r="K32" s="27">
        <f t="shared" si="81"/>
        <v>431893</v>
      </c>
      <c r="L32" s="28">
        <f t="shared" si="81"/>
        <v>-199966</v>
      </c>
      <c r="M32" s="28">
        <f t="shared" si="81"/>
        <v>11848</v>
      </c>
      <c r="N32" s="28">
        <f t="shared" si="81"/>
        <v>-55736</v>
      </c>
      <c r="O32" s="28">
        <f t="shared" ref="O32:S32" si="82">O31+O30+O24+O18</f>
        <v>-45935</v>
      </c>
      <c r="P32" s="27">
        <f t="shared" si="82"/>
        <v>-289789</v>
      </c>
      <c r="Q32" s="28">
        <f t="shared" si="82"/>
        <v>-355890</v>
      </c>
      <c r="R32" s="28">
        <f t="shared" si="82"/>
        <v>-98444</v>
      </c>
      <c r="S32" s="28">
        <f t="shared" si="82"/>
        <v>-113028</v>
      </c>
      <c r="T32" s="28">
        <f t="shared" ref="T32:X32" si="83">T31+T30+T24+T18</f>
        <v>260563</v>
      </c>
      <c r="U32" s="27">
        <f t="shared" si="83"/>
        <v>-306799</v>
      </c>
      <c r="V32" s="28">
        <f t="shared" si="83"/>
        <v>-70905</v>
      </c>
      <c r="W32" s="28">
        <f t="shared" si="83"/>
        <v>170439</v>
      </c>
      <c r="X32" s="28">
        <f t="shared" si="83"/>
        <v>31025</v>
      </c>
      <c r="Y32" s="28">
        <f t="shared" ref="Y32:AB32" si="84">Y31+Y30+Y24+Y18</f>
        <v>251557</v>
      </c>
      <c r="Z32" s="27">
        <f t="shared" si="84"/>
        <v>382116</v>
      </c>
      <c r="AA32" s="28">
        <f t="shared" si="84"/>
        <v>-37684</v>
      </c>
      <c r="AB32" s="28">
        <f t="shared" si="84"/>
        <v>-125706</v>
      </c>
      <c r="AC32" s="28">
        <f t="shared" ref="AC32:AG32" si="85">AC31+AC30+AC24+AC18</f>
        <v>-55298</v>
      </c>
      <c r="AD32" s="28">
        <f t="shared" si="85"/>
        <v>89398</v>
      </c>
      <c r="AE32" s="27">
        <f t="shared" si="85"/>
        <v>-129290</v>
      </c>
      <c r="AF32" s="28">
        <f t="shared" si="85"/>
        <v>-261870</v>
      </c>
      <c r="AG32" s="28">
        <f t="shared" si="85"/>
        <v>61807</v>
      </c>
      <c r="AH32" s="49">
        <f t="shared" ref="AH32" si="86">AH31+AH30+AH24+AH18</f>
        <v>32227</v>
      </c>
      <c r="AI32" s="28">
        <f t="shared" ref="AI32:AN32" si="87">AI31+AI30+AI24+AI18</f>
        <v>154357</v>
      </c>
      <c r="AJ32" s="27">
        <f t="shared" si="87"/>
        <v>-13479</v>
      </c>
      <c r="AK32" s="28">
        <f t="shared" si="87"/>
        <v>-165500</v>
      </c>
      <c r="AL32" s="28">
        <f t="shared" si="87"/>
        <v>33569</v>
      </c>
      <c r="AM32" s="28">
        <f t="shared" si="87"/>
        <v>48633.1391117148</v>
      </c>
      <c r="AN32" s="28">
        <f t="shared" si="87"/>
        <v>92245.6066516387</v>
      </c>
      <c r="AO32" s="27">
        <f t="shared" ref="AO32" si="88">AO31+AO30+AO24+AO18</f>
        <v>8947.74576335365</v>
      </c>
      <c r="AP32" s="28">
        <f t="shared" ref="AP32:AT32" si="89">AP31+AP30+AP24+AP18</f>
        <v>60213.0918165783</v>
      </c>
      <c r="AQ32" s="28">
        <f t="shared" si="89"/>
        <v>127469.701684944</v>
      </c>
      <c r="AR32" s="28">
        <f t="shared" si="89"/>
        <v>-105511.496474719</v>
      </c>
      <c r="AS32" s="28">
        <f t="shared" si="89"/>
        <v>78319.0956815923</v>
      </c>
      <c r="AT32" s="27">
        <f t="shared" si="89"/>
        <v>160490.392708396</v>
      </c>
      <c r="AU32" s="28">
        <f t="shared" ref="AU32:AY32" si="90">AU31+AU30+AU24+AU18</f>
        <v>35445.3884354465</v>
      </c>
      <c r="AV32" s="28">
        <f t="shared" si="90"/>
        <v>86289.424820896</v>
      </c>
      <c r="AW32" s="28">
        <f t="shared" si="90"/>
        <v>50103.4015831179</v>
      </c>
      <c r="AX32" s="28">
        <f t="shared" si="90"/>
        <v>6451.7747949246</v>
      </c>
      <c r="AY32" s="27">
        <f t="shared" si="90"/>
        <v>178289.989634385</v>
      </c>
    </row>
    <row r="33" spans="1:51">
      <c r="A33" s="38" t="s">
        <v>315</v>
      </c>
      <c r="B33" s="51">
        <v>520708</v>
      </c>
      <c r="C33" s="51">
        <f>B34</f>
        <v>588578</v>
      </c>
      <c r="D33" s="51">
        <v>567632</v>
      </c>
      <c r="E33" s="51">
        <f t="shared" ref="E33:F33" si="91">D34</f>
        <v>697955</v>
      </c>
      <c r="F33" s="51">
        <f t="shared" si="91"/>
        <v>745829</v>
      </c>
      <c r="G33" s="52">
        <v>692264</v>
      </c>
      <c r="H33" s="41">
        <f>G34</f>
        <v>722275</v>
      </c>
      <c r="I33" s="41">
        <f>H34</f>
        <v>785990</v>
      </c>
      <c r="J33" s="41">
        <f t="shared" ref="J33" si="92">I34</f>
        <v>831808</v>
      </c>
      <c r="K33" s="44">
        <f>G33</f>
        <v>692264</v>
      </c>
      <c r="L33" s="41">
        <f>K34</f>
        <v>1124157</v>
      </c>
      <c r="M33" s="41">
        <f>L34</f>
        <v>924191</v>
      </c>
      <c r="N33" s="41">
        <f>M34</f>
        <v>936039</v>
      </c>
      <c r="O33" s="41">
        <f t="shared" ref="O33" si="93">N34</f>
        <v>880303</v>
      </c>
      <c r="P33" s="44">
        <f>L33</f>
        <v>1124157</v>
      </c>
      <c r="Q33" s="52">
        <f>P34</f>
        <v>834368</v>
      </c>
      <c r="R33" s="52">
        <f>Q34</f>
        <v>478478</v>
      </c>
      <c r="S33" s="52">
        <f>R34</f>
        <v>380034</v>
      </c>
      <c r="T33" s="41">
        <f t="shared" ref="T33" si="94">S34</f>
        <v>267006</v>
      </c>
      <c r="U33" s="44">
        <f>Q33</f>
        <v>834368</v>
      </c>
      <c r="V33" s="52">
        <f>U34</f>
        <v>527569</v>
      </c>
      <c r="W33" s="52">
        <f>V34</f>
        <v>456664</v>
      </c>
      <c r="X33" s="52">
        <f>W34</f>
        <v>627103</v>
      </c>
      <c r="Y33" s="41">
        <f t="shared" ref="Y33" si="95">X34</f>
        <v>658128</v>
      </c>
      <c r="Z33" s="44">
        <f>V33</f>
        <v>527569</v>
      </c>
      <c r="AA33" s="52">
        <v>909685</v>
      </c>
      <c r="AB33" s="41">
        <f>AA34</f>
        <v>872001</v>
      </c>
      <c r="AC33" s="41">
        <f t="shared" ref="AC33:AI33" si="96">AB34</f>
        <v>746295</v>
      </c>
      <c r="AD33" s="41">
        <f t="shared" si="96"/>
        <v>690997</v>
      </c>
      <c r="AE33" s="44">
        <f>AA33</f>
        <v>909685</v>
      </c>
      <c r="AF33" s="41">
        <f t="shared" si="96"/>
        <v>780395</v>
      </c>
      <c r="AG33" s="41">
        <f t="shared" si="96"/>
        <v>518525</v>
      </c>
      <c r="AH33" s="52">
        <f t="shared" si="96"/>
        <v>580332</v>
      </c>
      <c r="AI33" s="41">
        <f t="shared" si="96"/>
        <v>612559</v>
      </c>
      <c r="AJ33" s="44">
        <f>AF33</f>
        <v>780395</v>
      </c>
      <c r="AK33" s="41">
        <f t="shared" ref="AK33:AL33" si="97">AJ34</f>
        <v>766916</v>
      </c>
      <c r="AL33" s="41">
        <f t="shared" si="97"/>
        <v>601416</v>
      </c>
      <c r="AM33" s="41">
        <f t="shared" ref="AM33" si="98">AL34</f>
        <v>634985</v>
      </c>
      <c r="AN33" s="41">
        <f t="shared" ref="AN33" si="99">AM34</f>
        <v>683618.139111715</v>
      </c>
      <c r="AO33" s="44">
        <f>AK33</f>
        <v>766916</v>
      </c>
      <c r="AP33" s="41">
        <f t="shared" ref="AP33" si="100">AO34</f>
        <v>775863.745763354</v>
      </c>
      <c r="AQ33" s="41">
        <f t="shared" ref="AQ33" si="101">AP34</f>
        <v>836076.837579932</v>
      </c>
      <c r="AR33" s="41">
        <f t="shared" ref="AR33" si="102">AQ34</f>
        <v>963546.539264876</v>
      </c>
      <c r="AS33" s="41">
        <f t="shared" ref="AS33" si="103">AR34</f>
        <v>858035.042790157</v>
      </c>
      <c r="AT33" s="44">
        <f>AP33</f>
        <v>775863.745763354</v>
      </c>
      <c r="AU33" s="41">
        <f t="shared" ref="AU33" si="104">AT34</f>
        <v>936354.138471749</v>
      </c>
      <c r="AV33" s="41">
        <f t="shared" ref="AV33" si="105">AU34</f>
        <v>971799.526907196</v>
      </c>
      <c r="AW33" s="41">
        <f t="shared" ref="AW33" si="106">AV34</f>
        <v>1058088.95172809</v>
      </c>
      <c r="AX33" s="41">
        <f t="shared" ref="AX33" si="107">AW34</f>
        <v>1108192.35331121</v>
      </c>
      <c r="AY33" s="44">
        <f>AU33</f>
        <v>936354.138471749</v>
      </c>
    </row>
    <row r="34" spans="1:51">
      <c r="A34" s="2" t="s">
        <v>316</v>
      </c>
      <c r="B34" s="34">
        <f t="shared" ref="B34:F34" si="108">B32+B33</f>
        <v>588578</v>
      </c>
      <c r="C34" s="34">
        <f t="shared" si="108"/>
        <v>547189</v>
      </c>
      <c r="D34" s="34">
        <f t="shared" si="108"/>
        <v>697955</v>
      </c>
      <c r="E34" s="34">
        <f t="shared" si="108"/>
        <v>745829</v>
      </c>
      <c r="F34" s="34">
        <f t="shared" si="108"/>
        <v>692264</v>
      </c>
      <c r="G34" s="35">
        <f t="shared" ref="G34:Z34" si="109">G32+G33</f>
        <v>722275</v>
      </c>
      <c r="H34" s="35">
        <f t="shared" si="109"/>
        <v>785990</v>
      </c>
      <c r="I34" s="35">
        <f t="shared" si="109"/>
        <v>831808</v>
      </c>
      <c r="J34" s="35">
        <f t="shared" si="109"/>
        <v>1124157</v>
      </c>
      <c r="K34" s="34">
        <f t="shared" si="109"/>
        <v>1124157</v>
      </c>
      <c r="L34" s="35">
        <f t="shared" si="109"/>
        <v>924191</v>
      </c>
      <c r="M34" s="35">
        <f t="shared" si="109"/>
        <v>936039</v>
      </c>
      <c r="N34" s="35">
        <f t="shared" si="109"/>
        <v>880303</v>
      </c>
      <c r="O34" s="35">
        <f t="shared" ref="O34" si="110">O32+O33</f>
        <v>834368</v>
      </c>
      <c r="P34" s="34">
        <f t="shared" si="109"/>
        <v>834368</v>
      </c>
      <c r="Q34" s="35">
        <f t="shared" si="109"/>
        <v>478478</v>
      </c>
      <c r="R34" s="35">
        <f t="shared" si="109"/>
        <v>380034</v>
      </c>
      <c r="S34" s="35">
        <f t="shared" si="109"/>
        <v>267006</v>
      </c>
      <c r="T34" s="35">
        <f t="shared" si="109"/>
        <v>527569</v>
      </c>
      <c r="U34" s="34">
        <f t="shared" si="109"/>
        <v>527569</v>
      </c>
      <c r="V34" s="35">
        <f t="shared" si="109"/>
        <v>456664</v>
      </c>
      <c r="W34" s="35">
        <f t="shared" si="109"/>
        <v>627103</v>
      </c>
      <c r="X34" s="35">
        <f t="shared" si="109"/>
        <v>658128</v>
      </c>
      <c r="Y34" s="35">
        <f t="shared" si="109"/>
        <v>909685</v>
      </c>
      <c r="Z34" s="34">
        <f t="shared" si="109"/>
        <v>909685</v>
      </c>
      <c r="AA34" s="35">
        <f t="shared" ref="AA34:AB34" si="111">AA32+AA33</f>
        <v>872001</v>
      </c>
      <c r="AB34" s="35">
        <f t="shared" si="111"/>
        <v>746295</v>
      </c>
      <c r="AC34" s="35">
        <f t="shared" ref="AC34:AF34" si="112">AC32+AC33</f>
        <v>690997</v>
      </c>
      <c r="AD34" s="35">
        <f t="shared" si="112"/>
        <v>780395</v>
      </c>
      <c r="AE34" s="34">
        <f t="shared" si="112"/>
        <v>780395</v>
      </c>
      <c r="AF34" s="35">
        <f t="shared" si="112"/>
        <v>518525</v>
      </c>
      <c r="AG34" s="35">
        <f t="shared" ref="AG34" si="113">AG32+AG33</f>
        <v>580332</v>
      </c>
      <c r="AH34" s="36">
        <f t="shared" ref="AH34" si="114">AH32+AH33</f>
        <v>612559</v>
      </c>
      <c r="AI34" s="35">
        <f t="shared" ref="AI34:AN34" si="115">AI32+AI33</f>
        <v>766916</v>
      </c>
      <c r="AJ34" s="34">
        <f t="shared" si="115"/>
        <v>766916</v>
      </c>
      <c r="AK34" s="35">
        <f t="shared" si="115"/>
        <v>601416</v>
      </c>
      <c r="AL34" s="35">
        <f t="shared" si="115"/>
        <v>634985</v>
      </c>
      <c r="AM34" s="35">
        <f t="shared" si="115"/>
        <v>683618.139111715</v>
      </c>
      <c r="AN34" s="35">
        <f t="shared" si="115"/>
        <v>775863.745763354</v>
      </c>
      <c r="AO34" s="34">
        <f t="shared" ref="AO34" si="116">AO32+AO33</f>
        <v>775863.745763354</v>
      </c>
      <c r="AP34" s="35">
        <f t="shared" ref="AP34:AT34" si="117">AP32+AP33</f>
        <v>836076.837579932</v>
      </c>
      <c r="AQ34" s="35">
        <f t="shared" si="117"/>
        <v>963546.539264876</v>
      </c>
      <c r="AR34" s="35">
        <f t="shared" si="117"/>
        <v>858035.042790157</v>
      </c>
      <c r="AS34" s="35">
        <f t="shared" si="117"/>
        <v>936354.138471749</v>
      </c>
      <c r="AT34" s="34">
        <f t="shared" si="117"/>
        <v>936354.138471749</v>
      </c>
      <c r="AU34" s="35">
        <f t="shared" ref="AU34:AY34" si="118">AU32+AU33</f>
        <v>971799.526907196</v>
      </c>
      <c r="AV34" s="35">
        <f t="shared" si="118"/>
        <v>1058088.95172809</v>
      </c>
      <c r="AW34" s="35">
        <f t="shared" si="118"/>
        <v>1108192.35331121</v>
      </c>
      <c r="AX34" s="35">
        <f t="shared" si="118"/>
        <v>1114644.12810613</v>
      </c>
      <c r="AY34" s="34">
        <f t="shared" si="118"/>
        <v>1114644.12810613</v>
      </c>
    </row>
    <row r="35" spans="1:51">
      <c r="A35" s="473" t="s">
        <v>317</v>
      </c>
      <c r="B35" s="30"/>
      <c r="C35" s="30"/>
      <c r="D35" s="30">
        <v>22397</v>
      </c>
      <c r="E35" s="30">
        <v>22694</v>
      </c>
      <c r="F35" s="30">
        <v>20997</v>
      </c>
      <c r="G35" s="31">
        <v>18286</v>
      </c>
      <c r="H35" s="31">
        <v>19269</v>
      </c>
      <c r="I35" s="31">
        <f>14633+4294</f>
        <v>18927</v>
      </c>
      <c r="J35" s="31">
        <v>19295</v>
      </c>
      <c r="K35" s="50">
        <f>J35</f>
        <v>19295</v>
      </c>
      <c r="L35" s="31">
        <f>14712+471</f>
        <v>15183</v>
      </c>
      <c r="M35" s="31">
        <f>14268+267</f>
        <v>14535</v>
      </c>
      <c r="N35" s="31">
        <f>11401+3280</f>
        <v>14681</v>
      </c>
      <c r="O35" s="31">
        <v>11229</v>
      </c>
      <c r="P35" s="50">
        <f>O35</f>
        <v>11229</v>
      </c>
      <c r="Q35" s="31">
        <v>10100</v>
      </c>
      <c r="R35" s="31">
        <v>10077</v>
      </c>
      <c r="S35" s="31">
        <v>9674</v>
      </c>
      <c r="T35" s="31">
        <v>9967</v>
      </c>
      <c r="U35" s="50">
        <f>T35</f>
        <v>9967</v>
      </c>
      <c r="V35" s="31">
        <v>9712</v>
      </c>
      <c r="W35" s="31">
        <v>9764</v>
      </c>
      <c r="X35" s="31">
        <v>8639</v>
      </c>
      <c r="Y35" s="31">
        <v>8801</v>
      </c>
      <c r="Z35" s="50">
        <f>Y35</f>
        <v>8801</v>
      </c>
      <c r="AA35" s="31">
        <v>7806</v>
      </c>
      <c r="AB35" s="31">
        <v>7893</v>
      </c>
      <c r="AC35" s="31">
        <v>7908</v>
      </c>
      <c r="AD35" s="31">
        <v>7668</v>
      </c>
      <c r="AE35" s="50">
        <f>AD35</f>
        <v>7668</v>
      </c>
      <c r="AF35" s="31">
        <v>7962</v>
      </c>
      <c r="AG35" s="31">
        <f>AG34-572730</f>
        <v>7602</v>
      </c>
      <c r="AH35" s="33">
        <f>AH34-605783</f>
        <v>6776</v>
      </c>
      <c r="AI35" s="33">
        <v>7376</v>
      </c>
      <c r="AJ35" s="50">
        <f>AI35</f>
        <v>7376</v>
      </c>
      <c r="AK35" s="31">
        <v>7336</v>
      </c>
      <c r="AL35" s="31">
        <v>7269</v>
      </c>
      <c r="AM35" s="28">
        <f t="shared" ref="AM35" si="119">AL35</f>
        <v>7269</v>
      </c>
      <c r="AN35" s="28">
        <f t="shared" ref="AN35:AO35" si="120">AM35</f>
        <v>7269</v>
      </c>
      <c r="AO35" s="50">
        <f t="shared" si="120"/>
        <v>7269</v>
      </c>
      <c r="AP35" s="28">
        <f t="shared" ref="AP35" si="121">AO35</f>
        <v>7269</v>
      </c>
      <c r="AQ35" s="28">
        <f t="shared" ref="AQ35" si="122">AP35</f>
        <v>7269</v>
      </c>
      <c r="AR35" s="28">
        <f t="shared" ref="AR35" si="123">AQ35</f>
        <v>7269</v>
      </c>
      <c r="AS35" s="28">
        <f t="shared" ref="AS35:AT35" si="124">AR35</f>
        <v>7269</v>
      </c>
      <c r="AT35" s="50">
        <f t="shared" si="124"/>
        <v>7269</v>
      </c>
      <c r="AU35" s="28">
        <f t="shared" ref="AU35" si="125">AT35</f>
        <v>7269</v>
      </c>
      <c r="AV35" s="28">
        <f t="shared" ref="AV35" si="126">AU35</f>
        <v>7269</v>
      </c>
      <c r="AW35" s="28">
        <f t="shared" ref="AW35" si="127">AV35</f>
        <v>7269</v>
      </c>
      <c r="AX35" s="28">
        <f t="shared" ref="AX35:AY35" si="128">AW35</f>
        <v>7269</v>
      </c>
      <c r="AY35" s="50">
        <f t="shared" si="128"/>
        <v>7269</v>
      </c>
    </row>
    <row r="36" ht="14.35" spans="1:51">
      <c r="A36" s="53" t="s">
        <v>318</v>
      </c>
      <c r="B36" s="54">
        <f t="shared" ref="B36:F36" si="129">B34-B35</f>
        <v>588578</v>
      </c>
      <c r="C36" s="54">
        <f t="shared" si="129"/>
        <v>547189</v>
      </c>
      <c r="D36" s="54">
        <f t="shared" si="129"/>
        <v>675558</v>
      </c>
      <c r="E36" s="54">
        <f t="shared" si="129"/>
        <v>723135</v>
      </c>
      <c r="F36" s="54">
        <f t="shared" si="129"/>
        <v>671267</v>
      </c>
      <c r="G36" s="55">
        <f t="shared" ref="G36:K36" si="130">G34-G35</f>
        <v>703989</v>
      </c>
      <c r="H36" s="55">
        <f t="shared" si="130"/>
        <v>766721</v>
      </c>
      <c r="I36" s="55">
        <f t="shared" si="130"/>
        <v>812881</v>
      </c>
      <c r="J36" s="55">
        <f t="shared" si="130"/>
        <v>1104862</v>
      </c>
      <c r="K36" s="54">
        <f t="shared" si="130"/>
        <v>1104862</v>
      </c>
      <c r="L36" s="55">
        <f t="shared" ref="L36:P36" si="131">L34-L35</f>
        <v>909008</v>
      </c>
      <c r="M36" s="55">
        <f t="shared" si="131"/>
        <v>921504</v>
      </c>
      <c r="N36" s="55">
        <f t="shared" si="131"/>
        <v>865622</v>
      </c>
      <c r="O36" s="55">
        <f t="shared" si="131"/>
        <v>823139</v>
      </c>
      <c r="P36" s="54">
        <f t="shared" si="131"/>
        <v>823139</v>
      </c>
      <c r="Q36" s="55">
        <f t="shared" ref="Q36:U36" si="132">Q34-Q35</f>
        <v>468378</v>
      </c>
      <c r="R36" s="55">
        <f t="shared" si="132"/>
        <v>369957</v>
      </c>
      <c r="S36" s="55">
        <f t="shared" si="132"/>
        <v>257332</v>
      </c>
      <c r="T36" s="55">
        <f t="shared" si="132"/>
        <v>517602</v>
      </c>
      <c r="U36" s="54">
        <f t="shared" si="132"/>
        <v>517602</v>
      </c>
      <c r="V36" s="55">
        <f t="shared" ref="V36:Z36" si="133">V34-V35</f>
        <v>446952</v>
      </c>
      <c r="W36" s="55">
        <f t="shared" si="133"/>
        <v>617339</v>
      </c>
      <c r="X36" s="55">
        <f t="shared" si="133"/>
        <v>649489</v>
      </c>
      <c r="Y36" s="55">
        <f t="shared" si="133"/>
        <v>900884</v>
      </c>
      <c r="Z36" s="54">
        <f t="shared" si="133"/>
        <v>900884</v>
      </c>
      <c r="AA36" s="55">
        <f t="shared" ref="AA36:AF36" si="134">AA34-AA35</f>
        <v>864195</v>
      </c>
      <c r="AB36" s="55">
        <f t="shared" si="134"/>
        <v>738402</v>
      </c>
      <c r="AC36" s="55">
        <f t="shared" si="134"/>
        <v>683089</v>
      </c>
      <c r="AD36" s="55">
        <f t="shared" si="134"/>
        <v>772727</v>
      </c>
      <c r="AE36" s="54">
        <f t="shared" si="134"/>
        <v>772727</v>
      </c>
      <c r="AF36" s="55">
        <f t="shared" si="134"/>
        <v>510563</v>
      </c>
      <c r="AG36" s="55">
        <f t="shared" ref="AG36" si="135">AG34-AG35</f>
        <v>572730</v>
      </c>
      <c r="AH36" s="55">
        <f t="shared" ref="AH36" si="136">AH34-AH35</f>
        <v>605783</v>
      </c>
      <c r="AI36" s="55">
        <f t="shared" ref="AI36:AJ36" si="137">AI34-AI35</f>
        <v>759540</v>
      </c>
      <c r="AJ36" s="54">
        <f t="shared" si="137"/>
        <v>759540</v>
      </c>
      <c r="AK36" s="55">
        <f t="shared" ref="AK36:AO36" si="138">AK34-AK35</f>
        <v>594080</v>
      </c>
      <c r="AL36" s="55">
        <f t="shared" si="138"/>
        <v>627716</v>
      </c>
      <c r="AM36" s="55">
        <f t="shared" si="138"/>
        <v>676349.139111715</v>
      </c>
      <c r="AN36" s="55">
        <f t="shared" si="138"/>
        <v>768594.745763354</v>
      </c>
      <c r="AO36" s="54">
        <f t="shared" si="138"/>
        <v>768594.745763354</v>
      </c>
      <c r="AP36" s="55">
        <f t="shared" ref="AP36:AT36" si="139">AP34-AP35</f>
        <v>828807.837579932</v>
      </c>
      <c r="AQ36" s="55">
        <f t="shared" si="139"/>
        <v>956277.539264876</v>
      </c>
      <c r="AR36" s="55">
        <f t="shared" si="139"/>
        <v>850766.042790157</v>
      </c>
      <c r="AS36" s="55">
        <f t="shared" si="139"/>
        <v>929085.138471749</v>
      </c>
      <c r="AT36" s="54">
        <f t="shared" si="139"/>
        <v>929085.138471749</v>
      </c>
      <c r="AU36" s="55">
        <f t="shared" ref="AU36:AY36" si="140">AU34-AU35</f>
        <v>964530.526907196</v>
      </c>
      <c r="AV36" s="55">
        <f t="shared" si="140"/>
        <v>1050819.95172809</v>
      </c>
      <c r="AW36" s="55">
        <f t="shared" si="140"/>
        <v>1100923.35331121</v>
      </c>
      <c r="AX36" s="55">
        <f t="shared" si="140"/>
        <v>1107375.12810613</v>
      </c>
      <c r="AY36" s="54">
        <f t="shared" si="140"/>
        <v>1107375.12810613</v>
      </c>
    </row>
    <row r="37" ht="14.35" spans="1:51">
      <c r="G37" s="28"/>
      <c r="H37" s="28"/>
      <c r="I37" s="28"/>
      <c r="J37" s="28"/>
      <c r="K37" s="27"/>
      <c r="L37" s="28"/>
      <c r="M37" s="28"/>
      <c r="N37" s="28"/>
      <c r="O37" s="28"/>
      <c r="P37" s="27"/>
      <c r="Q37" s="28"/>
      <c r="R37" s="28"/>
      <c r="S37" s="28"/>
      <c r="T37" s="28"/>
      <c r="U37" s="27"/>
      <c r="V37" s="28"/>
      <c r="W37" s="28"/>
      <c r="X37" s="28"/>
      <c r="Y37" s="28"/>
      <c r="Z37" s="27"/>
      <c r="AA37" s="28"/>
      <c r="AB37" s="28"/>
      <c r="AC37" s="28"/>
      <c r="AD37" s="28"/>
      <c r="AE37" s="27"/>
      <c r="AF37" s="28"/>
      <c r="AG37" s="28"/>
      <c r="AH37" s="28"/>
      <c r="AI37" s="28"/>
      <c r="AJ37" s="27"/>
      <c r="AK37" s="28"/>
      <c r="AL37" s="28"/>
      <c r="AM37" s="28"/>
      <c r="AN37" s="28"/>
      <c r="AO37" s="27"/>
      <c r="AP37" s="28"/>
      <c r="AQ37" s="28"/>
      <c r="AR37" s="28"/>
      <c r="AS37" s="28"/>
      <c r="AT37" s="27"/>
      <c r="AU37" s="28"/>
      <c r="AV37" s="28"/>
      <c r="AW37" s="28"/>
      <c r="AX37" s="28"/>
      <c r="AY37" s="27"/>
    </row>
    <row r="38" spans="1:51">
      <c r="A38" s="3" t="s">
        <v>319</v>
      </c>
      <c r="G38" s="31">
        <v>46174</v>
      </c>
      <c r="H38" s="31">
        <v>34865</v>
      </c>
      <c r="I38" s="31">
        <v>26554</v>
      </c>
      <c r="J38" s="31">
        <v>16250</v>
      </c>
      <c r="K38" s="50">
        <f>J38</f>
        <v>16250</v>
      </c>
      <c r="L38" s="31">
        <v>22597</v>
      </c>
      <c r="M38" s="31">
        <v>35789</v>
      </c>
      <c r="N38" s="31">
        <v>31561</v>
      </c>
      <c r="O38" s="31">
        <v>29932</v>
      </c>
      <c r="P38" s="50">
        <f>O38</f>
        <v>29932</v>
      </c>
      <c r="Q38" s="31">
        <v>33035</v>
      </c>
      <c r="R38" s="31">
        <v>50133</v>
      </c>
      <c r="S38" s="31">
        <v>64477</v>
      </c>
      <c r="T38" s="31">
        <v>57313</v>
      </c>
      <c r="U38" s="50">
        <f>T38</f>
        <v>57313</v>
      </c>
      <c r="V38" s="31">
        <v>48006</v>
      </c>
      <c r="W38" s="31">
        <v>45506</v>
      </c>
      <c r="X38" s="31">
        <v>38787</v>
      </c>
      <c r="Y38" s="31">
        <v>35568</v>
      </c>
      <c r="Z38" s="50">
        <f>Y38</f>
        <v>35568</v>
      </c>
      <c r="AA38" s="31">
        <v>63113</v>
      </c>
      <c r="AB38" s="31">
        <v>46909</v>
      </c>
      <c r="AC38" s="31">
        <v>57005</v>
      </c>
      <c r="AD38" s="31">
        <v>48856</v>
      </c>
      <c r="AE38" s="50">
        <f>AD38</f>
        <v>48856</v>
      </c>
      <c r="AF38" s="31">
        <v>40998</v>
      </c>
      <c r="AG38" s="31">
        <v>67376</v>
      </c>
      <c r="AH38" s="31">
        <v>60460</v>
      </c>
      <c r="AI38" s="31">
        <v>56620</v>
      </c>
      <c r="AJ38" s="50">
        <f>AI38</f>
        <v>56620</v>
      </c>
      <c r="AK38" s="31">
        <v>58350</v>
      </c>
      <c r="AL38" s="31">
        <v>51422</v>
      </c>
      <c r="AM38" s="28"/>
      <c r="AN38" s="28"/>
      <c r="AO38" s="50"/>
      <c r="AP38" s="28"/>
      <c r="AQ38" s="28"/>
      <c r="AR38" s="28"/>
      <c r="AS38" s="28"/>
      <c r="AT38" s="50"/>
      <c r="AU38" s="28"/>
      <c r="AV38" s="28"/>
      <c r="AW38" s="28"/>
      <c r="AX38" s="28"/>
      <c r="AY38" s="50"/>
    </row>
    <row r="39" spans="1:51">
      <c r="A39" s="3" t="s">
        <v>320</v>
      </c>
      <c r="G39" s="31">
        <v>35182</v>
      </c>
      <c r="H39" s="31">
        <v>23119</v>
      </c>
      <c r="I39" s="31">
        <v>-41305</v>
      </c>
      <c r="J39" s="31">
        <v>-38279</v>
      </c>
      <c r="K39" s="50">
        <f>J39</f>
        <v>-38279</v>
      </c>
      <c r="L39" s="31">
        <v>4856</v>
      </c>
      <c r="M39" s="31">
        <v>17159</v>
      </c>
      <c r="N39" s="31">
        <v>26473</v>
      </c>
      <c r="O39" s="31">
        <v>29241</v>
      </c>
      <c r="P39" s="50">
        <f>O39</f>
        <v>29241</v>
      </c>
      <c r="Q39" s="31">
        <v>35521</v>
      </c>
      <c r="R39" s="31">
        <v>139751</v>
      </c>
      <c r="S39" s="31">
        <v>196003</v>
      </c>
      <c r="T39" s="31">
        <v>269430</v>
      </c>
      <c r="U39" s="50">
        <f>T39</f>
        <v>269430</v>
      </c>
      <c r="V39" s="31">
        <v>17857</v>
      </c>
      <c r="W39" s="31">
        <v>91007</v>
      </c>
      <c r="X39" s="31">
        <v>117959</v>
      </c>
      <c r="Y39" s="31">
        <v>155184</v>
      </c>
      <c r="Z39" s="50">
        <f>Y39</f>
        <v>155184</v>
      </c>
      <c r="AA39" s="31">
        <v>113827</v>
      </c>
      <c r="AB39" s="31">
        <v>174597</v>
      </c>
      <c r="AC39" s="31">
        <v>291289</v>
      </c>
      <c r="AD39" s="31">
        <v>365813</v>
      </c>
      <c r="AE39" s="50">
        <f>AD39</f>
        <v>365813</v>
      </c>
      <c r="AF39" s="31">
        <v>73686</v>
      </c>
      <c r="AG39" s="31">
        <v>248528</v>
      </c>
      <c r="AH39" s="31">
        <v>345947</v>
      </c>
      <c r="AI39" s="31">
        <v>438776</v>
      </c>
      <c r="AJ39" s="50">
        <f>AI39</f>
        <v>438776</v>
      </c>
      <c r="AK39" s="31">
        <v>192539</v>
      </c>
      <c r="AL39" s="31">
        <v>257320</v>
      </c>
      <c r="AM39" s="28"/>
      <c r="AN39" s="28"/>
      <c r="AO39" s="50"/>
      <c r="AP39" s="28"/>
      <c r="AQ39" s="28"/>
      <c r="AR39" s="28"/>
      <c r="AS39" s="28"/>
      <c r="AT39" s="50"/>
      <c r="AU39" s="28"/>
      <c r="AV39" s="28"/>
      <c r="AW39" s="28"/>
      <c r="AX39" s="28"/>
      <c r="AY39" s="50"/>
    </row>
    <row r="40" spans="1:51">
      <c r="G40" s="3"/>
      <c r="H40" s="3"/>
      <c r="I40" s="3"/>
      <c r="J40" s="3"/>
      <c r="K40" s="4"/>
      <c r="L40" s="3"/>
      <c r="M40" s="3"/>
      <c r="N40" s="3"/>
      <c r="O40" s="3"/>
      <c r="P40" s="4"/>
      <c r="Q40" s="3"/>
      <c r="R40" s="3"/>
      <c r="S40" s="3"/>
      <c r="T40" s="3"/>
      <c r="U40" s="4"/>
      <c r="V40" s="3"/>
      <c r="W40" s="3"/>
      <c r="X40" s="3"/>
      <c r="Y40" s="3"/>
      <c r="Z40" s="27"/>
      <c r="AA40" s="28"/>
      <c r="AB40" s="3"/>
      <c r="AC40" s="28"/>
      <c r="AD40" s="28"/>
      <c r="AE40" s="27"/>
      <c r="AF40" s="28"/>
      <c r="AG40" s="3"/>
      <c r="AH40" s="3"/>
      <c r="AI40" s="3"/>
      <c r="AJ40" s="27"/>
      <c r="AK40" s="28"/>
      <c r="AL40" s="3"/>
      <c r="AM40" s="3"/>
      <c r="AN40" s="3"/>
      <c r="AO40" s="27"/>
      <c r="AP40" s="3"/>
      <c r="AQ40" s="3"/>
      <c r="AR40" s="3"/>
      <c r="AS40" s="3"/>
      <c r="AT40" s="27"/>
      <c r="AU40" s="3"/>
      <c r="AV40" s="3"/>
      <c r="AW40" s="3"/>
      <c r="AX40" s="3"/>
      <c r="AY40" s="27"/>
    </row>
    <row r="41" spans="1:51">
      <c r="G41" s="3"/>
      <c r="H41" s="3"/>
      <c r="I41" s="3"/>
      <c r="J41" s="3"/>
      <c r="K41" s="4"/>
      <c r="L41" s="3"/>
      <c r="M41" s="3"/>
      <c r="N41" s="3"/>
      <c r="O41" s="3"/>
      <c r="P41" s="4"/>
      <c r="Q41" s="3"/>
      <c r="R41" s="3"/>
      <c r="S41" s="3"/>
      <c r="T41" s="3"/>
      <c r="U41" s="4"/>
      <c r="V41" s="3"/>
      <c r="W41" s="3"/>
      <c r="X41" s="3"/>
      <c r="Y41" s="3"/>
      <c r="Z41" s="27"/>
      <c r="AA41" s="28"/>
      <c r="AB41" s="3"/>
      <c r="AC41" s="28"/>
      <c r="AD41" s="28"/>
      <c r="AE41" s="27"/>
      <c r="AF41" s="28"/>
      <c r="AG41" s="3"/>
      <c r="AH41" s="3"/>
      <c r="AI41" s="3"/>
      <c r="AJ41" s="27"/>
      <c r="AK41" s="28"/>
      <c r="AL41" s="3"/>
      <c r="AM41" s="3"/>
      <c r="AN41" s="3"/>
      <c r="AO41" s="27"/>
      <c r="AP41" s="3"/>
      <c r="AQ41" s="3"/>
      <c r="AR41" s="3"/>
      <c r="AS41" s="3"/>
      <c r="AT41" s="27"/>
      <c r="AU41" s="3"/>
      <c r="AV41" s="3"/>
      <c r="AW41" s="3"/>
      <c r="AX41" s="3"/>
      <c r="AY41" s="27"/>
    </row>
    <row r="42" spans="1:51">
      <c r="G42" s="3"/>
      <c r="H42" s="3"/>
      <c r="I42" s="3"/>
      <c r="J42" s="3"/>
      <c r="K42" s="4"/>
      <c r="L42" s="3"/>
      <c r="M42" s="3"/>
      <c r="N42" s="3"/>
      <c r="O42" s="3"/>
      <c r="P42" s="4"/>
      <c r="Q42" s="3"/>
      <c r="R42" s="3"/>
      <c r="S42" s="3"/>
      <c r="T42" s="3"/>
      <c r="U42" s="4"/>
      <c r="V42" s="3"/>
      <c r="W42" s="3"/>
      <c r="X42" s="3"/>
      <c r="Y42" s="3"/>
      <c r="Z42" s="27"/>
      <c r="AA42" s="28"/>
      <c r="AB42" s="3"/>
      <c r="AC42" s="28"/>
      <c r="AD42" s="28"/>
      <c r="AE42" s="27"/>
      <c r="AF42" s="28"/>
      <c r="AG42" s="3"/>
      <c r="AH42" s="3"/>
      <c r="AI42" s="3"/>
      <c r="AJ42" s="27"/>
      <c r="AK42" s="28"/>
      <c r="AL42" s="3"/>
      <c r="AM42" s="3"/>
      <c r="AN42" s="3"/>
      <c r="AO42" s="27"/>
      <c r="AP42" s="3"/>
      <c r="AQ42" s="3"/>
      <c r="AR42" s="3"/>
      <c r="AS42" s="3"/>
      <c r="AT42" s="27"/>
      <c r="AU42" s="3"/>
      <c r="AV42" s="3"/>
      <c r="AW42" s="3"/>
      <c r="AX42" s="3"/>
      <c r="AY42" s="27"/>
    </row>
    <row r="43" spans="1:51">
      <c r="G43" s="3"/>
      <c r="H43" s="3"/>
      <c r="I43" s="3"/>
      <c r="J43" s="3"/>
      <c r="K43" s="4"/>
      <c r="L43" s="3"/>
      <c r="M43" s="3"/>
      <c r="N43" s="3"/>
      <c r="O43" s="3"/>
      <c r="P43" s="4"/>
      <c r="Q43" s="3"/>
      <c r="R43" s="3"/>
      <c r="S43" s="3"/>
      <c r="T43" s="3"/>
      <c r="U43" s="4"/>
      <c r="V43" s="3"/>
      <c r="W43" s="3"/>
      <c r="X43" s="3"/>
      <c r="Y43" s="3"/>
      <c r="Z43" s="27"/>
      <c r="AA43" s="28"/>
      <c r="AB43" s="3"/>
      <c r="AC43" s="28"/>
      <c r="AD43" s="28"/>
      <c r="AE43" s="27"/>
      <c r="AF43" s="28"/>
      <c r="AG43" s="28"/>
      <c r="AH43" s="3"/>
      <c r="AI43" s="3"/>
      <c r="AJ43" s="27"/>
      <c r="AK43" s="28"/>
      <c r="AL43" s="28"/>
      <c r="AM43" s="3"/>
      <c r="AN43" s="3"/>
      <c r="AO43" s="27"/>
      <c r="AP43" s="3"/>
      <c r="AQ43" s="3"/>
      <c r="AR43" s="3"/>
      <c r="AS43" s="3"/>
      <c r="AT43" s="27"/>
      <c r="AU43" s="3"/>
      <c r="AV43" s="3"/>
      <c r="AW43" s="3"/>
      <c r="AX43" s="3"/>
      <c r="AY43" s="27"/>
    </row>
    <row r="44" spans="1:51">
      <c r="G44" s="3"/>
      <c r="H44" s="3"/>
      <c r="I44" s="3"/>
      <c r="J44" s="3"/>
      <c r="K44" s="4"/>
      <c r="L44" s="3"/>
      <c r="M44" s="3"/>
      <c r="N44" s="3"/>
      <c r="O44" s="3"/>
      <c r="P44" s="4"/>
      <c r="Q44" s="3"/>
      <c r="R44" s="3"/>
      <c r="S44" s="3"/>
      <c r="T44" s="3"/>
      <c r="U44" s="4"/>
      <c r="V44" s="3"/>
      <c r="W44" s="3"/>
      <c r="X44" s="3"/>
      <c r="Y44" s="3"/>
      <c r="Z44" s="27"/>
      <c r="AA44" s="28"/>
      <c r="AB44" s="3"/>
      <c r="AC44" s="28"/>
      <c r="AD44" s="28"/>
      <c r="AE44" s="27"/>
      <c r="AF44" s="28"/>
      <c r="AG44" s="3"/>
      <c r="AH44" s="3"/>
      <c r="AI44" s="3"/>
      <c r="AJ44" s="27"/>
      <c r="AK44" s="28"/>
      <c r="AL44" s="3"/>
      <c r="AM44" s="3"/>
      <c r="AN44" s="3"/>
      <c r="AO44" s="27"/>
      <c r="AP44" s="3"/>
      <c r="AQ44" s="3"/>
      <c r="AR44" s="3"/>
      <c r="AS44" s="3"/>
      <c r="AT44" s="27"/>
      <c r="AU44" s="3"/>
      <c r="AV44" s="3"/>
      <c r="AW44" s="3"/>
      <c r="AX44" s="3"/>
      <c r="AY44" s="27"/>
    </row>
    <row r="45" spans="1:51">
      <c r="A45" s="56" t="s">
        <v>238</v>
      </c>
      <c r="B45" s="57"/>
      <c r="C45" s="57"/>
      <c r="D45" s="57"/>
      <c r="E45" s="57"/>
      <c r="F45" s="57"/>
      <c r="G45" s="58"/>
      <c r="H45" s="58"/>
      <c r="I45" s="58"/>
      <c r="J45" s="58"/>
      <c r="K45" s="59"/>
      <c r="L45" s="58"/>
      <c r="M45" s="58"/>
      <c r="N45" s="58"/>
      <c r="O45" s="58"/>
      <c r="P45" s="59"/>
      <c r="Q45" s="58"/>
      <c r="R45" s="58"/>
      <c r="S45" s="58"/>
      <c r="T45" s="58"/>
      <c r="U45" s="59"/>
      <c r="V45" s="58"/>
      <c r="W45" s="58"/>
      <c r="X45" s="58"/>
      <c r="Y45" s="58"/>
      <c r="Z45" s="60"/>
      <c r="AA45" s="61"/>
      <c r="AB45" s="58"/>
      <c r="AC45" s="61"/>
      <c r="AD45" s="61"/>
      <c r="AE45" s="60"/>
      <c r="AF45" s="61"/>
      <c r="AG45" s="58"/>
      <c r="AH45" s="58"/>
      <c r="AI45" s="58"/>
      <c r="AJ45" s="60"/>
      <c r="AK45" s="61"/>
      <c r="AL45" s="58"/>
      <c r="AM45" s="58"/>
      <c r="AN45" s="58"/>
      <c r="AO45" s="60"/>
      <c r="AP45" s="58"/>
      <c r="AQ45" s="58"/>
      <c r="AR45" s="58"/>
      <c r="AS45" s="58"/>
      <c r="AT45" s="60"/>
      <c r="AU45" s="58"/>
      <c r="AV45" s="58"/>
      <c r="AW45" s="58"/>
      <c r="AX45" s="58"/>
      <c r="AY45" s="60"/>
    </row>
    <row r="46" spans="1:51">
      <c r="A46" s="3" t="s">
        <v>239</v>
      </c>
      <c r="B46" s="27">
        <f>IS!B6</f>
        <v>3518680</v>
      </c>
      <c r="C46" s="27">
        <f>IS!C6</f>
        <v>3326740</v>
      </c>
      <c r="D46" s="27">
        <f>IS!D6</f>
        <v>3492690</v>
      </c>
      <c r="E46" s="27">
        <f>IS!E6</f>
        <v>3590109</v>
      </c>
      <c r="F46" s="27">
        <f>IS!F6</f>
        <v>3623073</v>
      </c>
      <c r="G46" s="28">
        <f>IS!G6</f>
        <v>485359</v>
      </c>
      <c r="H46" s="28">
        <f>IS!H6</f>
        <v>698328</v>
      </c>
      <c r="I46" s="28">
        <f>IS!I6</f>
        <v>819653</v>
      </c>
      <c r="J46" s="28">
        <f>IS!J6</f>
        <v>1122044</v>
      </c>
      <c r="K46" s="27">
        <f>IS!K6</f>
        <v>3125384</v>
      </c>
      <c r="L46" s="28">
        <f>IS!L6</f>
        <v>781405</v>
      </c>
      <c r="M46" s="28">
        <f>IS!M6</f>
        <v>864850</v>
      </c>
      <c r="N46" s="28">
        <f>IS!N6</f>
        <v>905160</v>
      </c>
      <c r="O46" s="28">
        <f>IS!O6</f>
        <v>1161353</v>
      </c>
      <c r="P46" s="27">
        <f>IS!P6</f>
        <v>3712768</v>
      </c>
      <c r="Q46" s="28">
        <f>IS!Q6</f>
        <v>812762</v>
      </c>
      <c r="R46" s="28">
        <f>IS!R6</f>
        <v>805091</v>
      </c>
      <c r="S46" s="28">
        <f>IS!S6</f>
        <v>880084</v>
      </c>
      <c r="T46" s="28">
        <f>IS!T6</f>
        <v>1199814</v>
      </c>
      <c r="U46" s="27">
        <f>IS!U6</f>
        <v>3697751</v>
      </c>
      <c r="V46" s="28">
        <f>IS!V6</f>
        <v>835994</v>
      </c>
      <c r="W46" s="28">
        <f>IS!W6</f>
        <v>935345</v>
      </c>
      <c r="X46" s="28">
        <f>IS!X6</f>
        <v>1056431</v>
      </c>
      <c r="Y46" s="28">
        <f>IS!Y6</f>
        <v>1452907</v>
      </c>
      <c r="Z46" s="27">
        <f>IS!Z6</f>
        <v>4280677</v>
      </c>
      <c r="AA46" s="28">
        <f>IS!AA6</f>
        <v>1020730</v>
      </c>
      <c r="AB46" s="28">
        <f>IS!AB6</f>
        <v>1133974</v>
      </c>
      <c r="AC46" s="28">
        <f>IS!AC6</f>
        <v>1208966</v>
      </c>
      <c r="AD46" s="28">
        <f>IS!AD6</f>
        <v>1584917</v>
      </c>
      <c r="AE46" s="27">
        <f>IS!AE6</f>
        <v>4948587</v>
      </c>
      <c r="AF46" s="28">
        <f>IS!AF6</f>
        <v>1097311</v>
      </c>
      <c r="AG46" s="28">
        <f>IS!AG6</f>
        <v>1208560</v>
      </c>
      <c r="AH46" s="28">
        <f>IS!AH6</f>
        <v>1290619</v>
      </c>
      <c r="AI46" s="28">
        <f>IS!AI6</f>
        <v>1669802</v>
      </c>
      <c r="AJ46" s="27">
        <f>IS!AJ6</f>
        <v>5266292</v>
      </c>
      <c r="AK46" s="28">
        <f>IS!AK6</f>
        <v>1113821</v>
      </c>
      <c r="AL46" s="28">
        <f>IS!AL6</f>
        <v>1266689</v>
      </c>
      <c r="AM46" s="28">
        <f>IS!AM6</f>
        <v>1366937.56</v>
      </c>
      <c r="AN46" s="28">
        <f>IS!AN6</f>
        <v>1786688.14</v>
      </c>
      <c r="AO46" s="27">
        <f>IS!AO6</f>
        <v>5534135.7</v>
      </c>
      <c r="AP46" s="28">
        <f>IS!AP6</f>
        <v>1164021.03</v>
      </c>
      <c r="AQ46" s="28">
        <f>IS!AQ6</f>
        <v>1317356.56</v>
      </c>
      <c r="AR46" s="28">
        <f>IS!AR6</f>
        <v>1414613.0128</v>
      </c>
      <c r="AS46" s="28">
        <f>IS!AS6</f>
        <v>1848918.3556</v>
      </c>
      <c r="AT46" s="27">
        <f>IS!AT6</f>
        <v>5744908.9584</v>
      </c>
      <c r="AU46" s="28">
        <f>IS!AU6</f>
        <v>1195976.88615</v>
      </c>
      <c r="AV46" s="28">
        <f>IS!AV6</f>
        <v>1353773.8552</v>
      </c>
      <c r="AW46" s="28">
        <f>IS!AW6</f>
        <v>1457190.449208</v>
      </c>
      <c r="AX46" s="28">
        <f>IS!AX6</f>
        <v>1904655.74379</v>
      </c>
      <c r="AY46" s="27">
        <f>IS!AY6</f>
        <v>5911596.934348</v>
      </c>
    </row>
    <row r="47" spans="1:51">
      <c r="A47" s="3" t="s">
        <v>153</v>
      </c>
      <c r="B47" s="27">
        <f>IS!B7</f>
        <v>1340490</v>
      </c>
      <c r="C47" s="27">
        <f>IS!C7</f>
        <v>1298172</v>
      </c>
      <c r="D47" s="27">
        <f>IS!D7</f>
        <v>1408848</v>
      </c>
      <c r="E47" s="27">
        <f>IS!E7</f>
        <v>1430193</v>
      </c>
      <c r="F47" s="27">
        <f>IS!F7</f>
        <v>1472155</v>
      </c>
      <c r="G47" s="28">
        <f>IS!G7</f>
        <v>221214</v>
      </c>
      <c r="H47" s="28">
        <f>IS!H7</f>
        <v>274720</v>
      </c>
      <c r="I47" s="28">
        <f>IS!I7</f>
        <v>295220</v>
      </c>
      <c r="J47" s="28">
        <f>IS!J7</f>
        <v>443025</v>
      </c>
      <c r="K47" s="27">
        <f>IS!K7</f>
        <v>1234179</v>
      </c>
      <c r="L47" s="28">
        <f>IS!L7</f>
        <v>286271</v>
      </c>
      <c r="M47" s="28">
        <f>IS!M7</f>
        <v>301365</v>
      </c>
      <c r="N47" s="28">
        <f>IS!N7</f>
        <v>328916</v>
      </c>
      <c r="O47" s="28">
        <f>IS!O7</f>
        <v>484221</v>
      </c>
      <c r="P47" s="27">
        <f>IS!P7</f>
        <v>1400773</v>
      </c>
      <c r="Q47" s="28">
        <f>IS!Q7</f>
        <v>363216</v>
      </c>
      <c r="R47" s="28">
        <f>IS!R7</f>
        <v>339200</v>
      </c>
      <c r="S47" s="28">
        <f>IS!S7</f>
        <v>359268</v>
      </c>
      <c r="T47" s="28">
        <f>IS!T7</f>
        <v>531529</v>
      </c>
      <c r="U47" s="27">
        <f>IS!U7</f>
        <v>1593213</v>
      </c>
      <c r="V47" s="28">
        <f>IS!V7</f>
        <v>326200</v>
      </c>
      <c r="W47" s="28">
        <f>IS!W7</f>
        <v>350965</v>
      </c>
      <c r="X47" s="28">
        <f>IS!X7</f>
        <v>370762</v>
      </c>
      <c r="Y47" s="28">
        <f>IS!Y7</f>
        <v>539338</v>
      </c>
      <c r="Z47" s="27">
        <f>IS!Z7</f>
        <v>1587265</v>
      </c>
      <c r="AA47" s="28">
        <f>IS!AA7</f>
        <v>343273</v>
      </c>
      <c r="AB47" s="28">
        <f>IS!AB7</f>
        <v>397712</v>
      </c>
      <c r="AC47" s="28">
        <f>IS!AC7</f>
        <v>422034</v>
      </c>
      <c r="AD47" s="28">
        <f>IS!AD7</f>
        <v>610907</v>
      </c>
      <c r="AE47" s="27">
        <f>IS!AE7</f>
        <v>1773926</v>
      </c>
      <c r="AF47" s="28">
        <f>IS!AF7</f>
        <v>417133</v>
      </c>
      <c r="AG47" s="28">
        <f>IS!AG7</f>
        <v>451590</v>
      </c>
      <c r="AH47" s="28">
        <f>IS!AH7</f>
        <v>483670</v>
      </c>
      <c r="AI47" s="28">
        <f>IS!AI7</f>
        <v>676491</v>
      </c>
      <c r="AJ47" s="27">
        <f>IS!AJ7</f>
        <v>2028884</v>
      </c>
      <c r="AK47" s="28">
        <f>IS!AK7</f>
        <v>413838</v>
      </c>
      <c r="AL47" s="28">
        <f>IS!AL7</f>
        <v>466109</v>
      </c>
      <c r="AM47" s="28">
        <f>IS!AM7</f>
        <v>494500.814738862</v>
      </c>
      <c r="AN47" s="28">
        <f>IS!AN7</f>
        <v>693471.67162</v>
      </c>
      <c r="AO47" s="27">
        <f>IS!AO7</f>
        <v>2067919.48635886</v>
      </c>
      <c r="AP47" s="28">
        <f>IS!AP7</f>
        <v>431325.70129804</v>
      </c>
      <c r="AQ47" s="28">
        <f>IS!AQ7</f>
        <v>483436.00344</v>
      </c>
      <c r="AR47" s="28">
        <f>IS!AR7</f>
        <v>510333.18574532</v>
      </c>
      <c r="AS47" s="28">
        <f>IS!AS7</f>
        <v>715776.320230712</v>
      </c>
      <c r="AT47" s="27">
        <f>IS!AT7</f>
        <v>2140871.21071407</v>
      </c>
      <c r="AU47" s="28">
        <f>IS!AU7</f>
        <v>440774.92711721</v>
      </c>
      <c r="AV47" s="28">
        <f>IS!AV7</f>
        <v>496800.214908748</v>
      </c>
      <c r="AW47" s="28">
        <f>IS!AW7</f>
        <v>525693.34330527</v>
      </c>
      <c r="AX47" s="28">
        <f>IS!AX7</f>
        <v>733544.761215042</v>
      </c>
      <c r="AY47" s="27">
        <f>IS!AY7</f>
        <v>2196813.24654627</v>
      </c>
    </row>
    <row r="48" spans="1:51">
      <c r="A48" s="3" t="s">
        <v>240</v>
      </c>
      <c r="G48" s="3"/>
      <c r="H48" s="3"/>
      <c r="I48" s="3"/>
      <c r="J48" s="28">
        <f>J46+I46+H46+G46</f>
        <v>3125384</v>
      </c>
      <c r="K48" s="27">
        <f>J48</f>
        <v>3125384</v>
      </c>
      <c r="L48" s="28">
        <f>L46+J46+I46+H46</f>
        <v>3421430</v>
      </c>
      <c r="M48" s="28">
        <f>M46+L46+J46+I46</f>
        <v>3587952</v>
      </c>
      <c r="N48" s="28">
        <f>N46+M46+L46+J46</f>
        <v>3673459</v>
      </c>
      <c r="O48" s="28">
        <f>O46+N46+M46+L46</f>
        <v>3712768</v>
      </c>
      <c r="P48" s="27">
        <f>O48</f>
        <v>3712768</v>
      </c>
      <c r="Q48" s="28">
        <f>Q46+O46+N46+M46</f>
        <v>3744125</v>
      </c>
      <c r="R48" s="28">
        <f>R46+Q46+O46+N46</f>
        <v>3684366</v>
      </c>
      <c r="S48" s="28">
        <f>S46+R46+Q46+O46</f>
        <v>3659290</v>
      </c>
      <c r="T48" s="28">
        <f>T46+S46+R46+Q46</f>
        <v>3697751</v>
      </c>
      <c r="U48" s="27">
        <f>T48</f>
        <v>3697751</v>
      </c>
      <c r="V48" s="28">
        <f>V46+T46+S46+R46</f>
        <v>3720983</v>
      </c>
      <c r="W48" s="28">
        <f>W46+V46+T46+S46</f>
        <v>3851237</v>
      </c>
      <c r="X48" s="28">
        <f>X46+W46+V46+T46</f>
        <v>4027584</v>
      </c>
      <c r="Y48" s="28">
        <f>Y46+X46+W46+V46</f>
        <v>4280677</v>
      </c>
      <c r="Z48" s="27">
        <f>Y48</f>
        <v>4280677</v>
      </c>
      <c r="AA48" s="28">
        <f>AA46+Y46+X46+W46</f>
        <v>4465413</v>
      </c>
      <c r="AB48" s="28">
        <f>AB46+AA46+Y46+X46</f>
        <v>4664042</v>
      </c>
      <c r="AC48" s="28">
        <f>AC46+AB46+AA46+Y46</f>
        <v>4816577</v>
      </c>
      <c r="AD48" s="28">
        <f>AD46+AC46+AB46+AA46</f>
        <v>4948587</v>
      </c>
      <c r="AE48" s="27">
        <f>AD48</f>
        <v>4948587</v>
      </c>
      <c r="AF48" s="28">
        <f>AF46+AD46+AC46+AB46</f>
        <v>5025168</v>
      </c>
      <c r="AG48" s="28">
        <f>AG46+AF46+AD46+AC46</f>
        <v>5099754</v>
      </c>
      <c r="AH48" s="28">
        <f>AH46+AG46+AF46+AD46</f>
        <v>5181407</v>
      </c>
      <c r="AI48" s="28">
        <f>AI46+AH46+AG46+AF46</f>
        <v>5266292</v>
      </c>
      <c r="AJ48" s="27">
        <f>AI48</f>
        <v>5266292</v>
      </c>
      <c r="AK48" s="28">
        <f>AK46+AI46+AH46+AG46</f>
        <v>5282802</v>
      </c>
      <c r="AL48" s="28">
        <f>AL46+AK46+AI46+AH46</f>
        <v>5340931</v>
      </c>
      <c r="AM48" s="28">
        <f>AM46+AL46+AK46+AI46</f>
        <v>5417249.56</v>
      </c>
      <c r="AN48" s="28">
        <f>AN46+AM46+AL46+AK46</f>
        <v>5534135.7</v>
      </c>
      <c r="AO48" s="27">
        <f>AN48</f>
        <v>5534135.7</v>
      </c>
      <c r="AP48" s="28">
        <f>AP46+AN46+AM46+AL46</f>
        <v>5584335.73</v>
      </c>
      <c r="AQ48" s="28">
        <f>AQ46+AP46+AN46+AM46</f>
        <v>5635003.29</v>
      </c>
      <c r="AR48" s="28">
        <f>AR46+AQ46+AP46+AN46</f>
        <v>5682678.7428</v>
      </c>
      <c r="AS48" s="28">
        <f>AS46+AR46+AQ46+AP46</f>
        <v>5744908.9584</v>
      </c>
      <c r="AT48" s="27">
        <f>AS48</f>
        <v>5744908.9584</v>
      </c>
      <c r="AU48" s="28">
        <f>AU46+AS46+AR46+AQ46</f>
        <v>5776864.81455</v>
      </c>
      <c r="AV48" s="28">
        <f>AV46+AU46+AS46+AR46</f>
        <v>5813282.10975</v>
      </c>
      <c r="AW48" s="28">
        <f>AW46+AV46+AU46+AS46</f>
        <v>5855859.546158</v>
      </c>
      <c r="AX48" s="28">
        <f>AX46+AW46+AV46+AU46</f>
        <v>5911596.934348</v>
      </c>
      <c r="AY48" s="27">
        <f>AX48</f>
        <v>5911596.934348</v>
      </c>
    </row>
    <row r="49" spans="1:51">
      <c r="A49" s="3" t="s">
        <v>241</v>
      </c>
      <c r="G49" s="3"/>
      <c r="H49" s="3"/>
      <c r="I49" s="3"/>
      <c r="J49" s="28">
        <f>J47+I47+H47+G47</f>
        <v>1234179</v>
      </c>
      <c r="K49" s="27">
        <f>J49</f>
        <v>1234179</v>
      </c>
      <c r="L49" s="28">
        <f t="shared" ref="L49" si="141">L47+J47+I47+H47</f>
        <v>1299236</v>
      </c>
      <c r="M49" s="28">
        <f t="shared" ref="M49" si="142">M47+L47+J47+I47</f>
        <v>1325881</v>
      </c>
      <c r="N49" s="28">
        <f t="shared" ref="N49" si="143">N47+M47+L47+J47</f>
        <v>1359577</v>
      </c>
      <c r="O49" s="28">
        <f t="shared" ref="O49" si="144">O47+N47+M47+L47</f>
        <v>1400773</v>
      </c>
      <c r="P49" s="27">
        <f>O49</f>
        <v>1400773</v>
      </c>
      <c r="Q49" s="28">
        <f t="shared" ref="Q49" si="145">Q47+O47+N47+M47</f>
        <v>1477718</v>
      </c>
      <c r="R49" s="28">
        <f t="shared" ref="R49" si="146">R47+Q47+O47+N47</f>
        <v>1515553</v>
      </c>
      <c r="S49" s="28">
        <f t="shared" ref="S49" si="147">S47+R47+Q47+O47</f>
        <v>1545905</v>
      </c>
      <c r="T49" s="28">
        <f t="shared" ref="T49" si="148">T47+S47+R47+Q47</f>
        <v>1593213</v>
      </c>
      <c r="U49" s="27">
        <f>T49</f>
        <v>1593213</v>
      </c>
      <c r="V49" s="28">
        <f t="shared" ref="V49" si="149">V47+T47+S47+R47</f>
        <v>1556197</v>
      </c>
      <c r="W49" s="28">
        <f t="shared" ref="W49" si="150">W47+V47+T47+S47</f>
        <v>1567962</v>
      </c>
      <c r="X49" s="28">
        <f t="shared" ref="X49" si="151">X47+W47+V47+T47</f>
        <v>1579456</v>
      </c>
      <c r="Y49" s="28">
        <f t="shared" ref="Y49" si="152">Y47+X47+W47+V47</f>
        <v>1587265</v>
      </c>
      <c r="Z49" s="27">
        <f>Y49</f>
        <v>1587265</v>
      </c>
      <c r="AA49" s="28">
        <f t="shared" ref="AA49" si="153">AA47+Y47+X47+W47</f>
        <v>1604338</v>
      </c>
      <c r="AB49" s="28">
        <f t="shared" ref="AB49" si="154">AB47+AA47+Y47+X47</f>
        <v>1651085</v>
      </c>
      <c r="AC49" s="28">
        <f t="shared" ref="AC49" si="155">AC47+AB47+AA47+Y47</f>
        <v>1702357</v>
      </c>
      <c r="AD49" s="28">
        <f t="shared" ref="AD49" si="156">AD47+AC47+AB47+AA47</f>
        <v>1773926</v>
      </c>
      <c r="AE49" s="27">
        <f>AD49</f>
        <v>1773926</v>
      </c>
      <c r="AF49" s="28">
        <f t="shared" ref="AF49" si="157">AF47+AD47+AC47+AB47</f>
        <v>1847786</v>
      </c>
      <c r="AG49" s="28">
        <f t="shared" ref="AG49" si="158">AG47+AF47+AD47+AC47</f>
        <v>1901664</v>
      </c>
      <c r="AH49" s="28">
        <f t="shared" ref="AH49" si="159">AH47+AG47+AF47+AD47</f>
        <v>1963300</v>
      </c>
      <c r="AI49" s="28">
        <f t="shared" ref="AI49" si="160">AI47+AH47+AG47+AF47</f>
        <v>2028884</v>
      </c>
      <c r="AJ49" s="27">
        <f>AI49</f>
        <v>2028884</v>
      </c>
      <c r="AK49" s="28">
        <f>AK47+AI47+AH47+AG47</f>
        <v>2025589</v>
      </c>
      <c r="AL49" s="28">
        <f>AL47+AK47+AI47+AH47</f>
        <v>2040108</v>
      </c>
      <c r="AM49" s="28">
        <f>AM47+AL47+AK47+AI47</f>
        <v>2050938.81473886</v>
      </c>
      <c r="AN49" s="28">
        <f>AN47+AM47+AL47+AK47</f>
        <v>2067919.48635886</v>
      </c>
      <c r="AO49" s="27">
        <f>AN49</f>
        <v>2067919.48635886</v>
      </c>
      <c r="AP49" s="28">
        <f>AP47+AN47+AM47+AL47</f>
        <v>2085407.1876569</v>
      </c>
      <c r="AQ49" s="28">
        <f>AQ47+AP47+AN47+AM47</f>
        <v>2102734.1910969</v>
      </c>
      <c r="AR49" s="28">
        <f>AR47+AQ47+AP47+AN47</f>
        <v>2118566.56210336</v>
      </c>
      <c r="AS49" s="28">
        <f>AS47+AR47+AQ47+AP47</f>
        <v>2140871.21071407</v>
      </c>
      <c r="AT49" s="27">
        <f>AS49</f>
        <v>2140871.21071407</v>
      </c>
      <c r="AU49" s="28">
        <f>AU47+AS47+AR47+AQ47</f>
        <v>2150320.43653324</v>
      </c>
      <c r="AV49" s="28">
        <f>AV47+AU47+AS47+AR47</f>
        <v>2163684.64800199</v>
      </c>
      <c r="AW49" s="28">
        <f>AW47+AV47+AU47+AS47</f>
        <v>2179044.80556194</v>
      </c>
      <c r="AX49" s="28">
        <f>AX47+AW47+AV47+AU47</f>
        <v>2196813.24654627</v>
      </c>
      <c r="AY49" s="27">
        <f>AX49</f>
        <v>2196813.24654627</v>
      </c>
    </row>
    <row r="50" spans="1:51">
      <c r="G50" s="3"/>
      <c r="H50" s="3"/>
      <c r="I50" s="3"/>
      <c r="J50" s="3"/>
      <c r="K50" s="4"/>
      <c r="L50" s="3"/>
      <c r="M50" s="3"/>
      <c r="N50" s="3"/>
      <c r="O50" s="3"/>
      <c r="P50" s="4"/>
      <c r="Q50" s="3"/>
      <c r="R50" s="3"/>
      <c r="S50" s="3"/>
      <c r="T50" s="3"/>
      <c r="U50" s="4"/>
      <c r="V50" s="3"/>
      <c r="W50" s="3"/>
      <c r="X50" s="3"/>
      <c r="Y50" s="3"/>
      <c r="Z50" s="27"/>
      <c r="AA50" s="28"/>
      <c r="AB50" s="3"/>
      <c r="AC50" s="28"/>
      <c r="AD50" s="28"/>
      <c r="AE50" s="27"/>
      <c r="AF50" s="28"/>
      <c r="AG50" s="3"/>
      <c r="AH50" s="3"/>
      <c r="AI50" s="3"/>
      <c r="AJ50" s="27"/>
      <c r="AK50" s="28"/>
      <c r="AL50" s="3"/>
      <c r="AM50" s="3"/>
      <c r="AN50" s="3"/>
      <c r="AO50" s="27"/>
      <c r="AP50" s="3"/>
      <c r="AQ50" s="3"/>
      <c r="AR50" s="3"/>
      <c r="AS50" s="3"/>
      <c r="AT50" s="27"/>
      <c r="AU50" s="3"/>
      <c r="AV50" s="3"/>
      <c r="AW50" s="3"/>
      <c r="AX50" s="3"/>
      <c r="AY50" s="27"/>
    </row>
    <row r="51" spans="1:51">
      <c r="A51" s="14" t="s">
        <v>259</v>
      </c>
      <c r="B51" s="15"/>
      <c r="C51" s="15"/>
      <c r="D51" s="15"/>
      <c r="E51" s="15"/>
      <c r="F51" s="15"/>
      <c r="G51" s="62"/>
      <c r="H51" s="62"/>
      <c r="I51" s="62"/>
      <c r="J51" s="62"/>
      <c r="K51" s="63"/>
      <c r="L51" s="62"/>
      <c r="M51" s="62"/>
      <c r="N51" s="62"/>
      <c r="O51" s="62"/>
      <c r="P51" s="63"/>
      <c r="Q51" s="62"/>
      <c r="R51" s="62"/>
      <c r="S51" s="62"/>
      <c r="T51" s="62"/>
      <c r="U51" s="63"/>
      <c r="V51" s="62"/>
      <c r="W51" s="62"/>
      <c r="X51" s="62"/>
      <c r="Y51" s="62"/>
      <c r="Z51" s="63"/>
      <c r="AA51" s="62"/>
      <c r="AB51" s="62"/>
      <c r="AC51" s="62"/>
      <c r="AD51" s="62"/>
      <c r="AE51" s="63"/>
      <c r="AF51" s="62"/>
      <c r="AG51" s="62"/>
      <c r="AH51" s="18"/>
      <c r="AI51" s="62"/>
      <c r="AJ51" s="63"/>
      <c r="AK51" s="62"/>
      <c r="AL51" s="62"/>
      <c r="AM51" s="62"/>
      <c r="AN51" s="18"/>
      <c r="AO51" s="63"/>
      <c r="AP51" s="62"/>
      <c r="AQ51" s="18"/>
      <c r="AR51" s="62"/>
      <c r="AS51" s="18"/>
      <c r="AT51" s="63"/>
      <c r="AU51" s="62"/>
      <c r="AV51" s="18"/>
      <c r="AW51" s="62"/>
      <c r="AX51" s="18"/>
      <c r="AY51" s="63"/>
    </row>
    <row r="52" spans="1:51">
      <c r="A52" s="3" t="s">
        <v>321</v>
      </c>
      <c r="B52" s="64">
        <f>B7/B46</f>
        <v>0.06072731819887</v>
      </c>
      <c r="C52" s="64">
        <f t="shared" ref="C52:F52" si="161">C7/C46</f>
        <v>0.0587403884884301</v>
      </c>
      <c r="D52" s="64">
        <f t="shared" si="161"/>
        <v>0.055701765687765</v>
      </c>
      <c r="E52" s="64">
        <f t="shared" si="161"/>
        <v>0.0495890236201742</v>
      </c>
      <c r="F52" s="64">
        <f t="shared" si="161"/>
        <v>0.0479220264123853</v>
      </c>
      <c r="G52" s="65"/>
      <c r="H52" s="65"/>
      <c r="I52" s="65"/>
      <c r="J52" s="66">
        <f>J7/J48</f>
        <v>0.0124890253485652</v>
      </c>
      <c r="K52" s="64">
        <f>K7/K$48</f>
        <v>0.0532033823683746</v>
      </c>
      <c r="L52" s="66">
        <f>L7/L48</f>
        <v>0.011064379513829</v>
      </c>
      <c r="M52" s="66">
        <f>M7/M48</f>
        <v>0.0095856912244088</v>
      </c>
      <c r="N52" s="66">
        <f>N7/N48</f>
        <v>0.00967426068999273</v>
      </c>
      <c r="O52" s="66">
        <f>O7/O48</f>
        <v>0.00976306626215266</v>
      </c>
      <c r="P52" s="64">
        <f>P7/P$48</f>
        <v>0.0387945058780942</v>
      </c>
      <c r="Q52" s="66">
        <f>Q7/Q48</f>
        <v>0.00905097986846059</v>
      </c>
      <c r="R52" s="66">
        <f>R7/R48</f>
        <v>0.0085917088584576</v>
      </c>
      <c r="S52" s="66">
        <f>S7/S48</f>
        <v>0.00897715130530786</v>
      </c>
      <c r="T52" s="66">
        <f>T7/T48</f>
        <v>0.00915421292564048</v>
      </c>
      <c r="U52" s="64">
        <f>U7/U$48</f>
        <v>0.0357630895103537</v>
      </c>
      <c r="V52" s="66">
        <f>V7/V48</f>
        <v>0.00968238769163955</v>
      </c>
      <c r="W52" s="66">
        <f>W7/W48</f>
        <v>0.00944709453092604</v>
      </c>
      <c r="X52" s="66">
        <f>X7/X48</f>
        <v>0.0082272647820629</v>
      </c>
      <c r="Y52" s="66">
        <f>Y7/Y48</f>
        <v>0.00830639639477587</v>
      </c>
      <c r="Z52" s="64">
        <f t="shared" ref="Z52:AG52" si="162">Z7/Z$48</f>
        <v>0.0329630102901948</v>
      </c>
      <c r="AA52" s="66">
        <f t="shared" si="162"/>
        <v>0.00844020474701892</v>
      </c>
      <c r="AB52" s="66">
        <f t="shared" si="162"/>
        <v>0.00843796003552284</v>
      </c>
      <c r="AC52" s="66">
        <f t="shared" si="162"/>
        <v>0.00821454738499976</v>
      </c>
      <c r="AD52" s="66">
        <f t="shared" si="162"/>
        <v>0.00750982048006835</v>
      </c>
      <c r="AE52" s="64">
        <f t="shared" si="162"/>
        <v>0.0310741227748446</v>
      </c>
      <c r="AF52" s="66">
        <f t="shared" si="162"/>
        <v>0.00767655927125223</v>
      </c>
      <c r="AG52" s="66">
        <f t="shared" si="162"/>
        <v>0.00733839318523992</v>
      </c>
      <c r="AH52" s="66">
        <f t="shared" ref="AH52:AJ52" si="163">AH7/AH$48</f>
        <v>0.00744315202415097</v>
      </c>
      <c r="AI52" s="66">
        <f t="shared" si="163"/>
        <v>0.00768187559671967</v>
      </c>
      <c r="AJ52" s="64">
        <f t="shared" si="163"/>
        <v>0.0294364611760989</v>
      </c>
      <c r="AK52" s="66">
        <f t="shared" ref="AK52:AL52" si="164">AK7/AK$48</f>
        <v>0.00800787158027123</v>
      </c>
      <c r="AL52" s="66">
        <f t="shared" si="164"/>
        <v>0.00810326888701614</v>
      </c>
      <c r="AM52" s="67">
        <v>0.008</v>
      </c>
      <c r="AN52" s="67">
        <v>0.008</v>
      </c>
      <c r="AO52" s="64">
        <f>AO7/AO$48</f>
        <v>0.0312955972655315</v>
      </c>
      <c r="AP52" s="67">
        <v>0.008</v>
      </c>
      <c r="AQ52" s="67">
        <v>0.008</v>
      </c>
      <c r="AR52" s="67">
        <v>0.008</v>
      </c>
      <c r="AS52" s="67">
        <v>0.008</v>
      </c>
      <c r="AT52" s="64">
        <f>AT7/AT$48</f>
        <v>0.0315366901514935</v>
      </c>
      <c r="AU52" s="67">
        <v>0.008</v>
      </c>
      <c r="AV52" s="67">
        <v>0.008</v>
      </c>
      <c r="AW52" s="67">
        <v>0.008</v>
      </c>
      <c r="AX52" s="67">
        <v>0.008</v>
      </c>
      <c r="AY52" s="64">
        <f>AY7/AY$48</f>
        <v>0.0316091961806014</v>
      </c>
    </row>
    <row r="53" spans="1:51">
      <c r="A53" s="3" t="s">
        <v>322</v>
      </c>
      <c r="B53" s="64">
        <f>B23/B46</f>
        <v>-0.04069679538918</v>
      </c>
      <c r="C53" s="64">
        <f t="shared" ref="C53:F53" si="165">C23/C46</f>
        <v>-0.04233694247221</v>
      </c>
      <c r="D53" s="64">
        <f t="shared" si="165"/>
        <v>-0.0306356991316149</v>
      </c>
      <c r="E53" s="64">
        <f t="shared" si="165"/>
        <v>-0.0424480148095782</v>
      </c>
      <c r="F53" s="64">
        <f t="shared" si="165"/>
        <v>-0.0559701667617517</v>
      </c>
      <c r="G53" s="65"/>
      <c r="H53" s="65"/>
      <c r="I53" s="65"/>
      <c r="J53" s="66">
        <f>J23/J48</f>
        <v>-0.00325144046299591</v>
      </c>
      <c r="K53" s="64">
        <f>-K23/K$48</f>
        <v>0.0326071932280961</v>
      </c>
      <c r="L53" s="66">
        <f>L23/L48</f>
        <v>-0.00420993561171791</v>
      </c>
      <c r="M53" s="66">
        <f>M23/M48</f>
        <v>-0.00581529518789549</v>
      </c>
      <c r="N53" s="66">
        <f>N23/N48</f>
        <v>-0.00733749852659306</v>
      </c>
      <c r="O53" s="66">
        <f>O23/O48</f>
        <v>-0.00936120974970696</v>
      </c>
      <c r="P53" s="64">
        <f>-P23/P$48</f>
        <v>0.0261204039681445</v>
      </c>
      <c r="Q53" s="66">
        <f>Q23/Q48</f>
        <v>-0.00702220144893667</v>
      </c>
      <c r="R53" s="66">
        <f>R23/R48</f>
        <v>-0.00903547584577645</v>
      </c>
      <c r="S53" s="66">
        <f>S23/S48</f>
        <v>-0.0165879173282249</v>
      </c>
      <c r="T53" s="66">
        <f>T23/T48</f>
        <v>-0.0119759280708733</v>
      </c>
      <c r="U53" s="64">
        <f>-U23/U$48</f>
        <v>0.0445043487244003</v>
      </c>
      <c r="V53" s="66">
        <f>V23/V48</f>
        <v>-0.0124674044466207</v>
      </c>
      <c r="W53" s="66">
        <f>W23/W48</f>
        <v>-0.0112662502982808</v>
      </c>
      <c r="X53" s="66">
        <f>X23/X48</f>
        <v>-0.00963878096645532</v>
      </c>
      <c r="Y53" s="66">
        <f>Y23/Y48</f>
        <v>-0.00682041649019536</v>
      </c>
      <c r="Z53" s="64">
        <f t="shared" ref="Z53:AG53" si="166">-Z23/Z$48</f>
        <v>0.0368626271031428</v>
      </c>
      <c r="AA53" s="66">
        <f t="shared" si="166"/>
        <v>0.00870826505857353</v>
      </c>
      <c r="AB53" s="66">
        <f t="shared" si="166"/>
        <v>0.00916865671449785</v>
      </c>
      <c r="AC53" s="66">
        <f t="shared" si="166"/>
        <v>0.0104619940675712</v>
      </c>
      <c r="AD53" s="66">
        <f t="shared" si="166"/>
        <v>0.0102782875192454</v>
      </c>
      <c r="AE53" s="64">
        <f t="shared" si="166"/>
        <v>0.0369606515961021</v>
      </c>
      <c r="AF53" s="66">
        <f t="shared" si="166"/>
        <v>0.0101019508203507</v>
      </c>
      <c r="AG53" s="66">
        <f t="shared" si="166"/>
        <v>0.0129769004544141</v>
      </c>
      <c r="AH53" s="66">
        <f t="shared" ref="AH53:AJ53" si="167">-AH23/AH$48</f>
        <v>0.0131757648067407</v>
      </c>
      <c r="AI53" s="66">
        <f t="shared" si="167"/>
        <v>0.0105504973898143</v>
      </c>
      <c r="AJ53" s="64">
        <f t="shared" si="167"/>
        <v>0.0457198347528014</v>
      </c>
      <c r="AK53" s="66">
        <f t="shared" ref="AK53:AL53" si="168">-AK23/AK$48</f>
        <v>0.0116114516500902</v>
      </c>
      <c r="AL53" s="66">
        <f t="shared" si="168"/>
        <v>0.012734858398283</v>
      </c>
      <c r="AM53" s="67">
        <v>0.012</v>
      </c>
      <c r="AN53" s="67">
        <v>0.01</v>
      </c>
      <c r="AO53" s="64">
        <f>-AO23/AO$48</f>
        <v>0.0451209303956894</v>
      </c>
      <c r="AP53" s="67">
        <v>0.01</v>
      </c>
      <c r="AQ53" s="67">
        <v>0.01</v>
      </c>
      <c r="AR53" s="67">
        <v>0.01</v>
      </c>
      <c r="AS53" s="67">
        <v>0.01</v>
      </c>
      <c r="AT53" s="64">
        <f>-AT23/AT$48</f>
        <v>0.0394208626893669</v>
      </c>
      <c r="AU53" s="67">
        <v>0.01</v>
      </c>
      <c r="AV53" s="67">
        <v>0.01</v>
      </c>
      <c r="AW53" s="67">
        <v>0.01</v>
      </c>
      <c r="AX53" s="67">
        <v>0.01</v>
      </c>
      <c r="AY53" s="64">
        <f>-AY23/AY$48</f>
        <v>0.0395114952257518</v>
      </c>
    </row>
    <row r="54" spans="1:51">
      <c r="A54" s="3" t="s">
        <v>323</v>
      </c>
      <c r="B54" s="64">
        <f>B10/B46</f>
        <v>0.0080595564245683</v>
      </c>
      <c r="C54" s="64">
        <f t="shared" ref="C54:G54" si="169">C10/C46</f>
        <v>0.0066491520227009</v>
      </c>
      <c r="D54" s="64">
        <f t="shared" si="169"/>
        <v>0.0063297916505616</v>
      </c>
      <c r="E54" s="64">
        <f t="shared" si="169"/>
        <v>0.00605970459392737</v>
      </c>
      <c r="F54" s="64">
        <f t="shared" si="169"/>
        <v>0.00386605514158837</v>
      </c>
      <c r="G54" s="66">
        <f t="shared" si="169"/>
        <v>0.0106354265605459</v>
      </c>
      <c r="H54" s="66">
        <f t="shared" ref="H54:J54" si="170">H10/H46</f>
        <v>0.00536137746159398</v>
      </c>
      <c r="I54" s="66">
        <f t="shared" si="170"/>
        <v>0.0056963129519443</v>
      </c>
      <c r="J54" s="66">
        <f t="shared" si="170"/>
        <v>0.00455151491385365</v>
      </c>
      <c r="K54" s="64">
        <f t="shared" ref="K54:AG54" si="171">K10/K46</f>
        <v>0.00597750548412611</v>
      </c>
      <c r="L54" s="66">
        <f t="shared" si="171"/>
        <v>0.010813854531261</v>
      </c>
      <c r="M54" s="66">
        <f t="shared" si="171"/>
        <v>0.00750072266867087</v>
      </c>
      <c r="N54" s="66">
        <f t="shared" si="171"/>
        <v>0.00810022537451942</v>
      </c>
      <c r="O54" s="66">
        <f t="shared" si="171"/>
        <v>0.00605758972508789</v>
      </c>
      <c r="P54" s="64">
        <f t="shared" si="171"/>
        <v>0.00789276356615873</v>
      </c>
      <c r="Q54" s="66">
        <f t="shared" si="171"/>
        <v>0.0102809924676597</v>
      </c>
      <c r="R54" s="66">
        <f t="shared" si="171"/>
        <v>0.00963866196492074</v>
      </c>
      <c r="S54" s="66">
        <f t="shared" si="171"/>
        <v>0.0083060253339454</v>
      </c>
      <c r="T54" s="66">
        <f t="shared" si="171"/>
        <v>0.00464155277401331</v>
      </c>
      <c r="U54" s="64">
        <f t="shared" si="171"/>
        <v>0.00784125269657151</v>
      </c>
      <c r="V54" s="66">
        <f t="shared" si="171"/>
        <v>0.00967471058404725</v>
      </c>
      <c r="W54" s="66">
        <f t="shared" si="171"/>
        <v>0.0123580069386162</v>
      </c>
      <c r="X54" s="66">
        <f t="shared" si="171"/>
        <v>0.00916671320701494</v>
      </c>
      <c r="Y54" s="66">
        <f t="shared" si="171"/>
        <v>0.00742717875266621</v>
      </c>
      <c r="Z54" s="64">
        <f t="shared" si="171"/>
        <v>0.00937281649608228</v>
      </c>
      <c r="AA54" s="66">
        <f t="shared" si="171"/>
        <v>0.0111322288950065</v>
      </c>
      <c r="AB54" s="66">
        <f t="shared" si="171"/>
        <v>0.0081421619896047</v>
      </c>
      <c r="AC54" s="66">
        <f t="shared" si="171"/>
        <v>0.00788028778311383</v>
      </c>
      <c r="AD54" s="66">
        <f t="shared" si="171"/>
        <v>0.00539081857283378</v>
      </c>
      <c r="AE54" s="64">
        <f t="shared" si="171"/>
        <v>0.00781374562071961</v>
      </c>
      <c r="AF54" s="66">
        <f t="shared" si="171"/>
        <v>0.00965177602338808</v>
      </c>
      <c r="AG54" s="66">
        <f t="shared" si="171"/>
        <v>0.00810303170715562</v>
      </c>
      <c r="AH54" s="66">
        <f t="shared" ref="AH54:AI54" si="172">AH10/AH46</f>
        <v>0.00705630399056577</v>
      </c>
      <c r="AI54" s="66">
        <f t="shared" si="172"/>
        <v>0.00572343307769424</v>
      </c>
      <c r="AJ54" s="64">
        <f>AJ10/AJ$46</f>
        <v>0.00741470469165022</v>
      </c>
      <c r="AK54" s="66">
        <f t="shared" ref="AK54:AL54" si="173">AK10/AK46</f>
        <v>0.0108410597394016</v>
      </c>
      <c r="AL54" s="66">
        <f t="shared" si="173"/>
        <v>0.00671040800070104</v>
      </c>
      <c r="AM54" s="67">
        <v>0.007</v>
      </c>
      <c r="AN54" s="67">
        <v>0.005</v>
      </c>
      <c r="AO54" s="64">
        <f>AO10/AO$46</f>
        <v>0.00706108518806288</v>
      </c>
      <c r="AP54" s="67">
        <v>0.0085</v>
      </c>
      <c r="AQ54" s="67">
        <v>0.0065</v>
      </c>
      <c r="AR54" s="67">
        <v>0.0065</v>
      </c>
      <c r="AS54" s="67">
        <v>0.0048</v>
      </c>
      <c r="AT54" s="64">
        <f>AT10/AT$46</f>
        <v>0.00635811452358559</v>
      </c>
      <c r="AU54" s="67">
        <v>0.0085</v>
      </c>
      <c r="AV54" s="67">
        <v>0.0065</v>
      </c>
      <c r="AW54" s="67">
        <v>0.0065</v>
      </c>
      <c r="AX54" s="67">
        <v>0.0048</v>
      </c>
      <c r="AY54" s="64">
        <f>AY10/AY$46</f>
        <v>0.00635689805960421</v>
      </c>
    </row>
    <row r="55" spans="1:51">
      <c r="B55" s="64"/>
      <c r="C55" s="64"/>
      <c r="D55" s="64"/>
      <c r="E55" s="64"/>
      <c r="F55" s="64"/>
      <c r="G55" s="66"/>
      <c r="H55" s="66"/>
      <c r="I55" s="66"/>
      <c r="J55" s="66"/>
      <c r="K55" s="64"/>
      <c r="L55" s="66"/>
      <c r="M55" s="66"/>
      <c r="N55" s="66"/>
      <c r="O55" s="66"/>
      <c r="P55" s="64"/>
      <c r="Q55" s="66"/>
      <c r="R55" s="66"/>
      <c r="S55" s="66"/>
      <c r="T55" s="66"/>
      <c r="U55" s="64"/>
      <c r="V55" s="66"/>
      <c r="W55" s="66"/>
      <c r="X55" s="66"/>
      <c r="Y55" s="66"/>
      <c r="Z55" s="64"/>
      <c r="AA55" s="66"/>
      <c r="AB55" s="66"/>
      <c r="AC55" s="66"/>
      <c r="AD55" s="66"/>
      <c r="AE55" s="64"/>
      <c r="AF55" s="66"/>
      <c r="AG55" s="66"/>
      <c r="AH55" s="67"/>
      <c r="AI55" s="67"/>
      <c r="AJ55" s="64"/>
      <c r="AK55" s="66"/>
      <c r="AL55" s="66"/>
      <c r="AM55" s="67"/>
      <c r="AN55" s="67"/>
      <c r="AO55" s="64"/>
      <c r="AP55" s="67"/>
      <c r="AQ55" s="67"/>
      <c r="AR55" s="67"/>
      <c r="AS55" s="67"/>
      <c r="AT55" s="64"/>
      <c r="AU55" s="67"/>
      <c r="AV55" s="67"/>
      <c r="AW55" s="67"/>
      <c r="AX55" s="67"/>
      <c r="AY55" s="64"/>
    </row>
    <row r="56" spans="1:51">
      <c r="A56" s="3" t="s">
        <v>324</v>
      </c>
      <c r="B56" s="27">
        <f t="shared" ref="B56:AG56" si="174">B18+B23</f>
        <v>166742</v>
      </c>
      <c r="C56" s="27">
        <f t="shared" si="174"/>
        <v>43747</v>
      </c>
      <c r="D56" s="27">
        <f t="shared" si="174"/>
        <v>180657</v>
      </c>
      <c r="E56" s="27">
        <f t="shared" si="174"/>
        <v>200540</v>
      </c>
      <c r="F56" s="27">
        <f t="shared" si="174"/>
        <v>97901</v>
      </c>
      <c r="G56" s="28">
        <f t="shared" si="174"/>
        <v>-137766</v>
      </c>
      <c r="H56" s="28">
        <f t="shared" si="174"/>
        <v>158378</v>
      </c>
      <c r="I56" s="28">
        <f t="shared" si="174"/>
        <v>46534</v>
      </c>
      <c r="J56" s="28">
        <f t="shared" si="174"/>
        <v>285862</v>
      </c>
      <c r="K56" s="27">
        <f t="shared" si="174"/>
        <v>353008</v>
      </c>
      <c r="L56" s="28">
        <f t="shared" si="174"/>
        <v>-145754</v>
      </c>
      <c r="M56" s="28">
        <f t="shared" si="174"/>
        <v>160430</v>
      </c>
      <c r="N56" s="28">
        <f t="shared" si="174"/>
        <v>54388</v>
      </c>
      <c r="O56" s="28">
        <f t="shared" si="174"/>
        <v>111739</v>
      </c>
      <c r="P56" s="27">
        <f t="shared" si="174"/>
        <v>180803</v>
      </c>
      <c r="Q56" s="28">
        <f t="shared" si="174"/>
        <v>-244079</v>
      </c>
      <c r="R56" s="28">
        <f t="shared" si="174"/>
        <v>-75236</v>
      </c>
      <c r="S56" s="28">
        <f t="shared" si="174"/>
        <v>-90161</v>
      </c>
      <c r="T56" s="28">
        <f t="shared" si="174"/>
        <v>254567</v>
      </c>
      <c r="U56" s="27">
        <f t="shared" si="174"/>
        <v>-154909</v>
      </c>
      <c r="V56" s="28">
        <f t="shared" si="174"/>
        <v>-46951</v>
      </c>
      <c r="W56" s="28">
        <f t="shared" si="174"/>
        <v>173499</v>
      </c>
      <c r="X56" s="28">
        <f t="shared" si="174"/>
        <v>94993</v>
      </c>
      <c r="Y56" s="28">
        <f t="shared" si="174"/>
        <v>274084</v>
      </c>
      <c r="Z56" s="27">
        <f t="shared" si="174"/>
        <v>495625</v>
      </c>
      <c r="AA56" s="28">
        <f t="shared" si="174"/>
        <v>56124</v>
      </c>
      <c r="AB56" s="28">
        <f t="shared" si="174"/>
        <v>122346</v>
      </c>
      <c r="AC56" s="28">
        <f t="shared" si="174"/>
        <v>92246</v>
      </c>
      <c r="AD56" s="28">
        <f t="shared" si="174"/>
        <v>256757</v>
      </c>
      <c r="AE56" s="27">
        <f t="shared" si="174"/>
        <v>527473</v>
      </c>
      <c r="AF56" s="28">
        <f t="shared" si="174"/>
        <v>-54764</v>
      </c>
      <c r="AG56" s="28">
        <f t="shared" si="174"/>
        <v>50714</v>
      </c>
      <c r="AH56" s="28">
        <f t="shared" ref="AH56:AY56" si="175">AH18+AH23</f>
        <v>131838</v>
      </c>
      <c r="AI56" s="28">
        <f t="shared" si="175"/>
        <v>250580</v>
      </c>
      <c r="AJ56" s="27">
        <f t="shared" si="175"/>
        <v>378368</v>
      </c>
      <c r="AK56" s="28">
        <f t="shared" si="175"/>
        <v>-17085</v>
      </c>
      <c r="AL56" s="28">
        <f t="shared" si="175"/>
        <v>201129</v>
      </c>
      <c r="AM56" s="28">
        <f t="shared" si="175"/>
        <v>168633.139111715</v>
      </c>
      <c r="AN56" s="28">
        <f t="shared" si="175"/>
        <v>212245.606651639</v>
      </c>
      <c r="AO56" s="27">
        <f t="shared" si="175"/>
        <v>564922.745763354</v>
      </c>
      <c r="AP56" s="28">
        <f t="shared" si="175"/>
        <v>150213.091816578</v>
      </c>
      <c r="AQ56" s="28">
        <f t="shared" si="175"/>
        <v>217469.701684944</v>
      </c>
      <c r="AR56" s="28">
        <f t="shared" si="175"/>
        <v>-15511.4964747188</v>
      </c>
      <c r="AS56" s="28">
        <f t="shared" si="175"/>
        <v>168319.095681592</v>
      </c>
      <c r="AT56" s="27">
        <f t="shared" si="175"/>
        <v>520490.392708396</v>
      </c>
      <c r="AU56" s="28">
        <f t="shared" si="175"/>
        <v>120445.388435447</v>
      </c>
      <c r="AV56" s="28">
        <f t="shared" si="175"/>
        <v>171289.424820896</v>
      </c>
      <c r="AW56" s="28">
        <f t="shared" si="175"/>
        <v>135103.401583118</v>
      </c>
      <c r="AX56" s="28">
        <f t="shared" si="175"/>
        <v>91451.7747949246</v>
      </c>
      <c r="AY56" s="27">
        <f t="shared" si="175"/>
        <v>518289.989634385</v>
      </c>
    </row>
    <row r="57" spans="1:51">
      <c r="A57" s="3" t="s">
        <v>325</v>
      </c>
      <c r="B57" s="64">
        <f>B56/IS!B61</f>
        <v>0.476167630470479</v>
      </c>
      <c r="C57" s="64">
        <f>C56/IS!C61</f>
        <v>0.220192675511889</v>
      </c>
      <c r="D57" s="64">
        <f>D56/IS!D61</f>
        <v>0.611712321809501</v>
      </c>
      <c r="E57" s="64">
        <f>E56/IS!E61</f>
        <v>0.633293543273269</v>
      </c>
      <c r="F57" s="64">
        <f>F56/IS!F61</f>
        <v>0.381762171225799</v>
      </c>
      <c r="G57" s="66">
        <f>G56/IS!G61</f>
        <v>1.12773202796287</v>
      </c>
      <c r="H57" s="66">
        <f>H56/IS!H61</f>
        <v>2.59883167601982</v>
      </c>
      <c r="I57" s="66">
        <f>I56/IS!I61</f>
        <v>0.425201023391813</v>
      </c>
      <c r="J57" s="66">
        <f>J56/IS!J61</f>
        <v>1.67632484797307</v>
      </c>
      <c r="K57" s="64">
        <f>K56/IS!K61</f>
        <v>1.61375823432336</v>
      </c>
      <c r="L57" s="66">
        <f>L56/IS!L61</f>
        <v>-1.48799934662542</v>
      </c>
      <c r="M57" s="66">
        <f>M56/IS!M61</f>
        <v>1.06977581585159</v>
      </c>
      <c r="N57" s="66">
        <f>N56/IS!N61</f>
        <v>0.472865116764333</v>
      </c>
      <c r="O57" s="66">
        <f>O56/IS!O61</f>
        <v>0.819910186231491</v>
      </c>
      <c r="P57" s="64">
        <f>P56/IS!P61</f>
        <v>0.362171712214479</v>
      </c>
      <c r="Q57" s="66">
        <f>Q56/IS!Q61</f>
        <v>-8.84857163573086</v>
      </c>
      <c r="R57" s="66">
        <f>R56/IS!R61</f>
        <v>-2.37832711639375</v>
      </c>
      <c r="S57" s="66">
        <f>S56/IS!S61</f>
        <v>-1.66542290854683</v>
      </c>
      <c r="T57" s="66">
        <f>T56/IS!T61</f>
        <v>2.0273399858243</v>
      </c>
      <c r="U57" s="64">
        <f>U56/IS!U61</f>
        <v>-0.648366412469341</v>
      </c>
      <c r="V57" s="66">
        <f>V56/IS!V61</f>
        <v>-0.630451713395639</v>
      </c>
      <c r="W57" s="66">
        <f>W56/IS!W61</f>
        <v>1.37452168746286</v>
      </c>
      <c r="X57" s="66">
        <f>X56/IS!X61</f>
        <v>0.555008296524808</v>
      </c>
      <c r="Y57" s="66">
        <f>Y56/IS!Y61</f>
        <v>1.06086902669939</v>
      </c>
      <c r="Z57" s="64">
        <f>Z56/IS!Z61</f>
        <v>0.786442953233124</v>
      </c>
      <c r="AA57" s="66">
        <f>AA56/IS!AA61</f>
        <v>0.334992658381979</v>
      </c>
      <c r="AB57" s="66">
        <f>AB56/IS!AB61</f>
        <v>0.569104102707229</v>
      </c>
      <c r="AC57" s="66">
        <f>AC56/IS!AC61</f>
        <v>0.421507164790174</v>
      </c>
      <c r="AD57" s="66">
        <f>AD56/IS!AD61</f>
        <v>0.875625368741623</v>
      </c>
      <c r="AE57" s="64">
        <f>AE56/IS!AE61</f>
        <v>0.589623437697366</v>
      </c>
      <c r="AF57" s="66">
        <f>AF56/IS!AF61</f>
        <v>-0.390867110606742</v>
      </c>
      <c r="AG57" s="66">
        <f>AG56/IS!AG61</f>
        <v>0.246773848220021</v>
      </c>
      <c r="AH57" s="66">
        <f>AH56/IS!AH61</f>
        <v>0.68102713508655</v>
      </c>
      <c r="AI57" s="66">
        <f>AI56/IS!AI61</f>
        <v>0.906630581867388</v>
      </c>
      <c r="AJ57" s="64">
        <f>AJ56/IS!AJ61</f>
        <v>0.463919371252713</v>
      </c>
      <c r="AK57" s="66">
        <f>AK56/IS!AK61</f>
        <v>-0.130319372087169</v>
      </c>
      <c r="AL57" s="66">
        <f>AL56/IS!AL61</f>
        <v>1.02627832573898</v>
      </c>
      <c r="AM57" s="66">
        <f>AM56/IS!AM61</f>
        <v>0.792966120015815</v>
      </c>
      <c r="AN57" s="66">
        <f>AN56/IS!AN61</f>
        <v>0.638833804195573</v>
      </c>
      <c r="AO57" s="64">
        <f>AO56/IS!AO61</f>
        <v>0.647861765380752</v>
      </c>
      <c r="AP57" s="66">
        <f>AP56/IS!AP61</f>
        <v>1.01228254807956</v>
      </c>
      <c r="AQ57" s="66">
        <f>AQ56/IS!AQ61</f>
        <v>1.05292369754357</v>
      </c>
      <c r="AR57" s="66">
        <f>AR56/IS!AR61</f>
        <v>-0.0706675839243611</v>
      </c>
      <c r="AS57" s="66">
        <f>AS56/IS!AS61</f>
        <v>0.491686459194586</v>
      </c>
      <c r="AT57" s="64">
        <f>AT56/IS!AT61</f>
        <v>0.567750525476225</v>
      </c>
      <c r="AU57" s="66">
        <f>AU56/IS!AU61</f>
        <v>0.776353175072616</v>
      </c>
      <c r="AV57" s="66">
        <f>AV56/IS!AV61</f>
        <v>0.80644400522922</v>
      </c>
      <c r="AW57" s="66">
        <f>AW56/IS!AW61</f>
        <v>0.597556618825266</v>
      </c>
      <c r="AX57" s="66">
        <f>AX56/IS!AX61</f>
        <v>0.256615117323704</v>
      </c>
      <c r="AY57" s="64">
        <f>AY56/IS!AY61</f>
        <v>0.545560566904942</v>
      </c>
    </row>
    <row r="58" spans="1:51">
      <c r="A58" s="3" t="s">
        <v>326</v>
      </c>
      <c r="B58" s="68">
        <f>B56/IS!B19</f>
        <v>2.40203408386995</v>
      </c>
      <c r="C58" s="68">
        <f>C56/IS!C19</f>
        <v>0.644494534311559</v>
      </c>
      <c r="D58" s="68">
        <f>D56/IS!D19</f>
        <v>2.60301427892166</v>
      </c>
      <c r="E58" s="68">
        <f>E56/IS!E19</f>
        <v>2.90061761430204</v>
      </c>
      <c r="F58" s="68">
        <f>F56/IS!F19</f>
        <v>1.48835476907173</v>
      </c>
      <c r="G58" s="69">
        <f>G56/IS!G19</f>
        <v>-2.20281095601286</v>
      </c>
      <c r="H58" s="69">
        <f>H56/IS!H19</f>
        <v>2.50257560913946</v>
      </c>
      <c r="I58" s="69">
        <f>I56/IS!I19</f>
        <v>0.728493824068131</v>
      </c>
      <c r="J58" s="69">
        <f>J56/IS!J19</f>
        <v>4.41226770389578</v>
      </c>
      <c r="K58" s="68">
        <f>K56/IS!K19</f>
        <v>5.63586435915448</v>
      </c>
      <c r="L58" s="69">
        <f>L56/IS!L19</f>
        <v>-2.23189648572085</v>
      </c>
      <c r="M58" s="69">
        <f>M56/IS!M19</f>
        <v>2.50140326805538</v>
      </c>
      <c r="N58" s="69">
        <f>N56/IS!N19</f>
        <v>0.884861303180672</v>
      </c>
      <c r="O58" s="69">
        <f>O56/IS!O19</f>
        <v>1.9035604770017</v>
      </c>
      <c r="P58" s="68">
        <f>P56/IS!P19</f>
        <v>2.88656683057666</v>
      </c>
      <c r="Q58" s="69">
        <f>Q56/IS!Q19</f>
        <v>-4.68688672542581</v>
      </c>
      <c r="R58" s="69">
        <f>R56/IS!R19</f>
        <v>-1.49156440197458</v>
      </c>
      <c r="S58" s="69">
        <f>S56/IS!S19</f>
        <v>-1.82194964232308</v>
      </c>
      <c r="T58" s="69">
        <f>T56/IS!T19</f>
        <v>4.97036140344026</v>
      </c>
      <c r="U58" s="68">
        <f>U56/IS!U19</f>
        <v>-2.96040285130048</v>
      </c>
      <c r="V58" s="69">
        <f>V56/IS!V19</f>
        <v>-0.912254454310529</v>
      </c>
      <c r="W58" s="69">
        <f>W56/IS!W19</f>
        <v>3.36577558780166</v>
      </c>
      <c r="X58" s="69">
        <f>X56/IS!X19</f>
        <v>1.80512693827911</v>
      </c>
      <c r="Y58" s="69">
        <f>Y56/IS!Y19</f>
        <v>5.13275529504298</v>
      </c>
      <c r="Z58" s="68">
        <f>Z56/IS!Z19</f>
        <v>9.40001137958502</v>
      </c>
      <c r="AA58" s="69">
        <f>AA56/IS!AA19</f>
        <v>1.05345746677679</v>
      </c>
      <c r="AB58" s="69">
        <f>AB56/IS!AB19</f>
        <v>2.29632688301207</v>
      </c>
      <c r="AC58" s="69">
        <f>AC56/IS!AC19</f>
        <v>1.74480319279729</v>
      </c>
      <c r="AD58" s="69">
        <f>AD56/IS!AD19</f>
        <v>4.89424524885153</v>
      </c>
      <c r="AE58" s="68">
        <f>AE56/IS!AE19</f>
        <v>9.95776934549093</v>
      </c>
      <c r="AF58" s="69">
        <f>AF56/IS!AF19</f>
        <v>-1.08156574633645</v>
      </c>
      <c r="AG58" s="69">
        <f>AG56/IS!AG19</f>
        <v>1.04455109060575</v>
      </c>
      <c r="AH58" s="69">
        <f>AH56/IS!AH19</f>
        <v>2.75345126459347</v>
      </c>
      <c r="AI58" s="69">
        <f>AI56/IS!AI19</f>
        <v>5.35004376881525</v>
      </c>
      <c r="AJ58" s="68">
        <f>AJ56/IS!AJ19</f>
        <v>7.80526446076409</v>
      </c>
      <c r="AK58" s="69">
        <f>AK56/IS!AK19</f>
        <v>-0.374039450927162</v>
      </c>
      <c r="AL58" s="69">
        <f>AL56/IS!AL19</f>
        <v>4.56582143424667</v>
      </c>
      <c r="AM58" s="69">
        <f>AM56/IS!AM19</f>
        <v>3.88248480338246</v>
      </c>
      <c r="AN58" s="69">
        <f>AN56/IS!AN19</f>
        <v>4.95591291547858</v>
      </c>
      <c r="AO58" s="68">
        <f>AO56/IS!AO19</f>
        <v>12.8399502719132</v>
      </c>
      <c r="AP58" s="69">
        <f>AP56/IS!AP19</f>
        <v>3.54291101381049</v>
      </c>
      <c r="AQ58" s="69">
        <f>AQ56/IS!AQ19</f>
        <v>5.18079177065261</v>
      </c>
      <c r="AR58" s="69">
        <f>AR56/IS!AR19</f>
        <v>-0.373226913575587</v>
      </c>
      <c r="AS58" s="69">
        <f>AS56/IS!AS19</f>
        <v>4.09026093451235</v>
      </c>
      <c r="AT58" s="68">
        <f>AT56/IS!AT19</f>
        <v>12.460415310487</v>
      </c>
      <c r="AU58" s="69">
        <f>AU56/IS!AU19</f>
        <v>2.95844411976897</v>
      </c>
      <c r="AV58" s="69">
        <f>AV56/IS!AV19</f>
        <v>4.25252527841402</v>
      </c>
      <c r="AW58" s="69">
        <f>AW56/IS!AW19</f>
        <v>3.39010438280417</v>
      </c>
      <c r="AX58" s="69">
        <f>AX56/IS!AX19</f>
        <v>2.31929672761708</v>
      </c>
      <c r="AY58" s="68">
        <f>AY56/IS!AY19</f>
        <v>12.9350196839718</v>
      </c>
    </row>
    <row r="59" spans="1:51">
      <c r="B59" s="68"/>
      <c r="C59" s="68"/>
      <c r="D59" s="68"/>
      <c r="E59" s="68"/>
      <c r="F59" s="68"/>
      <c r="G59" s="69"/>
      <c r="H59" s="69"/>
      <c r="I59" s="69"/>
      <c r="J59" s="69"/>
      <c r="K59" s="68"/>
      <c r="L59" s="69"/>
      <c r="M59" s="69"/>
      <c r="N59" s="69"/>
      <c r="O59" s="69"/>
      <c r="P59" s="68"/>
      <c r="Q59" s="69"/>
      <c r="R59" s="69"/>
      <c r="S59" s="69"/>
      <c r="T59" s="69"/>
      <c r="U59" s="68"/>
      <c r="V59" s="69"/>
      <c r="W59" s="69"/>
      <c r="X59" s="69"/>
      <c r="Y59" s="69"/>
      <c r="Z59" s="68"/>
      <c r="AA59" s="69"/>
      <c r="AB59" s="69"/>
      <c r="AC59" s="69"/>
      <c r="AD59" s="69"/>
      <c r="AE59" s="68"/>
      <c r="AF59" s="69"/>
      <c r="AG59" s="69"/>
      <c r="AH59" s="69"/>
      <c r="AI59" s="69"/>
      <c r="AJ59" s="68"/>
      <c r="AK59" s="69"/>
      <c r="AL59" s="69"/>
      <c r="AM59" s="69"/>
      <c r="AN59" s="69"/>
      <c r="AO59" s="68"/>
      <c r="AP59" s="69"/>
      <c r="AQ59" s="69"/>
      <c r="AR59" s="69"/>
      <c r="AS59" s="69"/>
      <c r="AT59" s="68"/>
      <c r="AU59" s="69"/>
      <c r="AV59" s="69"/>
      <c r="AW59" s="69"/>
      <c r="AX59" s="69"/>
      <c r="AY59" s="68"/>
    </row>
    <row r="60" spans="1:51">
      <c r="A60" s="14" t="s">
        <v>327</v>
      </c>
      <c r="B60" s="15"/>
      <c r="C60" s="15"/>
      <c r="D60" s="15"/>
      <c r="E60" s="15"/>
      <c r="F60" s="15"/>
      <c r="G60" s="62"/>
      <c r="H60" s="62"/>
      <c r="I60" s="62"/>
      <c r="J60" s="62"/>
      <c r="K60" s="63"/>
      <c r="L60" s="62"/>
      <c r="M60" s="62"/>
      <c r="N60" s="62"/>
      <c r="O60" s="62"/>
      <c r="P60" s="63"/>
      <c r="Q60" s="62"/>
      <c r="R60" s="62"/>
      <c r="S60" s="62"/>
      <c r="T60" s="62"/>
      <c r="U60" s="63"/>
      <c r="V60" s="62"/>
      <c r="W60" s="62"/>
      <c r="X60" s="62"/>
      <c r="Y60" s="62"/>
      <c r="Z60" s="63"/>
      <c r="AA60" s="62"/>
      <c r="AB60" s="62"/>
      <c r="AC60" s="62"/>
      <c r="AD60" s="62"/>
      <c r="AE60" s="63"/>
      <c r="AF60" s="62"/>
      <c r="AG60" s="62"/>
      <c r="AH60" s="18"/>
      <c r="AI60" s="62"/>
      <c r="AJ60" s="63"/>
      <c r="AK60" s="62"/>
      <c r="AL60" s="62"/>
      <c r="AM60" s="62"/>
      <c r="AN60" s="18"/>
      <c r="AO60" s="63"/>
      <c r="AP60" s="62"/>
      <c r="AQ60" s="18"/>
      <c r="AR60" s="62"/>
      <c r="AS60" s="18"/>
      <c r="AT60" s="63"/>
      <c r="AU60" s="62"/>
      <c r="AV60" s="18"/>
      <c r="AW60" s="62"/>
      <c r="AX60" s="18"/>
      <c r="AY60" s="63"/>
    </row>
    <row r="61" spans="1:51">
      <c r="A61" s="3" t="s">
        <v>328</v>
      </c>
      <c r="G61" s="28">
        <f>IS!G19</f>
        <v>62541</v>
      </c>
      <c r="H61" s="28">
        <f>IS!H19</f>
        <v>63286</v>
      </c>
      <c r="I61" s="28">
        <f>IS!I19</f>
        <v>63877</v>
      </c>
      <c r="J61" s="28">
        <f>IS!J19</f>
        <v>64788</v>
      </c>
      <c r="K61" s="27">
        <f>IS!K19</f>
        <v>62636</v>
      </c>
      <c r="L61" s="28">
        <f>IS!L19</f>
        <v>65305</v>
      </c>
      <c r="M61" s="28">
        <f>IS!M19</f>
        <v>64136</v>
      </c>
      <c r="N61" s="28">
        <f>IS!N19</f>
        <v>61465</v>
      </c>
      <c r="O61" s="28">
        <f>IS!O19</f>
        <v>58700</v>
      </c>
      <c r="P61" s="27">
        <f>IS!P19</f>
        <v>62636</v>
      </c>
      <c r="Q61" s="28">
        <f>IS!Q19</f>
        <v>52077</v>
      </c>
      <c r="R61" s="28">
        <f>IS!R19</f>
        <v>50441</v>
      </c>
      <c r="S61" s="28">
        <f>IS!S19</f>
        <v>49486</v>
      </c>
      <c r="T61" s="28">
        <f>IS!T19</f>
        <v>51217</v>
      </c>
      <c r="U61" s="27">
        <f>IS!U19</f>
        <v>52327</v>
      </c>
      <c r="V61" s="28">
        <f>IS!V19</f>
        <v>51467</v>
      </c>
      <c r="W61" s="28">
        <f>IS!W19</f>
        <v>51548</v>
      </c>
      <c r="X61" s="28">
        <f>IS!X19</f>
        <v>52624</v>
      </c>
      <c r="Y61" s="28">
        <f>IS!Y19</f>
        <v>53399</v>
      </c>
      <c r="Z61" s="27">
        <f>IS!Z19</f>
        <v>52726</v>
      </c>
      <c r="AA61" s="28">
        <f>IS!AA19</f>
        <v>53276</v>
      </c>
      <c r="AB61" s="28">
        <f>IS!AB19</f>
        <v>53279</v>
      </c>
      <c r="AC61" s="28">
        <f>IS!AC19</f>
        <v>52869</v>
      </c>
      <c r="AD61" s="28">
        <f>IS!AD19</f>
        <v>52461</v>
      </c>
      <c r="AE61" s="27">
        <f>IS!AE19</f>
        <v>52971</v>
      </c>
      <c r="AF61" s="28">
        <f>IS!AF19</f>
        <v>50634</v>
      </c>
      <c r="AG61" s="28">
        <f>IS!AG19</f>
        <v>48551</v>
      </c>
      <c r="AH61" s="28">
        <f>IS!AH19</f>
        <v>47881</v>
      </c>
      <c r="AI61" s="28">
        <f>IS!AI19</f>
        <v>46837</v>
      </c>
      <c r="AJ61" s="27">
        <f>IS!AJ19</f>
        <v>48476</v>
      </c>
      <c r="AK61" s="28">
        <f>IS!AK19</f>
        <v>45677</v>
      </c>
      <c r="AL61" s="28">
        <f>IS!AL19</f>
        <v>44051</v>
      </c>
      <c r="AM61" s="28">
        <f t="shared" ref="AM61" si="176">AL61-AM63+AM66</f>
        <v>43434.3333333333</v>
      </c>
      <c r="AN61" s="28">
        <f t="shared" ref="AN61" si="177">AM61-AN63+AN66</f>
        <v>42826.7425742574</v>
      </c>
      <c r="AO61" s="27">
        <f>IS!AO19</f>
        <v>43997.2689768977</v>
      </c>
      <c r="AP61" s="28">
        <f>AN61-AP63+AP66</f>
        <v>42398.2118746528</v>
      </c>
      <c r="AQ61" s="28">
        <f t="shared" ref="AQ61" si="178">AP61-AQ63+AQ66</f>
        <v>41976.1517760344</v>
      </c>
      <c r="AR61" s="28">
        <f t="shared" ref="AR61" si="179">AQ61-AR63+AR66</f>
        <v>41560.4982130458</v>
      </c>
      <c r="AS61" s="28">
        <f t="shared" ref="AS61" si="180">AR61-AS63+AS66</f>
        <v>41151.1877546413</v>
      </c>
      <c r="AT61" s="27">
        <f>IS!AT19</f>
        <v>41771.5124045936</v>
      </c>
      <c r="AU61" s="28">
        <f>AS61-AU63+AU66</f>
        <v>40712.4094826075</v>
      </c>
      <c r="AV61" s="28">
        <f t="shared" ref="AV61" si="181">AU61-AV63+AV66</f>
        <v>40279.4606984155</v>
      </c>
      <c r="AW61" s="28">
        <f t="shared" ref="AW61" si="182">AV61-AW63+AW66</f>
        <v>39852.2836843641</v>
      </c>
      <c r="AX61" s="28">
        <f t="shared" ref="AX61" si="183">AW61-AX63+AX66</f>
        <v>39430.8212942141</v>
      </c>
      <c r="AY61" s="27">
        <f>IS!AY19</f>
        <v>40068.7437899003</v>
      </c>
    </row>
    <row r="62" spans="1:51">
      <c r="A62" s="3" t="s">
        <v>329</v>
      </c>
      <c r="G62" s="28">
        <f t="shared" ref="G62:AD62" si="184">G27</f>
        <v>-15172</v>
      </c>
      <c r="H62" s="28">
        <f t="shared" si="184"/>
        <v>0</v>
      </c>
      <c r="I62" s="28">
        <f t="shared" si="184"/>
        <v>0</v>
      </c>
      <c r="J62" s="28">
        <f t="shared" si="184"/>
        <v>0</v>
      </c>
      <c r="K62" s="27">
        <f t="shared" si="184"/>
        <v>-15172</v>
      </c>
      <c r="L62" s="28">
        <f t="shared" si="184"/>
        <v>-35249</v>
      </c>
      <c r="M62" s="28">
        <f t="shared" si="184"/>
        <v>-100000</v>
      </c>
      <c r="N62" s="28">
        <f t="shared" si="184"/>
        <v>-100000</v>
      </c>
      <c r="O62" s="28">
        <f t="shared" si="184"/>
        <v>-142041</v>
      </c>
      <c r="P62" s="27">
        <f t="shared" si="184"/>
        <v>-377290</v>
      </c>
      <c r="Q62" s="28">
        <f t="shared" si="184"/>
        <v>-100000</v>
      </c>
      <c r="R62" s="28">
        <f t="shared" si="184"/>
        <v>-17775</v>
      </c>
      <c r="S62" s="28">
        <f t="shared" si="184"/>
        <v>-8000</v>
      </c>
      <c r="T62" s="28">
        <f t="shared" si="184"/>
        <v>0</v>
      </c>
      <c r="U62" s="27">
        <f t="shared" si="184"/>
        <v>-125775</v>
      </c>
      <c r="V62" s="28">
        <f t="shared" si="184"/>
        <v>0</v>
      </c>
      <c r="W62" s="28">
        <f t="shared" si="184"/>
        <v>0</v>
      </c>
      <c r="X62" s="28">
        <f t="shared" si="184"/>
        <v>0</v>
      </c>
      <c r="Y62" s="28">
        <f t="shared" si="184"/>
        <v>0</v>
      </c>
      <c r="Z62" s="27">
        <f t="shared" si="184"/>
        <v>0</v>
      </c>
      <c r="AA62" s="28">
        <f t="shared" si="184"/>
        <v>-15000</v>
      </c>
      <c r="AB62" s="28">
        <f t="shared" si="184"/>
        <v>-15000</v>
      </c>
      <c r="AC62" s="28">
        <f t="shared" si="184"/>
        <v>-99807</v>
      </c>
      <c r="AD62" s="28">
        <f t="shared" si="184"/>
        <v>-100000</v>
      </c>
      <c r="AE62" s="27">
        <f>SUM(AA62:AD62)</f>
        <v>-229807</v>
      </c>
      <c r="AF62" s="28">
        <f>AF27</f>
        <v>-200000</v>
      </c>
      <c r="AG62" s="28">
        <f>AG27</f>
        <v>-51223</v>
      </c>
      <c r="AH62" s="28">
        <f>AH27</f>
        <v>-100001</v>
      </c>
      <c r="AI62" s="28">
        <f>AI27</f>
        <v>-100000</v>
      </c>
      <c r="AJ62" s="27">
        <f>SUM(AF62:AI62)</f>
        <v>-451224</v>
      </c>
      <c r="AK62" s="28">
        <f>AK27</f>
        <v>-105018</v>
      </c>
      <c r="AL62" s="28">
        <f>AL27</f>
        <v>-181428</v>
      </c>
      <c r="AM62" s="28">
        <f>AM27</f>
        <v>-110000</v>
      </c>
      <c r="AN62" s="28">
        <f>AN27</f>
        <v>-110000</v>
      </c>
      <c r="AO62" s="27">
        <f>SUM(AK62:AN62)</f>
        <v>-506446</v>
      </c>
      <c r="AP62" s="28">
        <f>AP27</f>
        <v>-80000</v>
      </c>
      <c r="AQ62" s="28">
        <f>AQ27</f>
        <v>-80000</v>
      </c>
      <c r="AR62" s="28">
        <f>AR27</f>
        <v>-80000</v>
      </c>
      <c r="AS62" s="28">
        <f>AS27</f>
        <v>-80000</v>
      </c>
      <c r="AT62" s="27">
        <f>SUM(AP62:AS62)</f>
        <v>-320000</v>
      </c>
      <c r="AU62" s="28">
        <f>AU27</f>
        <v>-75000</v>
      </c>
      <c r="AV62" s="28">
        <f>AV27</f>
        <v>-75000</v>
      </c>
      <c r="AW62" s="28">
        <f>AW27</f>
        <v>-75000</v>
      </c>
      <c r="AX62" s="28">
        <f>AX27</f>
        <v>-75000</v>
      </c>
      <c r="AY62" s="27">
        <f>SUM(AU62:AX62)</f>
        <v>-300000</v>
      </c>
    </row>
    <row r="63" spans="1:51">
      <c r="A63" s="3" t="s">
        <v>330</v>
      </c>
      <c r="G63" s="31">
        <v>1400</v>
      </c>
      <c r="H63" s="3"/>
      <c r="I63" s="3"/>
      <c r="J63" s="3"/>
      <c r="K63" s="27">
        <f>SUM(G63:J63)</f>
        <v>1400</v>
      </c>
      <c r="L63" s="31">
        <v>1100</v>
      </c>
      <c r="M63" s="31">
        <f>-L63+3500</f>
        <v>2400</v>
      </c>
      <c r="N63" s="31">
        <f>-SUM(L63:M63)+6100</f>
        <v>2600</v>
      </c>
      <c r="O63" s="31">
        <f>-SUM(L63:N63)+10200</f>
        <v>4100</v>
      </c>
      <c r="P63" s="50">
        <f>SUM(L63:O63)</f>
        <v>10200</v>
      </c>
      <c r="Q63" s="31">
        <v>3300</v>
      </c>
      <c r="R63" s="31">
        <f>-Q63+4300</f>
        <v>1000</v>
      </c>
      <c r="S63" s="31">
        <f>-SUM(Q63:R63)+4800</f>
        <v>500</v>
      </c>
      <c r="T63" s="3"/>
      <c r="U63" s="50">
        <f>SUM(Q63:T63)</f>
        <v>4800</v>
      </c>
      <c r="V63" s="3"/>
      <c r="W63" s="3"/>
      <c r="X63" s="3"/>
      <c r="Y63" s="3"/>
      <c r="Z63" s="27"/>
      <c r="AA63" s="31">
        <v>119</v>
      </c>
      <c r="AB63" s="31">
        <v>84.054</v>
      </c>
      <c r="AC63" s="31">
        <v>720.687</v>
      </c>
      <c r="AD63" s="31">
        <v>700</v>
      </c>
      <c r="AE63" s="27">
        <f>SUM(AA63:AD63)</f>
        <v>1623.741</v>
      </c>
      <c r="AF63" s="31">
        <v>2600</v>
      </c>
      <c r="AG63" s="31">
        <v>600</v>
      </c>
      <c r="AH63" s="31">
        <f>-SUM(AF63:AG63)+4500</f>
        <v>1300</v>
      </c>
      <c r="AI63" s="31">
        <v>900</v>
      </c>
      <c r="AJ63" s="27">
        <f>SUM(AF63:AI63)</f>
        <v>5400</v>
      </c>
      <c r="AK63" s="31">
        <v>1156</v>
      </c>
      <c r="AL63" s="31">
        <f>3171-AK63</f>
        <v>2015</v>
      </c>
      <c r="AM63" s="70">
        <f t="shared" ref="AM63:AN63" si="185">-AM62/AM64</f>
        <v>916.666666666667</v>
      </c>
      <c r="AN63" s="70">
        <f t="shared" si="185"/>
        <v>907.590759075908</v>
      </c>
      <c r="AO63" s="27">
        <f>SUM(AK63:AN63)</f>
        <v>4995.25742574257</v>
      </c>
      <c r="AP63" s="70">
        <f t="shared" ref="AP63" si="186">-AP62/AP64</f>
        <v>653.530699604614</v>
      </c>
      <c r="AQ63" s="70">
        <f t="shared" ref="AQ63" si="187">-AQ62/AQ64</f>
        <v>647.06009861843</v>
      </c>
      <c r="AR63" s="70">
        <f t="shared" ref="AR63" si="188">-AR62/AR64</f>
        <v>640.653562988544</v>
      </c>
      <c r="AS63" s="70">
        <f t="shared" ref="AS63" si="189">-AS62/AS64</f>
        <v>634.310458404499</v>
      </c>
      <c r="AT63" s="27">
        <f>SUM(AP63:AS63)</f>
        <v>2575.55481961609</v>
      </c>
      <c r="AU63" s="70">
        <f t="shared" ref="AU63:AX63" si="190">-AU62/AU64</f>
        <v>588.778272033879</v>
      </c>
      <c r="AV63" s="70">
        <f t="shared" si="190"/>
        <v>582.948784191959</v>
      </c>
      <c r="AW63" s="70">
        <f t="shared" si="190"/>
        <v>577.177014051445</v>
      </c>
      <c r="AX63" s="70">
        <f t="shared" si="190"/>
        <v>571.462390149946</v>
      </c>
      <c r="AY63" s="27">
        <f>SUM(AU63:AX63)</f>
        <v>2320.36646042723</v>
      </c>
    </row>
    <row r="64" spans="1:51">
      <c r="A64" s="3" t="s">
        <v>331</v>
      </c>
      <c r="G64" s="71">
        <f>G62/-G63</f>
        <v>10.8371428571429</v>
      </c>
      <c r="H64" s="3"/>
      <c r="I64" s="3"/>
      <c r="J64" s="3"/>
      <c r="K64" s="72">
        <f t="shared" ref="K64:Q64" si="191">K62/-K63</f>
        <v>10.8371428571429</v>
      </c>
      <c r="L64" s="71">
        <f t="shared" si="191"/>
        <v>32.0445454545455</v>
      </c>
      <c r="M64" s="71">
        <f t="shared" si="191"/>
        <v>41.6666666666667</v>
      </c>
      <c r="N64" s="71">
        <f t="shared" si="191"/>
        <v>38.4615384615385</v>
      </c>
      <c r="O64" s="71">
        <f t="shared" si="191"/>
        <v>34.6441463414634</v>
      </c>
      <c r="P64" s="72">
        <f t="shared" si="191"/>
        <v>36.9892156862745</v>
      </c>
      <c r="Q64" s="71">
        <f t="shared" si="191"/>
        <v>30.3030303030303</v>
      </c>
      <c r="R64" s="71">
        <f t="shared" ref="R64:S64" si="192">R62/-R63</f>
        <v>17.775</v>
      </c>
      <c r="S64" s="71">
        <f t="shared" si="192"/>
        <v>16</v>
      </c>
      <c r="T64" s="71"/>
      <c r="U64" s="72">
        <f>U62/-U63</f>
        <v>26.203125</v>
      </c>
      <c r="V64" s="3"/>
      <c r="W64" s="3"/>
      <c r="X64" s="3"/>
      <c r="Y64" s="3"/>
      <c r="Z64" s="27"/>
      <c r="AA64" s="71">
        <f>AA62/-AA63</f>
        <v>126.050420168067</v>
      </c>
      <c r="AB64" s="71">
        <f t="shared" ref="AB64:AF64" si="193">AB62/-AB63</f>
        <v>178.456706403027</v>
      </c>
      <c r="AC64" s="71">
        <f t="shared" si="193"/>
        <v>138.488692039679</v>
      </c>
      <c r="AD64" s="71">
        <f t="shared" si="193"/>
        <v>142.857142857143</v>
      </c>
      <c r="AE64" s="72">
        <f t="shared" si="193"/>
        <v>141.529344889364</v>
      </c>
      <c r="AF64" s="71">
        <f t="shared" si="193"/>
        <v>76.9230769230769</v>
      </c>
      <c r="AG64" s="71">
        <f t="shared" ref="AG64:AL64" si="194">AG62/-AG63</f>
        <v>85.3716666666667</v>
      </c>
      <c r="AH64" s="71">
        <f t="shared" si="194"/>
        <v>76.9238461538462</v>
      </c>
      <c r="AI64" s="71">
        <f t="shared" si="194"/>
        <v>111.111111111111</v>
      </c>
      <c r="AJ64" s="72">
        <f t="shared" si="194"/>
        <v>83.56</v>
      </c>
      <c r="AK64" s="71">
        <f t="shared" si="194"/>
        <v>90.8460207612457</v>
      </c>
      <c r="AL64" s="71">
        <f t="shared" si="194"/>
        <v>90.0387096774193</v>
      </c>
      <c r="AM64" s="73">
        <v>120</v>
      </c>
      <c r="AN64" s="73">
        <f t="shared" ref="AN64" si="195">AM64*1.01</f>
        <v>121.2</v>
      </c>
      <c r="AO64" s="72">
        <f t="shared" ref="AO64" si="196">AO62/-AO63</f>
        <v>101.385365524924</v>
      </c>
      <c r="AP64" s="73">
        <f>AN64*1.01</f>
        <v>122.412</v>
      </c>
      <c r="AQ64" s="73">
        <f t="shared" ref="AQ64:AR64" si="197">AP64*1.01</f>
        <v>123.63612</v>
      </c>
      <c r="AR64" s="73">
        <f t="shared" si="197"/>
        <v>124.8724812</v>
      </c>
      <c r="AS64" s="73">
        <f t="shared" ref="AS64" si="198">AR64*1.01</f>
        <v>126.121206012</v>
      </c>
      <c r="AT64" s="72">
        <f t="shared" ref="AT64" si="199">AT62/-AT63</f>
        <v>124.245074328373</v>
      </c>
      <c r="AU64" s="73">
        <f>AS64*1.01</f>
        <v>127.38241807212</v>
      </c>
      <c r="AV64" s="73">
        <f t="shared" ref="AV64" si="200">AU64*1.01</f>
        <v>128.656242252841</v>
      </c>
      <c r="AW64" s="73">
        <f t="shared" ref="AW64" si="201">AV64*1.01</f>
        <v>129.94280467537</v>
      </c>
      <c r="AX64" s="73">
        <f t="shared" ref="AX64" si="202">AW64*1.01</f>
        <v>131.242232722123</v>
      </c>
      <c r="AY64" s="72">
        <f t="shared" ref="AY64" si="203">AY62/-AY63</f>
        <v>129.289922568853</v>
      </c>
    </row>
    <row r="65" spans="1:51">
      <c r="A65" s="3" t="s">
        <v>332</v>
      </c>
      <c r="G65" s="28"/>
      <c r="H65" s="3"/>
      <c r="I65" s="3"/>
      <c r="J65" s="3"/>
      <c r="K65" s="4"/>
      <c r="L65" s="3"/>
      <c r="M65" s="28">
        <f>M61-K61</f>
        <v>1500</v>
      </c>
      <c r="N65" s="28">
        <f>N61-L61</f>
        <v>-3840</v>
      </c>
      <c r="O65" s="28">
        <f>O61-M61</f>
        <v>-5436</v>
      </c>
      <c r="P65" s="4"/>
      <c r="Q65" s="28">
        <f>Q61-O61</f>
        <v>-6623</v>
      </c>
      <c r="R65" s="28">
        <f t="shared" ref="R65:S65" si="204">R61-P61</f>
        <v>-12195</v>
      </c>
      <c r="S65" s="28">
        <f t="shared" si="204"/>
        <v>-2591</v>
      </c>
      <c r="T65" s="28"/>
      <c r="U65" s="4"/>
      <c r="V65" s="3"/>
      <c r="W65" s="3"/>
      <c r="X65" s="3"/>
      <c r="Y65" s="3"/>
      <c r="Z65" s="27"/>
      <c r="AA65" s="28">
        <f>AA61-Y61</f>
        <v>-123</v>
      </c>
      <c r="AB65" s="28">
        <f>AB61-AA61</f>
        <v>3</v>
      </c>
      <c r="AC65" s="28">
        <f t="shared" ref="AC65:AD65" si="205">AC61-AB61</f>
        <v>-410</v>
      </c>
      <c r="AD65" s="28">
        <f t="shared" si="205"/>
        <v>-408</v>
      </c>
      <c r="AE65" s="72"/>
      <c r="AF65" s="28">
        <f>AF61-AD61</f>
        <v>-1827</v>
      </c>
      <c r="AG65" s="28">
        <f>AG61-AF61</f>
        <v>-2083</v>
      </c>
      <c r="AH65" s="28">
        <f>AH61-AG61</f>
        <v>-670</v>
      </c>
      <c r="AI65" s="28">
        <f>AI61-AH61</f>
        <v>-1044</v>
      </c>
      <c r="AJ65" s="27"/>
      <c r="AK65" s="28">
        <f>AK61-AI61</f>
        <v>-1160</v>
      </c>
      <c r="AL65" s="28">
        <f>AL61-AK61</f>
        <v>-1626</v>
      </c>
      <c r="AM65" s="28">
        <f t="shared" ref="AM65" si="206">AM61-AL61</f>
        <v>-616.666666666664</v>
      </c>
      <c r="AN65" s="28">
        <f t="shared" ref="AN65" si="207">AN61-AM61</f>
        <v>-607.590759075909</v>
      </c>
      <c r="AO65" s="27"/>
      <c r="AP65" s="28">
        <f t="shared" ref="AP65" si="208">AP61-AO61</f>
        <v>-1599.05710224488</v>
      </c>
      <c r="AQ65" s="28">
        <f t="shared" ref="AQ65" si="209">AQ61-AP61</f>
        <v>-422.060098618429</v>
      </c>
      <c r="AR65" s="28">
        <f t="shared" ref="AR65" si="210">AR61-AQ61</f>
        <v>-415.653562988547</v>
      </c>
      <c r="AS65" s="28">
        <f t="shared" ref="AS65" si="211">AS61-AR61</f>
        <v>-409.3104584045</v>
      </c>
      <c r="AT65" s="27"/>
      <c r="AU65" s="28">
        <f t="shared" ref="AU65" si="212">AU61-AT61</f>
        <v>-1059.10292198614</v>
      </c>
      <c r="AV65" s="28">
        <f t="shared" ref="AV65" si="213">AV61-AU61</f>
        <v>-432.948784191962</v>
      </c>
      <c r="AW65" s="28">
        <f t="shared" ref="AW65" si="214">AW61-AV61</f>
        <v>-427.177014051442</v>
      </c>
      <c r="AX65" s="28">
        <f t="shared" ref="AX65" si="215">AX61-AW61</f>
        <v>-421.462390149944</v>
      </c>
      <c r="AY65" s="27"/>
    </row>
    <row r="66" spans="1:51">
      <c r="A66" s="3" t="s">
        <v>333</v>
      </c>
      <c r="G66" s="28"/>
      <c r="H66" s="3"/>
      <c r="I66" s="3"/>
      <c r="J66" s="3"/>
      <c r="K66" s="4"/>
      <c r="L66" s="3"/>
      <c r="M66" s="28">
        <f>M65+M63</f>
        <v>3900</v>
      </c>
      <c r="N66" s="28">
        <f>N65+N63</f>
        <v>-1240</v>
      </c>
      <c r="O66" s="28">
        <f>O65+O63</f>
        <v>-1336</v>
      </c>
      <c r="P66" s="4"/>
      <c r="Q66" s="28">
        <f>Q65+Q63</f>
        <v>-3323</v>
      </c>
      <c r="R66" s="28">
        <f t="shared" ref="R66:S66" si="216">R65+R63</f>
        <v>-11195</v>
      </c>
      <c r="S66" s="28">
        <f t="shared" si="216"/>
        <v>-2091</v>
      </c>
      <c r="T66" s="28"/>
      <c r="U66" s="4"/>
      <c r="V66" s="3"/>
      <c r="W66" s="3"/>
      <c r="X66" s="3"/>
      <c r="Y66" s="3"/>
      <c r="Z66" s="27"/>
      <c r="AA66" s="28">
        <f>AA65+AA63</f>
        <v>-4</v>
      </c>
      <c r="AB66" s="28">
        <f>AB65+AB63</f>
        <v>87.054</v>
      </c>
      <c r="AC66" s="28">
        <f>AC65+AC63</f>
        <v>310.687</v>
      </c>
      <c r="AD66" s="28">
        <f>AD65+AD63</f>
        <v>292</v>
      </c>
      <c r="AE66" s="27"/>
      <c r="AF66" s="28">
        <f>AF65+AF63</f>
        <v>773</v>
      </c>
      <c r="AG66" s="28">
        <f>AG65+AG63</f>
        <v>-1483</v>
      </c>
      <c r="AH66" s="28">
        <f>AH65+AH63</f>
        <v>630</v>
      </c>
      <c r="AI66" s="28">
        <f>AI65+AI63</f>
        <v>-144</v>
      </c>
      <c r="AJ66" s="27"/>
      <c r="AK66" s="28">
        <f>AK65+AK63</f>
        <v>-4</v>
      </c>
      <c r="AL66" s="28">
        <f>AL65+AL63</f>
        <v>389</v>
      </c>
      <c r="AM66" s="74">
        <v>300</v>
      </c>
      <c r="AN66" s="74">
        <v>300</v>
      </c>
      <c r="AO66" s="27"/>
      <c r="AP66" s="74">
        <v>225</v>
      </c>
      <c r="AQ66" s="74">
        <v>225</v>
      </c>
      <c r="AR66" s="74">
        <v>225</v>
      </c>
      <c r="AS66" s="74">
        <v>225</v>
      </c>
      <c r="AT66" s="27"/>
      <c r="AU66" s="74">
        <v>150</v>
      </c>
      <c r="AV66" s="74">
        <v>150</v>
      </c>
      <c r="AW66" s="74">
        <v>150</v>
      </c>
      <c r="AX66" s="74">
        <v>150</v>
      </c>
      <c r="AY66" s="27"/>
    </row>
    <row r="67" spans="1:51">
      <c r="G67" s="3"/>
      <c r="H67" s="3"/>
      <c r="I67" s="3"/>
      <c r="J67" s="3"/>
      <c r="K67" s="4"/>
      <c r="L67" s="3"/>
      <c r="M67" s="3"/>
      <c r="N67" s="3"/>
      <c r="O67" s="3"/>
      <c r="P67" s="4"/>
      <c r="Q67" s="3"/>
      <c r="R67" s="3"/>
      <c r="S67" s="3"/>
      <c r="T67" s="3"/>
      <c r="U67" s="4"/>
      <c r="V67" s="3"/>
      <c r="W67" s="3"/>
      <c r="X67" s="3"/>
      <c r="Y67" s="3"/>
      <c r="Z67" s="27"/>
      <c r="AA67" s="28"/>
      <c r="AB67" s="28"/>
      <c r="AC67" s="28"/>
      <c r="AD67" s="28"/>
      <c r="AE67" s="27"/>
      <c r="AF67" s="28"/>
      <c r="AG67" s="3"/>
      <c r="AH67" s="3"/>
      <c r="AI67" s="3"/>
      <c r="AJ67" s="27"/>
      <c r="AK67" s="28"/>
      <c r="AL67" s="3"/>
      <c r="AM67" s="3"/>
      <c r="AN67" s="3"/>
      <c r="AO67" s="27"/>
      <c r="AP67" s="3"/>
      <c r="AQ67" s="3"/>
      <c r="AR67" s="3"/>
      <c r="AS67" s="3"/>
      <c r="AT67" s="27"/>
      <c r="AU67" s="3"/>
      <c r="AV67" s="3"/>
      <c r="AW67" s="3"/>
      <c r="AX67" s="3"/>
      <c r="AY67" s="27"/>
    </row>
    <row r="68" spans="1:51">
      <c r="A68" s="75" t="str">
        <f>IS!A18</f>
        <v>Diluted EPS</v>
      </c>
      <c r="B68" s="76">
        <f>IS!B18</f>
        <v>1.12432113171125</v>
      </c>
      <c r="C68" s="76">
        <f>IS!C18</f>
        <v>-0.0599605173988627</v>
      </c>
      <c r="D68" s="76">
        <f>IS!D18</f>
        <v>0.648459000331398</v>
      </c>
      <c r="E68" s="76">
        <f>IS!E18</f>
        <v>1.15407090270044</v>
      </c>
      <c r="F68" s="76">
        <f>IS!F18</f>
        <v>0.73120192161513</v>
      </c>
      <c r="G68" s="77">
        <f>IS!G18</f>
        <v>-3.28827489167106</v>
      </c>
      <c r="H68" s="77">
        <f>IS!H18</f>
        <v>0.232484277723351</v>
      </c>
      <c r="I68" s="77">
        <f>IS!I18</f>
        <v>0.755060506911721</v>
      </c>
      <c r="J68" s="77">
        <f>IS!J18</f>
        <v>1.50220719886399</v>
      </c>
      <c r="K68" s="78">
        <f>IS!K18</f>
        <v>-0.724551376205377</v>
      </c>
      <c r="L68" s="77">
        <f>IS!L18</f>
        <v>0.673501263302963</v>
      </c>
      <c r="M68" s="77">
        <f>IS!M18</f>
        <v>1.70048022951229</v>
      </c>
      <c r="N68" s="77">
        <f>IS!N18</f>
        <v>0.855885463271781</v>
      </c>
      <c r="O68" s="77">
        <f>IS!O18</f>
        <v>1.1420272572402</v>
      </c>
      <c r="P68" s="78">
        <f>IS!P18</f>
        <v>4.35355067373396</v>
      </c>
      <c r="Q68" s="77">
        <f>IS!Q18</f>
        <v>-0.268160608329973</v>
      </c>
      <c r="R68" s="77">
        <f>IS!R18</f>
        <v>-0.302829047798418</v>
      </c>
      <c r="S68" s="77">
        <f>IS!S18</f>
        <v>0.0111950854787213</v>
      </c>
      <c r="T68" s="77">
        <f>IS!T18</f>
        <v>0.814788058652401</v>
      </c>
      <c r="U68" s="78">
        <f>IS!U18</f>
        <v>0.249297685707187</v>
      </c>
      <c r="V68" s="77">
        <f>IS!V18</f>
        <v>0.385101132764684</v>
      </c>
      <c r="W68" s="77">
        <f>IS!W18</f>
        <v>1.1033211763793</v>
      </c>
      <c r="X68" s="77">
        <f>IS!X18</f>
        <v>1.82827227120705</v>
      </c>
      <c r="Y68" s="77">
        <f>IS!Y18</f>
        <v>2.96677840408996</v>
      </c>
      <c r="Z68" s="78">
        <f>IS!Z18</f>
        <v>6.28395857831051</v>
      </c>
      <c r="AA68" s="77">
        <f>IS!AA18</f>
        <v>2.13698475861551</v>
      </c>
      <c r="AB68" s="77">
        <f>IS!AB18</f>
        <v>2.49944631092926</v>
      </c>
      <c r="AC68" s="77">
        <f>IS!AC18</f>
        <v>2.49634001021392</v>
      </c>
      <c r="AD68" s="77">
        <f>IS!AD18</f>
        <v>3.56886067745563</v>
      </c>
      <c r="AE68" s="78">
        <f>IS!AE18</f>
        <v>10.6893016933794</v>
      </c>
      <c r="AF68" s="77">
        <f>IS!AF18</f>
        <v>1.58812260536398</v>
      </c>
      <c r="AG68" s="77">
        <f>IS!AG18</f>
        <v>2.31717163395193</v>
      </c>
      <c r="AH68" s="77">
        <f>IS!AH18</f>
        <v>2.35991311793822</v>
      </c>
      <c r="AI68" s="77">
        <f>IS!AI18</f>
        <v>3.67508593633239</v>
      </c>
      <c r="AJ68" s="78">
        <f>IS!AJ18</f>
        <v>9.86135407211816</v>
      </c>
      <c r="AK68" s="77">
        <f>IS!AK18</f>
        <v>1.46975501893732</v>
      </c>
      <c r="AL68" s="77">
        <f>IS!AL18</f>
        <v>2.42062041724365</v>
      </c>
      <c r="AM68" s="77">
        <f>IS!AM18</f>
        <v>2.80138416165092</v>
      </c>
      <c r="AN68" s="77">
        <f>IS!AN18</f>
        <v>4.86520572157274</v>
      </c>
      <c r="AO68" s="78">
        <f>IS!AO18</f>
        <v>11.4507542898857</v>
      </c>
      <c r="AP68" s="77">
        <f>IS!AP18</f>
        <v>1.76113316393306</v>
      </c>
      <c r="AQ68" s="77">
        <f>IS!AQ18</f>
        <v>2.72406256270885</v>
      </c>
      <c r="AR68" s="77">
        <f>IS!AR18</f>
        <v>2.95984667282673</v>
      </c>
      <c r="AS68" s="77">
        <f>IS!AS18</f>
        <v>5.0532174714101</v>
      </c>
      <c r="AT68" s="78">
        <f>IS!AT18</f>
        <v>12.4480329765208</v>
      </c>
      <c r="AU68" s="77">
        <f>IS!AU18</f>
        <v>1.91960188085239</v>
      </c>
      <c r="AV68" s="77">
        <f>IS!AV18</f>
        <v>2.91468407237396</v>
      </c>
      <c r="AW68" s="77">
        <f>IS!AW18</f>
        <v>3.17675940961454</v>
      </c>
      <c r="AX68" s="77">
        <f>IS!AX18</f>
        <v>5.49616365848636</v>
      </c>
      <c r="AY68" s="78">
        <f>IS!AY18</f>
        <v>13.4487092331709</v>
      </c>
    </row>
    <row r="69" spans="1:51">
      <c r="Z69" s="79"/>
      <c r="AB69" s="6"/>
      <c r="AE69" s="79"/>
      <c r="AF69" s="80"/>
      <c r="AG69" s="81"/>
      <c r="AH69" s="81"/>
      <c r="AI69" s="81"/>
      <c r="AJ69" s="82"/>
      <c r="AK69" s="80"/>
      <c r="AL69" s="81"/>
      <c r="AM69" s="80"/>
      <c r="AN69" s="80"/>
      <c r="AO69" s="83">
        <f>AO68/AJ68-1</f>
        <v>0.161174642563682</v>
      </c>
      <c r="AP69" s="80"/>
      <c r="AQ69" s="80"/>
      <c r="AR69" s="80"/>
      <c r="AS69" s="80"/>
      <c r="AT69" s="83">
        <f>AT68/AO68-1</f>
        <v>0.08709283785051</v>
      </c>
      <c r="AU69" s="80"/>
      <c r="AV69" s="80"/>
      <c r="AW69" s="80"/>
      <c r="AX69" s="80"/>
      <c r="AY69" s="83">
        <f>AY68/AT68-1</f>
        <v>0.0803883038017015</v>
      </c>
    </row>
    <row r="70" spans="1:51">
      <c r="Z70" s="79"/>
      <c r="AB70" s="6"/>
      <c r="AE70" s="79"/>
      <c r="AJ70" s="79"/>
      <c r="AO70" s="79"/>
      <c r="AT70" s="79"/>
      <c r="AY70" s="79"/>
    </row>
    <row r="71" spans="1:51">
      <c r="Z71" s="79"/>
      <c r="AB71" s="6"/>
      <c r="AE71" s="79"/>
      <c r="AJ71" s="79"/>
      <c r="AO71" s="79"/>
      <c r="AT71" s="79"/>
      <c r="AY71" s="79"/>
    </row>
    <row r="72" spans="1:51">
      <c r="Z72" s="79"/>
      <c r="AB72" s="6"/>
      <c r="AE72" s="79"/>
      <c r="AJ72" s="79"/>
      <c r="AO72" s="79"/>
      <c r="AT72" s="79"/>
      <c r="AY72" s="79"/>
    </row>
    <row r="73" spans="1:51">
      <c r="A73" s="38"/>
      <c r="B73" s="84"/>
      <c r="C73" s="84"/>
      <c r="D73" s="84"/>
      <c r="E73" s="84"/>
      <c r="F73" s="84"/>
      <c r="G73" s="85"/>
      <c r="H73" s="85"/>
      <c r="I73" s="85"/>
      <c r="J73" s="85"/>
      <c r="K73" s="86"/>
      <c r="L73" s="85"/>
      <c r="M73" s="85"/>
      <c r="N73" s="85"/>
      <c r="O73" s="85"/>
      <c r="P73" s="86"/>
      <c r="Q73" s="85"/>
      <c r="R73" s="85"/>
      <c r="S73" s="85"/>
      <c r="T73" s="85"/>
      <c r="U73" s="86"/>
      <c r="V73" s="85"/>
      <c r="W73" s="85"/>
      <c r="X73" s="85"/>
      <c r="Y73" s="85"/>
      <c r="Z73" s="86"/>
      <c r="AA73" s="85"/>
      <c r="AB73" s="85"/>
      <c r="AC73" s="85"/>
      <c r="AD73" s="85"/>
      <c r="AE73" s="86"/>
      <c r="AF73" s="85"/>
      <c r="AG73" s="87"/>
      <c r="AH73" s="87"/>
      <c r="AI73" s="87"/>
      <c r="AJ73" s="86"/>
      <c r="AK73" s="85"/>
      <c r="AL73" s="87"/>
      <c r="AM73" s="87"/>
      <c r="AN73" s="87"/>
      <c r="AO73" s="86"/>
      <c r="AP73" s="87"/>
      <c r="AQ73" s="87"/>
      <c r="AR73" s="87"/>
      <c r="AS73" s="87"/>
      <c r="AT73" s="86"/>
      <c r="AU73" s="87"/>
      <c r="AV73" s="87"/>
      <c r="AW73" s="87"/>
      <c r="AX73" s="87"/>
      <c r="AY73" s="86"/>
    </row>
    <row r="76" spans="1:51">
      <c r="AG76" s="6"/>
      <c r="AL76" s="6"/>
    </row>
  </sheetData>
  <pageMargins left="0.7" right="0.7" top="0.75" bottom="0.75" header="0.3" footer="0.3"/>
  <headerFooter/>
  <customProperties>
    <customPr name="Qube.Worksheet.Visibility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5146C-4D97-415F-AD83-101755AD8D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Goldman Sachs &amp; Co. LLC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</vt:lpstr>
      <vt:lpstr>Rev Driver</vt:lpstr>
      <vt:lpstr>IS</vt:lpstr>
      <vt:lpstr>BS</vt:lpstr>
      <vt:lpstr>SCF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Keypour, Jon [GIR]</dc:creator>
  <cp:lastModifiedBy>rundong</cp:lastModifiedBy>
  <dcterms:created xsi:type="dcterms:W3CDTF">2025-08-07T06:26:00Z</dcterms:created>
  <cp:lastPrinted>2026-08-27T02:57:00Z</cp:lastPrinted>
  <dcterms:modified xsi:type="dcterms:W3CDTF">2026-09-29T15:10:47Z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ICV">
    <vt:lpwstr>0CB495752EC75D3C7764BB6AB25D0A31_43</vt:lpwstr>
  </property>
  <property fmtid="{D5CDD505-2E9C-101B-9397-08002B2CF9AE}" pid="4" name="KSOProductBuildVer">
    <vt:lpwstr>2052-12.1.23540.23540</vt:lpwstr>
  </property>
</Properties>
</file>